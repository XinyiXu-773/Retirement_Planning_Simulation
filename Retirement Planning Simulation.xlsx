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https://d.docs.live.net/5ac14c664e9a7421/Desktop/"/>
    </mc:Choice>
  </mc:AlternateContent>
  <xr:revisionPtr revIDLastSave="1" documentId="8_{25A7AAE9-D180-4776-9134-8D7B39DC7583}" xr6:coauthVersionLast="47" xr6:coauthVersionMax="47" xr10:uidLastSave="{C47D1350-5DC3-46B6-BA86-32624592A137}"/>
  <bookViews>
    <workbookView xWindow="-98" yWindow="-98" windowWidth="21795" windowHeight="12975" firstSheet="14" activeTab="17" xr2:uid="{00000000-000D-0000-FFFF-FFFF00000000}"/>
  </bookViews>
  <sheets>
    <sheet name="Table of Contents" sheetId="26" r:id="rId1"/>
    <sheet name="Dashboard" sheetId="22" r:id="rId2"/>
    <sheet name="Decision Tree" sheetId="24" r:id="rId3"/>
    <sheet name="t4_Income from 30-64" sheetId="17" r:id="rId4"/>
    <sheet name="t4_salaryGrowthevent" sheetId="16" r:id="rId5"/>
    <sheet name="fundGrowth" sheetId="15" r:id="rId6"/>
    <sheet name="Information and References" sheetId="1" r:id="rId7"/>
    <sheet name="Net Returns Simulations" sheetId="11" r:id="rId8"/>
    <sheet name="Income from 30-64" sheetId="2" r:id="rId9"/>
    <sheet name="inflationParameter" sheetId="12" r:id="rId10"/>
    <sheet name="Economic Scenarios" sheetId="9" r:id="rId11"/>
    <sheet name="salaryGrowth" sheetId="13" r:id="rId12"/>
    <sheet name="salaryParameters" sheetId="6" r:id="rId13"/>
    <sheet name="fsalarySimulation" sheetId="7" r:id="rId14"/>
    <sheet name="model" sheetId="21" r:id="rId15"/>
    <sheet name="living expenditure actually" sheetId="18" r:id="rId16"/>
    <sheet name="health expenditure" sheetId="19" r:id="rId17"/>
    <sheet name="Transport expenditure" sheetId="20" r:id="rId18"/>
  </sheets>
  <definedNames>
    <definedName name="Fund">#REF!</definedName>
    <definedName name="Scenario">#REF!</definedName>
    <definedName name="solver_adj" localSheetId="12" hidden="1">salaryParameters!$H$2:$H$5</definedName>
    <definedName name="solver_cvg" localSheetId="12" hidden="1">0.0001</definedName>
    <definedName name="solver_drv" localSheetId="12" hidden="1">1</definedName>
    <definedName name="solver_eng" localSheetId="8" hidden="1">1</definedName>
    <definedName name="solver_eng" localSheetId="12" hidden="1">1</definedName>
    <definedName name="solver_eng" localSheetId="3" hidden="1">1</definedName>
    <definedName name="solver_est" localSheetId="12" hidden="1">1</definedName>
    <definedName name="solver_itr" localSheetId="12" hidden="1">2147483647</definedName>
    <definedName name="solver_lhs0" localSheetId="12" hidden="1">salaryParameters!$E$7</definedName>
    <definedName name="solver_lhs1" localSheetId="12" hidden="1">salaryParameters!$B$13</definedName>
    <definedName name="solver_lhs10" localSheetId="12" hidden="1">salaryParameters!$B$3</definedName>
    <definedName name="solver_lhs11" localSheetId="12" hidden="1">salaryParameters!$B$4</definedName>
    <definedName name="solver_lhs12" localSheetId="12" hidden="1">salaryParameters!$B$4:$B$5</definedName>
    <definedName name="solver_lhs13" localSheetId="12" hidden="1">salaryParameters!$B$6</definedName>
    <definedName name="solver_lhs14" localSheetId="12" hidden="1">salaryParameters!$B$6</definedName>
    <definedName name="solver_lhs15" localSheetId="12" hidden="1">salaryParameters!$B$7</definedName>
    <definedName name="solver_lhs16" localSheetId="12" hidden="1">salaryParameters!$B$7</definedName>
    <definedName name="solver_lhs17" localSheetId="12" hidden="1">salaryParameters!$E$13</definedName>
    <definedName name="solver_lhs18" localSheetId="12" hidden="1">salaryParameters!$E$14</definedName>
    <definedName name="solver_lhs19" localSheetId="12" hidden="1">salaryParameters!$E$15</definedName>
    <definedName name="solver_lhs2" localSheetId="12" hidden="1">salaryParameters!$B$14</definedName>
    <definedName name="solver_lhs20" localSheetId="12" hidden="1">salaryParameters!$E$15:$E$16</definedName>
    <definedName name="solver_lhs21" localSheetId="12" hidden="1">salaryParameters!$E$17</definedName>
    <definedName name="solver_lhs22" localSheetId="12" hidden="1">salaryParameters!$E$18</definedName>
    <definedName name="solver_lhs23" localSheetId="12" hidden="1">salaryParameters!$E$2</definedName>
    <definedName name="solver_lhs24" localSheetId="12" hidden="1">salaryParameters!$E$3</definedName>
    <definedName name="solver_lhs25" localSheetId="12" hidden="1">salaryParameters!$E$4</definedName>
    <definedName name="solver_lhs26" localSheetId="12" hidden="1">salaryParameters!$E$4:$E$5</definedName>
    <definedName name="solver_lhs27" localSheetId="12" hidden="1">salaryParameters!$E$6</definedName>
    <definedName name="solver_lhs28" localSheetId="12" hidden="1">salaryParameters!$E$7</definedName>
    <definedName name="solver_lhs29" localSheetId="12" hidden="1">salaryParameters!$H$13</definedName>
    <definedName name="solver_lhs3" localSheetId="12" hidden="1">salaryParameters!$B$15</definedName>
    <definedName name="solver_lhs30" localSheetId="12" hidden="1">salaryParameters!$H$14</definedName>
    <definedName name="solver_lhs31" localSheetId="12" hidden="1">salaryParameters!$H$15:$H$16</definedName>
    <definedName name="solver_lhs32" localSheetId="12" hidden="1">salaryParameters!$H$16</definedName>
    <definedName name="solver_lhs33" localSheetId="12" hidden="1">salaryParameters!$H$17</definedName>
    <definedName name="solver_lhs34" localSheetId="12" hidden="1">salaryParameters!$H$18</definedName>
    <definedName name="solver_lhs35" localSheetId="12" hidden="1">salaryParameters!$H$2</definedName>
    <definedName name="solver_lhs36" localSheetId="12" hidden="1">salaryParameters!$H$3</definedName>
    <definedName name="solver_lhs37" localSheetId="12" hidden="1">salaryParameters!$H$4</definedName>
    <definedName name="solver_lhs38" localSheetId="12" hidden="1">salaryParameters!$H$4:$H$5</definedName>
    <definedName name="solver_lhs39" localSheetId="12" hidden="1">salaryParameters!$H$6</definedName>
    <definedName name="solver_lhs4" localSheetId="12" hidden="1">salaryParameters!$B$15:$B$16</definedName>
    <definedName name="solver_lhs40" localSheetId="12" hidden="1">salaryParameters!$H$7</definedName>
    <definedName name="solver_lhs5" localSheetId="12" hidden="1">salaryParameters!$B$17</definedName>
    <definedName name="solver_lhs6" localSheetId="12" hidden="1">salaryParameters!$B$17</definedName>
    <definedName name="solver_lhs7" localSheetId="12" hidden="1">salaryParameters!$B$18</definedName>
    <definedName name="solver_lhs8" localSheetId="12" hidden="1">salaryParameters!$B$18</definedName>
    <definedName name="solver_lhs9" localSheetId="12" hidden="1">salaryParameters!$B$2</definedName>
    <definedName name="solver_mip" localSheetId="12" hidden="1">2147483647</definedName>
    <definedName name="solver_mni" localSheetId="12" hidden="1">30</definedName>
    <definedName name="solver_mrt" localSheetId="12" hidden="1">0.075</definedName>
    <definedName name="solver_msl" localSheetId="12" hidden="1">2</definedName>
    <definedName name="solver_neg" localSheetId="8" hidden="1">1</definedName>
    <definedName name="solver_neg" localSheetId="12" hidden="1">1</definedName>
    <definedName name="solver_neg" localSheetId="3" hidden="1">1</definedName>
    <definedName name="solver_nod" localSheetId="12" hidden="1">2147483647</definedName>
    <definedName name="solver_num" localSheetId="8" hidden="1">0</definedName>
    <definedName name="solver_num" localSheetId="12" hidden="1">40</definedName>
    <definedName name="solver_num" localSheetId="3" hidden="1">0</definedName>
    <definedName name="solver_nwt" localSheetId="12" hidden="1">1</definedName>
    <definedName name="solver_opt" localSheetId="8" hidden="1">'Income from 30-64'!$B$2</definedName>
    <definedName name="solver_opt" localSheetId="12" hidden="1">salaryParameters!$H$8</definedName>
    <definedName name="solver_opt" localSheetId="3" hidden="1">'t4_Income from 30-64'!$B$2</definedName>
    <definedName name="solver_pre" localSheetId="12" hidden="1">0.000001</definedName>
    <definedName name="solver_rbv" localSheetId="12" hidden="1">1</definedName>
    <definedName name="solver_rel0" localSheetId="12" hidden="1">3</definedName>
    <definedName name="solver_rel1" localSheetId="12" hidden="1">3</definedName>
    <definedName name="solver_rel10" localSheetId="12" hidden="1">1</definedName>
    <definedName name="solver_rel11" localSheetId="12" hidden="1">3</definedName>
    <definedName name="solver_rel12" localSheetId="12" hidden="1">3</definedName>
    <definedName name="solver_rel13" localSheetId="12" hidden="1">1</definedName>
    <definedName name="solver_rel14" localSheetId="12" hidden="1">3</definedName>
    <definedName name="solver_rel15" localSheetId="12" hidden="1">1</definedName>
    <definedName name="solver_rel16" localSheetId="12" hidden="1">3</definedName>
    <definedName name="solver_rel17" localSheetId="12" hidden="1">3</definedName>
    <definedName name="solver_rel18" localSheetId="12" hidden="1">1</definedName>
    <definedName name="solver_rel19" localSheetId="12" hidden="1">1</definedName>
    <definedName name="solver_rel2" localSheetId="12" hidden="1">1</definedName>
    <definedName name="solver_rel20" localSheetId="12" hidden="1">3</definedName>
    <definedName name="solver_rel21" localSheetId="12" hidden="1">3</definedName>
    <definedName name="solver_rel22" localSheetId="12" hidden="1">3</definedName>
    <definedName name="solver_rel23" localSheetId="12" hidden="1">3</definedName>
    <definedName name="solver_rel24" localSheetId="12" hidden="1">3</definedName>
    <definedName name="solver_rel25" localSheetId="12" hidden="1">3</definedName>
    <definedName name="solver_rel26" localSheetId="12" hidden="1">3</definedName>
    <definedName name="solver_rel27" localSheetId="12" hidden="1">3</definedName>
    <definedName name="solver_rel28" localSheetId="12" hidden="1">3</definedName>
    <definedName name="solver_rel29" localSheetId="12" hidden="1">3</definedName>
    <definedName name="solver_rel3" localSheetId="12" hidden="1">1</definedName>
    <definedName name="solver_rel30" localSheetId="12" hidden="1">1</definedName>
    <definedName name="solver_rel31" localSheetId="12" hidden="1">3</definedName>
    <definedName name="solver_rel32" localSheetId="12" hidden="1">3</definedName>
    <definedName name="solver_rel33" localSheetId="12" hidden="1">1</definedName>
    <definedName name="solver_rel34" localSheetId="12" hidden="1">3</definedName>
    <definedName name="solver_rel35" localSheetId="12" hidden="1">3</definedName>
    <definedName name="solver_rel36" localSheetId="12" hidden="1">1</definedName>
    <definedName name="solver_rel37" localSheetId="12" hidden="1">3</definedName>
    <definedName name="solver_rel38" localSheetId="12" hidden="1">3</definedName>
    <definedName name="solver_rel39" localSheetId="12" hidden="1">1</definedName>
    <definedName name="solver_rel4" localSheetId="12" hidden="1">3</definedName>
    <definedName name="solver_rel40" localSheetId="12" hidden="1">1</definedName>
    <definedName name="solver_rel5" localSheetId="12" hidden="1">1</definedName>
    <definedName name="solver_rel6" localSheetId="12" hidden="1">3</definedName>
    <definedName name="solver_rel7" localSheetId="12" hidden="1">1</definedName>
    <definedName name="solver_rel8" localSheetId="12" hidden="1">3</definedName>
    <definedName name="solver_rel9" localSheetId="12" hidden="1">3</definedName>
    <definedName name="solver_rhs0" localSheetId="12" hidden="1">0.001</definedName>
    <definedName name="solver_rhs1" localSheetId="12" hidden="1">0</definedName>
    <definedName name="solver_rhs10" localSheetId="12" hidden="1">0.05</definedName>
    <definedName name="solver_rhs11" localSheetId="12" hidden="1">salaryParameters!$B$5+0.3</definedName>
    <definedName name="solver_rhs12" localSheetId="12" hidden="1">1</definedName>
    <definedName name="solver_rhs13" localSheetId="12" hidden="1">0.035</definedName>
    <definedName name="solver_rhs14" localSheetId="12" hidden="1">0.035</definedName>
    <definedName name="solver_rhs15" localSheetId="12" hidden="1">0.007</definedName>
    <definedName name="solver_rhs16" localSheetId="12" hidden="1">0.007</definedName>
    <definedName name="solver_rhs17" localSheetId="12" hidden="1">0.014</definedName>
    <definedName name="solver_rhs18" localSheetId="12" hidden="1">0.025</definedName>
    <definedName name="solver_rhs19" localSheetId="12" hidden="1">salaryParameters!$E$16-1</definedName>
    <definedName name="solver_rhs2" localSheetId="12" hidden="1">0.022</definedName>
    <definedName name="solver_rhs20" localSheetId="12" hidden="1">1.5</definedName>
    <definedName name="solver_rhs21" localSheetId="12" hidden="1">0.01</definedName>
    <definedName name="solver_rhs22" localSheetId="12" hidden="1">0.002</definedName>
    <definedName name="solver_rhs23" localSheetId="12" hidden="1">0.03</definedName>
    <definedName name="solver_rhs24" localSheetId="12" hidden="1">0.05</definedName>
    <definedName name="solver_rhs25" localSheetId="12" hidden="1">salaryParameters!$E$5+0.5</definedName>
    <definedName name="solver_rhs26" localSheetId="12" hidden="1">1.5</definedName>
    <definedName name="solver_rhs27" localSheetId="12" hidden="1">0.04</definedName>
    <definedName name="solver_rhs28" localSheetId="12" hidden="1">0.001</definedName>
    <definedName name="solver_rhs29" localSheetId="12" hidden="1">0</definedName>
    <definedName name="solver_rhs3" localSheetId="12" hidden="1">salaryParameters!$B$16-0.5</definedName>
    <definedName name="solver_rhs30" localSheetId="12" hidden="1">0.02</definedName>
    <definedName name="solver_rhs31" localSheetId="12" hidden="1">1</definedName>
    <definedName name="solver_rhs32" localSheetId="12" hidden="1">salaryParameters!$H$15+1</definedName>
    <definedName name="solver_rhs33" localSheetId="12" hidden="1">0.008</definedName>
    <definedName name="solver_rhs34" localSheetId="12" hidden="1">0.001</definedName>
    <definedName name="solver_rhs35" localSheetId="12" hidden="1">0.01</definedName>
    <definedName name="solver_rhs36" localSheetId="12" hidden="1">0.038</definedName>
    <definedName name="solver_rhs37" localSheetId="12" hidden="1">salaryParameters!$H$5+0.4</definedName>
    <definedName name="solver_rhs38" localSheetId="12" hidden="1">1.5</definedName>
    <definedName name="solver_rhs39" localSheetId="12" hidden="1">0.028</definedName>
    <definedName name="solver_rhs4" localSheetId="12" hidden="1">2</definedName>
    <definedName name="solver_rhs40" localSheetId="12" hidden="1">0.008</definedName>
    <definedName name="solver_rhs5" localSheetId="12" hidden="1">0.02</definedName>
    <definedName name="solver_rhs6" localSheetId="12" hidden="1">0.005</definedName>
    <definedName name="solver_rhs7" localSheetId="12" hidden="1">0.006</definedName>
    <definedName name="solver_rhs8" localSheetId="12" hidden="1">0.003</definedName>
    <definedName name="solver_rhs9" localSheetId="12" hidden="1">0.02</definedName>
    <definedName name="solver_rlx" localSheetId="12" hidden="1">2</definedName>
    <definedName name="solver_rsd" localSheetId="12" hidden="1">0</definedName>
    <definedName name="solver_scl" localSheetId="12" hidden="1">1</definedName>
    <definedName name="solver_sho" localSheetId="12" hidden="1">2</definedName>
    <definedName name="solver_ssz" localSheetId="12" hidden="1">100</definedName>
    <definedName name="solver_tim" localSheetId="12" hidden="1">2147483647</definedName>
    <definedName name="solver_tol" localSheetId="12" hidden="1">0.01</definedName>
    <definedName name="solver_typ" localSheetId="8" hidden="1">1</definedName>
    <definedName name="solver_typ" localSheetId="12" hidden="1">2</definedName>
    <definedName name="solver_typ" localSheetId="3" hidden="1">1</definedName>
    <definedName name="solver_val" localSheetId="8" hidden="1">0</definedName>
    <definedName name="solver_val" localSheetId="12" hidden="1">0</definedName>
    <definedName name="solver_val" localSheetId="3" hidden="1">0</definedName>
    <definedName name="solver_ver" localSheetId="8" hidden="1">3</definedName>
    <definedName name="solver_ver" localSheetId="12" hidden="1">3</definedName>
    <definedName name="solver_ver" localSheetId="3" hidden="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01" i="22" l="1"/>
  <c r="D5000" i="22"/>
  <c r="D4999" i="22"/>
  <c r="D4998" i="22"/>
  <c r="D4997" i="22"/>
  <c r="D4996" i="22"/>
  <c r="D4995" i="22"/>
  <c r="D4994" i="22"/>
  <c r="D4993" i="22"/>
  <c r="D4992" i="22"/>
  <c r="D4991" i="22"/>
  <c r="D4990" i="22"/>
  <c r="D4989" i="22"/>
  <c r="D4988" i="22"/>
  <c r="D4987" i="22"/>
  <c r="D4986" i="22"/>
  <c r="D4985" i="22"/>
  <c r="D4984" i="22"/>
  <c r="D4983" i="22"/>
  <c r="D4982" i="22"/>
  <c r="D4981" i="22"/>
  <c r="D4980" i="22"/>
  <c r="D4979" i="22"/>
  <c r="D4978" i="22"/>
  <c r="D4977" i="22"/>
  <c r="D4976" i="22"/>
  <c r="D4975" i="22"/>
  <c r="D4974" i="22"/>
  <c r="D4973" i="22"/>
  <c r="D4972" i="22"/>
  <c r="D4971" i="22"/>
  <c r="D4970" i="22"/>
  <c r="D4969" i="22"/>
  <c r="D4968" i="22"/>
  <c r="D4967" i="22"/>
  <c r="D4966" i="22"/>
  <c r="D4965" i="22"/>
  <c r="D4964" i="22"/>
  <c r="D4963" i="22"/>
  <c r="D4962" i="22"/>
  <c r="D4961" i="22"/>
  <c r="D4960" i="22"/>
  <c r="D4959" i="22"/>
  <c r="D4958" i="22"/>
  <c r="D4957" i="22"/>
  <c r="D4956" i="22"/>
  <c r="D4955" i="22"/>
  <c r="D4954" i="22"/>
  <c r="D4953" i="22"/>
  <c r="D4952" i="22"/>
  <c r="D4951" i="22"/>
  <c r="D4950" i="22"/>
  <c r="D4949" i="22"/>
  <c r="D4948" i="22"/>
  <c r="D4947" i="22"/>
  <c r="D4946" i="22"/>
  <c r="D4945" i="22"/>
  <c r="D4944" i="22"/>
  <c r="D4943" i="22"/>
  <c r="D4942" i="22"/>
  <c r="D4941" i="22"/>
  <c r="D4940" i="22"/>
  <c r="D4939" i="22"/>
  <c r="D4938" i="22"/>
  <c r="D4937" i="22"/>
  <c r="D4936" i="22"/>
  <c r="D4935" i="22"/>
  <c r="D4934" i="22"/>
  <c r="D4933" i="22"/>
  <c r="D4932" i="22"/>
  <c r="D4931" i="22"/>
  <c r="D4930" i="22"/>
  <c r="D4929" i="22"/>
  <c r="D4928" i="22"/>
  <c r="D4927" i="22"/>
  <c r="D4926" i="22"/>
  <c r="D4925" i="22"/>
  <c r="D4924" i="22"/>
  <c r="D4923" i="22"/>
  <c r="D4922" i="22"/>
  <c r="D4921" i="22"/>
  <c r="D4920" i="22"/>
  <c r="D4919" i="22"/>
  <c r="D4918" i="22"/>
  <c r="D4917" i="22"/>
  <c r="D4916" i="22"/>
  <c r="D4915" i="22"/>
  <c r="D4914" i="22"/>
  <c r="D4913" i="22"/>
  <c r="D4912" i="22"/>
  <c r="D4911" i="22"/>
  <c r="D4910" i="22"/>
  <c r="D4909" i="22"/>
  <c r="D4908" i="22"/>
  <c r="D4907" i="22"/>
  <c r="D4906" i="22"/>
  <c r="D4905" i="22"/>
  <c r="D4904" i="22"/>
  <c r="D4903" i="22"/>
  <c r="D4902" i="22"/>
  <c r="D4901" i="22"/>
  <c r="D4900" i="22"/>
  <c r="D4899" i="22"/>
  <c r="D4898" i="22"/>
  <c r="D4897" i="22"/>
  <c r="D4896" i="22"/>
  <c r="D4895" i="22"/>
  <c r="D4894" i="22"/>
  <c r="D4893" i="22"/>
  <c r="D4892" i="22"/>
  <c r="D4891" i="22"/>
  <c r="D4890" i="22"/>
  <c r="D4889" i="22"/>
  <c r="D4888" i="22"/>
  <c r="D4887" i="22"/>
  <c r="D4886" i="22"/>
  <c r="D4885" i="22"/>
  <c r="D4884" i="22"/>
  <c r="D4883" i="22"/>
  <c r="D4882" i="22"/>
  <c r="D4881" i="22"/>
  <c r="D4880" i="22"/>
  <c r="D4879" i="22"/>
  <c r="D4878" i="22"/>
  <c r="D4877" i="22"/>
  <c r="D4876" i="22"/>
  <c r="D4875" i="22"/>
  <c r="D4874" i="22"/>
  <c r="D4873" i="22"/>
  <c r="D4872" i="22"/>
  <c r="D4871" i="22"/>
  <c r="D4870" i="22"/>
  <c r="D4869" i="22"/>
  <c r="D4868" i="22"/>
  <c r="D4867" i="22"/>
  <c r="D4866" i="22"/>
  <c r="D4865" i="22"/>
  <c r="D4864" i="22"/>
  <c r="D4863" i="22"/>
  <c r="D4862" i="22"/>
  <c r="D4861" i="22"/>
  <c r="D4860" i="22"/>
  <c r="D4859" i="22"/>
  <c r="D4858" i="22"/>
  <c r="D4857" i="22"/>
  <c r="D4856" i="22"/>
  <c r="D4855" i="22"/>
  <c r="D4854" i="22"/>
  <c r="D4853" i="22"/>
  <c r="D4852" i="22"/>
  <c r="D4851" i="22"/>
  <c r="D4850" i="22"/>
  <c r="D4849" i="22"/>
  <c r="D4848" i="22"/>
  <c r="D4847" i="22"/>
  <c r="D4846" i="22"/>
  <c r="D4845" i="22"/>
  <c r="D4844" i="22"/>
  <c r="D4843" i="22"/>
  <c r="D4842" i="22"/>
  <c r="D4841" i="22"/>
  <c r="D4840" i="22"/>
  <c r="D4839" i="22"/>
  <c r="D4838" i="22"/>
  <c r="D4837" i="22"/>
  <c r="D4836" i="22"/>
  <c r="D4835" i="22"/>
  <c r="D4834" i="22"/>
  <c r="D4833" i="22"/>
  <c r="D4832" i="22"/>
  <c r="D4831" i="22"/>
  <c r="D4830" i="22"/>
  <c r="D4829" i="22"/>
  <c r="D4828" i="22"/>
  <c r="D4827" i="22"/>
  <c r="D4826" i="22"/>
  <c r="D4825" i="22"/>
  <c r="D4824" i="22"/>
  <c r="D4823" i="22"/>
  <c r="D4822" i="22"/>
  <c r="D4821" i="22"/>
  <c r="D4820" i="22"/>
  <c r="D4819" i="22"/>
  <c r="D4818" i="22"/>
  <c r="D4817" i="22"/>
  <c r="D4816" i="22"/>
  <c r="D4815" i="22"/>
  <c r="D4814" i="22"/>
  <c r="D4813" i="22"/>
  <c r="D4812" i="22"/>
  <c r="D4811" i="22"/>
  <c r="D4810" i="22"/>
  <c r="D4809" i="22"/>
  <c r="D4808" i="22"/>
  <c r="D4807" i="22"/>
  <c r="D4806" i="22"/>
  <c r="D4805" i="22"/>
  <c r="D4804" i="22"/>
  <c r="D4803" i="22"/>
  <c r="D4802" i="22"/>
  <c r="D4801" i="22"/>
  <c r="D4800" i="22"/>
  <c r="D4799" i="22"/>
  <c r="D4798" i="22"/>
  <c r="D4797" i="22"/>
  <c r="D4796" i="22"/>
  <c r="D4795" i="22"/>
  <c r="D4794" i="22"/>
  <c r="D4793" i="22"/>
  <c r="D4792" i="22"/>
  <c r="D4791" i="22"/>
  <c r="D4790" i="22"/>
  <c r="D4789" i="22"/>
  <c r="D4788" i="22"/>
  <c r="D4787" i="22"/>
  <c r="D4786" i="22"/>
  <c r="D4785" i="22"/>
  <c r="D4784" i="22"/>
  <c r="D4783" i="22"/>
  <c r="D4782" i="22"/>
  <c r="D4781" i="22"/>
  <c r="D4780" i="22"/>
  <c r="D4779" i="22"/>
  <c r="D4778" i="22"/>
  <c r="D4777" i="22"/>
  <c r="D4776" i="22"/>
  <c r="D4775" i="22"/>
  <c r="D4774" i="22"/>
  <c r="D4773" i="22"/>
  <c r="D4772" i="22"/>
  <c r="D4771" i="22"/>
  <c r="D4770" i="22"/>
  <c r="D4769" i="22"/>
  <c r="D4768" i="22"/>
  <c r="D4767" i="22"/>
  <c r="D4766" i="22"/>
  <c r="D4765" i="22"/>
  <c r="D4764" i="22"/>
  <c r="D4763" i="22"/>
  <c r="D4762" i="22"/>
  <c r="D4761" i="22"/>
  <c r="D4760" i="22"/>
  <c r="D4759" i="22"/>
  <c r="D4758" i="22"/>
  <c r="D4757" i="22"/>
  <c r="D4756" i="22"/>
  <c r="D4755" i="22"/>
  <c r="D4754" i="22"/>
  <c r="D4753" i="22"/>
  <c r="D4752" i="22"/>
  <c r="D4751" i="22"/>
  <c r="D4750" i="22"/>
  <c r="D4749" i="22"/>
  <c r="D4748" i="22"/>
  <c r="D4747" i="22"/>
  <c r="D4746" i="22"/>
  <c r="D4745" i="22"/>
  <c r="D4744" i="22"/>
  <c r="D4743" i="22"/>
  <c r="D4742" i="22"/>
  <c r="D4741" i="22"/>
  <c r="D4740" i="22"/>
  <c r="D4739" i="22"/>
  <c r="D4738" i="22"/>
  <c r="D4737" i="22"/>
  <c r="D4736" i="22"/>
  <c r="D4735" i="22"/>
  <c r="D4734" i="22"/>
  <c r="D4733" i="22"/>
  <c r="D4732" i="22"/>
  <c r="D4731" i="22"/>
  <c r="D4730" i="22"/>
  <c r="D4729" i="22"/>
  <c r="D4728" i="22"/>
  <c r="D4727" i="22"/>
  <c r="D4726" i="22"/>
  <c r="D4725" i="22"/>
  <c r="D4724" i="22"/>
  <c r="D4723" i="22"/>
  <c r="D4722" i="22"/>
  <c r="D4721" i="22"/>
  <c r="D4720" i="22"/>
  <c r="D4719" i="22"/>
  <c r="D4718" i="22"/>
  <c r="D4717" i="22"/>
  <c r="D4716" i="22"/>
  <c r="D4715" i="22"/>
  <c r="D4714" i="22"/>
  <c r="D4713" i="22"/>
  <c r="D4712" i="22"/>
  <c r="D4711" i="22"/>
  <c r="D4710" i="22"/>
  <c r="D4709" i="22"/>
  <c r="D4708" i="22"/>
  <c r="D4707" i="22"/>
  <c r="D4706" i="22"/>
  <c r="D4705" i="22"/>
  <c r="D4704" i="22"/>
  <c r="D4703" i="22"/>
  <c r="D4702" i="22"/>
  <c r="D4701" i="22"/>
  <c r="D4700" i="22"/>
  <c r="D4699" i="22"/>
  <c r="D4698" i="22"/>
  <c r="D4697" i="22"/>
  <c r="D4696" i="22"/>
  <c r="D4695" i="22"/>
  <c r="D4694" i="22"/>
  <c r="D4693" i="22"/>
  <c r="D4692" i="22"/>
  <c r="D4691" i="22"/>
  <c r="D4690" i="22"/>
  <c r="D4689" i="22"/>
  <c r="D4688" i="22"/>
  <c r="D4687" i="22"/>
  <c r="D4686" i="22"/>
  <c r="D4685" i="22"/>
  <c r="D4684" i="22"/>
  <c r="D4683" i="22"/>
  <c r="D4682" i="22"/>
  <c r="D4681" i="22"/>
  <c r="D4680" i="22"/>
  <c r="D4679" i="22"/>
  <c r="D4678" i="22"/>
  <c r="D4677" i="22"/>
  <c r="D4676" i="22"/>
  <c r="D4675" i="22"/>
  <c r="D4674" i="22"/>
  <c r="D4673" i="22"/>
  <c r="D4672" i="22"/>
  <c r="D4671" i="22"/>
  <c r="D4670" i="22"/>
  <c r="D4669" i="22"/>
  <c r="D4668" i="22"/>
  <c r="D4667" i="22"/>
  <c r="D4666" i="22"/>
  <c r="D4665" i="22"/>
  <c r="D4664" i="22"/>
  <c r="D4663" i="22"/>
  <c r="D4662" i="22"/>
  <c r="D4661" i="22"/>
  <c r="D4660" i="22"/>
  <c r="D4659" i="22"/>
  <c r="D4658" i="22"/>
  <c r="D4657" i="22"/>
  <c r="D4656" i="22"/>
  <c r="D4655" i="22"/>
  <c r="D4654" i="22"/>
  <c r="D4653" i="22"/>
  <c r="D4652" i="22"/>
  <c r="D4651" i="22"/>
  <c r="D4650" i="22"/>
  <c r="D4649" i="22"/>
  <c r="D4648" i="22"/>
  <c r="D4647" i="22"/>
  <c r="D4646" i="22"/>
  <c r="D4645" i="22"/>
  <c r="D4644" i="22"/>
  <c r="D4643" i="22"/>
  <c r="D4642" i="22"/>
  <c r="D4641" i="22"/>
  <c r="D4640" i="22"/>
  <c r="D4639" i="22"/>
  <c r="D4638" i="22"/>
  <c r="D4637" i="22"/>
  <c r="D4636" i="22"/>
  <c r="D4635" i="22"/>
  <c r="D4634" i="22"/>
  <c r="D4633" i="22"/>
  <c r="D4632" i="22"/>
  <c r="D4631" i="22"/>
  <c r="D4630" i="22"/>
  <c r="D4629" i="22"/>
  <c r="D4628" i="22"/>
  <c r="D4627" i="22"/>
  <c r="D4626" i="22"/>
  <c r="D4625" i="22"/>
  <c r="D4624" i="22"/>
  <c r="D4623" i="22"/>
  <c r="D4622" i="22"/>
  <c r="D4621" i="22"/>
  <c r="D4620" i="22"/>
  <c r="D4619" i="22"/>
  <c r="D4618" i="22"/>
  <c r="D4617" i="22"/>
  <c r="D4616" i="22"/>
  <c r="D4615" i="22"/>
  <c r="D4614" i="22"/>
  <c r="D4613" i="22"/>
  <c r="D4612" i="22"/>
  <c r="D4611" i="22"/>
  <c r="D4610" i="22"/>
  <c r="D4609" i="22"/>
  <c r="D4608" i="22"/>
  <c r="D4607" i="22"/>
  <c r="D4606" i="22"/>
  <c r="D4605" i="22"/>
  <c r="D4604" i="22"/>
  <c r="D4603" i="22"/>
  <c r="D4602" i="22"/>
  <c r="D4601" i="22"/>
  <c r="D4600" i="22"/>
  <c r="D4599" i="22"/>
  <c r="D4598" i="22"/>
  <c r="D4597" i="22"/>
  <c r="D4596" i="22"/>
  <c r="D4595" i="22"/>
  <c r="D4594" i="22"/>
  <c r="D4593" i="22"/>
  <c r="D4592" i="22"/>
  <c r="D4591" i="22"/>
  <c r="D4590" i="22"/>
  <c r="D4589" i="22"/>
  <c r="D4588" i="22"/>
  <c r="D4587" i="22"/>
  <c r="D4586" i="22"/>
  <c r="D4585" i="22"/>
  <c r="D4584" i="22"/>
  <c r="D4583" i="22"/>
  <c r="D4582" i="22"/>
  <c r="D4581" i="22"/>
  <c r="D4580" i="22"/>
  <c r="D4579" i="22"/>
  <c r="D4578" i="22"/>
  <c r="D4577" i="22"/>
  <c r="D4576" i="22"/>
  <c r="D4575" i="22"/>
  <c r="D4574" i="22"/>
  <c r="D4573" i="22"/>
  <c r="D4572" i="22"/>
  <c r="D4571" i="22"/>
  <c r="D4570" i="22"/>
  <c r="D4569" i="22"/>
  <c r="D4568" i="22"/>
  <c r="D4567" i="22"/>
  <c r="D4566" i="22"/>
  <c r="D4565" i="22"/>
  <c r="D4564" i="22"/>
  <c r="D4563" i="22"/>
  <c r="D4562" i="22"/>
  <c r="D4561" i="22"/>
  <c r="D4560" i="22"/>
  <c r="D4559" i="22"/>
  <c r="D4558" i="22"/>
  <c r="D4557" i="22"/>
  <c r="D4556" i="22"/>
  <c r="D4555" i="22"/>
  <c r="D4554" i="22"/>
  <c r="D4553" i="22"/>
  <c r="D4552" i="22"/>
  <c r="D4551" i="22"/>
  <c r="D4550" i="22"/>
  <c r="D4549" i="22"/>
  <c r="D4548" i="22"/>
  <c r="D4547" i="22"/>
  <c r="D4546" i="22"/>
  <c r="D4545" i="22"/>
  <c r="D4544" i="22"/>
  <c r="D4543" i="22"/>
  <c r="D4542" i="22"/>
  <c r="D4541" i="22"/>
  <c r="D4540" i="22"/>
  <c r="D4539" i="22"/>
  <c r="D4538" i="22"/>
  <c r="D4537" i="22"/>
  <c r="D4536" i="22"/>
  <c r="D4535" i="22"/>
  <c r="D4534" i="22"/>
  <c r="D4533" i="22"/>
  <c r="D4532" i="22"/>
  <c r="D4531" i="22"/>
  <c r="D4530" i="22"/>
  <c r="D4529" i="22"/>
  <c r="D4528" i="22"/>
  <c r="D4527" i="22"/>
  <c r="D4526" i="22"/>
  <c r="D4525" i="22"/>
  <c r="D4524" i="22"/>
  <c r="D4523" i="22"/>
  <c r="D4522" i="22"/>
  <c r="D4521" i="22"/>
  <c r="D4520" i="22"/>
  <c r="D4519" i="22"/>
  <c r="D4518" i="22"/>
  <c r="D4517" i="22"/>
  <c r="D4516" i="22"/>
  <c r="D4515" i="22"/>
  <c r="D4514" i="22"/>
  <c r="D4513" i="22"/>
  <c r="D4512" i="22"/>
  <c r="D4511" i="22"/>
  <c r="D4510" i="22"/>
  <c r="D4509" i="22"/>
  <c r="D4508" i="22"/>
  <c r="D4507" i="22"/>
  <c r="D4506" i="22"/>
  <c r="D4505" i="22"/>
  <c r="D4504" i="22"/>
  <c r="D4503" i="22"/>
  <c r="D4502" i="22"/>
  <c r="D4501" i="22"/>
  <c r="D4500" i="22"/>
  <c r="D4499" i="22"/>
  <c r="D4498" i="22"/>
  <c r="D4497" i="22"/>
  <c r="D4496" i="22"/>
  <c r="D4495" i="22"/>
  <c r="D4494" i="22"/>
  <c r="D4493" i="22"/>
  <c r="D4492" i="22"/>
  <c r="D4491" i="22"/>
  <c r="D4490" i="22"/>
  <c r="D4489" i="22"/>
  <c r="D4488" i="22"/>
  <c r="D4487" i="22"/>
  <c r="D4486" i="22"/>
  <c r="D4485" i="22"/>
  <c r="D4484" i="22"/>
  <c r="D4483" i="22"/>
  <c r="D4482" i="22"/>
  <c r="D4481" i="22"/>
  <c r="D4480" i="22"/>
  <c r="D4479" i="22"/>
  <c r="D4478" i="22"/>
  <c r="D4477" i="22"/>
  <c r="D4476" i="22"/>
  <c r="D4475" i="22"/>
  <c r="D4474" i="22"/>
  <c r="D4473" i="22"/>
  <c r="D4472" i="22"/>
  <c r="D4471" i="22"/>
  <c r="D4470" i="22"/>
  <c r="D4469" i="22"/>
  <c r="D4468" i="22"/>
  <c r="D4467" i="22"/>
  <c r="D4466" i="22"/>
  <c r="D4465" i="22"/>
  <c r="D4464" i="22"/>
  <c r="D4463" i="22"/>
  <c r="D4462" i="22"/>
  <c r="D4461" i="22"/>
  <c r="D4460" i="22"/>
  <c r="D4459" i="22"/>
  <c r="D4458" i="22"/>
  <c r="D4457" i="22"/>
  <c r="D4456" i="22"/>
  <c r="D4455" i="22"/>
  <c r="D4454" i="22"/>
  <c r="D4453" i="22"/>
  <c r="D4452" i="22"/>
  <c r="D4451" i="22"/>
  <c r="D4450" i="22"/>
  <c r="D4449" i="22"/>
  <c r="D4448" i="22"/>
  <c r="D4447" i="22"/>
  <c r="D4446" i="22"/>
  <c r="D4445" i="22"/>
  <c r="D4444" i="22"/>
  <c r="D4443" i="22"/>
  <c r="D4442" i="22"/>
  <c r="D4441" i="22"/>
  <c r="D4440" i="22"/>
  <c r="D4439" i="22"/>
  <c r="D4438" i="22"/>
  <c r="D4437" i="22"/>
  <c r="D4436" i="22"/>
  <c r="D4435" i="22"/>
  <c r="D4434" i="22"/>
  <c r="D4433" i="22"/>
  <c r="D4432" i="22"/>
  <c r="D4431" i="22"/>
  <c r="D4430" i="22"/>
  <c r="D4429" i="22"/>
  <c r="D4428" i="22"/>
  <c r="D4427" i="22"/>
  <c r="D4426" i="22"/>
  <c r="D4425" i="22"/>
  <c r="D4424" i="22"/>
  <c r="D4423" i="22"/>
  <c r="D4422" i="22"/>
  <c r="D4421" i="22"/>
  <c r="D4420" i="22"/>
  <c r="D4419" i="22"/>
  <c r="D4418" i="22"/>
  <c r="D4417" i="22"/>
  <c r="D4416" i="22"/>
  <c r="D4415" i="22"/>
  <c r="D4414" i="22"/>
  <c r="D4413" i="22"/>
  <c r="D4412" i="22"/>
  <c r="D4411" i="22"/>
  <c r="D4410" i="22"/>
  <c r="D4409" i="22"/>
  <c r="D4408" i="22"/>
  <c r="D4407" i="22"/>
  <c r="D4406" i="22"/>
  <c r="D4405" i="22"/>
  <c r="D4404" i="22"/>
  <c r="D4403" i="22"/>
  <c r="D4402" i="22"/>
  <c r="D4401" i="22"/>
  <c r="D4400" i="22"/>
  <c r="D4399" i="22"/>
  <c r="D4398" i="22"/>
  <c r="D4397" i="22"/>
  <c r="D4396" i="22"/>
  <c r="D4395" i="22"/>
  <c r="D4394" i="22"/>
  <c r="D4393" i="22"/>
  <c r="D4392" i="22"/>
  <c r="D4391" i="22"/>
  <c r="D4390" i="22"/>
  <c r="D4389" i="22"/>
  <c r="D4388" i="22"/>
  <c r="D4387" i="22"/>
  <c r="D4386" i="22"/>
  <c r="D4385" i="22"/>
  <c r="D4384" i="22"/>
  <c r="D4383" i="22"/>
  <c r="D4382" i="22"/>
  <c r="D4381" i="22"/>
  <c r="D4380" i="22"/>
  <c r="D4379" i="22"/>
  <c r="D4378" i="22"/>
  <c r="D4377" i="22"/>
  <c r="D4376" i="22"/>
  <c r="D4375" i="22"/>
  <c r="D4374" i="22"/>
  <c r="D4373" i="22"/>
  <c r="D4372" i="22"/>
  <c r="D4371" i="22"/>
  <c r="D4370" i="22"/>
  <c r="D4369" i="22"/>
  <c r="D4368" i="22"/>
  <c r="D4367" i="22"/>
  <c r="D4366" i="22"/>
  <c r="D4365" i="22"/>
  <c r="D4364" i="22"/>
  <c r="D4363" i="22"/>
  <c r="D4362" i="22"/>
  <c r="D4361" i="22"/>
  <c r="D4360" i="22"/>
  <c r="D4359" i="22"/>
  <c r="D4358" i="22"/>
  <c r="D4357" i="22"/>
  <c r="D4356" i="22"/>
  <c r="D4355" i="22"/>
  <c r="D4354" i="22"/>
  <c r="D4353" i="22"/>
  <c r="D4352" i="22"/>
  <c r="D4351" i="22"/>
  <c r="D4350" i="22"/>
  <c r="D4349" i="22"/>
  <c r="D4348" i="22"/>
  <c r="D4347" i="22"/>
  <c r="D4346" i="22"/>
  <c r="D4345" i="22"/>
  <c r="D4344" i="22"/>
  <c r="D4343" i="22"/>
  <c r="D4342" i="22"/>
  <c r="D4341" i="22"/>
  <c r="D4340" i="22"/>
  <c r="D4339" i="22"/>
  <c r="D4338" i="22"/>
  <c r="D4337" i="22"/>
  <c r="D4336" i="22"/>
  <c r="D4335" i="22"/>
  <c r="D4334" i="22"/>
  <c r="D4333" i="22"/>
  <c r="D4332" i="22"/>
  <c r="D4331" i="22"/>
  <c r="D4330" i="22"/>
  <c r="D4329" i="22"/>
  <c r="D4328" i="22"/>
  <c r="D4327" i="22"/>
  <c r="D4326" i="22"/>
  <c r="D4325" i="22"/>
  <c r="D4324" i="22"/>
  <c r="D4323" i="22"/>
  <c r="D4322" i="22"/>
  <c r="D4321" i="22"/>
  <c r="D4320" i="22"/>
  <c r="D4319" i="22"/>
  <c r="D4318" i="22"/>
  <c r="D4317" i="22"/>
  <c r="D4316" i="22"/>
  <c r="D4315" i="22"/>
  <c r="D4314" i="22"/>
  <c r="D4313" i="22"/>
  <c r="D4312" i="22"/>
  <c r="D4311" i="22"/>
  <c r="D4310" i="22"/>
  <c r="D4309" i="22"/>
  <c r="D4308" i="22"/>
  <c r="D4307" i="22"/>
  <c r="D4306" i="22"/>
  <c r="D4305" i="22"/>
  <c r="D4304" i="22"/>
  <c r="D4303" i="22"/>
  <c r="D4302" i="22"/>
  <c r="D4301" i="22"/>
  <c r="D4300" i="22"/>
  <c r="D4299" i="22"/>
  <c r="D4298" i="22"/>
  <c r="D4297" i="22"/>
  <c r="D4296" i="22"/>
  <c r="D4295" i="22"/>
  <c r="D4294" i="22"/>
  <c r="D4293" i="22"/>
  <c r="D4292" i="22"/>
  <c r="D4291" i="22"/>
  <c r="D4290" i="22"/>
  <c r="D4289" i="22"/>
  <c r="D4288" i="22"/>
  <c r="D4287" i="22"/>
  <c r="D4286" i="22"/>
  <c r="D4285" i="22"/>
  <c r="D4284" i="22"/>
  <c r="D4283" i="22"/>
  <c r="D4282" i="22"/>
  <c r="D4281" i="22"/>
  <c r="D4280" i="22"/>
  <c r="D4279" i="22"/>
  <c r="D4278" i="22"/>
  <c r="D4277" i="22"/>
  <c r="D4276" i="22"/>
  <c r="D4275" i="22"/>
  <c r="D4274" i="22"/>
  <c r="D4273" i="22"/>
  <c r="D4272" i="22"/>
  <c r="D4271" i="22"/>
  <c r="D4270" i="22"/>
  <c r="D4269" i="22"/>
  <c r="D4268" i="22"/>
  <c r="D4267" i="22"/>
  <c r="D4266" i="22"/>
  <c r="D4265" i="22"/>
  <c r="D4264" i="22"/>
  <c r="D4263" i="22"/>
  <c r="D4262" i="22"/>
  <c r="D4261" i="22"/>
  <c r="D4260" i="22"/>
  <c r="D4259" i="22"/>
  <c r="D4258" i="22"/>
  <c r="D4257" i="22"/>
  <c r="D4256" i="22"/>
  <c r="D4255" i="22"/>
  <c r="D4254" i="22"/>
  <c r="D4253" i="22"/>
  <c r="D4252" i="22"/>
  <c r="D4251" i="22"/>
  <c r="D4250" i="22"/>
  <c r="D4249" i="22"/>
  <c r="D4248" i="22"/>
  <c r="D4247" i="22"/>
  <c r="D4246" i="22"/>
  <c r="D4245" i="22"/>
  <c r="D4244" i="22"/>
  <c r="D4243" i="22"/>
  <c r="D4242" i="22"/>
  <c r="D4241" i="22"/>
  <c r="D4240" i="22"/>
  <c r="D4239" i="22"/>
  <c r="D4238" i="22"/>
  <c r="D4237" i="22"/>
  <c r="D4236" i="22"/>
  <c r="D4235" i="22"/>
  <c r="D4234" i="22"/>
  <c r="D4233" i="22"/>
  <c r="D4232" i="22"/>
  <c r="D4231" i="22"/>
  <c r="D4230" i="22"/>
  <c r="D4229" i="22"/>
  <c r="D4228" i="22"/>
  <c r="D4227" i="22"/>
  <c r="D4226" i="22"/>
  <c r="D4225" i="22"/>
  <c r="D4224" i="22"/>
  <c r="D4223" i="22"/>
  <c r="D4222" i="22"/>
  <c r="D4221" i="22"/>
  <c r="D4220" i="22"/>
  <c r="D4219" i="22"/>
  <c r="D4218" i="22"/>
  <c r="D4217" i="22"/>
  <c r="D4216" i="22"/>
  <c r="D4215" i="22"/>
  <c r="D4214" i="22"/>
  <c r="D4213" i="22"/>
  <c r="D4212" i="22"/>
  <c r="D4211" i="22"/>
  <c r="D4210" i="22"/>
  <c r="D4209" i="22"/>
  <c r="D4208" i="22"/>
  <c r="D4207" i="22"/>
  <c r="D4206" i="22"/>
  <c r="D4205" i="22"/>
  <c r="D4204" i="22"/>
  <c r="D4203" i="22"/>
  <c r="D4202" i="22"/>
  <c r="D4201" i="22"/>
  <c r="D4200" i="22"/>
  <c r="D4199" i="22"/>
  <c r="D4198" i="22"/>
  <c r="D4197" i="22"/>
  <c r="D4196" i="22"/>
  <c r="D4195" i="22"/>
  <c r="D4194" i="22"/>
  <c r="D4193" i="22"/>
  <c r="D4192" i="22"/>
  <c r="D4191" i="22"/>
  <c r="D4190" i="22"/>
  <c r="D4189" i="22"/>
  <c r="D4188" i="22"/>
  <c r="D4187" i="22"/>
  <c r="D4186" i="22"/>
  <c r="D4185" i="22"/>
  <c r="D4184" i="22"/>
  <c r="D4183" i="22"/>
  <c r="D4182" i="22"/>
  <c r="D4181" i="22"/>
  <c r="D4180" i="22"/>
  <c r="D4179" i="22"/>
  <c r="D4178" i="22"/>
  <c r="D4177" i="22"/>
  <c r="D4176" i="22"/>
  <c r="D4175" i="22"/>
  <c r="D4174" i="22"/>
  <c r="D4173" i="22"/>
  <c r="D4172" i="22"/>
  <c r="D4171" i="22"/>
  <c r="D4170" i="22"/>
  <c r="D4169" i="22"/>
  <c r="D4168" i="22"/>
  <c r="D4167" i="22"/>
  <c r="D4166" i="22"/>
  <c r="D4165" i="22"/>
  <c r="D4164" i="22"/>
  <c r="D4163" i="22"/>
  <c r="D4162" i="22"/>
  <c r="D4161" i="22"/>
  <c r="D4160" i="22"/>
  <c r="D4159" i="22"/>
  <c r="D4158" i="22"/>
  <c r="D4157" i="22"/>
  <c r="D4156" i="22"/>
  <c r="D4155" i="22"/>
  <c r="D4154" i="22"/>
  <c r="D4153" i="22"/>
  <c r="D4152" i="22"/>
  <c r="D4151" i="22"/>
  <c r="D4150" i="22"/>
  <c r="D4149" i="22"/>
  <c r="D4148" i="22"/>
  <c r="D4147" i="22"/>
  <c r="D4146" i="22"/>
  <c r="D4145" i="22"/>
  <c r="D4144" i="22"/>
  <c r="D4143" i="22"/>
  <c r="D4142" i="22"/>
  <c r="D4141" i="22"/>
  <c r="D4140" i="22"/>
  <c r="D4139" i="22"/>
  <c r="D4138" i="22"/>
  <c r="D4137" i="22"/>
  <c r="D4136" i="22"/>
  <c r="D4135" i="22"/>
  <c r="D4134" i="22"/>
  <c r="D4133" i="22"/>
  <c r="D4132" i="22"/>
  <c r="D4131" i="22"/>
  <c r="D4130" i="22"/>
  <c r="D4129" i="22"/>
  <c r="D4128" i="22"/>
  <c r="D4127" i="22"/>
  <c r="D4126" i="22"/>
  <c r="D4125" i="22"/>
  <c r="D4124" i="22"/>
  <c r="D4123" i="22"/>
  <c r="D4122" i="22"/>
  <c r="D4121" i="22"/>
  <c r="D4120" i="22"/>
  <c r="D4119" i="22"/>
  <c r="D4118" i="22"/>
  <c r="D4117" i="22"/>
  <c r="D4116" i="22"/>
  <c r="D4115" i="22"/>
  <c r="D4114" i="22"/>
  <c r="D4113" i="22"/>
  <c r="D4112" i="22"/>
  <c r="D4111" i="22"/>
  <c r="D4110" i="22"/>
  <c r="D4109" i="22"/>
  <c r="D4108" i="22"/>
  <c r="D4107" i="22"/>
  <c r="D4106" i="22"/>
  <c r="D4105" i="22"/>
  <c r="D4104" i="22"/>
  <c r="D4103" i="22"/>
  <c r="D4102" i="22"/>
  <c r="D4101" i="22"/>
  <c r="D4100" i="22"/>
  <c r="D4099" i="22"/>
  <c r="D4098" i="22"/>
  <c r="D4097" i="22"/>
  <c r="D4096" i="22"/>
  <c r="D4095" i="22"/>
  <c r="D4094" i="22"/>
  <c r="D4093" i="22"/>
  <c r="D4092" i="22"/>
  <c r="D4091" i="22"/>
  <c r="D4090" i="22"/>
  <c r="D4089" i="22"/>
  <c r="D4088" i="22"/>
  <c r="D4087" i="22"/>
  <c r="D4086" i="22"/>
  <c r="D4085" i="22"/>
  <c r="D4084" i="22"/>
  <c r="D4083" i="22"/>
  <c r="D4082" i="22"/>
  <c r="D4081" i="22"/>
  <c r="D4080" i="22"/>
  <c r="D4079" i="22"/>
  <c r="D4078" i="22"/>
  <c r="D4077" i="22"/>
  <c r="D4076" i="22"/>
  <c r="D4075" i="22"/>
  <c r="D4074" i="22"/>
  <c r="D4073" i="22"/>
  <c r="D4072" i="22"/>
  <c r="D4071" i="22"/>
  <c r="D4070" i="22"/>
  <c r="D4069" i="22"/>
  <c r="D4068" i="22"/>
  <c r="D4067" i="22"/>
  <c r="D4066" i="22"/>
  <c r="D4065" i="22"/>
  <c r="D4064" i="22"/>
  <c r="D4063" i="22"/>
  <c r="D4062" i="22"/>
  <c r="D4061" i="22"/>
  <c r="D4060" i="22"/>
  <c r="D4059" i="22"/>
  <c r="D4058" i="22"/>
  <c r="D4057" i="22"/>
  <c r="D4056" i="22"/>
  <c r="D4055" i="22"/>
  <c r="D4054" i="22"/>
  <c r="D4053" i="22"/>
  <c r="D4052" i="22"/>
  <c r="D4051" i="22"/>
  <c r="D4050" i="22"/>
  <c r="D4049" i="22"/>
  <c r="D4048" i="22"/>
  <c r="D4047" i="22"/>
  <c r="D4046" i="22"/>
  <c r="D4045" i="22"/>
  <c r="D4044" i="22"/>
  <c r="D4043" i="22"/>
  <c r="D4042" i="22"/>
  <c r="D4041" i="22"/>
  <c r="D4040" i="22"/>
  <c r="D4039" i="22"/>
  <c r="D4038" i="22"/>
  <c r="D4037" i="22"/>
  <c r="D4036" i="22"/>
  <c r="D4035" i="22"/>
  <c r="D4034" i="22"/>
  <c r="D4033" i="22"/>
  <c r="D4032" i="22"/>
  <c r="D4031" i="22"/>
  <c r="D4030" i="22"/>
  <c r="D4029" i="22"/>
  <c r="D4028" i="22"/>
  <c r="D4027" i="22"/>
  <c r="D4026" i="22"/>
  <c r="D4025" i="22"/>
  <c r="D4024" i="22"/>
  <c r="D4023" i="22"/>
  <c r="D4022" i="22"/>
  <c r="D4021" i="22"/>
  <c r="D4020" i="22"/>
  <c r="D4019" i="22"/>
  <c r="D4018" i="22"/>
  <c r="D4017" i="22"/>
  <c r="D4016" i="22"/>
  <c r="D4015" i="22"/>
  <c r="D4014" i="22"/>
  <c r="D4013" i="22"/>
  <c r="D4012" i="22"/>
  <c r="D4011" i="22"/>
  <c r="D4010" i="22"/>
  <c r="D4009" i="22"/>
  <c r="D4008" i="22"/>
  <c r="D4007" i="22"/>
  <c r="D4006" i="22"/>
  <c r="D4005" i="22"/>
  <c r="D4004" i="22"/>
  <c r="D4003" i="22"/>
  <c r="D4002" i="22"/>
  <c r="D4001" i="22"/>
  <c r="D4000" i="22"/>
  <c r="D3999" i="22"/>
  <c r="D3998" i="22"/>
  <c r="D3997" i="22"/>
  <c r="D3996" i="22"/>
  <c r="D3995" i="22"/>
  <c r="D3994" i="22"/>
  <c r="D3993" i="22"/>
  <c r="D3992" i="22"/>
  <c r="D3991" i="22"/>
  <c r="D3990" i="22"/>
  <c r="D3989" i="22"/>
  <c r="D3988" i="22"/>
  <c r="D3987" i="22"/>
  <c r="D3986" i="22"/>
  <c r="D3985" i="22"/>
  <c r="D3984" i="22"/>
  <c r="D3983" i="22"/>
  <c r="D3982" i="22"/>
  <c r="D3981" i="22"/>
  <c r="D3980" i="22"/>
  <c r="D3979" i="22"/>
  <c r="D3978" i="22"/>
  <c r="D3977" i="22"/>
  <c r="D3976" i="22"/>
  <c r="D3975" i="22"/>
  <c r="D3974" i="22"/>
  <c r="D3973" i="22"/>
  <c r="D3972" i="22"/>
  <c r="D3971" i="22"/>
  <c r="D3970" i="22"/>
  <c r="D3969" i="22"/>
  <c r="D3968" i="22"/>
  <c r="D3967" i="22"/>
  <c r="D3966" i="22"/>
  <c r="D3965" i="22"/>
  <c r="D3964" i="22"/>
  <c r="D3963" i="22"/>
  <c r="D3962" i="22"/>
  <c r="D3961" i="22"/>
  <c r="D3960" i="22"/>
  <c r="D3959" i="22"/>
  <c r="D3958" i="22"/>
  <c r="D3957" i="22"/>
  <c r="D3956" i="22"/>
  <c r="D3955" i="22"/>
  <c r="D3954" i="22"/>
  <c r="D3953" i="22"/>
  <c r="D3952" i="22"/>
  <c r="D3951" i="22"/>
  <c r="D3950" i="22"/>
  <c r="D3949" i="22"/>
  <c r="D3948" i="22"/>
  <c r="D3947" i="22"/>
  <c r="D3946" i="22"/>
  <c r="D3945" i="22"/>
  <c r="D3944" i="22"/>
  <c r="D3943" i="22"/>
  <c r="D3942" i="22"/>
  <c r="D3941" i="22"/>
  <c r="D3940" i="22"/>
  <c r="D3939" i="22"/>
  <c r="D3938" i="22"/>
  <c r="D3937" i="22"/>
  <c r="D3936" i="22"/>
  <c r="D3935" i="22"/>
  <c r="D3934" i="22"/>
  <c r="D3933" i="22"/>
  <c r="D3932" i="22"/>
  <c r="D3931" i="22"/>
  <c r="D3930" i="22"/>
  <c r="D3929" i="22"/>
  <c r="D3928" i="22"/>
  <c r="D3927" i="22"/>
  <c r="D3926" i="22"/>
  <c r="D3925" i="22"/>
  <c r="D3924" i="22"/>
  <c r="D3923" i="22"/>
  <c r="D3922" i="22"/>
  <c r="D3921" i="22"/>
  <c r="D3920" i="22"/>
  <c r="D3919" i="22"/>
  <c r="D3918" i="22"/>
  <c r="D3917" i="22"/>
  <c r="D3916" i="22"/>
  <c r="D3915" i="22"/>
  <c r="D3914" i="22"/>
  <c r="D3913" i="22"/>
  <c r="D3912" i="22"/>
  <c r="D3911" i="22"/>
  <c r="D3910" i="22"/>
  <c r="D3909" i="22"/>
  <c r="D3908" i="22"/>
  <c r="D3907" i="22"/>
  <c r="D3906" i="22"/>
  <c r="D3905" i="22"/>
  <c r="D3904" i="22"/>
  <c r="D3903" i="22"/>
  <c r="D3902" i="22"/>
  <c r="D3901" i="22"/>
  <c r="D3900" i="22"/>
  <c r="D3899" i="22"/>
  <c r="D3898" i="22"/>
  <c r="D3897" i="22"/>
  <c r="D3896" i="22"/>
  <c r="D3895" i="22"/>
  <c r="D3894" i="22"/>
  <c r="D3893" i="22"/>
  <c r="D3892" i="22"/>
  <c r="D3891" i="22"/>
  <c r="D3890" i="22"/>
  <c r="D3889" i="22"/>
  <c r="D3888" i="22"/>
  <c r="D3887" i="22"/>
  <c r="D3886" i="22"/>
  <c r="D3885" i="22"/>
  <c r="D3884" i="22"/>
  <c r="D3883" i="22"/>
  <c r="D3882" i="22"/>
  <c r="D3881" i="22"/>
  <c r="D3880" i="22"/>
  <c r="D3879" i="22"/>
  <c r="D3878" i="22"/>
  <c r="D3877" i="22"/>
  <c r="D3876" i="22"/>
  <c r="D3875" i="22"/>
  <c r="D3874" i="22"/>
  <c r="D3873" i="22"/>
  <c r="D3872" i="22"/>
  <c r="D3871" i="22"/>
  <c r="D3870" i="22"/>
  <c r="D3869" i="22"/>
  <c r="D3868" i="22"/>
  <c r="D3867" i="22"/>
  <c r="D3866" i="22"/>
  <c r="D3865" i="22"/>
  <c r="D3864" i="22"/>
  <c r="D3863" i="22"/>
  <c r="D3862" i="22"/>
  <c r="D3861" i="22"/>
  <c r="D3860" i="22"/>
  <c r="D3859" i="22"/>
  <c r="D3858" i="22"/>
  <c r="D3857" i="22"/>
  <c r="D3856" i="22"/>
  <c r="D3855" i="22"/>
  <c r="D3854" i="22"/>
  <c r="D3853" i="22"/>
  <c r="D3852" i="22"/>
  <c r="D3851" i="22"/>
  <c r="D3850" i="22"/>
  <c r="D3849" i="22"/>
  <c r="D3848" i="22"/>
  <c r="D3847" i="22"/>
  <c r="D3846" i="22"/>
  <c r="D3845" i="22"/>
  <c r="D3844" i="22"/>
  <c r="D3843" i="22"/>
  <c r="D3842" i="22"/>
  <c r="D3841" i="22"/>
  <c r="D3840" i="22"/>
  <c r="D3839" i="22"/>
  <c r="D3838" i="22"/>
  <c r="D3837" i="22"/>
  <c r="D3836" i="22"/>
  <c r="D3835" i="22"/>
  <c r="D3834" i="22"/>
  <c r="D3833" i="22"/>
  <c r="D3832" i="22"/>
  <c r="D3831" i="22"/>
  <c r="D3830" i="22"/>
  <c r="D3829" i="22"/>
  <c r="D3828" i="22"/>
  <c r="D3827" i="22"/>
  <c r="D3826" i="22"/>
  <c r="D3825" i="22"/>
  <c r="D3824" i="22"/>
  <c r="D3823" i="22"/>
  <c r="D3822" i="22"/>
  <c r="D3821" i="22"/>
  <c r="D3820" i="22"/>
  <c r="D3819" i="22"/>
  <c r="D3818" i="22"/>
  <c r="D3817" i="22"/>
  <c r="D3816" i="22"/>
  <c r="D3815" i="22"/>
  <c r="D3814" i="22"/>
  <c r="D3813" i="22"/>
  <c r="D3812" i="22"/>
  <c r="D3811" i="22"/>
  <c r="D3810" i="22"/>
  <c r="D3809" i="22"/>
  <c r="D3808" i="22"/>
  <c r="D3807" i="22"/>
  <c r="D3806" i="22"/>
  <c r="D3805" i="22"/>
  <c r="D3804" i="22"/>
  <c r="D3803" i="22"/>
  <c r="D3802" i="22"/>
  <c r="D3801" i="22"/>
  <c r="D3800" i="22"/>
  <c r="D3799" i="22"/>
  <c r="D3798" i="22"/>
  <c r="D3797" i="22"/>
  <c r="D3796" i="22"/>
  <c r="D3795" i="22"/>
  <c r="D3794" i="22"/>
  <c r="D3793" i="22"/>
  <c r="D3792" i="22"/>
  <c r="D3791" i="22"/>
  <c r="D3790" i="22"/>
  <c r="D3789" i="22"/>
  <c r="D3788" i="22"/>
  <c r="D3787" i="22"/>
  <c r="D3786" i="22"/>
  <c r="D3785" i="22"/>
  <c r="D3784" i="22"/>
  <c r="D3783" i="22"/>
  <c r="D3782" i="22"/>
  <c r="D3781" i="22"/>
  <c r="D3780" i="22"/>
  <c r="D3779" i="22"/>
  <c r="D3778" i="22"/>
  <c r="D3777" i="22"/>
  <c r="D3776" i="22"/>
  <c r="D3775" i="22"/>
  <c r="D3774" i="22"/>
  <c r="D3773" i="22"/>
  <c r="D3772" i="22"/>
  <c r="D3771" i="22"/>
  <c r="D3770" i="22"/>
  <c r="D3769" i="22"/>
  <c r="D3768" i="22"/>
  <c r="D3767" i="22"/>
  <c r="D3766" i="22"/>
  <c r="D3765" i="22"/>
  <c r="D3764" i="22"/>
  <c r="D3763" i="22"/>
  <c r="D3762" i="22"/>
  <c r="D3761" i="22"/>
  <c r="D3760" i="22"/>
  <c r="D3759" i="22"/>
  <c r="D3758" i="22"/>
  <c r="D3757" i="22"/>
  <c r="D3756" i="22"/>
  <c r="D3755" i="22"/>
  <c r="D3754" i="22"/>
  <c r="D3753" i="22"/>
  <c r="D3752" i="22"/>
  <c r="D3751" i="22"/>
  <c r="D3750" i="22"/>
  <c r="D3749" i="22"/>
  <c r="D3748" i="22"/>
  <c r="D3747" i="22"/>
  <c r="D3746" i="22"/>
  <c r="D3745" i="22"/>
  <c r="D3744" i="22"/>
  <c r="D3743" i="22"/>
  <c r="D3742" i="22"/>
  <c r="D3741" i="22"/>
  <c r="D3740" i="22"/>
  <c r="D3739" i="22"/>
  <c r="D3738" i="22"/>
  <c r="D3737" i="22"/>
  <c r="D3736" i="22"/>
  <c r="D3735" i="22"/>
  <c r="D3734" i="22"/>
  <c r="D3733" i="22"/>
  <c r="D3732" i="22"/>
  <c r="D3731" i="22"/>
  <c r="D3730" i="22"/>
  <c r="D3729" i="22"/>
  <c r="D3728" i="22"/>
  <c r="D3727" i="22"/>
  <c r="D3726" i="22"/>
  <c r="D3725" i="22"/>
  <c r="D3724" i="22"/>
  <c r="D3723" i="22"/>
  <c r="D3722" i="22"/>
  <c r="D3721" i="22"/>
  <c r="D3720" i="22"/>
  <c r="D3719" i="22"/>
  <c r="D3718" i="22"/>
  <c r="D3717" i="22"/>
  <c r="D3716" i="22"/>
  <c r="D3715" i="22"/>
  <c r="D3714" i="22"/>
  <c r="D3713" i="22"/>
  <c r="D3712" i="22"/>
  <c r="D3711" i="22"/>
  <c r="D3710" i="22"/>
  <c r="D3709" i="22"/>
  <c r="D3708" i="22"/>
  <c r="D3707" i="22"/>
  <c r="D3706" i="22"/>
  <c r="D3705" i="22"/>
  <c r="D3704" i="22"/>
  <c r="D3703" i="22"/>
  <c r="D3702" i="22"/>
  <c r="D3701" i="22"/>
  <c r="D3700" i="22"/>
  <c r="D3699" i="22"/>
  <c r="D3698" i="22"/>
  <c r="D3697" i="22"/>
  <c r="D3696" i="22"/>
  <c r="D3695" i="22"/>
  <c r="D3694" i="22"/>
  <c r="D3693" i="22"/>
  <c r="D3692" i="22"/>
  <c r="D3691" i="22"/>
  <c r="D3690" i="22"/>
  <c r="D3689" i="22"/>
  <c r="D3688" i="22"/>
  <c r="D3687" i="22"/>
  <c r="D3686" i="22"/>
  <c r="D3685" i="22"/>
  <c r="D3684" i="22"/>
  <c r="D3683" i="22"/>
  <c r="D3682" i="22"/>
  <c r="D3681" i="22"/>
  <c r="D3680" i="22"/>
  <c r="D3679" i="22"/>
  <c r="D3678" i="22"/>
  <c r="D3677" i="22"/>
  <c r="D3676" i="22"/>
  <c r="D3675" i="22"/>
  <c r="D3674" i="22"/>
  <c r="D3673" i="22"/>
  <c r="D3672" i="22"/>
  <c r="D3671" i="22"/>
  <c r="D3670" i="22"/>
  <c r="D3669" i="22"/>
  <c r="D3668" i="22"/>
  <c r="D3667" i="22"/>
  <c r="D3666" i="22"/>
  <c r="D3665" i="22"/>
  <c r="D3664" i="22"/>
  <c r="D3663" i="22"/>
  <c r="D3662" i="22"/>
  <c r="D3661" i="22"/>
  <c r="D3660" i="22"/>
  <c r="D3659" i="22"/>
  <c r="D3658" i="22"/>
  <c r="D3657" i="22"/>
  <c r="D3656" i="22"/>
  <c r="D3655" i="22"/>
  <c r="D3654" i="22"/>
  <c r="D3653" i="22"/>
  <c r="D3652" i="22"/>
  <c r="D3651" i="22"/>
  <c r="D3650" i="22"/>
  <c r="D3649" i="22"/>
  <c r="D3648" i="22"/>
  <c r="D3647" i="22"/>
  <c r="D3646" i="22"/>
  <c r="D3645" i="22"/>
  <c r="D3644" i="22"/>
  <c r="D3643" i="22"/>
  <c r="D3642" i="22"/>
  <c r="D3641" i="22"/>
  <c r="D3640" i="22"/>
  <c r="D3639" i="22"/>
  <c r="D3638" i="22"/>
  <c r="D3637" i="22"/>
  <c r="D3636" i="22"/>
  <c r="D3635" i="22"/>
  <c r="D3634" i="22"/>
  <c r="D3633" i="22"/>
  <c r="D3632" i="22"/>
  <c r="D3631" i="22"/>
  <c r="D3630" i="22"/>
  <c r="D3629" i="22"/>
  <c r="D3628" i="22"/>
  <c r="D3627" i="22"/>
  <c r="D3626" i="22"/>
  <c r="D3625" i="22"/>
  <c r="D3624" i="22"/>
  <c r="D3623" i="22"/>
  <c r="D3622" i="22"/>
  <c r="D3621" i="22"/>
  <c r="D3620" i="22"/>
  <c r="D3619" i="22"/>
  <c r="D3618" i="22"/>
  <c r="D3617" i="22"/>
  <c r="D3616" i="22"/>
  <c r="D3615" i="22"/>
  <c r="D3614" i="22"/>
  <c r="D3613" i="22"/>
  <c r="D3612" i="22"/>
  <c r="D3611" i="22"/>
  <c r="D3610" i="22"/>
  <c r="D3609" i="22"/>
  <c r="D3608" i="22"/>
  <c r="D3607" i="22"/>
  <c r="D3606" i="22"/>
  <c r="D3605" i="22"/>
  <c r="D3604" i="22"/>
  <c r="D3603" i="22"/>
  <c r="D3602" i="22"/>
  <c r="D3601" i="22"/>
  <c r="D3600" i="22"/>
  <c r="D3599" i="22"/>
  <c r="D3598" i="22"/>
  <c r="D3597" i="22"/>
  <c r="D3596" i="22"/>
  <c r="D3595" i="22"/>
  <c r="D3594" i="22"/>
  <c r="D3593" i="22"/>
  <c r="D3592" i="22"/>
  <c r="D3591" i="22"/>
  <c r="D3590" i="22"/>
  <c r="D3589" i="22"/>
  <c r="D3588" i="22"/>
  <c r="D3587" i="22"/>
  <c r="D3586" i="22"/>
  <c r="D3585" i="22"/>
  <c r="D3584" i="22"/>
  <c r="D3583" i="22"/>
  <c r="D3582" i="22"/>
  <c r="D3581" i="22"/>
  <c r="D3580" i="22"/>
  <c r="D3579" i="22"/>
  <c r="D3578" i="22"/>
  <c r="D3577" i="22"/>
  <c r="D3576" i="22"/>
  <c r="D3575" i="22"/>
  <c r="D3574" i="22"/>
  <c r="D3573" i="22"/>
  <c r="D3572" i="22"/>
  <c r="D3571" i="22"/>
  <c r="D3570" i="22"/>
  <c r="D3569" i="22"/>
  <c r="D3568" i="22"/>
  <c r="D3567" i="22"/>
  <c r="D3566" i="22"/>
  <c r="D3565" i="22"/>
  <c r="D3564" i="22"/>
  <c r="D3563" i="22"/>
  <c r="D3562" i="22"/>
  <c r="D3561" i="22"/>
  <c r="D3560" i="22"/>
  <c r="D3559" i="22"/>
  <c r="D3558" i="22"/>
  <c r="D3557" i="22"/>
  <c r="D3556" i="22"/>
  <c r="D3555" i="22"/>
  <c r="D3554" i="22"/>
  <c r="D3553" i="22"/>
  <c r="D3552" i="22"/>
  <c r="D3551" i="22"/>
  <c r="D3550" i="22"/>
  <c r="D3549" i="22"/>
  <c r="D3548" i="22"/>
  <c r="D3547" i="22"/>
  <c r="D3546" i="22"/>
  <c r="D3545" i="22"/>
  <c r="D3544" i="22"/>
  <c r="D3543" i="22"/>
  <c r="D3542" i="22"/>
  <c r="D3541" i="22"/>
  <c r="D3540" i="22"/>
  <c r="D3539" i="22"/>
  <c r="D3538" i="22"/>
  <c r="D3537" i="22"/>
  <c r="D3536" i="22"/>
  <c r="D3535" i="22"/>
  <c r="D3534" i="22"/>
  <c r="D3533" i="22"/>
  <c r="D3532" i="22"/>
  <c r="D3531" i="22"/>
  <c r="D3530" i="22"/>
  <c r="D3529" i="22"/>
  <c r="D3528" i="22"/>
  <c r="D3527" i="22"/>
  <c r="D3526" i="22"/>
  <c r="D3525" i="22"/>
  <c r="D3524" i="22"/>
  <c r="D3523" i="22"/>
  <c r="D3522" i="22"/>
  <c r="D3521" i="22"/>
  <c r="D3520" i="22"/>
  <c r="D3519" i="22"/>
  <c r="D3518" i="22"/>
  <c r="D3517" i="22"/>
  <c r="D3516" i="22"/>
  <c r="D3515" i="22"/>
  <c r="D3514" i="22"/>
  <c r="D3513" i="22"/>
  <c r="D3512" i="22"/>
  <c r="D3511" i="22"/>
  <c r="D3510" i="22"/>
  <c r="D3509" i="22"/>
  <c r="D3508" i="22"/>
  <c r="D3507" i="22"/>
  <c r="D3506" i="22"/>
  <c r="D3505" i="22"/>
  <c r="D3504" i="22"/>
  <c r="D3503" i="22"/>
  <c r="D3502" i="22"/>
  <c r="D3501" i="22"/>
  <c r="D3500" i="22"/>
  <c r="D3499" i="22"/>
  <c r="D3498" i="22"/>
  <c r="D3497" i="22"/>
  <c r="D3496" i="22"/>
  <c r="D3495" i="22"/>
  <c r="D3494" i="22"/>
  <c r="D3493" i="22"/>
  <c r="D3492" i="22"/>
  <c r="D3491" i="22"/>
  <c r="D3490" i="22"/>
  <c r="D3489" i="22"/>
  <c r="D3488" i="22"/>
  <c r="D3487" i="22"/>
  <c r="D3486" i="22"/>
  <c r="D3485" i="22"/>
  <c r="D3484" i="22"/>
  <c r="D3483" i="22"/>
  <c r="D3482" i="22"/>
  <c r="D3481" i="22"/>
  <c r="D3480" i="22"/>
  <c r="D3479" i="22"/>
  <c r="D3478" i="22"/>
  <c r="D3477" i="22"/>
  <c r="D3476" i="22"/>
  <c r="D3475" i="22"/>
  <c r="D3474" i="22"/>
  <c r="D3473" i="22"/>
  <c r="D3472" i="22"/>
  <c r="D3471" i="22"/>
  <c r="D3470" i="22"/>
  <c r="D3469" i="22"/>
  <c r="D3468" i="22"/>
  <c r="D3467" i="22"/>
  <c r="D3466" i="22"/>
  <c r="D3465" i="22"/>
  <c r="D3464" i="22"/>
  <c r="D3463" i="22"/>
  <c r="D3462" i="22"/>
  <c r="D3461" i="22"/>
  <c r="D3460" i="22"/>
  <c r="D3459" i="22"/>
  <c r="D3458" i="22"/>
  <c r="D3457" i="22"/>
  <c r="D3456" i="22"/>
  <c r="D3455" i="22"/>
  <c r="D3454" i="22"/>
  <c r="D3453" i="22"/>
  <c r="D3452" i="22"/>
  <c r="D3451" i="22"/>
  <c r="D3450" i="22"/>
  <c r="D3449" i="22"/>
  <c r="D3448" i="22"/>
  <c r="D3447" i="22"/>
  <c r="D3446" i="22"/>
  <c r="D3445" i="22"/>
  <c r="D3444" i="22"/>
  <c r="D3443" i="22"/>
  <c r="D3442" i="22"/>
  <c r="D3441" i="22"/>
  <c r="D3440" i="22"/>
  <c r="D3439" i="22"/>
  <c r="D3438" i="22"/>
  <c r="D3437" i="22"/>
  <c r="D3436" i="22"/>
  <c r="D3435" i="22"/>
  <c r="D3434" i="22"/>
  <c r="D3433" i="22"/>
  <c r="D3432" i="22"/>
  <c r="D3431" i="22"/>
  <c r="D3430" i="22"/>
  <c r="D3429" i="22"/>
  <c r="D3428" i="22"/>
  <c r="D3427" i="22"/>
  <c r="D3426" i="22"/>
  <c r="D3425" i="22"/>
  <c r="D3424" i="22"/>
  <c r="D3423" i="22"/>
  <c r="D3422" i="22"/>
  <c r="D3421" i="22"/>
  <c r="D3420" i="22"/>
  <c r="D3419" i="22"/>
  <c r="D3418" i="22"/>
  <c r="D3417" i="22"/>
  <c r="D3416" i="22"/>
  <c r="D3415" i="22"/>
  <c r="D3414" i="22"/>
  <c r="D3413" i="22"/>
  <c r="D3412" i="22"/>
  <c r="D3411" i="22"/>
  <c r="D3410" i="22"/>
  <c r="D3409" i="22"/>
  <c r="D3408" i="22"/>
  <c r="D3407" i="22"/>
  <c r="D3406" i="22"/>
  <c r="D3405" i="22"/>
  <c r="D3404" i="22"/>
  <c r="D3403" i="22"/>
  <c r="D3402" i="22"/>
  <c r="D3401" i="22"/>
  <c r="D3400" i="22"/>
  <c r="D3399" i="22"/>
  <c r="D3398" i="22"/>
  <c r="D3397" i="22"/>
  <c r="D3396" i="22"/>
  <c r="D3395" i="22"/>
  <c r="D3394" i="22"/>
  <c r="D3393" i="22"/>
  <c r="D3392" i="22"/>
  <c r="D3391" i="22"/>
  <c r="D3390" i="22"/>
  <c r="D3389" i="22"/>
  <c r="D3388" i="22"/>
  <c r="D3387" i="22"/>
  <c r="D3386" i="22"/>
  <c r="D3385" i="22"/>
  <c r="D3384" i="22"/>
  <c r="D3383" i="22"/>
  <c r="D3382" i="22"/>
  <c r="D3381" i="22"/>
  <c r="D3380" i="22"/>
  <c r="D3379" i="22"/>
  <c r="D3378" i="22"/>
  <c r="D3377" i="22"/>
  <c r="D3376" i="22"/>
  <c r="D3375" i="22"/>
  <c r="D3374" i="22"/>
  <c r="D3373" i="22"/>
  <c r="D3372" i="22"/>
  <c r="D3371" i="22"/>
  <c r="D3370" i="22"/>
  <c r="D3369" i="22"/>
  <c r="D3368" i="22"/>
  <c r="D3367" i="22"/>
  <c r="D3366" i="22"/>
  <c r="D3365" i="22"/>
  <c r="D3364" i="22"/>
  <c r="D3363" i="22"/>
  <c r="D3362" i="22"/>
  <c r="D3361" i="22"/>
  <c r="D3360" i="22"/>
  <c r="D3359" i="22"/>
  <c r="D3358" i="22"/>
  <c r="D3357" i="22"/>
  <c r="D3356" i="22"/>
  <c r="D3355" i="22"/>
  <c r="D3354" i="22"/>
  <c r="D3353" i="22"/>
  <c r="D3352" i="22"/>
  <c r="D3351" i="22"/>
  <c r="D3350" i="22"/>
  <c r="D3349" i="22"/>
  <c r="D3348" i="22"/>
  <c r="D3347" i="22"/>
  <c r="D3346" i="22"/>
  <c r="D3345" i="22"/>
  <c r="D3344" i="22"/>
  <c r="D3343" i="22"/>
  <c r="D3342" i="22"/>
  <c r="D3341" i="22"/>
  <c r="D3340" i="22"/>
  <c r="D3339" i="22"/>
  <c r="D3338" i="22"/>
  <c r="D3337" i="22"/>
  <c r="D3336" i="22"/>
  <c r="D3335" i="22"/>
  <c r="D3334" i="22"/>
  <c r="D3333" i="22"/>
  <c r="D3332" i="22"/>
  <c r="D3331" i="22"/>
  <c r="D3330" i="22"/>
  <c r="D3329" i="22"/>
  <c r="D3328" i="22"/>
  <c r="D3327" i="22"/>
  <c r="D3326" i="22"/>
  <c r="D3325" i="22"/>
  <c r="D3324" i="22"/>
  <c r="D3323" i="22"/>
  <c r="D3322" i="22"/>
  <c r="D3321" i="22"/>
  <c r="D3320" i="22"/>
  <c r="D3319" i="22"/>
  <c r="D3318" i="22"/>
  <c r="D3317" i="22"/>
  <c r="D3316" i="22"/>
  <c r="D3315" i="22"/>
  <c r="D3314" i="22"/>
  <c r="D3313" i="22"/>
  <c r="D3312" i="22"/>
  <c r="D3311" i="22"/>
  <c r="D3310" i="22"/>
  <c r="D3309" i="22"/>
  <c r="D3308" i="22"/>
  <c r="D3307" i="22"/>
  <c r="D3306" i="22"/>
  <c r="D3305" i="22"/>
  <c r="D3304" i="22"/>
  <c r="D3303" i="22"/>
  <c r="D3302" i="22"/>
  <c r="D3301" i="22"/>
  <c r="D3300" i="22"/>
  <c r="D3299" i="22"/>
  <c r="D3298" i="22"/>
  <c r="D3297" i="22"/>
  <c r="D3296" i="22"/>
  <c r="D3295" i="22"/>
  <c r="D3294" i="22"/>
  <c r="D3293" i="22"/>
  <c r="D3292" i="22"/>
  <c r="D3291" i="22"/>
  <c r="D3290" i="22"/>
  <c r="D3289" i="22"/>
  <c r="D3288" i="22"/>
  <c r="D3287" i="22"/>
  <c r="D3286" i="22"/>
  <c r="D3285" i="22"/>
  <c r="D3284" i="22"/>
  <c r="D3283" i="22"/>
  <c r="D3282" i="22"/>
  <c r="D3281" i="22"/>
  <c r="D3280" i="22"/>
  <c r="D3279" i="22"/>
  <c r="D3278" i="22"/>
  <c r="D3277" i="22"/>
  <c r="D3276" i="22"/>
  <c r="D3275" i="22"/>
  <c r="D3274" i="22"/>
  <c r="D3273" i="22"/>
  <c r="D3272" i="22"/>
  <c r="D3271" i="22"/>
  <c r="D3270" i="22"/>
  <c r="D3269" i="22"/>
  <c r="D3268" i="22"/>
  <c r="D3267" i="22"/>
  <c r="D3266" i="22"/>
  <c r="D3265" i="22"/>
  <c r="D3264" i="22"/>
  <c r="D3263" i="22"/>
  <c r="D3262" i="22"/>
  <c r="D3261" i="22"/>
  <c r="D3260" i="22"/>
  <c r="D3259" i="22"/>
  <c r="D3258" i="22"/>
  <c r="D3257" i="22"/>
  <c r="D3256" i="22"/>
  <c r="D3255" i="22"/>
  <c r="D3254" i="22"/>
  <c r="D3253" i="22"/>
  <c r="D3252" i="22"/>
  <c r="D3251" i="22"/>
  <c r="D3250" i="22"/>
  <c r="D3249" i="22"/>
  <c r="D3248" i="22"/>
  <c r="D3247" i="22"/>
  <c r="D3246" i="22"/>
  <c r="D3245" i="22"/>
  <c r="D3244" i="22"/>
  <c r="D3243" i="22"/>
  <c r="D3242" i="22"/>
  <c r="D3241" i="22"/>
  <c r="D3240" i="22"/>
  <c r="D3239" i="22"/>
  <c r="D3238" i="22"/>
  <c r="D3237" i="22"/>
  <c r="D3236" i="22"/>
  <c r="D3235" i="22"/>
  <c r="D3234" i="22"/>
  <c r="D3233" i="22"/>
  <c r="D3232" i="22"/>
  <c r="D3231" i="22"/>
  <c r="D3230" i="22"/>
  <c r="D3229" i="22"/>
  <c r="D3228" i="22"/>
  <c r="D3227" i="22"/>
  <c r="D3226" i="22"/>
  <c r="D3225" i="22"/>
  <c r="D3224" i="22"/>
  <c r="D3223" i="22"/>
  <c r="D3222" i="22"/>
  <c r="D3221" i="22"/>
  <c r="D3220" i="22"/>
  <c r="D3219" i="22"/>
  <c r="D3218" i="22"/>
  <c r="D3217" i="22"/>
  <c r="D3216" i="22"/>
  <c r="D3215" i="22"/>
  <c r="D3214" i="22"/>
  <c r="D3213" i="22"/>
  <c r="D3212" i="22"/>
  <c r="D3211" i="22"/>
  <c r="D3210" i="22"/>
  <c r="D3209" i="22"/>
  <c r="D3208" i="22"/>
  <c r="D3207" i="22"/>
  <c r="D3206" i="22"/>
  <c r="D3205" i="22"/>
  <c r="D3204" i="22"/>
  <c r="D3203" i="22"/>
  <c r="D3202" i="22"/>
  <c r="D3201" i="22"/>
  <c r="D3200" i="22"/>
  <c r="D3199" i="22"/>
  <c r="D3198" i="22"/>
  <c r="D3197" i="22"/>
  <c r="D3196" i="22"/>
  <c r="D3195" i="22"/>
  <c r="D3194" i="22"/>
  <c r="D3193" i="22"/>
  <c r="D3192" i="22"/>
  <c r="D3191" i="22"/>
  <c r="D3190" i="22"/>
  <c r="D3189" i="22"/>
  <c r="D3188" i="22"/>
  <c r="D3187" i="22"/>
  <c r="D3186" i="22"/>
  <c r="D3185" i="22"/>
  <c r="D3184" i="22"/>
  <c r="D3183" i="22"/>
  <c r="D3182" i="22"/>
  <c r="D3181" i="22"/>
  <c r="D3180" i="22"/>
  <c r="D3179" i="22"/>
  <c r="D3178" i="22"/>
  <c r="D3177" i="22"/>
  <c r="D3176" i="22"/>
  <c r="D3175" i="22"/>
  <c r="D3174" i="22"/>
  <c r="D3173" i="22"/>
  <c r="D3172" i="22"/>
  <c r="D3171" i="22"/>
  <c r="D3170" i="22"/>
  <c r="D3169" i="22"/>
  <c r="D3168" i="22"/>
  <c r="D3167" i="22"/>
  <c r="D3166" i="22"/>
  <c r="D3165" i="22"/>
  <c r="D3164" i="22"/>
  <c r="D3163" i="22"/>
  <c r="D3162" i="22"/>
  <c r="D3161" i="22"/>
  <c r="D3160" i="22"/>
  <c r="D3159" i="22"/>
  <c r="D3158" i="22"/>
  <c r="D3157" i="22"/>
  <c r="D3156" i="22"/>
  <c r="D3155" i="22"/>
  <c r="D3154" i="22"/>
  <c r="D3153" i="22"/>
  <c r="D3152" i="22"/>
  <c r="D3151" i="22"/>
  <c r="D3150" i="22"/>
  <c r="D3149" i="22"/>
  <c r="D3148" i="22"/>
  <c r="D3147" i="22"/>
  <c r="D3146" i="22"/>
  <c r="D3145" i="22"/>
  <c r="D3144" i="22"/>
  <c r="D3143" i="22"/>
  <c r="D3142" i="22"/>
  <c r="D3141" i="22"/>
  <c r="D3140" i="22"/>
  <c r="D3139" i="22"/>
  <c r="D3138" i="22"/>
  <c r="D3137" i="22"/>
  <c r="D3136" i="22"/>
  <c r="D3135" i="22"/>
  <c r="D3134" i="22"/>
  <c r="D3133" i="22"/>
  <c r="D3132" i="22"/>
  <c r="D3131" i="22"/>
  <c r="D3130" i="22"/>
  <c r="D3129" i="22"/>
  <c r="D3128" i="22"/>
  <c r="D3127" i="22"/>
  <c r="D3126" i="22"/>
  <c r="D3125" i="22"/>
  <c r="D3124" i="22"/>
  <c r="D3123" i="22"/>
  <c r="D3122" i="22"/>
  <c r="D3121" i="22"/>
  <c r="D3120" i="22"/>
  <c r="D3119" i="22"/>
  <c r="D3118" i="22"/>
  <c r="D3117" i="22"/>
  <c r="D3116" i="22"/>
  <c r="D3115" i="22"/>
  <c r="D3114" i="22"/>
  <c r="D3113" i="22"/>
  <c r="D3112" i="22"/>
  <c r="D3111" i="22"/>
  <c r="D3110" i="22"/>
  <c r="D3109" i="22"/>
  <c r="D3108" i="22"/>
  <c r="D3107" i="22"/>
  <c r="D3106" i="22"/>
  <c r="D3105" i="22"/>
  <c r="D3104" i="22"/>
  <c r="D3103" i="22"/>
  <c r="D3102" i="22"/>
  <c r="D3101" i="22"/>
  <c r="D3100" i="22"/>
  <c r="D3099" i="22"/>
  <c r="D3098" i="22"/>
  <c r="D3097" i="22"/>
  <c r="D3096" i="22"/>
  <c r="D3095" i="22"/>
  <c r="D3094" i="22"/>
  <c r="D3093" i="22"/>
  <c r="D3092" i="22"/>
  <c r="D3091" i="22"/>
  <c r="D3090" i="22"/>
  <c r="D3089" i="22"/>
  <c r="D3088" i="22"/>
  <c r="D3087" i="22"/>
  <c r="D3086" i="22"/>
  <c r="D3085" i="22"/>
  <c r="D3084" i="22"/>
  <c r="D3083" i="22"/>
  <c r="D3082" i="22"/>
  <c r="D3081" i="22"/>
  <c r="D3080" i="22"/>
  <c r="D3079" i="22"/>
  <c r="D3078" i="22"/>
  <c r="D3077" i="22"/>
  <c r="D3076" i="22"/>
  <c r="D3075" i="22"/>
  <c r="D3074" i="22"/>
  <c r="D3073" i="22"/>
  <c r="D3072" i="22"/>
  <c r="D3071" i="22"/>
  <c r="D3070" i="22"/>
  <c r="D3069" i="22"/>
  <c r="D3068" i="22"/>
  <c r="D3067" i="22"/>
  <c r="D3066" i="22"/>
  <c r="D3065" i="22"/>
  <c r="D3064" i="22"/>
  <c r="D3063" i="22"/>
  <c r="D3062" i="22"/>
  <c r="D3061" i="22"/>
  <c r="D3060" i="22"/>
  <c r="D3059" i="22"/>
  <c r="D3058" i="22"/>
  <c r="D3057" i="22"/>
  <c r="D3056" i="22"/>
  <c r="D3055" i="22"/>
  <c r="D3054" i="22"/>
  <c r="D3053" i="22"/>
  <c r="D3052" i="22"/>
  <c r="D3051" i="22"/>
  <c r="D3050" i="22"/>
  <c r="D3049" i="22"/>
  <c r="D3048" i="22"/>
  <c r="D3047" i="22"/>
  <c r="D3046" i="22"/>
  <c r="D3045" i="22"/>
  <c r="D3044" i="22"/>
  <c r="D3043" i="22"/>
  <c r="D3042" i="22"/>
  <c r="D3041" i="22"/>
  <c r="D3040" i="22"/>
  <c r="D3039" i="22"/>
  <c r="D3038" i="22"/>
  <c r="D3037" i="22"/>
  <c r="D3036" i="22"/>
  <c r="D3035" i="22"/>
  <c r="D3034" i="22"/>
  <c r="D3033" i="22"/>
  <c r="D3032" i="22"/>
  <c r="D3031" i="22"/>
  <c r="D3030" i="22"/>
  <c r="D3029" i="22"/>
  <c r="D3028" i="22"/>
  <c r="D3027" i="22"/>
  <c r="D3026" i="22"/>
  <c r="D3025" i="22"/>
  <c r="D3024" i="22"/>
  <c r="D3023" i="22"/>
  <c r="D3022" i="22"/>
  <c r="D3021" i="22"/>
  <c r="D3020" i="22"/>
  <c r="D3019" i="22"/>
  <c r="D3018" i="22"/>
  <c r="D3017" i="22"/>
  <c r="D3016" i="22"/>
  <c r="D3015" i="22"/>
  <c r="D3014" i="22"/>
  <c r="D3013" i="22"/>
  <c r="D3012" i="22"/>
  <c r="D3011" i="22"/>
  <c r="D3010" i="22"/>
  <c r="D3009" i="22"/>
  <c r="D3008" i="22"/>
  <c r="D3007" i="22"/>
  <c r="D3006" i="22"/>
  <c r="D3005" i="22"/>
  <c r="D3004" i="22"/>
  <c r="D3003" i="22"/>
  <c r="D3002" i="22"/>
  <c r="D3001" i="22"/>
  <c r="D3000" i="22"/>
  <c r="D2999" i="22"/>
  <c r="D2998" i="22"/>
  <c r="D2997" i="22"/>
  <c r="D2996" i="22"/>
  <c r="D2995" i="22"/>
  <c r="D2994" i="22"/>
  <c r="D2993" i="22"/>
  <c r="D2992" i="22"/>
  <c r="D2991" i="22"/>
  <c r="D2990" i="22"/>
  <c r="D2989" i="22"/>
  <c r="D2988" i="22"/>
  <c r="D2987" i="22"/>
  <c r="D2986" i="22"/>
  <c r="D2985" i="22"/>
  <c r="D2984" i="22"/>
  <c r="D2983" i="22"/>
  <c r="D2982" i="22"/>
  <c r="D2981" i="22"/>
  <c r="D2980" i="22"/>
  <c r="D2979" i="22"/>
  <c r="D2978" i="22"/>
  <c r="D2977" i="22"/>
  <c r="D2976" i="22"/>
  <c r="D2975" i="22"/>
  <c r="D2974" i="22"/>
  <c r="D2973" i="22"/>
  <c r="D2972" i="22"/>
  <c r="D2971" i="22"/>
  <c r="D2970" i="22"/>
  <c r="D2969" i="22"/>
  <c r="D2968" i="22"/>
  <c r="D2967" i="22"/>
  <c r="D2966" i="22"/>
  <c r="D2965" i="22"/>
  <c r="D2964" i="22"/>
  <c r="D2963" i="22"/>
  <c r="D2962" i="22"/>
  <c r="D2961" i="22"/>
  <c r="D2960" i="22"/>
  <c r="D2959" i="22"/>
  <c r="D2958" i="22"/>
  <c r="D2957" i="22"/>
  <c r="D2956" i="22"/>
  <c r="D2955" i="22"/>
  <c r="D2954" i="22"/>
  <c r="D2953" i="22"/>
  <c r="D2952" i="22"/>
  <c r="D2951" i="22"/>
  <c r="D2950" i="22"/>
  <c r="D2949" i="22"/>
  <c r="D2948" i="22"/>
  <c r="D2947" i="22"/>
  <c r="D2946" i="22"/>
  <c r="D2945" i="22"/>
  <c r="D2944" i="22"/>
  <c r="D2943" i="22"/>
  <c r="D2942" i="22"/>
  <c r="D2941" i="22"/>
  <c r="D2940" i="22"/>
  <c r="D2939" i="22"/>
  <c r="D2938" i="22"/>
  <c r="D2937" i="22"/>
  <c r="D2936" i="22"/>
  <c r="D2935" i="22"/>
  <c r="D2934" i="22"/>
  <c r="D2933" i="22"/>
  <c r="D2932" i="22"/>
  <c r="D2931" i="22"/>
  <c r="D2930" i="22"/>
  <c r="D2929" i="22"/>
  <c r="D2928" i="22"/>
  <c r="D2927" i="22"/>
  <c r="D2926" i="22"/>
  <c r="D2925" i="22"/>
  <c r="D2924" i="22"/>
  <c r="D2923" i="22"/>
  <c r="D2922" i="22"/>
  <c r="D2921" i="22"/>
  <c r="D2920" i="22"/>
  <c r="D2919" i="22"/>
  <c r="D2918" i="22"/>
  <c r="D2917" i="22"/>
  <c r="D2916" i="22"/>
  <c r="D2915" i="22"/>
  <c r="D2914" i="22"/>
  <c r="D2913" i="22"/>
  <c r="D2912" i="22"/>
  <c r="D2911" i="22"/>
  <c r="D2910" i="22"/>
  <c r="D2909" i="22"/>
  <c r="D2908" i="22"/>
  <c r="D2907" i="22"/>
  <c r="D2906" i="22"/>
  <c r="D2905" i="22"/>
  <c r="D2904" i="22"/>
  <c r="D2903" i="22"/>
  <c r="D2902" i="22"/>
  <c r="D2901" i="22"/>
  <c r="D2900" i="22"/>
  <c r="D2899" i="22"/>
  <c r="D2898" i="22"/>
  <c r="D2897" i="22"/>
  <c r="D2896" i="22"/>
  <c r="D2895" i="22"/>
  <c r="D2894" i="22"/>
  <c r="D2893" i="22"/>
  <c r="D2892" i="22"/>
  <c r="D2891" i="22"/>
  <c r="D2890" i="22"/>
  <c r="D2889" i="22"/>
  <c r="D2888" i="22"/>
  <c r="D2887" i="22"/>
  <c r="D2886" i="22"/>
  <c r="D2885" i="22"/>
  <c r="D2884" i="22"/>
  <c r="D2883" i="22"/>
  <c r="D2882" i="22"/>
  <c r="D2881" i="22"/>
  <c r="D2880" i="22"/>
  <c r="D2879" i="22"/>
  <c r="D2878" i="22"/>
  <c r="D2877" i="22"/>
  <c r="D2876" i="22"/>
  <c r="D2875" i="22"/>
  <c r="D2874" i="22"/>
  <c r="D2873" i="22"/>
  <c r="D2872" i="22"/>
  <c r="D2871" i="22"/>
  <c r="D2870" i="22"/>
  <c r="D2869" i="22"/>
  <c r="D2868" i="22"/>
  <c r="D2867" i="22"/>
  <c r="D2866" i="22"/>
  <c r="D2865" i="22"/>
  <c r="D2864" i="22"/>
  <c r="D2863" i="22"/>
  <c r="D2862" i="22"/>
  <c r="D2861" i="22"/>
  <c r="D2860" i="22"/>
  <c r="D2859" i="22"/>
  <c r="D2858" i="22"/>
  <c r="D2857" i="22"/>
  <c r="D2856" i="22"/>
  <c r="D2855" i="22"/>
  <c r="D2854" i="22"/>
  <c r="D2853" i="22"/>
  <c r="D2852" i="22"/>
  <c r="D2851" i="22"/>
  <c r="D2850" i="22"/>
  <c r="D2849" i="22"/>
  <c r="D2848" i="22"/>
  <c r="D2847" i="22"/>
  <c r="D2846" i="22"/>
  <c r="D2845" i="22"/>
  <c r="D2844" i="22"/>
  <c r="D2843" i="22"/>
  <c r="D2842" i="22"/>
  <c r="D2841" i="22"/>
  <c r="D2840" i="22"/>
  <c r="D2839" i="22"/>
  <c r="D2838" i="22"/>
  <c r="D2837" i="22"/>
  <c r="D2836" i="22"/>
  <c r="D2835" i="22"/>
  <c r="D2834" i="22"/>
  <c r="D2833" i="22"/>
  <c r="D2832" i="22"/>
  <c r="D2831" i="22"/>
  <c r="D2830" i="22"/>
  <c r="D2829" i="22"/>
  <c r="D2828" i="22"/>
  <c r="D2827" i="22"/>
  <c r="D2826" i="22"/>
  <c r="D2825" i="22"/>
  <c r="D2824" i="22"/>
  <c r="D2823" i="22"/>
  <c r="D2822" i="22"/>
  <c r="D2821" i="22"/>
  <c r="D2820" i="22"/>
  <c r="D2819" i="22"/>
  <c r="D2818" i="22"/>
  <c r="D2817" i="22"/>
  <c r="D2816" i="22"/>
  <c r="D2815" i="22"/>
  <c r="D2814" i="22"/>
  <c r="D2813" i="22"/>
  <c r="D2812" i="22"/>
  <c r="D2811" i="22"/>
  <c r="D2810" i="22"/>
  <c r="D2809" i="22"/>
  <c r="D2808" i="22"/>
  <c r="D2807" i="22"/>
  <c r="D2806" i="22"/>
  <c r="D2805" i="22"/>
  <c r="D2804" i="22"/>
  <c r="D2803" i="22"/>
  <c r="D2802" i="22"/>
  <c r="D2801" i="22"/>
  <c r="D2800" i="22"/>
  <c r="D2799" i="22"/>
  <c r="D2798" i="22"/>
  <c r="D2797" i="22"/>
  <c r="D2796" i="22"/>
  <c r="D2795" i="22"/>
  <c r="D2794" i="22"/>
  <c r="D2793" i="22"/>
  <c r="D2792" i="22"/>
  <c r="D2791" i="22"/>
  <c r="D2790" i="22"/>
  <c r="D2789" i="22"/>
  <c r="D2788" i="22"/>
  <c r="D2787" i="22"/>
  <c r="D2786" i="22"/>
  <c r="D2785" i="22"/>
  <c r="D2784" i="22"/>
  <c r="D2783" i="22"/>
  <c r="D2782" i="22"/>
  <c r="D2781" i="22"/>
  <c r="D2780" i="22"/>
  <c r="D2779" i="22"/>
  <c r="D2778" i="22"/>
  <c r="D2777" i="22"/>
  <c r="D2776" i="22"/>
  <c r="D2775" i="22"/>
  <c r="D2774" i="22"/>
  <c r="D2773" i="22"/>
  <c r="D2772" i="22"/>
  <c r="D2771" i="22"/>
  <c r="D2770" i="22"/>
  <c r="D2769" i="22"/>
  <c r="D2768" i="22"/>
  <c r="D2767" i="22"/>
  <c r="D2766" i="22"/>
  <c r="D2765" i="22"/>
  <c r="D2764" i="22"/>
  <c r="D2763" i="22"/>
  <c r="D2762" i="22"/>
  <c r="D2761" i="22"/>
  <c r="D2760" i="22"/>
  <c r="D2759" i="22"/>
  <c r="D2758" i="22"/>
  <c r="D2757" i="22"/>
  <c r="D2756" i="22"/>
  <c r="D2755" i="22"/>
  <c r="D2754" i="22"/>
  <c r="D2753" i="22"/>
  <c r="D2752" i="22"/>
  <c r="D2751" i="22"/>
  <c r="D2750" i="22"/>
  <c r="D2749" i="22"/>
  <c r="D2748" i="22"/>
  <c r="D2747" i="22"/>
  <c r="D2746" i="22"/>
  <c r="D2745" i="22"/>
  <c r="D2744" i="22"/>
  <c r="D2743" i="22"/>
  <c r="D2742" i="22"/>
  <c r="D2741" i="22"/>
  <c r="D2740" i="22"/>
  <c r="D2739" i="22"/>
  <c r="D2738" i="22"/>
  <c r="D2737" i="22"/>
  <c r="D2736" i="22"/>
  <c r="D2735" i="22"/>
  <c r="D2734" i="22"/>
  <c r="D2733" i="22"/>
  <c r="D2732" i="22"/>
  <c r="D2731" i="22"/>
  <c r="D2730" i="22"/>
  <c r="D2729" i="22"/>
  <c r="D2728" i="22"/>
  <c r="D2727" i="22"/>
  <c r="D2726" i="22"/>
  <c r="D2725" i="22"/>
  <c r="D2724" i="22"/>
  <c r="D2723" i="22"/>
  <c r="D2722" i="22"/>
  <c r="D2721" i="22"/>
  <c r="D2720" i="22"/>
  <c r="D2719" i="22"/>
  <c r="D2718" i="22"/>
  <c r="D2717" i="22"/>
  <c r="D2716" i="22"/>
  <c r="D2715" i="22"/>
  <c r="D2714" i="22"/>
  <c r="D2713" i="22"/>
  <c r="D2712" i="22"/>
  <c r="D2711" i="22"/>
  <c r="D2710" i="22"/>
  <c r="D2709" i="22"/>
  <c r="D2708" i="22"/>
  <c r="D2707" i="22"/>
  <c r="D2706" i="22"/>
  <c r="D2705" i="22"/>
  <c r="D2704" i="22"/>
  <c r="D2703" i="22"/>
  <c r="D2702" i="22"/>
  <c r="D2701" i="22"/>
  <c r="D2700" i="22"/>
  <c r="D2699" i="22"/>
  <c r="D2698" i="22"/>
  <c r="D2697" i="22"/>
  <c r="D2696" i="22"/>
  <c r="D2695" i="22"/>
  <c r="D2694" i="22"/>
  <c r="D2693" i="22"/>
  <c r="D2692" i="22"/>
  <c r="D2691" i="22"/>
  <c r="D2690" i="22"/>
  <c r="D2689" i="22"/>
  <c r="D2688" i="22"/>
  <c r="D2687" i="22"/>
  <c r="D2686" i="22"/>
  <c r="D2685" i="22"/>
  <c r="D2684" i="22"/>
  <c r="D2683" i="22"/>
  <c r="D2682" i="22"/>
  <c r="D2681" i="22"/>
  <c r="D2680" i="22"/>
  <c r="D2679" i="22"/>
  <c r="D2678" i="22"/>
  <c r="D2677" i="22"/>
  <c r="D2676" i="22"/>
  <c r="D2675" i="22"/>
  <c r="D2674" i="22"/>
  <c r="D2673" i="22"/>
  <c r="D2672" i="22"/>
  <c r="D2671" i="22"/>
  <c r="D2670" i="22"/>
  <c r="D2669" i="22"/>
  <c r="D2668" i="22"/>
  <c r="D2667" i="22"/>
  <c r="D2666" i="22"/>
  <c r="D2665" i="22"/>
  <c r="D2664" i="22"/>
  <c r="D2663" i="22"/>
  <c r="D2662" i="22"/>
  <c r="D2661" i="22"/>
  <c r="D2660" i="22"/>
  <c r="D2659" i="22"/>
  <c r="D2658" i="22"/>
  <c r="D2657" i="22"/>
  <c r="D2656" i="22"/>
  <c r="D2655" i="22"/>
  <c r="D2654" i="22"/>
  <c r="D2653" i="22"/>
  <c r="D2652" i="22"/>
  <c r="D2651" i="22"/>
  <c r="D2650" i="22"/>
  <c r="D2649" i="22"/>
  <c r="D2648" i="22"/>
  <c r="D2647" i="22"/>
  <c r="D2646" i="22"/>
  <c r="D2645" i="22"/>
  <c r="D2644" i="22"/>
  <c r="D2643" i="22"/>
  <c r="D2642" i="22"/>
  <c r="D2641" i="22"/>
  <c r="D2640" i="22"/>
  <c r="D2639" i="22"/>
  <c r="D2638" i="22"/>
  <c r="D2637" i="22"/>
  <c r="D2636" i="22"/>
  <c r="D2635" i="22"/>
  <c r="D2634" i="22"/>
  <c r="D2633" i="22"/>
  <c r="D2632" i="22"/>
  <c r="D2631" i="22"/>
  <c r="D2630" i="22"/>
  <c r="D2629" i="22"/>
  <c r="D2628" i="22"/>
  <c r="D2627" i="22"/>
  <c r="D2626" i="22"/>
  <c r="D2625" i="22"/>
  <c r="D2624" i="22"/>
  <c r="D2623" i="22"/>
  <c r="D2622" i="22"/>
  <c r="D2621" i="22"/>
  <c r="D2620" i="22"/>
  <c r="D2619" i="22"/>
  <c r="D2618" i="22"/>
  <c r="D2617" i="22"/>
  <c r="D2616" i="22"/>
  <c r="D2615" i="22"/>
  <c r="D2614" i="22"/>
  <c r="D2613" i="22"/>
  <c r="D2612" i="22"/>
  <c r="D2611" i="22"/>
  <c r="D2610" i="22"/>
  <c r="D2609" i="22"/>
  <c r="D2608" i="22"/>
  <c r="D2607" i="22"/>
  <c r="D2606" i="22"/>
  <c r="D2605" i="22"/>
  <c r="D2604" i="22"/>
  <c r="D2603" i="22"/>
  <c r="D2602" i="22"/>
  <c r="D2601" i="22"/>
  <c r="D2600" i="22"/>
  <c r="D2599" i="22"/>
  <c r="D2598" i="22"/>
  <c r="D2597" i="22"/>
  <c r="D2596" i="22"/>
  <c r="D2595" i="22"/>
  <c r="D2594" i="22"/>
  <c r="D2593" i="22"/>
  <c r="D2592" i="22"/>
  <c r="D2591" i="22"/>
  <c r="D2590" i="22"/>
  <c r="D2589" i="22"/>
  <c r="D2588" i="22"/>
  <c r="D2587" i="22"/>
  <c r="D2586" i="22"/>
  <c r="D2585" i="22"/>
  <c r="D2584" i="22"/>
  <c r="D2583" i="22"/>
  <c r="D2582" i="22"/>
  <c r="D2581" i="22"/>
  <c r="D2580" i="22"/>
  <c r="D2579" i="22"/>
  <c r="D2578" i="22"/>
  <c r="D2577" i="22"/>
  <c r="D2576" i="22"/>
  <c r="D2575" i="22"/>
  <c r="D2574" i="22"/>
  <c r="D2573" i="22"/>
  <c r="D2572" i="22"/>
  <c r="D2571" i="22"/>
  <c r="D2570" i="22"/>
  <c r="D2569" i="22"/>
  <c r="D2568" i="22"/>
  <c r="D2567" i="22"/>
  <c r="D2566" i="22"/>
  <c r="D2565" i="22"/>
  <c r="D2564" i="22"/>
  <c r="D2563" i="22"/>
  <c r="D2562" i="22"/>
  <c r="D2561" i="22"/>
  <c r="D2560" i="22"/>
  <c r="D2559" i="22"/>
  <c r="D2558" i="22"/>
  <c r="D2557" i="22"/>
  <c r="D2556" i="22"/>
  <c r="D2555" i="22"/>
  <c r="D2554" i="22"/>
  <c r="D2553" i="22"/>
  <c r="D2552" i="22"/>
  <c r="D2551" i="22"/>
  <c r="D2550" i="22"/>
  <c r="D2549" i="22"/>
  <c r="D2548" i="22"/>
  <c r="D2547" i="22"/>
  <c r="D2546" i="22"/>
  <c r="D2545" i="22"/>
  <c r="D2544" i="22"/>
  <c r="D2543" i="22"/>
  <c r="D2542" i="22"/>
  <c r="D2541" i="22"/>
  <c r="D2540" i="22"/>
  <c r="D2539" i="22"/>
  <c r="D2538" i="22"/>
  <c r="D2537" i="22"/>
  <c r="D2536" i="22"/>
  <c r="D2535" i="22"/>
  <c r="D2534" i="22"/>
  <c r="D2533" i="22"/>
  <c r="D2532" i="22"/>
  <c r="D2531" i="22"/>
  <c r="D2530" i="22"/>
  <c r="D2529" i="22"/>
  <c r="D2528" i="22"/>
  <c r="D2527" i="22"/>
  <c r="D2526" i="22"/>
  <c r="D2525" i="22"/>
  <c r="D2524" i="22"/>
  <c r="D2523" i="22"/>
  <c r="D2522" i="22"/>
  <c r="D2521" i="22"/>
  <c r="D2520" i="22"/>
  <c r="D2519" i="22"/>
  <c r="D2518" i="22"/>
  <c r="D2517" i="22"/>
  <c r="D2516" i="22"/>
  <c r="D2515" i="22"/>
  <c r="D2514" i="22"/>
  <c r="D2513" i="22"/>
  <c r="D2512" i="22"/>
  <c r="D2511" i="22"/>
  <c r="D2510" i="22"/>
  <c r="D2509" i="22"/>
  <c r="D2508" i="22"/>
  <c r="D2507" i="22"/>
  <c r="D2506" i="22"/>
  <c r="D2505" i="22"/>
  <c r="D2504" i="22"/>
  <c r="D2503" i="22"/>
  <c r="D2502" i="22"/>
  <c r="D2501" i="22"/>
  <c r="D2500" i="22"/>
  <c r="D2499" i="22"/>
  <c r="D2498" i="22"/>
  <c r="D2497" i="22"/>
  <c r="D2496" i="22"/>
  <c r="D2495" i="22"/>
  <c r="D2494" i="22"/>
  <c r="D2493" i="22"/>
  <c r="D2492" i="22"/>
  <c r="D2491" i="22"/>
  <c r="D2490" i="22"/>
  <c r="D2489" i="22"/>
  <c r="D2488" i="22"/>
  <c r="D2487" i="22"/>
  <c r="D2486" i="22"/>
  <c r="D2485" i="22"/>
  <c r="D2484" i="22"/>
  <c r="D2483" i="22"/>
  <c r="D2482" i="22"/>
  <c r="D2481" i="22"/>
  <c r="D2480" i="22"/>
  <c r="D2479" i="22"/>
  <c r="D2478" i="22"/>
  <c r="D2477" i="22"/>
  <c r="D2476" i="22"/>
  <c r="D2475" i="22"/>
  <c r="D2474" i="22"/>
  <c r="D2473" i="22"/>
  <c r="D2472" i="22"/>
  <c r="D2471" i="22"/>
  <c r="D2470" i="22"/>
  <c r="D2469" i="22"/>
  <c r="D2468" i="22"/>
  <c r="D2467" i="22"/>
  <c r="D2466" i="22"/>
  <c r="D2465" i="22"/>
  <c r="D2464" i="22"/>
  <c r="D2463" i="22"/>
  <c r="D2462" i="22"/>
  <c r="D2461" i="22"/>
  <c r="D2460" i="22"/>
  <c r="D2459" i="22"/>
  <c r="D2458" i="22"/>
  <c r="D2457" i="22"/>
  <c r="D2456" i="22"/>
  <c r="D2455" i="22"/>
  <c r="D2454" i="22"/>
  <c r="D2453" i="22"/>
  <c r="D2452" i="22"/>
  <c r="D2451" i="22"/>
  <c r="D2450" i="22"/>
  <c r="D2449" i="22"/>
  <c r="D2448" i="22"/>
  <c r="D2447" i="22"/>
  <c r="D2446" i="22"/>
  <c r="D2445" i="22"/>
  <c r="D2444" i="22"/>
  <c r="D2443" i="22"/>
  <c r="D2442" i="22"/>
  <c r="D2441" i="22"/>
  <c r="D2440" i="22"/>
  <c r="D2439" i="22"/>
  <c r="D2438" i="22"/>
  <c r="D2437" i="22"/>
  <c r="D2436" i="22"/>
  <c r="D2435" i="22"/>
  <c r="D2434" i="22"/>
  <c r="D2433" i="22"/>
  <c r="D2432" i="22"/>
  <c r="D2431" i="22"/>
  <c r="D2430" i="22"/>
  <c r="D2429" i="22"/>
  <c r="D2428" i="22"/>
  <c r="D2427" i="22"/>
  <c r="D2426" i="22"/>
  <c r="D2425" i="22"/>
  <c r="D2424" i="22"/>
  <c r="D2423" i="22"/>
  <c r="D2422" i="22"/>
  <c r="D2421" i="22"/>
  <c r="D2420" i="22"/>
  <c r="D2419" i="22"/>
  <c r="D2418" i="22"/>
  <c r="D2417" i="22"/>
  <c r="D2416" i="22"/>
  <c r="D2415" i="22"/>
  <c r="D2414" i="22"/>
  <c r="D2413" i="22"/>
  <c r="D2412" i="22"/>
  <c r="D2411" i="22"/>
  <c r="D2410" i="22"/>
  <c r="D2409" i="22"/>
  <c r="D2408" i="22"/>
  <c r="D2407" i="22"/>
  <c r="D2406" i="22"/>
  <c r="D2405" i="22"/>
  <c r="D2404" i="22"/>
  <c r="D2403" i="22"/>
  <c r="D2402" i="22"/>
  <c r="D2401" i="22"/>
  <c r="D2400" i="22"/>
  <c r="D2399" i="22"/>
  <c r="D2398" i="22"/>
  <c r="D2397" i="22"/>
  <c r="D2396" i="22"/>
  <c r="D2395" i="22"/>
  <c r="D2394" i="22"/>
  <c r="D2393" i="22"/>
  <c r="D2392" i="22"/>
  <c r="D2391" i="22"/>
  <c r="D2390" i="22"/>
  <c r="D2389" i="22"/>
  <c r="D2388" i="22"/>
  <c r="D2387" i="22"/>
  <c r="D2386" i="22"/>
  <c r="D2385" i="22"/>
  <c r="D2384" i="22"/>
  <c r="D2383" i="22"/>
  <c r="D2382" i="22"/>
  <c r="D2381" i="22"/>
  <c r="D2380" i="22"/>
  <c r="D2379" i="22"/>
  <c r="D2378" i="22"/>
  <c r="D2377" i="22"/>
  <c r="D2376" i="22"/>
  <c r="D2375" i="22"/>
  <c r="D2374" i="22"/>
  <c r="D2373" i="22"/>
  <c r="D2372" i="22"/>
  <c r="D2371" i="22"/>
  <c r="D2370" i="22"/>
  <c r="D2369" i="22"/>
  <c r="D2368" i="22"/>
  <c r="D2367" i="22"/>
  <c r="D2366" i="22"/>
  <c r="D2365" i="22"/>
  <c r="D2364" i="22"/>
  <c r="D2363" i="22"/>
  <c r="D2362" i="22"/>
  <c r="D2361" i="22"/>
  <c r="D2360" i="22"/>
  <c r="D2359" i="22"/>
  <c r="D2358" i="22"/>
  <c r="D2357" i="22"/>
  <c r="D2356" i="22"/>
  <c r="D2355" i="22"/>
  <c r="D2354" i="22"/>
  <c r="D2353" i="22"/>
  <c r="D2352" i="22"/>
  <c r="D2351" i="22"/>
  <c r="D2350" i="22"/>
  <c r="D2349" i="22"/>
  <c r="D2348" i="22"/>
  <c r="D2347" i="22"/>
  <c r="D2346" i="22"/>
  <c r="D2345" i="22"/>
  <c r="D2344" i="22"/>
  <c r="D2343" i="22"/>
  <c r="D2342" i="22"/>
  <c r="D2341" i="22"/>
  <c r="D2340" i="22"/>
  <c r="D2339" i="22"/>
  <c r="D2338" i="22"/>
  <c r="D2337" i="22"/>
  <c r="D2336" i="22"/>
  <c r="D2335" i="22"/>
  <c r="D2334" i="22"/>
  <c r="D2333" i="22"/>
  <c r="D2332" i="22"/>
  <c r="D2331" i="22"/>
  <c r="D2330" i="22"/>
  <c r="D2329" i="22"/>
  <c r="D2328" i="22"/>
  <c r="D2327" i="22"/>
  <c r="D2326" i="22"/>
  <c r="D2325" i="22"/>
  <c r="D2324" i="22"/>
  <c r="D2323" i="22"/>
  <c r="D2322" i="22"/>
  <c r="D2321" i="22"/>
  <c r="D2320" i="22"/>
  <c r="D2319" i="22"/>
  <c r="D2318" i="22"/>
  <c r="D2317" i="22"/>
  <c r="D2316" i="22"/>
  <c r="D2315" i="22"/>
  <c r="D2314" i="22"/>
  <c r="D2313" i="22"/>
  <c r="D2312" i="22"/>
  <c r="D2311" i="22"/>
  <c r="D2310" i="22"/>
  <c r="D2309" i="22"/>
  <c r="D2308" i="22"/>
  <c r="D2307" i="22"/>
  <c r="D2306" i="22"/>
  <c r="D2305" i="22"/>
  <c r="D2304" i="22"/>
  <c r="D2303" i="22"/>
  <c r="D2302" i="22"/>
  <c r="D2301" i="22"/>
  <c r="D2300" i="22"/>
  <c r="D2299" i="22"/>
  <c r="D2298" i="22"/>
  <c r="D2297" i="22"/>
  <c r="D2296" i="22"/>
  <c r="D2295" i="22"/>
  <c r="D2294" i="22"/>
  <c r="D2293" i="22"/>
  <c r="D2292" i="22"/>
  <c r="D2291" i="22"/>
  <c r="D2290" i="22"/>
  <c r="D2289" i="22"/>
  <c r="D2288" i="22"/>
  <c r="D2287" i="22"/>
  <c r="D2286" i="22"/>
  <c r="D2285" i="22"/>
  <c r="D2284" i="22"/>
  <c r="D2283" i="22"/>
  <c r="D2282" i="22"/>
  <c r="D2281" i="22"/>
  <c r="D2280" i="22"/>
  <c r="D2279" i="22"/>
  <c r="D2278" i="22"/>
  <c r="D2277" i="22"/>
  <c r="D2276" i="22"/>
  <c r="D2275" i="22"/>
  <c r="D2274" i="22"/>
  <c r="D2273" i="22"/>
  <c r="D2272" i="22"/>
  <c r="D2271" i="22"/>
  <c r="D2270" i="22"/>
  <c r="D2269" i="22"/>
  <c r="D2268" i="22"/>
  <c r="D2267" i="22"/>
  <c r="D2266" i="22"/>
  <c r="D2265" i="22"/>
  <c r="D2264" i="22"/>
  <c r="D2263" i="22"/>
  <c r="D2262" i="22"/>
  <c r="D2261" i="22"/>
  <c r="D2260" i="22"/>
  <c r="D2259" i="22"/>
  <c r="D2258" i="22"/>
  <c r="D2257" i="22"/>
  <c r="D2256" i="22"/>
  <c r="D2255" i="22"/>
  <c r="D2254" i="22"/>
  <c r="D2253" i="22"/>
  <c r="D2252" i="22"/>
  <c r="D2251" i="22"/>
  <c r="D2250" i="22"/>
  <c r="D2249" i="22"/>
  <c r="D2248" i="22"/>
  <c r="D2247" i="22"/>
  <c r="D2246" i="22"/>
  <c r="D2245" i="22"/>
  <c r="D2244" i="22"/>
  <c r="D2243" i="22"/>
  <c r="D2242" i="22"/>
  <c r="D2241" i="22"/>
  <c r="D2240" i="22"/>
  <c r="D2239" i="22"/>
  <c r="D2238" i="22"/>
  <c r="D2237" i="22"/>
  <c r="D2236" i="22"/>
  <c r="D2235" i="22"/>
  <c r="D2234" i="22"/>
  <c r="D2233" i="22"/>
  <c r="D2232" i="22"/>
  <c r="D2231" i="22"/>
  <c r="D2230" i="22"/>
  <c r="D2229" i="22"/>
  <c r="D2228" i="22"/>
  <c r="D2227" i="22"/>
  <c r="D2226" i="22"/>
  <c r="D2225" i="22"/>
  <c r="D2224" i="22"/>
  <c r="D2223" i="22"/>
  <c r="D2222" i="22"/>
  <c r="D2221" i="22"/>
  <c r="D2220" i="22"/>
  <c r="D2219" i="22"/>
  <c r="D2218" i="22"/>
  <c r="D2217" i="22"/>
  <c r="D2216" i="22"/>
  <c r="D2215" i="22"/>
  <c r="D2214" i="22"/>
  <c r="D2213" i="22"/>
  <c r="D2212" i="22"/>
  <c r="D2211" i="22"/>
  <c r="D2210" i="22"/>
  <c r="D2209" i="22"/>
  <c r="D2208" i="22"/>
  <c r="D2207" i="22"/>
  <c r="D2206" i="22"/>
  <c r="D2205" i="22"/>
  <c r="D2204" i="22"/>
  <c r="D2203" i="22"/>
  <c r="D2202" i="22"/>
  <c r="D2201" i="22"/>
  <c r="D2200" i="22"/>
  <c r="D2199" i="22"/>
  <c r="D2198" i="22"/>
  <c r="D2197" i="22"/>
  <c r="D2196" i="22"/>
  <c r="D2195" i="22"/>
  <c r="D2194" i="22"/>
  <c r="D2193" i="22"/>
  <c r="D2192" i="22"/>
  <c r="D2191" i="22"/>
  <c r="D2190" i="22"/>
  <c r="D2189" i="22"/>
  <c r="D2188" i="22"/>
  <c r="D2187" i="22"/>
  <c r="D2186" i="22"/>
  <c r="D2185" i="22"/>
  <c r="D2184" i="22"/>
  <c r="D2183" i="22"/>
  <c r="D2182" i="22"/>
  <c r="D2181" i="22"/>
  <c r="D2180" i="22"/>
  <c r="D2179" i="22"/>
  <c r="D2178" i="22"/>
  <c r="D2177" i="22"/>
  <c r="D2176" i="22"/>
  <c r="D2175" i="22"/>
  <c r="D2174" i="22"/>
  <c r="D2173" i="22"/>
  <c r="D2172" i="22"/>
  <c r="D2171" i="22"/>
  <c r="D2170" i="22"/>
  <c r="D2169" i="22"/>
  <c r="D2168" i="22"/>
  <c r="D2167" i="22"/>
  <c r="D2166" i="22"/>
  <c r="D2165" i="22"/>
  <c r="D2164" i="22"/>
  <c r="D2163" i="22"/>
  <c r="D2162" i="22"/>
  <c r="D2161" i="22"/>
  <c r="D2160" i="22"/>
  <c r="D2159" i="22"/>
  <c r="D2158" i="22"/>
  <c r="D2157" i="22"/>
  <c r="D2156" i="22"/>
  <c r="D2155" i="22"/>
  <c r="D2154" i="22"/>
  <c r="D2153" i="22"/>
  <c r="D2152" i="22"/>
  <c r="D2151" i="22"/>
  <c r="D2150" i="22"/>
  <c r="D2149" i="22"/>
  <c r="D2148" i="22"/>
  <c r="D2147" i="22"/>
  <c r="D2146" i="22"/>
  <c r="D2145" i="22"/>
  <c r="D2144" i="22"/>
  <c r="D2143" i="22"/>
  <c r="D2142" i="22"/>
  <c r="D2141" i="22"/>
  <c r="D2140" i="22"/>
  <c r="D2139" i="22"/>
  <c r="D2138" i="22"/>
  <c r="D2137" i="22"/>
  <c r="D2136" i="22"/>
  <c r="D2135" i="22"/>
  <c r="D2134" i="22"/>
  <c r="D2133" i="22"/>
  <c r="D2132" i="22"/>
  <c r="D2131" i="22"/>
  <c r="D2130" i="22"/>
  <c r="D2129" i="22"/>
  <c r="D2128" i="22"/>
  <c r="D2127" i="22"/>
  <c r="D2126" i="22"/>
  <c r="D2125" i="22"/>
  <c r="D2124" i="22"/>
  <c r="D2123" i="22"/>
  <c r="D2122" i="22"/>
  <c r="D2121" i="22"/>
  <c r="D2120" i="22"/>
  <c r="D2119" i="22"/>
  <c r="D2118" i="22"/>
  <c r="D2117" i="22"/>
  <c r="D2116" i="22"/>
  <c r="D2115" i="22"/>
  <c r="D2114" i="22"/>
  <c r="D2113" i="22"/>
  <c r="D2112" i="22"/>
  <c r="D2111" i="22"/>
  <c r="D2110" i="22"/>
  <c r="D2109" i="22"/>
  <c r="D2108" i="22"/>
  <c r="D2107" i="22"/>
  <c r="D2106" i="22"/>
  <c r="D2105" i="22"/>
  <c r="D2104" i="22"/>
  <c r="D2103" i="22"/>
  <c r="D2102" i="22"/>
  <c r="D2101" i="22"/>
  <c r="D2100" i="22"/>
  <c r="D2099" i="22"/>
  <c r="D2098" i="22"/>
  <c r="D2097" i="22"/>
  <c r="D2096" i="22"/>
  <c r="D2095" i="22"/>
  <c r="D2094" i="22"/>
  <c r="D2093" i="22"/>
  <c r="D2092" i="22"/>
  <c r="D2091" i="22"/>
  <c r="D2090" i="22"/>
  <c r="D2089" i="22"/>
  <c r="D2088" i="22"/>
  <c r="D2087" i="22"/>
  <c r="D2086" i="22"/>
  <c r="D2085" i="22"/>
  <c r="D2084" i="22"/>
  <c r="D2083" i="22"/>
  <c r="D2082" i="22"/>
  <c r="D2081" i="22"/>
  <c r="D2080" i="22"/>
  <c r="D2079" i="22"/>
  <c r="D2078" i="22"/>
  <c r="D2077" i="22"/>
  <c r="D2076" i="22"/>
  <c r="D2075" i="22"/>
  <c r="D2074" i="22"/>
  <c r="D2073" i="22"/>
  <c r="D2072" i="22"/>
  <c r="D2071" i="22"/>
  <c r="D2070" i="22"/>
  <c r="D2069" i="22"/>
  <c r="D2068" i="22"/>
  <c r="D2067" i="22"/>
  <c r="D2066" i="22"/>
  <c r="D2065" i="22"/>
  <c r="D2064" i="22"/>
  <c r="D2063" i="22"/>
  <c r="D2062" i="22"/>
  <c r="D2061" i="22"/>
  <c r="D2060" i="22"/>
  <c r="D2059" i="22"/>
  <c r="D2058" i="22"/>
  <c r="D2057" i="22"/>
  <c r="D2056" i="22"/>
  <c r="D2055" i="22"/>
  <c r="D2054" i="22"/>
  <c r="D2053" i="22"/>
  <c r="D2052" i="22"/>
  <c r="D2051" i="22"/>
  <c r="D2050" i="22"/>
  <c r="D2049" i="22"/>
  <c r="D2048" i="22"/>
  <c r="D2047" i="22"/>
  <c r="D2046" i="22"/>
  <c r="D2045" i="22"/>
  <c r="D2044" i="22"/>
  <c r="D2043" i="22"/>
  <c r="D2042" i="22"/>
  <c r="D2041" i="22"/>
  <c r="D2040" i="22"/>
  <c r="D2039" i="22"/>
  <c r="D2038" i="22"/>
  <c r="D2037" i="22"/>
  <c r="D2036" i="22"/>
  <c r="D2035" i="22"/>
  <c r="D2034" i="22"/>
  <c r="D2033" i="22"/>
  <c r="D2032" i="22"/>
  <c r="D2031" i="22"/>
  <c r="D2030" i="22"/>
  <c r="D2029" i="22"/>
  <c r="D2028" i="22"/>
  <c r="D2027" i="22"/>
  <c r="D2026" i="22"/>
  <c r="D2025" i="22"/>
  <c r="D2024" i="22"/>
  <c r="D2023" i="22"/>
  <c r="D2022" i="22"/>
  <c r="D2021" i="22"/>
  <c r="D2020" i="22"/>
  <c r="D2019" i="22"/>
  <c r="D2018" i="22"/>
  <c r="D2017" i="22"/>
  <c r="D2016" i="22"/>
  <c r="D2015" i="22"/>
  <c r="D2014" i="22"/>
  <c r="D2013" i="22"/>
  <c r="D2012" i="22"/>
  <c r="D2011" i="22"/>
  <c r="D2010" i="22"/>
  <c r="D2009" i="22"/>
  <c r="D2008" i="22"/>
  <c r="D2007" i="22"/>
  <c r="D2006" i="22"/>
  <c r="D2005" i="22"/>
  <c r="D2004" i="22"/>
  <c r="D2003" i="22"/>
  <c r="D2002" i="22"/>
  <c r="D2001" i="22"/>
  <c r="D2000" i="22"/>
  <c r="D1999" i="22"/>
  <c r="D1998" i="22"/>
  <c r="D1997" i="22"/>
  <c r="D1996" i="22"/>
  <c r="D1995" i="22"/>
  <c r="D1994" i="22"/>
  <c r="D1993" i="22"/>
  <c r="D1992" i="22"/>
  <c r="D1991" i="22"/>
  <c r="D1990" i="22"/>
  <c r="D1989" i="22"/>
  <c r="D1988" i="22"/>
  <c r="D1987" i="22"/>
  <c r="D1986" i="22"/>
  <c r="D1985" i="22"/>
  <c r="D1984" i="22"/>
  <c r="D1983" i="22"/>
  <c r="D1982" i="22"/>
  <c r="D1981" i="22"/>
  <c r="D1980" i="22"/>
  <c r="D1979" i="22"/>
  <c r="D1978" i="22"/>
  <c r="D1977" i="22"/>
  <c r="D1976" i="22"/>
  <c r="D1975" i="22"/>
  <c r="D1974" i="22"/>
  <c r="D1973" i="22"/>
  <c r="D1972" i="22"/>
  <c r="D1971" i="22"/>
  <c r="D1970" i="22"/>
  <c r="D1969" i="22"/>
  <c r="D1968" i="22"/>
  <c r="D1967" i="22"/>
  <c r="D1966" i="22"/>
  <c r="D1965" i="22"/>
  <c r="D1964" i="22"/>
  <c r="D1963" i="22"/>
  <c r="D1962" i="22"/>
  <c r="D1961" i="22"/>
  <c r="D1960" i="22"/>
  <c r="D1959" i="22"/>
  <c r="D1958" i="22"/>
  <c r="D1957" i="22"/>
  <c r="D1956" i="22"/>
  <c r="D1955" i="22"/>
  <c r="D1954" i="22"/>
  <c r="D1953" i="22"/>
  <c r="D1952" i="22"/>
  <c r="D1951" i="22"/>
  <c r="D1950" i="22"/>
  <c r="D1949" i="22"/>
  <c r="D1948" i="22"/>
  <c r="D1947" i="22"/>
  <c r="D1946" i="22"/>
  <c r="D1945" i="22"/>
  <c r="D1944" i="22"/>
  <c r="D1943" i="22"/>
  <c r="D1942" i="22"/>
  <c r="D1941" i="22"/>
  <c r="D1940" i="22"/>
  <c r="D1939" i="22"/>
  <c r="D1938" i="22"/>
  <c r="D1937" i="22"/>
  <c r="D1936" i="22"/>
  <c r="D1935" i="22"/>
  <c r="D1934" i="22"/>
  <c r="D1933" i="22"/>
  <c r="D1932" i="22"/>
  <c r="D1931" i="22"/>
  <c r="D1930" i="22"/>
  <c r="D1929" i="22"/>
  <c r="D1928" i="22"/>
  <c r="D1927" i="22"/>
  <c r="D1926" i="22"/>
  <c r="D1925" i="22"/>
  <c r="D1924" i="22"/>
  <c r="D1923" i="22"/>
  <c r="D1922" i="22"/>
  <c r="D1921" i="22"/>
  <c r="D1920" i="22"/>
  <c r="D1919" i="22"/>
  <c r="D1918" i="22"/>
  <c r="D1917" i="22"/>
  <c r="D1916" i="22"/>
  <c r="D1915" i="22"/>
  <c r="D1914" i="22"/>
  <c r="D1913" i="22"/>
  <c r="D1912" i="22"/>
  <c r="D1911" i="22"/>
  <c r="D1910" i="22"/>
  <c r="D1909" i="22"/>
  <c r="D1908" i="22"/>
  <c r="D1907" i="22"/>
  <c r="D1906" i="22"/>
  <c r="D1905" i="22"/>
  <c r="D1904" i="22"/>
  <c r="D1903" i="22"/>
  <c r="D1902" i="22"/>
  <c r="D1901" i="22"/>
  <c r="D1900" i="22"/>
  <c r="D1899" i="22"/>
  <c r="D1898" i="22"/>
  <c r="D1897" i="22"/>
  <c r="D1896" i="22"/>
  <c r="D1895" i="22"/>
  <c r="D1894" i="22"/>
  <c r="D1893" i="22"/>
  <c r="D1892" i="22"/>
  <c r="D1891" i="22"/>
  <c r="D1890" i="22"/>
  <c r="D1889" i="22"/>
  <c r="D1888" i="22"/>
  <c r="D1887" i="22"/>
  <c r="D1886" i="22"/>
  <c r="D1885" i="22"/>
  <c r="D1884" i="22"/>
  <c r="D1883" i="22"/>
  <c r="D1882" i="22"/>
  <c r="D1881" i="22"/>
  <c r="D1880" i="22"/>
  <c r="D1879" i="22"/>
  <c r="D1878" i="22"/>
  <c r="D1877" i="22"/>
  <c r="D1876" i="22"/>
  <c r="D1875" i="22"/>
  <c r="D1874" i="22"/>
  <c r="D1873" i="22"/>
  <c r="D1872" i="22"/>
  <c r="D1871" i="22"/>
  <c r="D1870" i="22"/>
  <c r="D1869" i="22"/>
  <c r="D1868" i="22"/>
  <c r="D1867" i="22"/>
  <c r="D1866" i="22"/>
  <c r="D1865" i="22"/>
  <c r="D1864" i="22"/>
  <c r="D1863" i="22"/>
  <c r="D1862" i="22"/>
  <c r="D1861" i="22"/>
  <c r="D1860" i="22"/>
  <c r="D1859" i="22"/>
  <c r="D1858" i="22"/>
  <c r="D1857" i="22"/>
  <c r="D1856" i="22"/>
  <c r="D1855" i="22"/>
  <c r="D1854" i="22"/>
  <c r="D1853" i="22"/>
  <c r="D1852" i="22"/>
  <c r="D1851" i="22"/>
  <c r="D1850" i="22"/>
  <c r="D1849" i="22"/>
  <c r="D1848" i="22"/>
  <c r="D1847" i="22"/>
  <c r="D1846" i="22"/>
  <c r="D1845" i="22"/>
  <c r="D1844" i="22"/>
  <c r="D1843" i="22"/>
  <c r="D1842" i="22"/>
  <c r="D1841" i="22"/>
  <c r="D1840" i="22"/>
  <c r="D1839" i="22"/>
  <c r="D1838" i="22"/>
  <c r="D1837" i="22"/>
  <c r="D1836" i="22"/>
  <c r="D1835" i="22"/>
  <c r="D1834" i="22"/>
  <c r="D1833" i="22"/>
  <c r="D1832" i="22"/>
  <c r="D1831" i="22"/>
  <c r="D1830" i="22"/>
  <c r="D1829" i="22"/>
  <c r="D1828" i="22"/>
  <c r="D1827" i="22"/>
  <c r="D1826" i="22"/>
  <c r="D1825" i="22"/>
  <c r="D1824" i="22"/>
  <c r="D1823" i="22"/>
  <c r="D1822" i="22"/>
  <c r="D1821" i="22"/>
  <c r="D1820" i="22"/>
  <c r="D1819" i="22"/>
  <c r="D1818" i="22"/>
  <c r="D1817" i="22"/>
  <c r="D1816" i="22"/>
  <c r="D1815" i="22"/>
  <c r="D1814" i="22"/>
  <c r="D1813" i="22"/>
  <c r="D1812" i="22"/>
  <c r="D1811" i="22"/>
  <c r="D1810" i="22"/>
  <c r="D1809" i="22"/>
  <c r="D1808" i="22"/>
  <c r="D1807" i="22"/>
  <c r="D1806" i="22"/>
  <c r="D1805" i="22"/>
  <c r="D1804" i="22"/>
  <c r="D1803" i="22"/>
  <c r="D1802" i="22"/>
  <c r="D1801" i="22"/>
  <c r="D1800" i="22"/>
  <c r="D1799" i="22"/>
  <c r="D1798" i="22"/>
  <c r="D1797" i="22"/>
  <c r="D1796" i="22"/>
  <c r="D1795" i="22"/>
  <c r="D1794" i="22"/>
  <c r="D1793" i="22"/>
  <c r="D1792" i="22"/>
  <c r="D1791" i="22"/>
  <c r="D1790" i="22"/>
  <c r="D1789" i="22"/>
  <c r="D1788" i="22"/>
  <c r="D1787" i="22"/>
  <c r="D1786" i="22"/>
  <c r="D1785" i="22"/>
  <c r="D1784" i="22"/>
  <c r="D1783" i="22"/>
  <c r="D1782" i="22"/>
  <c r="D1781" i="22"/>
  <c r="D1780" i="22"/>
  <c r="D1779" i="22"/>
  <c r="D1778" i="22"/>
  <c r="D1777" i="22"/>
  <c r="D1776" i="22"/>
  <c r="D1775" i="22"/>
  <c r="D1774" i="22"/>
  <c r="D1773" i="22"/>
  <c r="D1772" i="22"/>
  <c r="D1771" i="22"/>
  <c r="D1770" i="22"/>
  <c r="D1769" i="22"/>
  <c r="D1768" i="22"/>
  <c r="D1767" i="22"/>
  <c r="D1766" i="22"/>
  <c r="D1765" i="22"/>
  <c r="D1764" i="22"/>
  <c r="D1763" i="22"/>
  <c r="D1762" i="22"/>
  <c r="D1761" i="22"/>
  <c r="D1760" i="22"/>
  <c r="D1759" i="22"/>
  <c r="D1758" i="22"/>
  <c r="D1757" i="22"/>
  <c r="D1756" i="22"/>
  <c r="D1755" i="22"/>
  <c r="D1754" i="22"/>
  <c r="D1753" i="22"/>
  <c r="D1752" i="22"/>
  <c r="D1751" i="22"/>
  <c r="D1750" i="22"/>
  <c r="D1749" i="22"/>
  <c r="D1748" i="22"/>
  <c r="D1747" i="22"/>
  <c r="D1746" i="22"/>
  <c r="D1745" i="22"/>
  <c r="D1744" i="22"/>
  <c r="D1743" i="22"/>
  <c r="D1742" i="22"/>
  <c r="D1741" i="22"/>
  <c r="D1740" i="22"/>
  <c r="D1739" i="22"/>
  <c r="D1738" i="22"/>
  <c r="D1737" i="22"/>
  <c r="D1736" i="22"/>
  <c r="D1735" i="22"/>
  <c r="D1734" i="22"/>
  <c r="D1733" i="22"/>
  <c r="D1732" i="22"/>
  <c r="D1731" i="22"/>
  <c r="D1730" i="22"/>
  <c r="D1729" i="22"/>
  <c r="D1728" i="22"/>
  <c r="D1727" i="22"/>
  <c r="D1726" i="22"/>
  <c r="D1725" i="22"/>
  <c r="D1724" i="22"/>
  <c r="D1723" i="22"/>
  <c r="D1722" i="22"/>
  <c r="D1721" i="22"/>
  <c r="D1720" i="22"/>
  <c r="D1719" i="22"/>
  <c r="D1718" i="22"/>
  <c r="D1717" i="22"/>
  <c r="D1716" i="22"/>
  <c r="D1715" i="22"/>
  <c r="D1714" i="22"/>
  <c r="D1713" i="22"/>
  <c r="D1712" i="22"/>
  <c r="D1711" i="22"/>
  <c r="D1710" i="22"/>
  <c r="D1709" i="22"/>
  <c r="D1708" i="22"/>
  <c r="D1707" i="22"/>
  <c r="D1706" i="22"/>
  <c r="D1705" i="22"/>
  <c r="D1704" i="22"/>
  <c r="D1703" i="22"/>
  <c r="D1702" i="22"/>
  <c r="D1701" i="22"/>
  <c r="D1700" i="22"/>
  <c r="D1699" i="22"/>
  <c r="D1698" i="22"/>
  <c r="D1697" i="22"/>
  <c r="D1696" i="22"/>
  <c r="D1695" i="22"/>
  <c r="D1694" i="22"/>
  <c r="D1693" i="22"/>
  <c r="D1692" i="22"/>
  <c r="D1691" i="22"/>
  <c r="D1690" i="22"/>
  <c r="D1689" i="22"/>
  <c r="D1688" i="22"/>
  <c r="D1687" i="22"/>
  <c r="D1686" i="22"/>
  <c r="D1685" i="22"/>
  <c r="D1684" i="22"/>
  <c r="D1683" i="22"/>
  <c r="D1682" i="22"/>
  <c r="D1681" i="22"/>
  <c r="D1680" i="22"/>
  <c r="D1679" i="22"/>
  <c r="D1678" i="22"/>
  <c r="D1677" i="22"/>
  <c r="D1676" i="22"/>
  <c r="D1675" i="22"/>
  <c r="D1674" i="22"/>
  <c r="D1673" i="22"/>
  <c r="D1672" i="22"/>
  <c r="D1671" i="22"/>
  <c r="D1670" i="22"/>
  <c r="D1669" i="22"/>
  <c r="D1668" i="22"/>
  <c r="D1667" i="22"/>
  <c r="D1666" i="22"/>
  <c r="D1665" i="22"/>
  <c r="D1664" i="22"/>
  <c r="D1663" i="22"/>
  <c r="D1662" i="22"/>
  <c r="D1661" i="22"/>
  <c r="D1660" i="22"/>
  <c r="D1659" i="22"/>
  <c r="D1658" i="22"/>
  <c r="D1657" i="22"/>
  <c r="D1656" i="22"/>
  <c r="D1655" i="22"/>
  <c r="D1654" i="22"/>
  <c r="D1653" i="22"/>
  <c r="D1652" i="22"/>
  <c r="D1651" i="22"/>
  <c r="D1650" i="22"/>
  <c r="D1649" i="22"/>
  <c r="D1648" i="22"/>
  <c r="D1647" i="22"/>
  <c r="D1646" i="22"/>
  <c r="D1645" i="22"/>
  <c r="D1644" i="22"/>
  <c r="D1643" i="22"/>
  <c r="D1642" i="22"/>
  <c r="D1641" i="22"/>
  <c r="D1640" i="22"/>
  <c r="D1639" i="22"/>
  <c r="D1638" i="22"/>
  <c r="D1637" i="22"/>
  <c r="D1636" i="22"/>
  <c r="D1635" i="22"/>
  <c r="D1634" i="22"/>
  <c r="D1633" i="22"/>
  <c r="D1632" i="22"/>
  <c r="D1631" i="22"/>
  <c r="D1630" i="22"/>
  <c r="D1629" i="22"/>
  <c r="D1628" i="22"/>
  <c r="D1627" i="22"/>
  <c r="D1626" i="22"/>
  <c r="D1625" i="22"/>
  <c r="D1624" i="22"/>
  <c r="D1623" i="22"/>
  <c r="D1622" i="22"/>
  <c r="D1621" i="22"/>
  <c r="D1620" i="22"/>
  <c r="D1619" i="22"/>
  <c r="D1618" i="22"/>
  <c r="D1617" i="22"/>
  <c r="D1616" i="22"/>
  <c r="D1615" i="22"/>
  <c r="D1614" i="22"/>
  <c r="D1613" i="22"/>
  <c r="D1612" i="22"/>
  <c r="D1611" i="22"/>
  <c r="D1610" i="22"/>
  <c r="D1609" i="22"/>
  <c r="D1608" i="22"/>
  <c r="D1607" i="22"/>
  <c r="D1606" i="22"/>
  <c r="D1605" i="22"/>
  <c r="D1604" i="22"/>
  <c r="D1603" i="22"/>
  <c r="D1602" i="22"/>
  <c r="D1601" i="22"/>
  <c r="D1600" i="22"/>
  <c r="D1599" i="22"/>
  <c r="D1598" i="22"/>
  <c r="D1597" i="22"/>
  <c r="D1596" i="22"/>
  <c r="D1595" i="22"/>
  <c r="D1594" i="22"/>
  <c r="D1593" i="22"/>
  <c r="D1592" i="22"/>
  <c r="D1591" i="22"/>
  <c r="D1590" i="22"/>
  <c r="D1589" i="22"/>
  <c r="D1588" i="22"/>
  <c r="D1587" i="22"/>
  <c r="D1586" i="22"/>
  <c r="D1585" i="22"/>
  <c r="D1584" i="22"/>
  <c r="D1583" i="22"/>
  <c r="D1582" i="22"/>
  <c r="D1581" i="22"/>
  <c r="D1580" i="22"/>
  <c r="D1579" i="22"/>
  <c r="D1578" i="22"/>
  <c r="D1577" i="22"/>
  <c r="D1576" i="22"/>
  <c r="D1575" i="22"/>
  <c r="D1574" i="22"/>
  <c r="D1573" i="22"/>
  <c r="D1572" i="22"/>
  <c r="D1571" i="22"/>
  <c r="D1570" i="22"/>
  <c r="D1569" i="22"/>
  <c r="D1568" i="22"/>
  <c r="D1567" i="22"/>
  <c r="D1566" i="22"/>
  <c r="D1565" i="22"/>
  <c r="D1564" i="22"/>
  <c r="D1563" i="22"/>
  <c r="D1562" i="22"/>
  <c r="D1561" i="22"/>
  <c r="D1560" i="22"/>
  <c r="D1559" i="22"/>
  <c r="D1558" i="22"/>
  <c r="D1557" i="22"/>
  <c r="D1556" i="22"/>
  <c r="D1555" i="22"/>
  <c r="D1554" i="22"/>
  <c r="D1553" i="22"/>
  <c r="D1552" i="22"/>
  <c r="D1551" i="22"/>
  <c r="D1550" i="22"/>
  <c r="D1549" i="22"/>
  <c r="D1548" i="22"/>
  <c r="D1547" i="22"/>
  <c r="D1546" i="22"/>
  <c r="D1545" i="22"/>
  <c r="D1544" i="22"/>
  <c r="D1543" i="22"/>
  <c r="D1542" i="22"/>
  <c r="D1541" i="22"/>
  <c r="D1540" i="22"/>
  <c r="D1539" i="22"/>
  <c r="D1538" i="22"/>
  <c r="D1537" i="22"/>
  <c r="D1536" i="22"/>
  <c r="D1535" i="22"/>
  <c r="D1534" i="22"/>
  <c r="D1533" i="22"/>
  <c r="D1532" i="22"/>
  <c r="D1531" i="22"/>
  <c r="D1530" i="22"/>
  <c r="D1529" i="22"/>
  <c r="D1528" i="22"/>
  <c r="D1527" i="22"/>
  <c r="D1526" i="22"/>
  <c r="D1525" i="22"/>
  <c r="D1524" i="22"/>
  <c r="D1523" i="22"/>
  <c r="D1522" i="22"/>
  <c r="D1521" i="22"/>
  <c r="D1520" i="22"/>
  <c r="D1519" i="22"/>
  <c r="D1518" i="22"/>
  <c r="D1517" i="22"/>
  <c r="D1516" i="22"/>
  <c r="D1515" i="22"/>
  <c r="D1514" i="22"/>
  <c r="D1513" i="22"/>
  <c r="D1512" i="22"/>
  <c r="D1511" i="22"/>
  <c r="D1510" i="22"/>
  <c r="D1509" i="22"/>
  <c r="D1508" i="22"/>
  <c r="D1507" i="22"/>
  <c r="D1506" i="22"/>
  <c r="D1505" i="22"/>
  <c r="D1504" i="22"/>
  <c r="D1503" i="22"/>
  <c r="D1502" i="22"/>
  <c r="D1501" i="22"/>
  <c r="D1500" i="22"/>
  <c r="D1499" i="22"/>
  <c r="D1498" i="22"/>
  <c r="D1497" i="22"/>
  <c r="D1496" i="22"/>
  <c r="D1495" i="22"/>
  <c r="D1494" i="22"/>
  <c r="D1493" i="22"/>
  <c r="D1492" i="22"/>
  <c r="D1491" i="22"/>
  <c r="D1490" i="22"/>
  <c r="D1489" i="22"/>
  <c r="D1488" i="22"/>
  <c r="D1487" i="22"/>
  <c r="D1486" i="22"/>
  <c r="D1485" i="22"/>
  <c r="D1484" i="22"/>
  <c r="D1483" i="22"/>
  <c r="D1482" i="22"/>
  <c r="D1481" i="22"/>
  <c r="D1480" i="22"/>
  <c r="D1479" i="22"/>
  <c r="D1478" i="22"/>
  <c r="D1477" i="22"/>
  <c r="D1476" i="22"/>
  <c r="D1475" i="22"/>
  <c r="D1474" i="22"/>
  <c r="D1473" i="22"/>
  <c r="D1472" i="22"/>
  <c r="D1471" i="22"/>
  <c r="D1470" i="22"/>
  <c r="D1469" i="22"/>
  <c r="D1468" i="22"/>
  <c r="D1467" i="22"/>
  <c r="D1466" i="22"/>
  <c r="D1465" i="22"/>
  <c r="D1464" i="22"/>
  <c r="D1463" i="22"/>
  <c r="D1462" i="22"/>
  <c r="D1461" i="22"/>
  <c r="D1460" i="22"/>
  <c r="D1459" i="22"/>
  <c r="D1458" i="22"/>
  <c r="D1457" i="22"/>
  <c r="D1456" i="22"/>
  <c r="D1455" i="22"/>
  <c r="D1454" i="22"/>
  <c r="D1453" i="22"/>
  <c r="D1452" i="22"/>
  <c r="D1451" i="22"/>
  <c r="D1450" i="22"/>
  <c r="D1449" i="22"/>
  <c r="D1448" i="22"/>
  <c r="D1447" i="22"/>
  <c r="D1446" i="22"/>
  <c r="D1445" i="22"/>
  <c r="D1444" i="22"/>
  <c r="D1443" i="22"/>
  <c r="D1442" i="22"/>
  <c r="D1441" i="22"/>
  <c r="D1440" i="22"/>
  <c r="D1439" i="22"/>
  <c r="D1438" i="22"/>
  <c r="D1437" i="22"/>
  <c r="D1436" i="22"/>
  <c r="D1435" i="22"/>
  <c r="D1434" i="22"/>
  <c r="D1433" i="22"/>
  <c r="D1432" i="22"/>
  <c r="D1431" i="22"/>
  <c r="D1430" i="22"/>
  <c r="D1429" i="22"/>
  <c r="D1428" i="22"/>
  <c r="D1427" i="22"/>
  <c r="D1426" i="22"/>
  <c r="D1425" i="22"/>
  <c r="D1424" i="22"/>
  <c r="D1423" i="22"/>
  <c r="D1422" i="22"/>
  <c r="D1421" i="22"/>
  <c r="D1420" i="22"/>
  <c r="D1419" i="22"/>
  <c r="D1418" i="22"/>
  <c r="D1417" i="22"/>
  <c r="D1416" i="22"/>
  <c r="D1415" i="22"/>
  <c r="D1414" i="22"/>
  <c r="D1413" i="22"/>
  <c r="D1412" i="22"/>
  <c r="D1411" i="22"/>
  <c r="D1410" i="22"/>
  <c r="D1409" i="22"/>
  <c r="D1408" i="22"/>
  <c r="D1407" i="22"/>
  <c r="D1406" i="22"/>
  <c r="D1405" i="22"/>
  <c r="D1404" i="22"/>
  <c r="D1403" i="22"/>
  <c r="D1402" i="22"/>
  <c r="D1401" i="22"/>
  <c r="D1400" i="22"/>
  <c r="D1399" i="22"/>
  <c r="D1398" i="22"/>
  <c r="D1397" i="22"/>
  <c r="D1396" i="22"/>
  <c r="D1395" i="22"/>
  <c r="D1394" i="22"/>
  <c r="D1393" i="22"/>
  <c r="D1392" i="22"/>
  <c r="D1391" i="22"/>
  <c r="D1390" i="22"/>
  <c r="D1389" i="22"/>
  <c r="D1388" i="22"/>
  <c r="D1387" i="22"/>
  <c r="D1386" i="22"/>
  <c r="D1385" i="22"/>
  <c r="D1384" i="22"/>
  <c r="D1383" i="22"/>
  <c r="D1382" i="22"/>
  <c r="D1381" i="22"/>
  <c r="D1380" i="22"/>
  <c r="D1379" i="22"/>
  <c r="D1378" i="22"/>
  <c r="D1377" i="22"/>
  <c r="D1376" i="22"/>
  <c r="D1375" i="22"/>
  <c r="D1374" i="22"/>
  <c r="D1373" i="22"/>
  <c r="D1372" i="22"/>
  <c r="D1371" i="22"/>
  <c r="D1370" i="22"/>
  <c r="D1369" i="22"/>
  <c r="D1368" i="22"/>
  <c r="D1367" i="22"/>
  <c r="D1366" i="22"/>
  <c r="D1365" i="22"/>
  <c r="D1364" i="22"/>
  <c r="D1363" i="22"/>
  <c r="D1362" i="22"/>
  <c r="D1361" i="22"/>
  <c r="D1360" i="22"/>
  <c r="D1359" i="22"/>
  <c r="D1358" i="22"/>
  <c r="D1357" i="22"/>
  <c r="D1356" i="22"/>
  <c r="D1355" i="22"/>
  <c r="D1354" i="22"/>
  <c r="D1353" i="22"/>
  <c r="D1352" i="22"/>
  <c r="D1351" i="22"/>
  <c r="D1350" i="22"/>
  <c r="D1349" i="22"/>
  <c r="D1348" i="22"/>
  <c r="D1347" i="22"/>
  <c r="D1346" i="22"/>
  <c r="D1345" i="22"/>
  <c r="D1344" i="22"/>
  <c r="D1343" i="22"/>
  <c r="D1342" i="22"/>
  <c r="D1341" i="22"/>
  <c r="D1340" i="22"/>
  <c r="D1339" i="22"/>
  <c r="D1338" i="22"/>
  <c r="D1337" i="22"/>
  <c r="D1336" i="22"/>
  <c r="D1335" i="22"/>
  <c r="D1334" i="22"/>
  <c r="D1333" i="22"/>
  <c r="D1332" i="22"/>
  <c r="D1331" i="22"/>
  <c r="D1330" i="22"/>
  <c r="D1329" i="22"/>
  <c r="D1328" i="22"/>
  <c r="D1327" i="22"/>
  <c r="D1326" i="22"/>
  <c r="D1325" i="22"/>
  <c r="D1324" i="22"/>
  <c r="D1323" i="22"/>
  <c r="D1322" i="22"/>
  <c r="D1321" i="22"/>
  <c r="D1320" i="22"/>
  <c r="D1319" i="22"/>
  <c r="D1318" i="22"/>
  <c r="D1317" i="22"/>
  <c r="D1316" i="22"/>
  <c r="D1315" i="22"/>
  <c r="D1314" i="22"/>
  <c r="D1313" i="22"/>
  <c r="D1312" i="22"/>
  <c r="D1311" i="22"/>
  <c r="D1310" i="22"/>
  <c r="D1309" i="22"/>
  <c r="D1308" i="22"/>
  <c r="D1307" i="22"/>
  <c r="D1306" i="22"/>
  <c r="D1305" i="22"/>
  <c r="D1304" i="22"/>
  <c r="D1303" i="22"/>
  <c r="D1302" i="22"/>
  <c r="D1301" i="22"/>
  <c r="D1300" i="22"/>
  <c r="D1299" i="22"/>
  <c r="D1298" i="22"/>
  <c r="D1297" i="22"/>
  <c r="D1296" i="22"/>
  <c r="D1295" i="22"/>
  <c r="D1294" i="22"/>
  <c r="D1293" i="22"/>
  <c r="D1292" i="22"/>
  <c r="D1291" i="22"/>
  <c r="D1290" i="22"/>
  <c r="D1289" i="22"/>
  <c r="D1288" i="22"/>
  <c r="D1287" i="22"/>
  <c r="D1286" i="22"/>
  <c r="D1285" i="22"/>
  <c r="D1284" i="22"/>
  <c r="D1283" i="22"/>
  <c r="D1282" i="22"/>
  <c r="D1281" i="22"/>
  <c r="D1280" i="22"/>
  <c r="D1279" i="22"/>
  <c r="D1278" i="22"/>
  <c r="D1277" i="22"/>
  <c r="D1276" i="22"/>
  <c r="D1275" i="22"/>
  <c r="D1274" i="22"/>
  <c r="D1273" i="22"/>
  <c r="D1272" i="22"/>
  <c r="D1271" i="22"/>
  <c r="D1270" i="22"/>
  <c r="D1269" i="22"/>
  <c r="D1268" i="22"/>
  <c r="D1267" i="22"/>
  <c r="D1266" i="22"/>
  <c r="D1265" i="22"/>
  <c r="D1264" i="22"/>
  <c r="D1263" i="22"/>
  <c r="D1262" i="22"/>
  <c r="D1261" i="22"/>
  <c r="D1260" i="22"/>
  <c r="D1259" i="22"/>
  <c r="D1258" i="22"/>
  <c r="D1257" i="22"/>
  <c r="D1256" i="22"/>
  <c r="D1255" i="22"/>
  <c r="D1254" i="22"/>
  <c r="D1253" i="22"/>
  <c r="D1252" i="22"/>
  <c r="D1251" i="22"/>
  <c r="D1250" i="22"/>
  <c r="D1249" i="22"/>
  <c r="D1248" i="22"/>
  <c r="D1247" i="22"/>
  <c r="D1246" i="22"/>
  <c r="D1245" i="22"/>
  <c r="D1244" i="22"/>
  <c r="D1243" i="22"/>
  <c r="D1242" i="22"/>
  <c r="D1241" i="22"/>
  <c r="D1240" i="22"/>
  <c r="D1239" i="22"/>
  <c r="D1238" i="22"/>
  <c r="D1237" i="22"/>
  <c r="D1236" i="22"/>
  <c r="D1235" i="22"/>
  <c r="D1234" i="22"/>
  <c r="D1233" i="22"/>
  <c r="D1232" i="22"/>
  <c r="D1231" i="22"/>
  <c r="D1230" i="22"/>
  <c r="D1229" i="22"/>
  <c r="D1228" i="22"/>
  <c r="D1227" i="22"/>
  <c r="D1226" i="22"/>
  <c r="D1225" i="22"/>
  <c r="D1224" i="22"/>
  <c r="D1223" i="22"/>
  <c r="D1222" i="22"/>
  <c r="D1221" i="22"/>
  <c r="D1220" i="22"/>
  <c r="D1219" i="22"/>
  <c r="D1218" i="22"/>
  <c r="D1217" i="22"/>
  <c r="D1216" i="22"/>
  <c r="D1215" i="22"/>
  <c r="D1214" i="22"/>
  <c r="D1213" i="22"/>
  <c r="D1212" i="22"/>
  <c r="D1211" i="22"/>
  <c r="D1210" i="22"/>
  <c r="D1209" i="22"/>
  <c r="D1208" i="22"/>
  <c r="D1207" i="22"/>
  <c r="D1206" i="22"/>
  <c r="D1205" i="22"/>
  <c r="D1204" i="22"/>
  <c r="D1203" i="22"/>
  <c r="D1202" i="22"/>
  <c r="D1201" i="22"/>
  <c r="D1200" i="22"/>
  <c r="D1199" i="22"/>
  <c r="D1198" i="22"/>
  <c r="D1197" i="22"/>
  <c r="D1196" i="22"/>
  <c r="D1195" i="22"/>
  <c r="D1194" i="22"/>
  <c r="D1193" i="22"/>
  <c r="D1192" i="22"/>
  <c r="D1191" i="22"/>
  <c r="D1190" i="22"/>
  <c r="D1189" i="22"/>
  <c r="D1188" i="22"/>
  <c r="D1187" i="22"/>
  <c r="D1186" i="22"/>
  <c r="D1185" i="22"/>
  <c r="D1184" i="22"/>
  <c r="D1183" i="22"/>
  <c r="D1182" i="22"/>
  <c r="D1181" i="22"/>
  <c r="D1180" i="22"/>
  <c r="D1179" i="22"/>
  <c r="D1178" i="22"/>
  <c r="D1177" i="22"/>
  <c r="D1176" i="22"/>
  <c r="D1175" i="22"/>
  <c r="D1174" i="22"/>
  <c r="D1173" i="22"/>
  <c r="D1172" i="22"/>
  <c r="D1171" i="22"/>
  <c r="D1170" i="22"/>
  <c r="D1169" i="22"/>
  <c r="D1168" i="22"/>
  <c r="D1167" i="22"/>
  <c r="D1166" i="22"/>
  <c r="D1165" i="22"/>
  <c r="D1164" i="22"/>
  <c r="D1163" i="22"/>
  <c r="D1162" i="22"/>
  <c r="D1161" i="22"/>
  <c r="D1160" i="22"/>
  <c r="D1159" i="22"/>
  <c r="D1158" i="22"/>
  <c r="D1157" i="22"/>
  <c r="D1156" i="22"/>
  <c r="D1155" i="22"/>
  <c r="D1154" i="22"/>
  <c r="D1153" i="22"/>
  <c r="D1152" i="22"/>
  <c r="D1151" i="22"/>
  <c r="D1150" i="22"/>
  <c r="D1149" i="22"/>
  <c r="D1148" i="22"/>
  <c r="D1147" i="22"/>
  <c r="D1146" i="22"/>
  <c r="D1145" i="22"/>
  <c r="D1144" i="22"/>
  <c r="D1143" i="22"/>
  <c r="D1142" i="22"/>
  <c r="D1141" i="22"/>
  <c r="D1140" i="22"/>
  <c r="D1139" i="22"/>
  <c r="D1138" i="22"/>
  <c r="D1137" i="22"/>
  <c r="D1136" i="22"/>
  <c r="D1135" i="22"/>
  <c r="D1134" i="22"/>
  <c r="D1133" i="22"/>
  <c r="D1132" i="22"/>
  <c r="D1131" i="22"/>
  <c r="D1130" i="22"/>
  <c r="D1129" i="22"/>
  <c r="D1128" i="22"/>
  <c r="D1127" i="22"/>
  <c r="D1126" i="22"/>
  <c r="D1125" i="22"/>
  <c r="D1124" i="22"/>
  <c r="D1123" i="22"/>
  <c r="D1122" i="22"/>
  <c r="D1121" i="22"/>
  <c r="D1120" i="22"/>
  <c r="D1119" i="22"/>
  <c r="D1118" i="22"/>
  <c r="D1117" i="22"/>
  <c r="D1116" i="22"/>
  <c r="D1115" i="22"/>
  <c r="D1114" i="22"/>
  <c r="D1113" i="22"/>
  <c r="D1112" i="22"/>
  <c r="D1111" i="22"/>
  <c r="D1110" i="22"/>
  <c r="D1109" i="22"/>
  <c r="D1108" i="22"/>
  <c r="D1107" i="22"/>
  <c r="D1106" i="22"/>
  <c r="D1105" i="22"/>
  <c r="D1104" i="22"/>
  <c r="D1103" i="22"/>
  <c r="D1102" i="22"/>
  <c r="D1101" i="22"/>
  <c r="D1100" i="22"/>
  <c r="D1099" i="22"/>
  <c r="D1098" i="22"/>
  <c r="D1097" i="22"/>
  <c r="D1096" i="22"/>
  <c r="D1095" i="22"/>
  <c r="D1094" i="22"/>
  <c r="D1093" i="22"/>
  <c r="D1092" i="22"/>
  <c r="D1091" i="22"/>
  <c r="D1090" i="22"/>
  <c r="D1089" i="22"/>
  <c r="D1088" i="22"/>
  <c r="D1087" i="22"/>
  <c r="D1086" i="22"/>
  <c r="D1085" i="22"/>
  <c r="D1084" i="22"/>
  <c r="D1083" i="22"/>
  <c r="D1082" i="22"/>
  <c r="D1081" i="22"/>
  <c r="D1080" i="22"/>
  <c r="D1079" i="22"/>
  <c r="D1078" i="22"/>
  <c r="D1077" i="22"/>
  <c r="D1076" i="22"/>
  <c r="D1075" i="22"/>
  <c r="D1074" i="22"/>
  <c r="D1073" i="22"/>
  <c r="D1072" i="22"/>
  <c r="D1071" i="22"/>
  <c r="D1070" i="22"/>
  <c r="D1069" i="22"/>
  <c r="D1068" i="22"/>
  <c r="D1067" i="22"/>
  <c r="D1066" i="22"/>
  <c r="D1065" i="22"/>
  <c r="D1064" i="22"/>
  <c r="D1063" i="22"/>
  <c r="D1062" i="22"/>
  <c r="D1061" i="22"/>
  <c r="D1060" i="22"/>
  <c r="D1059" i="22"/>
  <c r="D1058" i="22"/>
  <c r="D1057" i="22"/>
  <c r="D1056" i="22"/>
  <c r="D1055" i="22"/>
  <c r="D1054" i="22"/>
  <c r="D1053" i="22"/>
  <c r="D1052" i="22"/>
  <c r="D1051" i="22"/>
  <c r="D1050" i="22"/>
  <c r="D1049" i="22"/>
  <c r="D1048" i="22"/>
  <c r="D1047" i="22"/>
  <c r="D1046" i="22"/>
  <c r="D1045" i="22"/>
  <c r="D1044" i="22"/>
  <c r="D1043" i="22"/>
  <c r="D1042" i="22"/>
  <c r="D1041" i="22"/>
  <c r="D1040" i="22"/>
  <c r="D1039" i="22"/>
  <c r="D1038" i="22"/>
  <c r="D1037" i="22"/>
  <c r="D1036" i="22"/>
  <c r="D1035" i="22"/>
  <c r="D1034" i="22"/>
  <c r="D1033" i="22"/>
  <c r="D1032" i="22"/>
  <c r="D1031" i="22"/>
  <c r="D1030" i="22"/>
  <c r="D1029" i="22"/>
  <c r="D1028" i="22"/>
  <c r="D1027" i="22"/>
  <c r="D1026" i="22"/>
  <c r="D1025" i="22"/>
  <c r="D1024" i="22"/>
  <c r="D1023" i="22"/>
  <c r="D1022" i="22"/>
  <c r="D1021" i="22"/>
  <c r="D1020" i="22"/>
  <c r="D1019" i="22"/>
  <c r="D1018" i="22"/>
  <c r="D1017" i="22"/>
  <c r="D1016" i="22"/>
  <c r="D1015" i="22"/>
  <c r="D1014" i="22"/>
  <c r="D1013" i="22"/>
  <c r="D1012" i="22"/>
  <c r="D1011" i="22"/>
  <c r="D1010" i="22"/>
  <c r="D1009" i="22"/>
  <c r="D1008" i="22"/>
  <c r="D1007" i="22"/>
  <c r="D1006" i="22"/>
  <c r="D1005" i="22"/>
  <c r="D1004" i="22"/>
  <c r="D1003" i="22"/>
  <c r="D1002" i="22"/>
  <c r="D1001" i="22"/>
  <c r="D1000" i="22"/>
  <c r="D999" i="22"/>
  <c r="D998" i="22"/>
  <c r="D997" i="22"/>
  <c r="D996" i="22"/>
  <c r="D995" i="22"/>
  <c r="D994" i="22"/>
  <c r="D993" i="22"/>
  <c r="D992" i="22"/>
  <c r="D991" i="22"/>
  <c r="D990" i="22"/>
  <c r="D989" i="22"/>
  <c r="D988" i="22"/>
  <c r="D987" i="22"/>
  <c r="D986" i="22"/>
  <c r="D985" i="22"/>
  <c r="D984" i="22"/>
  <c r="D983" i="22"/>
  <c r="D982" i="22"/>
  <c r="D981" i="22"/>
  <c r="D980" i="22"/>
  <c r="D979" i="22"/>
  <c r="D978" i="22"/>
  <c r="D977" i="22"/>
  <c r="D976" i="22"/>
  <c r="D975" i="22"/>
  <c r="D974" i="22"/>
  <c r="D973" i="22"/>
  <c r="D972" i="22"/>
  <c r="D971" i="22"/>
  <c r="D970" i="22"/>
  <c r="D969" i="22"/>
  <c r="D968" i="22"/>
  <c r="D967" i="22"/>
  <c r="D966" i="22"/>
  <c r="D965" i="22"/>
  <c r="D964" i="22"/>
  <c r="D963" i="22"/>
  <c r="D962" i="22"/>
  <c r="D961" i="22"/>
  <c r="D960" i="22"/>
  <c r="D959" i="22"/>
  <c r="D958" i="22"/>
  <c r="D957" i="22"/>
  <c r="D956" i="22"/>
  <c r="D955" i="22"/>
  <c r="D954" i="22"/>
  <c r="D953" i="22"/>
  <c r="D952" i="22"/>
  <c r="D951" i="22"/>
  <c r="D950" i="22"/>
  <c r="D949" i="22"/>
  <c r="D948" i="22"/>
  <c r="D947" i="22"/>
  <c r="D946" i="22"/>
  <c r="D945" i="22"/>
  <c r="D944" i="22"/>
  <c r="D943" i="22"/>
  <c r="D942" i="22"/>
  <c r="D941" i="22"/>
  <c r="D940" i="22"/>
  <c r="D939" i="22"/>
  <c r="D938" i="22"/>
  <c r="D937" i="22"/>
  <c r="D936" i="22"/>
  <c r="D935" i="22"/>
  <c r="D934" i="22"/>
  <c r="D933" i="22"/>
  <c r="D932" i="22"/>
  <c r="D931" i="22"/>
  <c r="D930" i="22"/>
  <c r="D929" i="22"/>
  <c r="D928" i="22"/>
  <c r="D927" i="22"/>
  <c r="D926" i="22"/>
  <c r="D925" i="22"/>
  <c r="D924" i="22"/>
  <c r="D923" i="22"/>
  <c r="D922" i="22"/>
  <c r="D921" i="22"/>
  <c r="D920" i="22"/>
  <c r="D919" i="22"/>
  <c r="D918" i="22"/>
  <c r="D917" i="22"/>
  <c r="D916" i="22"/>
  <c r="D915" i="22"/>
  <c r="D914" i="22"/>
  <c r="D913" i="22"/>
  <c r="D912" i="22"/>
  <c r="D911" i="22"/>
  <c r="D910" i="22"/>
  <c r="D909" i="22"/>
  <c r="D908" i="22"/>
  <c r="D907" i="22"/>
  <c r="D906" i="22"/>
  <c r="D905" i="22"/>
  <c r="D904" i="22"/>
  <c r="D903" i="22"/>
  <c r="D902" i="22"/>
  <c r="D901" i="22"/>
  <c r="D900" i="22"/>
  <c r="D899" i="22"/>
  <c r="D898" i="22"/>
  <c r="D897" i="22"/>
  <c r="D896" i="22"/>
  <c r="D895" i="22"/>
  <c r="D894" i="22"/>
  <c r="D893" i="22"/>
  <c r="D892" i="22"/>
  <c r="D891" i="22"/>
  <c r="D890" i="22"/>
  <c r="D889" i="22"/>
  <c r="D888" i="22"/>
  <c r="D887" i="22"/>
  <c r="D886" i="22"/>
  <c r="D885" i="22"/>
  <c r="D884" i="22"/>
  <c r="D883" i="22"/>
  <c r="D882" i="22"/>
  <c r="D881" i="22"/>
  <c r="D880" i="22"/>
  <c r="D879" i="22"/>
  <c r="D878" i="22"/>
  <c r="D877" i="22"/>
  <c r="D876" i="22"/>
  <c r="D875" i="22"/>
  <c r="D874" i="22"/>
  <c r="D873" i="22"/>
  <c r="D872" i="22"/>
  <c r="D871" i="22"/>
  <c r="D870" i="22"/>
  <c r="D869" i="22"/>
  <c r="D868" i="22"/>
  <c r="D867" i="22"/>
  <c r="D866" i="22"/>
  <c r="D865" i="22"/>
  <c r="D864" i="22"/>
  <c r="D863" i="22"/>
  <c r="D862" i="22"/>
  <c r="D861" i="22"/>
  <c r="D860" i="22"/>
  <c r="D859" i="22"/>
  <c r="D858" i="22"/>
  <c r="D857" i="22"/>
  <c r="D856" i="22"/>
  <c r="D855" i="22"/>
  <c r="D854" i="22"/>
  <c r="D853" i="22"/>
  <c r="D852" i="22"/>
  <c r="D851" i="22"/>
  <c r="D850" i="22"/>
  <c r="D849" i="22"/>
  <c r="D848" i="22"/>
  <c r="D847" i="22"/>
  <c r="D846" i="22"/>
  <c r="D845" i="22"/>
  <c r="D844" i="22"/>
  <c r="D843" i="22"/>
  <c r="D842" i="22"/>
  <c r="D841" i="22"/>
  <c r="D840" i="22"/>
  <c r="D839" i="22"/>
  <c r="D838" i="22"/>
  <c r="D837" i="22"/>
  <c r="D836" i="22"/>
  <c r="D835" i="22"/>
  <c r="D834" i="22"/>
  <c r="D833" i="22"/>
  <c r="D832" i="22"/>
  <c r="D831" i="22"/>
  <c r="D830" i="22"/>
  <c r="D829" i="22"/>
  <c r="D828" i="22"/>
  <c r="D827" i="22"/>
  <c r="D826" i="22"/>
  <c r="D825" i="22"/>
  <c r="D824" i="22"/>
  <c r="D823" i="22"/>
  <c r="D822" i="22"/>
  <c r="D821" i="22"/>
  <c r="D820" i="22"/>
  <c r="D819" i="22"/>
  <c r="D818" i="22"/>
  <c r="D817" i="22"/>
  <c r="D816" i="22"/>
  <c r="D815" i="22"/>
  <c r="D814" i="22"/>
  <c r="D813" i="22"/>
  <c r="D812" i="22"/>
  <c r="D811" i="22"/>
  <c r="D810" i="22"/>
  <c r="D809" i="22"/>
  <c r="D808" i="22"/>
  <c r="D807" i="22"/>
  <c r="D806" i="22"/>
  <c r="D805" i="22"/>
  <c r="D804" i="22"/>
  <c r="D803" i="22"/>
  <c r="D802" i="22"/>
  <c r="D801" i="22"/>
  <c r="D800" i="22"/>
  <c r="D799" i="22"/>
  <c r="D798" i="22"/>
  <c r="D797" i="22"/>
  <c r="D796" i="22"/>
  <c r="D795" i="22"/>
  <c r="D794" i="22"/>
  <c r="D793" i="22"/>
  <c r="D792" i="22"/>
  <c r="D791" i="22"/>
  <c r="D790" i="22"/>
  <c r="D789" i="22"/>
  <c r="D788" i="22"/>
  <c r="D787" i="22"/>
  <c r="D786" i="22"/>
  <c r="D785" i="22"/>
  <c r="D784" i="22"/>
  <c r="D783" i="22"/>
  <c r="D782" i="22"/>
  <c r="D781" i="22"/>
  <c r="D780" i="22"/>
  <c r="D779" i="22"/>
  <c r="D778" i="22"/>
  <c r="D777" i="22"/>
  <c r="D776" i="22"/>
  <c r="D775" i="22"/>
  <c r="D774" i="22"/>
  <c r="D773" i="22"/>
  <c r="D772" i="22"/>
  <c r="D771" i="22"/>
  <c r="D770" i="22"/>
  <c r="D769" i="22"/>
  <c r="D768" i="22"/>
  <c r="D767" i="22"/>
  <c r="D766" i="22"/>
  <c r="D765" i="22"/>
  <c r="D764" i="22"/>
  <c r="D763" i="22"/>
  <c r="D762" i="22"/>
  <c r="D761" i="22"/>
  <c r="D760" i="22"/>
  <c r="D759" i="22"/>
  <c r="D758" i="22"/>
  <c r="D757" i="22"/>
  <c r="D756" i="22"/>
  <c r="D755" i="22"/>
  <c r="D754" i="22"/>
  <c r="D753" i="22"/>
  <c r="D752" i="22"/>
  <c r="D751" i="22"/>
  <c r="D750" i="22"/>
  <c r="D749" i="22"/>
  <c r="D748" i="22"/>
  <c r="D747" i="22"/>
  <c r="D746" i="22"/>
  <c r="D745" i="22"/>
  <c r="D744" i="22"/>
  <c r="D743" i="22"/>
  <c r="D742" i="22"/>
  <c r="D741" i="22"/>
  <c r="D740" i="22"/>
  <c r="D739" i="22"/>
  <c r="D738" i="22"/>
  <c r="D737" i="22"/>
  <c r="D736" i="22"/>
  <c r="D735" i="22"/>
  <c r="D734" i="22"/>
  <c r="D733" i="22"/>
  <c r="D732" i="22"/>
  <c r="D731" i="22"/>
  <c r="D730" i="22"/>
  <c r="D729" i="22"/>
  <c r="D728" i="22"/>
  <c r="D727" i="22"/>
  <c r="D726" i="22"/>
  <c r="D725" i="22"/>
  <c r="D724" i="22"/>
  <c r="D723" i="22"/>
  <c r="D722" i="22"/>
  <c r="D721" i="22"/>
  <c r="D720" i="22"/>
  <c r="D719" i="22"/>
  <c r="D718" i="22"/>
  <c r="D717" i="22"/>
  <c r="D716" i="22"/>
  <c r="D715" i="22"/>
  <c r="D714" i="22"/>
  <c r="D713" i="22"/>
  <c r="D712" i="22"/>
  <c r="D711" i="22"/>
  <c r="D710" i="22"/>
  <c r="D709" i="22"/>
  <c r="D708" i="22"/>
  <c r="D707" i="22"/>
  <c r="D706" i="22"/>
  <c r="D705" i="22"/>
  <c r="D704" i="22"/>
  <c r="D703" i="22"/>
  <c r="D702" i="22"/>
  <c r="D701" i="22"/>
  <c r="D700" i="22"/>
  <c r="D699" i="22"/>
  <c r="D698" i="22"/>
  <c r="D697" i="22"/>
  <c r="D696" i="22"/>
  <c r="D695" i="22"/>
  <c r="D694" i="22"/>
  <c r="D693" i="22"/>
  <c r="D692" i="22"/>
  <c r="D691" i="22"/>
  <c r="D690" i="22"/>
  <c r="D689" i="22"/>
  <c r="D688" i="22"/>
  <c r="D687" i="22"/>
  <c r="D686" i="22"/>
  <c r="D685" i="22"/>
  <c r="D684" i="22"/>
  <c r="D683" i="22"/>
  <c r="D682" i="22"/>
  <c r="D681" i="22"/>
  <c r="D680" i="22"/>
  <c r="D679" i="22"/>
  <c r="D678" i="22"/>
  <c r="D677" i="22"/>
  <c r="D676" i="22"/>
  <c r="D675" i="22"/>
  <c r="D674" i="22"/>
  <c r="D673" i="22"/>
  <c r="D672" i="22"/>
  <c r="D671" i="22"/>
  <c r="D670" i="22"/>
  <c r="D669" i="22"/>
  <c r="D668" i="22"/>
  <c r="D667" i="22"/>
  <c r="D666" i="22"/>
  <c r="D665" i="22"/>
  <c r="D664" i="22"/>
  <c r="D663" i="22"/>
  <c r="D662" i="22"/>
  <c r="D661" i="22"/>
  <c r="D660" i="22"/>
  <c r="D659" i="22"/>
  <c r="D658" i="22"/>
  <c r="D657" i="22"/>
  <c r="D656" i="22"/>
  <c r="D655" i="22"/>
  <c r="D654" i="22"/>
  <c r="D653" i="22"/>
  <c r="D652" i="22"/>
  <c r="D651" i="22"/>
  <c r="D650" i="22"/>
  <c r="D649" i="22"/>
  <c r="D648" i="22"/>
  <c r="D647" i="22"/>
  <c r="D646" i="22"/>
  <c r="D645" i="22"/>
  <c r="D644" i="22"/>
  <c r="D643" i="22"/>
  <c r="D642" i="22"/>
  <c r="D641" i="22"/>
  <c r="D640" i="22"/>
  <c r="D639" i="22"/>
  <c r="D638" i="22"/>
  <c r="D637" i="22"/>
  <c r="D636" i="22"/>
  <c r="D635" i="22"/>
  <c r="D634" i="22"/>
  <c r="D633" i="22"/>
  <c r="D632" i="22"/>
  <c r="D631" i="22"/>
  <c r="D630" i="22"/>
  <c r="D629" i="22"/>
  <c r="D628" i="22"/>
  <c r="D627" i="22"/>
  <c r="D626" i="22"/>
  <c r="D625" i="22"/>
  <c r="D624" i="22"/>
  <c r="D623" i="22"/>
  <c r="D622" i="22"/>
  <c r="D621" i="22"/>
  <c r="D620" i="22"/>
  <c r="D619" i="22"/>
  <c r="D618" i="22"/>
  <c r="D617" i="22"/>
  <c r="D616" i="22"/>
  <c r="D615" i="22"/>
  <c r="D614" i="22"/>
  <c r="D613" i="22"/>
  <c r="D612" i="22"/>
  <c r="D611" i="22"/>
  <c r="D610" i="22"/>
  <c r="D609" i="22"/>
  <c r="D608" i="22"/>
  <c r="D607" i="22"/>
  <c r="D606" i="22"/>
  <c r="D605" i="22"/>
  <c r="D604" i="22"/>
  <c r="D603" i="22"/>
  <c r="D602" i="22"/>
  <c r="D601" i="22"/>
  <c r="D600" i="22"/>
  <c r="D599" i="22"/>
  <c r="D598" i="22"/>
  <c r="D597" i="22"/>
  <c r="D596" i="22"/>
  <c r="D595" i="22"/>
  <c r="D594" i="22"/>
  <c r="D593" i="22"/>
  <c r="D592" i="22"/>
  <c r="D591" i="22"/>
  <c r="D590" i="22"/>
  <c r="D589" i="22"/>
  <c r="D588" i="22"/>
  <c r="D587" i="22"/>
  <c r="D586" i="22"/>
  <c r="D585" i="22"/>
  <c r="D584" i="22"/>
  <c r="D583" i="22"/>
  <c r="D582" i="22"/>
  <c r="D581" i="22"/>
  <c r="D580" i="22"/>
  <c r="D579" i="22"/>
  <c r="D578" i="22"/>
  <c r="D577" i="22"/>
  <c r="D576" i="22"/>
  <c r="D575" i="22"/>
  <c r="D574" i="22"/>
  <c r="D573" i="22"/>
  <c r="D572" i="22"/>
  <c r="D571" i="22"/>
  <c r="D570" i="22"/>
  <c r="D569" i="22"/>
  <c r="D568" i="22"/>
  <c r="D567" i="22"/>
  <c r="D566" i="22"/>
  <c r="D565" i="22"/>
  <c r="D564" i="22"/>
  <c r="D563" i="22"/>
  <c r="D562" i="22"/>
  <c r="D561" i="22"/>
  <c r="D560" i="22"/>
  <c r="D559" i="22"/>
  <c r="D558" i="22"/>
  <c r="D557" i="22"/>
  <c r="D556" i="22"/>
  <c r="D555" i="22"/>
  <c r="D554" i="22"/>
  <c r="D553" i="22"/>
  <c r="D552" i="22"/>
  <c r="D551" i="22"/>
  <c r="D550" i="22"/>
  <c r="D549" i="22"/>
  <c r="D548" i="22"/>
  <c r="D547" i="22"/>
  <c r="D546" i="22"/>
  <c r="D545" i="22"/>
  <c r="D544" i="22"/>
  <c r="D543" i="22"/>
  <c r="D542" i="22"/>
  <c r="D541" i="22"/>
  <c r="D540" i="22"/>
  <c r="D539" i="22"/>
  <c r="D538" i="22"/>
  <c r="D537" i="22"/>
  <c r="D536" i="22"/>
  <c r="D535" i="22"/>
  <c r="D534" i="22"/>
  <c r="D533" i="22"/>
  <c r="D532" i="22"/>
  <c r="D531" i="22"/>
  <c r="D530" i="22"/>
  <c r="D529" i="22"/>
  <c r="D528" i="22"/>
  <c r="D527" i="22"/>
  <c r="D526" i="22"/>
  <c r="D525" i="22"/>
  <c r="D524" i="22"/>
  <c r="D523" i="22"/>
  <c r="D522" i="22"/>
  <c r="D521" i="22"/>
  <c r="D520" i="22"/>
  <c r="D519" i="22"/>
  <c r="D518" i="22"/>
  <c r="D517" i="22"/>
  <c r="D516" i="22"/>
  <c r="D515" i="22"/>
  <c r="D514" i="22"/>
  <c r="D513" i="22"/>
  <c r="D512" i="22"/>
  <c r="D511" i="22"/>
  <c r="D510" i="22"/>
  <c r="D509" i="22"/>
  <c r="D508" i="22"/>
  <c r="D507" i="22"/>
  <c r="D506" i="22"/>
  <c r="D505" i="22"/>
  <c r="D504" i="22"/>
  <c r="D503" i="22"/>
  <c r="D502" i="22"/>
  <c r="D501" i="22"/>
  <c r="D500" i="22"/>
  <c r="D499" i="22"/>
  <c r="D498" i="22"/>
  <c r="D497" i="22"/>
  <c r="D496" i="22"/>
  <c r="D495" i="22"/>
  <c r="D494" i="22"/>
  <c r="D493" i="22"/>
  <c r="D492" i="22"/>
  <c r="D491" i="22"/>
  <c r="D490" i="22"/>
  <c r="D489" i="22"/>
  <c r="D488" i="22"/>
  <c r="D487" i="22"/>
  <c r="D486" i="22"/>
  <c r="D485" i="22"/>
  <c r="D484" i="22"/>
  <c r="D483" i="22"/>
  <c r="D482" i="22"/>
  <c r="D481" i="22"/>
  <c r="D480" i="22"/>
  <c r="D479" i="22"/>
  <c r="D478" i="22"/>
  <c r="D477" i="22"/>
  <c r="D476" i="22"/>
  <c r="D475" i="22"/>
  <c r="D474" i="22"/>
  <c r="D473" i="22"/>
  <c r="D472" i="22"/>
  <c r="D471" i="22"/>
  <c r="D470" i="22"/>
  <c r="D469" i="22"/>
  <c r="D468" i="22"/>
  <c r="D467" i="22"/>
  <c r="D466" i="22"/>
  <c r="D465" i="22"/>
  <c r="D464" i="22"/>
  <c r="D463" i="22"/>
  <c r="D462" i="22"/>
  <c r="D461" i="22"/>
  <c r="D460" i="22"/>
  <c r="D459" i="22"/>
  <c r="D458" i="22"/>
  <c r="D457" i="22"/>
  <c r="D456" i="22"/>
  <c r="D455" i="22"/>
  <c r="D454" i="22"/>
  <c r="D453" i="22"/>
  <c r="D452" i="22"/>
  <c r="D451" i="22"/>
  <c r="D450" i="22"/>
  <c r="D449" i="22"/>
  <c r="D448" i="22"/>
  <c r="D447" i="22"/>
  <c r="D446" i="22"/>
  <c r="D445" i="22"/>
  <c r="D444" i="22"/>
  <c r="D443" i="22"/>
  <c r="D442" i="22"/>
  <c r="D441" i="22"/>
  <c r="D440" i="22"/>
  <c r="D439" i="22"/>
  <c r="D438" i="22"/>
  <c r="D437" i="22"/>
  <c r="D436" i="22"/>
  <c r="D435" i="22"/>
  <c r="D434" i="22"/>
  <c r="D433" i="22"/>
  <c r="D432" i="22"/>
  <c r="D431" i="22"/>
  <c r="D430" i="22"/>
  <c r="D429" i="22"/>
  <c r="D428" i="22"/>
  <c r="D427" i="22"/>
  <c r="D426" i="22"/>
  <c r="D425" i="22"/>
  <c r="D424" i="22"/>
  <c r="D423" i="22"/>
  <c r="D422" i="22"/>
  <c r="D421" i="22"/>
  <c r="D420" i="22"/>
  <c r="D419" i="22"/>
  <c r="D418" i="22"/>
  <c r="D417" i="22"/>
  <c r="D416" i="22"/>
  <c r="D415" i="22"/>
  <c r="D414" i="22"/>
  <c r="D413" i="22"/>
  <c r="D412" i="22"/>
  <c r="D411" i="22"/>
  <c r="D410" i="22"/>
  <c r="D409" i="22"/>
  <c r="D408" i="22"/>
  <c r="D407" i="22"/>
  <c r="D406" i="22"/>
  <c r="D405" i="22"/>
  <c r="D404" i="22"/>
  <c r="D403" i="22"/>
  <c r="D402" i="22"/>
  <c r="D401" i="22"/>
  <c r="D400" i="22"/>
  <c r="D399" i="22"/>
  <c r="D398" i="22"/>
  <c r="D397" i="22"/>
  <c r="D396" i="22"/>
  <c r="D395" i="22"/>
  <c r="D394" i="22"/>
  <c r="D393" i="22"/>
  <c r="D392" i="22"/>
  <c r="D391" i="22"/>
  <c r="D390" i="22"/>
  <c r="D389" i="22"/>
  <c r="D388" i="22"/>
  <c r="D387" i="22"/>
  <c r="D386" i="22"/>
  <c r="D385" i="22"/>
  <c r="D384" i="22"/>
  <c r="D383" i="22"/>
  <c r="D382" i="22"/>
  <c r="D381" i="22"/>
  <c r="D380" i="22"/>
  <c r="D379" i="22"/>
  <c r="D378" i="22"/>
  <c r="D377" i="22"/>
  <c r="D376" i="22"/>
  <c r="D375" i="22"/>
  <c r="D374" i="22"/>
  <c r="D373" i="22"/>
  <c r="D372" i="22"/>
  <c r="D371" i="22"/>
  <c r="D370" i="22"/>
  <c r="D369" i="22"/>
  <c r="D368" i="22"/>
  <c r="D367" i="22"/>
  <c r="D366" i="22"/>
  <c r="D365" i="22"/>
  <c r="D364" i="22"/>
  <c r="D363" i="22"/>
  <c r="D362" i="22"/>
  <c r="D361" i="22"/>
  <c r="D360" i="22"/>
  <c r="D359" i="22"/>
  <c r="D358" i="22"/>
  <c r="D357" i="22"/>
  <c r="D356" i="22"/>
  <c r="D355" i="22"/>
  <c r="D354" i="22"/>
  <c r="D353" i="22"/>
  <c r="D352" i="22"/>
  <c r="D351" i="22"/>
  <c r="D350" i="22"/>
  <c r="D349" i="22"/>
  <c r="D348" i="22"/>
  <c r="D347" i="22"/>
  <c r="D346" i="22"/>
  <c r="D345" i="22"/>
  <c r="D344" i="22"/>
  <c r="D343" i="22"/>
  <c r="D342" i="22"/>
  <c r="D341" i="22"/>
  <c r="D340" i="22"/>
  <c r="D339" i="22"/>
  <c r="D338" i="22"/>
  <c r="D337" i="22"/>
  <c r="D336" i="22"/>
  <c r="D335" i="22"/>
  <c r="D334" i="22"/>
  <c r="D333" i="22"/>
  <c r="D332" i="22"/>
  <c r="D331" i="22"/>
  <c r="D330" i="22"/>
  <c r="D329" i="22"/>
  <c r="D328" i="22"/>
  <c r="D327" i="22"/>
  <c r="D326" i="22"/>
  <c r="D325" i="22"/>
  <c r="D324" i="22"/>
  <c r="D323" i="22"/>
  <c r="D322" i="22"/>
  <c r="D321" i="22"/>
  <c r="D320" i="22"/>
  <c r="D319" i="22"/>
  <c r="D318" i="22"/>
  <c r="D317" i="22"/>
  <c r="D316" i="22"/>
  <c r="D315" i="22"/>
  <c r="D314" i="22"/>
  <c r="D313" i="22"/>
  <c r="D312" i="22"/>
  <c r="D311" i="22"/>
  <c r="D310" i="22"/>
  <c r="D309" i="22"/>
  <c r="D308" i="22"/>
  <c r="D307" i="22"/>
  <c r="D306" i="22"/>
  <c r="D305" i="22"/>
  <c r="D304" i="22"/>
  <c r="D303" i="22"/>
  <c r="D302" i="22"/>
  <c r="D301" i="22"/>
  <c r="D300" i="22"/>
  <c r="D299" i="22"/>
  <c r="D298" i="22"/>
  <c r="D297" i="22"/>
  <c r="D296" i="22"/>
  <c r="D295" i="22"/>
  <c r="D294" i="22"/>
  <c r="D293" i="22"/>
  <c r="D292" i="22"/>
  <c r="D291" i="22"/>
  <c r="D290" i="22"/>
  <c r="D289" i="22"/>
  <c r="D288" i="22"/>
  <c r="D287" i="22"/>
  <c r="D286" i="22"/>
  <c r="D285" i="22"/>
  <c r="D284" i="22"/>
  <c r="D283" i="22"/>
  <c r="D282" i="22"/>
  <c r="D281" i="22"/>
  <c r="D280" i="22"/>
  <c r="D279" i="22"/>
  <c r="D278" i="22"/>
  <c r="D277" i="22"/>
  <c r="D276" i="22"/>
  <c r="D275" i="22"/>
  <c r="D274" i="22"/>
  <c r="D273" i="22"/>
  <c r="D272" i="22"/>
  <c r="D271" i="22"/>
  <c r="D270" i="22"/>
  <c r="D269" i="22"/>
  <c r="D268" i="22"/>
  <c r="D267" i="22"/>
  <c r="D266" i="22"/>
  <c r="D265" i="22"/>
  <c r="D264" i="22"/>
  <c r="D263" i="22"/>
  <c r="D262" i="22"/>
  <c r="D261" i="22"/>
  <c r="D260" i="22"/>
  <c r="D259" i="22"/>
  <c r="D258" i="22"/>
  <c r="D257" i="22"/>
  <c r="D256" i="22"/>
  <c r="D255" i="22"/>
  <c r="D254" i="22"/>
  <c r="D253" i="22"/>
  <c r="D252" i="22"/>
  <c r="D251" i="22"/>
  <c r="D250" i="22"/>
  <c r="D249" i="22"/>
  <c r="D248" i="22"/>
  <c r="D247" i="22"/>
  <c r="D246" i="22"/>
  <c r="D245" i="22"/>
  <c r="D244" i="22"/>
  <c r="D243" i="22"/>
  <c r="D242" i="22"/>
  <c r="D241" i="22"/>
  <c r="D240" i="22"/>
  <c r="D239" i="22"/>
  <c r="D238" i="22"/>
  <c r="D237" i="22"/>
  <c r="D236" i="22"/>
  <c r="D235" i="22"/>
  <c r="D234" i="22"/>
  <c r="D233" i="22"/>
  <c r="D232" i="22"/>
  <c r="D231" i="22"/>
  <c r="D230" i="22"/>
  <c r="D229" i="22"/>
  <c r="D228" i="22"/>
  <c r="D227" i="22"/>
  <c r="D226" i="22"/>
  <c r="D225" i="22"/>
  <c r="D224" i="22"/>
  <c r="D223" i="22"/>
  <c r="D222" i="22"/>
  <c r="D221" i="22"/>
  <c r="D220" i="22"/>
  <c r="D219" i="22"/>
  <c r="D218" i="22"/>
  <c r="D217" i="22"/>
  <c r="D216" i="22"/>
  <c r="D215" i="22"/>
  <c r="D214" i="22"/>
  <c r="D213" i="22"/>
  <c r="D212" i="22"/>
  <c r="D211" i="22"/>
  <c r="D210" i="22"/>
  <c r="D209" i="22"/>
  <c r="D208" i="22"/>
  <c r="D207" i="22"/>
  <c r="D206" i="22"/>
  <c r="D205" i="22"/>
  <c r="D204" i="22"/>
  <c r="D203" i="22"/>
  <c r="D202" i="22"/>
  <c r="D201" i="22"/>
  <c r="D200" i="22"/>
  <c r="D199" i="22"/>
  <c r="D198" i="22"/>
  <c r="D197" i="22"/>
  <c r="D196" i="22"/>
  <c r="D195" i="22"/>
  <c r="D194" i="22"/>
  <c r="D193" i="22"/>
  <c r="D192" i="22"/>
  <c r="D191" i="22"/>
  <c r="D190" i="22"/>
  <c r="D189" i="22"/>
  <c r="D188" i="22"/>
  <c r="D187" i="22"/>
  <c r="D186" i="22"/>
  <c r="D185" i="22"/>
  <c r="D184" i="22"/>
  <c r="D183" i="22"/>
  <c r="D182" i="22"/>
  <c r="D181" i="22"/>
  <c r="D180" i="22"/>
  <c r="D179" i="22"/>
  <c r="D178" i="22"/>
  <c r="D177" i="22"/>
  <c r="D176" i="22"/>
  <c r="D175" i="22"/>
  <c r="D174" i="22"/>
  <c r="D173" i="22"/>
  <c r="D172" i="22"/>
  <c r="D171" i="22"/>
  <c r="D170" i="22"/>
  <c r="D169" i="22"/>
  <c r="D168" i="22"/>
  <c r="D167" i="22"/>
  <c r="D166" i="22"/>
  <c r="D165" i="22"/>
  <c r="D164" i="22"/>
  <c r="D163" i="22"/>
  <c r="D162" i="22"/>
  <c r="D161" i="22"/>
  <c r="D160" i="22"/>
  <c r="D159" i="22"/>
  <c r="D158" i="22"/>
  <c r="D157" i="22"/>
  <c r="D156" i="22"/>
  <c r="D155" i="22"/>
  <c r="D154" i="22"/>
  <c r="D153" i="22"/>
  <c r="D152" i="22"/>
  <c r="D151" i="22"/>
  <c r="D150" i="22"/>
  <c r="D149" i="22"/>
  <c r="D148" i="22"/>
  <c r="D147" i="22"/>
  <c r="D146" i="22"/>
  <c r="D145" i="22"/>
  <c r="D144" i="22"/>
  <c r="D143" i="22"/>
  <c r="D142" i="22"/>
  <c r="D141" i="22"/>
  <c r="D140" i="22"/>
  <c r="D139" i="22"/>
  <c r="D138" i="22"/>
  <c r="D137" i="22"/>
  <c r="D136" i="22"/>
  <c r="D135" i="22"/>
  <c r="D134" i="22"/>
  <c r="D133" i="22"/>
  <c r="D132" i="22"/>
  <c r="D131" i="22"/>
  <c r="D130" i="22"/>
  <c r="D129" i="22"/>
  <c r="D128" i="22"/>
  <c r="D127" i="22"/>
  <c r="D126" i="22"/>
  <c r="D125" i="22"/>
  <c r="D124" i="22"/>
  <c r="D123" i="22"/>
  <c r="D122" i="22"/>
  <c r="D121" i="22"/>
  <c r="D120" i="22"/>
  <c r="D119" i="22"/>
  <c r="D118" i="22"/>
  <c r="D117" i="22"/>
  <c r="D116" i="22"/>
  <c r="D115" i="22"/>
  <c r="D114" i="22"/>
  <c r="D113" i="22"/>
  <c r="D112" i="22"/>
  <c r="D111" i="22"/>
  <c r="D110" i="22"/>
  <c r="D109" i="22"/>
  <c r="D108" i="22"/>
  <c r="D107" i="22"/>
  <c r="D106" i="22"/>
  <c r="D105" i="22"/>
  <c r="D104" i="22"/>
  <c r="D103" i="22"/>
  <c r="D102" i="22"/>
  <c r="D101" i="22"/>
  <c r="D100" i="22"/>
  <c r="D99" i="22"/>
  <c r="D98" i="22"/>
  <c r="D97" i="22"/>
  <c r="D96" i="22"/>
  <c r="D95" i="22"/>
  <c r="D94" i="22"/>
  <c r="D93" i="22"/>
  <c r="D92" i="22"/>
  <c r="D91" i="22"/>
  <c r="D90" i="22"/>
  <c r="D89" i="22"/>
  <c r="D88" i="22"/>
  <c r="D87" i="22"/>
  <c r="D86" i="22"/>
  <c r="D85" i="22"/>
  <c r="D84" i="22"/>
  <c r="D83" i="22"/>
  <c r="D82" i="22"/>
  <c r="D81" i="22"/>
  <c r="D80" i="22"/>
  <c r="D79" i="22"/>
  <c r="D78" i="22"/>
  <c r="D77" i="22"/>
  <c r="D76" i="22"/>
  <c r="D75" i="22"/>
  <c r="D74" i="22"/>
  <c r="D73" i="22"/>
  <c r="D72" i="22"/>
  <c r="D71" i="22"/>
  <c r="D70" i="22"/>
  <c r="D69" i="22"/>
  <c r="D68" i="22"/>
  <c r="D67" i="22"/>
  <c r="D66" i="22"/>
  <c r="D65" i="22"/>
  <c r="D64" i="22"/>
  <c r="D63" i="22"/>
  <c r="D62" i="22"/>
  <c r="D61" i="22"/>
  <c r="D60" i="22"/>
  <c r="D59" i="22"/>
  <c r="D58" i="22"/>
  <c r="D57" i="22"/>
  <c r="D56" i="22"/>
  <c r="D55" i="22"/>
  <c r="D54" i="22"/>
  <c r="D53" i="22"/>
  <c r="D52" i="22"/>
  <c r="D51" i="22"/>
  <c r="D50" i="22"/>
  <c r="D49" i="22"/>
  <c r="D48" i="22"/>
  <c r="D47" i="22"/>
  <c r="D46" i="22"/>
  <c r="D45" i="22"/>
  <c r="D44" i="22"/>
  <c r="D43" i="22"/>
  <c r="D42" i="22"/>
  <c r="D41" i="22"/>
  <c r="D40" i="22"/>
  <c r="D39" i="22"/>
  <c r="D38" i="22"/>
  <c r="D37" i="22"/>
  <c r="D36" i="22"/>
  <c r="D35" i="22"/>
  <c r="D34" i="22"/>
  <c r="D33" i="22"/>
  <c r="D32" i="22"/>
  <c r="D31" i="22"/>
  <c r="D30" i="22"/>
  <c r="D29" i="22"/>
  <c r="D28" i="22"/>
  <c r="D27" i="22"/>
  <c r="D26" i="22"/>
  <c r="D25" i="22"/>
  <c r="D24" i="22"/>
  <c r="D23" i="22"/>
  <c r="D22" i="22"/>
  <c r="D21" i="22"/>
  <c r="D20" i="22"/>
  <c r="D19" i="22"/>
  <c r="D18" i="22"/>
  <c r="D17" i="22"/>
  <c r="D16" i="22"/>
  <c r="D15" i="22"/>
  <c r="D14" i="22"/>
  <c r="D13" i="22"/>
  <c r="D12" i="22"/>
  <c r="D11" i="22"/>
  <c r="D10" i="22"/>
  <c r="S26" i="22" s="1"/>
  <c r="D9" i="22"/>
  <c r="D8" i="22"/>
  <c r="D7" i="22"/>
  <c r="D6" i="22"/>
  <c r="D5" i="22"/>
  <c r="D4" i="22"/>
  <c r="D3" i="22"/>
  <c r="D2" i="22"/>
  <c r="K2" i="2" a="1"/>
  <c r="K2" i="2" s="1"/>
  <c r="J2" i="2" a="1"/>
  <c r="J2" i="2" s="1"/>
  <c r="I2" i="2" a="1"/>
  <c r="I2" i="2" s="1"/>
  <c r="R33" i="22"/>
  <c r="Q33" i="22"/>
  <c r="R32" i="22"/>
  <c r="Q32" i="22"/>
  <c r="R31" i="22"/>
  <c r="Q31" i="22"/>
  <c r="R30" i="22"/>
  <c r="R29" i="22"/>
  <c r="R28" i="22"/>
  <c r="R27" i="22"/>
  <c r="R26" i="22"/>
  <c r="Q30" i="22"/>
  <c r="Q29" i="22"/>
  <c r="Q28" i="22"/>
  <c r="Q27" i="22"/>
  <c r="Q26" i="22"/>
  <c r="A2" i="22" a="1"/>
  <c r="A2" i="22"/>
  <c r="K2" i="17" a="1"/>
  <c r="K2" i="17" s="1"/>
  <c r="J2" i="17" a="1"/>
  <c r="J2" i="17" s="1"/>
  <c r="I2" i="17" a="1"/>
  <c r="I2" i="17" s="1"/>
  <c r="C33" i="19"/>
  <c r="C32" i="19"/>
  <c r="C31" i="19"/>
  <c r="C30" i="19"/>
  <c r="C29" i="19"/>
  <c r="C28" i="19"/>
  <c r="C27" i="19"/>
  <c r="C26" i="19"/>
  <c r="C25" i="19"/>
  <c r="C24" i="19"/>
  <c r="C23" i="19"/>
  <c r="C22" i="19"/>
  <c r="C21" i="19"/>
  <c r="C20" i="19"/>
  <c r="C19" i="19"/>
  <c r="C18" i="19"/>
  <c r="C17" i="19"/>
  <c r="C16" i="19"/>
  <c r="C15" i="19"/>
  <c r="C14" i="19"/>
  <c r="C13" i="19"/>
  <c r="C12" i="19"/>
  <c r="C11" i="19"/>
  <c r="C10" i="19"/>
  <c r="C9" i="19"/>
  <c r="F3" i="21"/>
  <c r="F4" i="21" s="1"/>
  <c r="F5" i="21" s="1"/>
  <c r="F6" i="21" s="1"/>
  <c r="F7" i="21" s="1"/>
  <c r="F8" i="21" s="1"/>
  <c r="F9" i="21" s="1"/>
  <c r="F10" i="21" s="1"/>
  <c r="F11" i="21" s="1"/>
  <c r="F12" i="21" s="1"/>
  <c r="F13" i="21" s="1"/>
  <c r="F14" i="21" s="1"/>
  <c r="F15" i="21" s="1"/>
  <c r="F16" i="21" s="1"/>
  <c r="F17" i="21" s="1"/>
  <c r="F18" i="21" s="1"/>
  <c r="F19" i="21" s="1"/>
  <c r="F20" i="21" s="1"/>
  <c r="F21" i="21" s="1"/>
  <c r="F22" i="21" s="1"/>
  <c r="F23" i="21" s="1"/>
  <c r="F24" i="21" s="1"/>
  <c r="F25" i="21" s="1"/>
  <c r="F26" i="21" s="1"/>
  <c r="F27" i="21" s="1"/>
  <c r="F28" i="21" s="1"/>
  <c r="F29" i="21" s="1"/>
  <c r="F30" i="21" s="1"/>
  <c r="F31" i="21" s="1"/>
  <c r="F32" i="21" s="1"/>
  <c r="F33" i="21" s="1"/>
  <c r="F34" i="21" s="1"/>
  <c r="F35" i="21" s="1"/>
  <c r="F36" i="21" s="1"/>
  <c r="F37" i="21" s="1"/>
  <c r="F38" i="21" s="1"/>
  <c r="F39" i="21" s="1"/>
  <c r="F40" i="21" s="1"/>
  <c r="F41" i="21" s="1"/>
  <c r="F42" i="21" s="1"/>
  <c r="F43" i="21" s="1"/>
  <c r="F44" i="21" s="1"/>
  <c r="F45" i="21" s="1"/>
  <c r="F46" i="21" s="1"/>
  <c r="F47" i="21" s="1"/>
  <c r="F48" i="21" s="1"/>
  <c r="F49" i="21" s="1"/>
  <c r="F50" i="21" s="1"/>
  <c r="F51" i="21" s="1"/>
  <c r="F52" i="21" s="1"/>
  <c r="F53" i="21" s="1"/>
  <c r="F54" i="21" s="1"/>
  <c r="F55" i="21" s="1"/>
  <c r="F56" i="21" s="1"/>
  <c r="F57" i="21" s="1"/>
  <c r="F58" i="21" s="1"/>
  <c r="F59" i="21" s="1"/>
  <c r="F60" i="21" s="1"/>
  <c r="F61" i="21" s="1"/>
  <c r="L9" i="21"/>
  <c r="L10" i="21" s="1"/>
  <c r="L11" i="21" s="1"/>
  <c r="L12" i="21" s="1"/>
  <c r="L13" i="21" s="1"/>
  <c r="L14" i="21" s="1"/>
  <c r="L15" i="21" s="1"/>
  <c r="L16" i="21" s="1"/>
  <c r="L17" i="21" s="1"/>
  <c r="L18" i="21" s="1"/>
  <c r="L19" i="21" s="1"/>
  <c r="L20" i="21" s="1"/>
  <c r="L21" i="21" s="1"/>
  <c r="L22" i="21" s="1"/>
  <c r="L23" i="21" s="1"/>
  <c r="L24" i="21" s="1"/>
  <c r="L25" i="21" s="1"/>
  <c r="L26" i="21" s="1"/>
  <c r="L27" i="21" s="1"/>
  <c r="L28" i="21" s="1"/>
  <c r="L29" i="21" s="1"/>
  <c r="L30" i="21" s="1"/>
  <c r="L31" i="21" s="1"/>
  <c r="L32" i="21" s="1"/>
  <c r="L33" i="21" s="1"/>
  <c r="L34" i="21" s="1"/>
  <c r="L35" i="21" s="1"/>
  <c r="L36" i="21" s="1"/>
  <c r="L37" i="21" s="1"/>
  <c r="L38" i="21" s="1"/>
  <c r="L39" i="21" s="1"/>
  <c r="L40" i="21" s="1"/>
  <c r="L41" i="21" s="1"/>
  <c r="L42" i="21" s="1"/>
  <c r="L43" i="21" s="1"/>
  <c r="L44" i="21" s="1"/>
  <c r="L45" i="21" s="1"/>
  <c r="L46" i="21" s="1"/>
  <c r="L47" i="21" s="1"/>
  <c r="L48" i="21" s="1"/>
  <c r="L49" i="21" s="1"/>
  <c r="L50" i="21" s="1"/>
  <c r="L51" i="21" s="1"/>
  <c r="L52" i="21" s="1"/>
  <c r="L53" i="21" s="1"/>
  <c r="L54" i="21" s="1"/>
  <c r="L55" i="21" s="1"/>
  <c r="L56" i="21" s="1"/>
  <c r="L57" i="21" s="1"/>
  <c r="L58" i="21" s="1"/>
  <c r="L59" i="21" s="1"/>
  <c r="L60" i="21" s="1"/>
  <c r="L61" i="21" s="1"/>
  <c r="G9" i="21"/>
  <c r="G10" i="21"/>
  <c r="G11" i="21"/>
  <c r="G12" i="21"/>
  <c r="G13" i="21"/>
  <c r="G14" i="21"/>
  <c r="G15" i="21"/>
  <c r="G16" i="21"/>
  <c r="G17" i="21"/>
  <c r="G18" i="21"/>
  <c r="G19" i="21"/>
  <c r="G20" i="21"/>
  <c r="G21" i="21"/>
  <c r="G22" i="21"/>
  <c r="G23" i="21"/>
  <c r="G24" i="21"/>
  <c r="G25" i="21"/>
  <c r="G26" i="21"/>
  <c r="G27" i="21"/>
  <c r="G28" i="21"/>
  <c r="G29" i="21"/>
  <c r="G30" i="21"/>
  <c r="G31" i="21"/>
  <c r="G32" i="21"/>
  <c r="G33" i="21"/>
  <c r="G34" i="21"/>
  <c r="G35" i="21"/>
  <c r="G36" i="21"/>
  <c r="G37" i="21"/>
  <c r="G38" i="21"/>
  <c r="G39" i="21"/>
  <c r="G40" i="21"/>
  <c r="G41" i="21"/>
  <c r="G42" i="21"/>
  <c r="G43" i="21"/>
  <c r="G44" i="21"/>
  <c r="G45" i="21"/>
  <c r="G46" i="21"/>
  <c r="G47" i="21"/>
  <c r="G48" i="21"/>
  <c r="G49" i="21"/>
  <c r="G50" i="21"/>
  <c r="G51" i="21"/>
  <c r="G52" i="21"/>
  <c r="G53" i="21"/>
  <c r="G54" i="21"/>
  <c r="G55" i="21"/>
  <c r="G56" i="21"/>
  <c r="G57" i="21"/>
  <c r="G58" i="21"/>
  <c r="G59" i="21"/>
  <c r="G60" i="21"/>
  <c r="G61" i="21"/>
  <c r="L11" i="18"/>
  <c r="G14" i="18" s="1"/>
  <c r="C35" i="19"/>
  <c r="C36" i="19" s="1"/>
  <c r="C37" i="19" s="1"/>
  <c r="C38" i="19" s="1"/>
  <c r="C39" i="19" s="1"/>
  <c r="C40" i="19" s="1"/>
  <c r="C41" i="19" s="1"/>
  <c r="C42" i="19" s="1"/>
  <c r="C43" i="19" s="1"/>
  <c r="C44" i="19" s="1"/>
  <c r="C45" i="19" s="1"/>
  <c r="C46" i="19" s="1"/>
  <c r="C47" i="19" s="1"/>
  <c r="C48" i="19" s="1"/>
  <c r="C49" i="19" s="1"/>
  <c r="C50" i="19" s="1"/>
  <c r="C51" i="19" s="1"/>
  <c r="C52" i="19" s="1"/>
  <c r="C53" i="19" s="1"/>
  <c r="C54" i="19" s="1"/>
  <c r="C55" i="19" s="1"/>
  <c r="C56" i="19" s="1"/>
  <c r="C57" i="19" s="1"/>
  <c r="C58" i="19" s="1"/>
  <c r="C59" i="19" s="1"/>
  <c r="C60" i="19" s="1"/>
  <c r="C61" i="19" s="1"/>
  <c r="C62" i="19" s="1"/>
  <c r="C63" i="19" s="1"/>
  <c r="C64" i="19" s="1"/>
  <c r="C65" i="19" s="1"/>
  <c r="C66" i="19" s="1"/>
  <c r="C67" i="19" s="1"/>
  <c r="C34" i="19"/>
  <c r="Q35" i="22" l="1"/>
  <c r="F63" i="21"/>
  <c r="G13" i="18"/>
  <c r="C2" i="20"/>
  <c r="D19" i="12"/>
  <c r="E43" i="20"/>
  <c r="F43" i="20" s="1"/>
  <c r="V2" i="17"/>
  <c r="A2" i="2" a="1"/>
  <c r="A2" i="2" s="1"/>
  <c r="G8" i="21"/>
  <c r="E61" i="20"/>
  <c r="F61" i="20" s="1"/>
  <c r="E60" i="20"/>
  <c r="F60" i="20" s="1"/>
  <c r="E59" i="20"/>
  <c r="F59" i="20" s="1"/>
  <c r="E58" i="20"/>
  <c r="F58" i="20" s="1"/>
  <c r="E57" i="20"/>
  <c r="F57" i="20" s="1"/>
  <c r="E56" i="20"/>
  <c r="F56" i="20" s="1"/>
  <c r="E55" i="20"/>
  <c r="F55" i="20" s="1"/>
  <c r="E54" i="20"/>
  <c r="F54" i="20" s="1"/>
  <c r="E53" i="20"/>
  <c r="F53" i="20" s="1"/>
  <c r="E52" i="20"/>
  <c r="F52" i="20" s="1"/>
  <c r="E51" i="20"/>
  <c r="F51" i="20" s="1"/>
  <c r="E50" i="20"/>
  <c r="F50" i="20" s="1"/>
  <c r="E49" i="20"/>
  <c r="F49" i="20" s="1"/>
  <c r="E48" i="20"/>
  <c r="F48" i="20" s="1"/>
  <c r="E47" i="20"/>
  <c r="F47" i="20" s="1"/>
  <c r="E46" i="20"/>
  <c r="F46" i="20" s="1"/>
  <c r="E45" i="20"/>
  <c r="F45" i="20" s="1"/>
  <c r="E44" i="20"/>
  <c r="F44" i="20" s="1"/>
  <c r="A13" i="19" a="1"/>
  <c r="A13" i="19" s="1"/>
  <c r="D67" i="18"/>
  <c r="D66" i="18"/>
  <c r="D65" i="18"/>
  <c r="D64" i="18"/>
  <c r="D63" i="18"/>
  <c r="D62" i="18"/>
  <c r="D61" i="18"/>
  <c r="D60" i="18"/>
  <c r="D59" i="18"/>
  <c r="D58" i="18"/>
  <c r="D57" i="18"/>
  <c r="D56" i="18"/>
  <c r="D55" i="18"/>
  <c r="D54" i="18"/>
  <c r="D53" i="18"/>
  <c r="D52" i="18"/>
  <c r="D51" i="18"/>
  <c r="D50" i="18"/>
  <c r="D49" i="18"/>
  <c r="D48" i="18"/>
  <c r="D47" i="18"/>
  <c r="D46" i="18"/>
  <c r="D45" i="18"/>
  <c r="D44" i="18"/>
  <c r="D43" i="18"/>
  <c r="D42" i="18"/>
  <c r="D41" i="18"/>
  <c r="D40" i="18"/>
  <c r="D39" i="18"/>
  <c r="D38" i="18"/>
  <c r="D37" i="18"/>
  <c r="D36" i="18"/>
  <c r="D35" i="18"/>
  <c r="D34" i="18"/>
  <c r="D33" i="18"/>
  <c r="D32" i="18"/>
  <c r="D31" i="18"/>
  <c r="D30" i="18"/>
  <c r="D29" i="18"/>
  <c r="D28" i="18"/>
  <c r="D27" i="18"/>
  <c r="D26" i="18"/>
  <c r="D25" i="18"/>
  <c r="D24" i="18"/>
  <c r="D23" i="18"/>
  <c r="D22" i="18"/>
  <c r="D21" i="18"/>
  <c r="D20" i="18"/>
  <c r="D19" i="18"/>
  <c r="D18" i="18"/>
  <c r="D17" i="18"/>
  <c r="D16" i="18"/>
  <c r="D15" i="18"/>
  <c r="D14" i="18"/>
  <c r="D13" i="18"/>
  <c r="A13" i="18" a="1"/>
  <c r="A13" i="18" s="1"/>
  <c r="H12" i="18"/>
  <c r="D12" i="18"/>
  <c r="H11" i="18"/>
  <c r="D11" i="18"/>
  <c r="H10" i="18"/>
  <c r="D10" i="18"/>
  <c r="H9" i="18"/>
  <c r="D9" i="18"/>
  <c r="H8" i="18"/>
  <c r="D8" i="18"/>
  <c r="H7" i="18"/>
  <c r="D7" i="18"/>
  <c r="H6" i="18"/>
  <c r="D6" i="18"/>
  <c r="H5" i="18"/>
  <c r="D5" i="18"/>
  <c r="H4" i="18"/>
  <c r="D4" i="18"/>
  <c r="H3" i="18"/>
  <c r="D3" i="18"/>
  <c r="H2" i="18"/>
  <c r="L2" i="18" s="1" a="1"/>
  <c r="L2" i="18" s="1"/>
  <c r="D2" i="18"/>
  <c r="C3" i="20" l="1"/>
  <c r="C4" i="20" s="1"/>
  <c r="C5" i="20" s="1"/>
  <c r="C6" i="20" s="1"/>
  <c r="C7" i="20" s="1"/>
  <c r="C8" i="20" s="1"/>
  <c r="C9" i="20" s="1"/>
  <c r="C10" i="20" s="1"/>
  <c r="C11" i="20" s="1"/>
  <c r="C12" i="20" s="1"/>
  <c r="C13" i="20" s="1"/>
  <c r="C14" i="20" s="1"/>
  <c r="C15" i="20" s="1"/>
  <c r="C16" i="20" s="1"/>
  <c r="C17" i="20" s="1"/>
  <c r="C18" i="20" s="1"/>
  <c r="C19" i="20" s="1"/>
  <c r="C20" i="20" s="1"/>
  <c r="C21" i="20" s="1"/>
  <c r="C22" i="20" s="1"/>
  <c r="C23" i="20" s="1"/>
  <c r="C24" i="20" s="1"/>
  <c r="C25" i="20" s="1"/>
  <c r="C26" i="20" s="1"/>
  <c r="C27" i="20" s="1"/>
  <c r="C28" i="20" s="1"/>
  <c r="C29" i="20" s="1"/>
  <c r="C30" i="20" s="1"/>
  <c r="C31" i="20" s="1"/>
  <c r="C32" i="20" s="1"/>
  <c r="C33" i="20" s="1"/>
  <c r="C34" i="20" s="1"/>
  <c r="C35" i="20" s="1"/>
  <c r="C36" i="20" s="1"/>
  <c r="C37" i="20" s="1"/>
  <c r="C38" i="20" s="1"/>
  <c r="C39" i="20" s="1"/>
  <c r="C40" i="20" s="1"/>
  <c r="C41" i="20" s="1"/>
  <c r="C42" i="20" s="1"/>
  <c r="C43" i="20" s="1"/>
  <c r="C44" i="20" s="1"/>
  <c r="C45" i="20" s="1"/>
  <c r="C46" i="20" s="1"/>
  <c r="C47" i="20" s="1"/>
  <c r="C48" i="20" s="1"/>
  <c r="C49" i="20" s="1"/>
  <c r="C50" i="20" s="1"/>
  <c r="C51" i="20" s="1"/>
  <c r="C52" i="20" s="1"/>
  <c r="C53" i="20" s="1"/>
  <c r="C54" i="20" s="1"/>
  <c r="C55" i="20" s="1"/>
  <c r="C56" i="20" s="1"/>
  <c r="C57" i="20" s="1"/>
  <c r="C58" i="20" s="1"/>
  <c r="C59" i="20" s="1"/>
  <c r="C60" i="20" s="1"/>
  <c r="C61" i="20" s="1"/>
  <c r="G63" i="21"/>
  <c r="G67" i="18"/>
  <c r="C61" i="21" s="1"/>
  <c r="G66" i="18"/>
  <c r="C60" i="21" s="1"/>
  <c r="G65" i="18"/>
  <c r="C59" i="21" s="1"/>
  <c r="G64" i="18"/>
  <c r="C58" i="21" s="1"/>
  <c r="G63" i="18"/>
  <c r="C57" i="21" s="1"/>
  <c r="G62" i="18"/>
  <c r="C56" i="21" s="1"/>
  <c r="G61" i="18"/>
  <c r="C55" i="21" s="1"/>
  <c r="G43" i="18"/>
  <c r="C37" i="21" s="1"/>
  <c r="G42" i="18"/>
  <c r="C36" i="21" s="1"/>
  <c r="G41" i="18"/>
  <c r="C35" i="21" s="1"/>
  <c r="G59" i="18"/>
  <c r="C53" i="21" s="1"/>
  <c r="G40" i="18"/>
  <c r="C34" i="21" s="1"/>
  <c r="G39" i="18"/>
  <c r="C33" i="21" s="1"/>
  <c r="G57" i="18"/>
  <c r="C51" i="21" s="1"/>
  <c r="G45" i="18"/>
  <c r="C39" i="21" s="1"/>
  <c r="G38" i="18"/>
  <c r="C32" i="21" s="1"/>
  <c r="G56" i="18"/>
  <c r="C50" i="21" s="1"/>
  <c r="G37" i="18"/>
  <c r="C31" i="21" s="1"/>
  <c r="G32" i="18"/>
  <c r="C26" i="21" s="1"/>
  <c r="G31" i="18"/>
  <c r="C25" i="21" s="1"/>
  <c r="G29" i="18"/>
  <c r="C23" i="21" s="1"/>
  <c r="G28" i="18"/>
  <c r="C22" i="21" s="1"/>
  <c r="G58" i="18"/>
  <c r="C52" i="21" s="1"/>
  <c r="G27" i="18"/>
  <c r="C21" i="21" s="1"/>
  <c r="G26" i="18"/>
  <c r="C20" i="21" s="1"/>
  <c r="G25" i="18"/>
  <c r="C19" i="21" s="1"/>
  <c r="G24" i="18"/>
  <c r="C18" i="21" s="1"/>
  <c r="G44" i="18"/>
  <c r="C38" i="21" s="1"/>
  <c r="G60" i="18"/>
  <c r="C54" i="21" s="1"/>
  <c r="G36" i="18"/>
  <c r="C30" i="21" s="1"/>
  <c r="G35" i="18"/>
  <c r="C29" i="21" s="1"/>
  <c r="G34" i="18"/>
  <c r="C28" i="21" s="1"/>
  <c r="G33" i="18"/>
  <c r="C27" i="21" s="1"/>
  <c r="G30" i="18"/>
  <c r="C24" i="21" s="1"/>
  <c r="G55" i="18"/>
  <c r="C49" i="21" s="1"/>
  <c r="G23" i="18"/>
  <c r="C17" i="21" s="1"/>
  <c r="G54" i="18"/>
  <c r="C48" i="21" s="1"/>
  <c r="G22" i="18"/>
  <c r="C16" i="21" s="1"/>
  <c r="G53" i="18"/>
  <c r="C47" i="21" s="1"/>
  <c r="G21" i="18"/>
  <c r="C15" i="21" s="1"/>
  <c r="G52" i="18"/>
  <c r="C46" i="21" s="1"/>
  <c r="G20" i="18"/>
  <c r="C14" i="21" s="1"/>
  <c r="G19" i="18"/>
  <c r="C13" i="21" s="1"/>
  <c r="G50" i="18"/>
  <c r="C44" i="21" s="1"/>
  <c r="G18" i="18"/>
  <c r="C12" i="21" s="1"/>
  <c r="G49" i="18"/>
  <c r="C43" i="21" s="1"/>
  <c r="G48" i="18"/>
  <c r="C42" i="21" s="1"/>
  <c r="G16" i="18"/>
  <c r="C10" i="21" s="1"/>
  <c r="G51" i="18"/>
  <c r="C45" i="21" s="1"/>
  <c r="G17" i="18"/>
  <c r="C11" i="21" s="1"/>
  <c r="G47" i="18"/>
  <c r="C41" i="21" s="1"/>
  <c r="G15" i="18"/>
  <c r="C9" i="21" s="1"/>
  <c r="G46" i="18"/>
  <c r="C40" i="21" s="1"/>
  <c r="C8" i="21"/>
  <c r="D8" i="21"/>
  <c r="C63" i="21" l="1"/>
  <c r="D9" i="21"/>
  <c r="D43" i="20" l="1"/>
  <c r="E43" i="21"/>
  <c r="D10" i="21"/>
  <c r="E44" i="21" l="1"/>
  <c r="D44" i="20"/>
  <c r="D11" i="21"/>
  <c r="D45" i="20" l="1"/>
  <c r="E45" i="21"/>
  <c r="D12" i="21"/>
  <c r="H3" i="17" a="1"/>
  <c r="H3" i="17" s="1"/>
  <c r="K3" i="17" s="1" a="1"/>
  <c r="K3" i="17" s="1"/>
  <c r="A2" i="17" a="1"/>
  <c r="A2" i="17" s="1"/>
  <c r="P2" i="17" s="1"/>
  <c r="M9" i="11"/>
  <c r="M8" i="11"/>
  <c r="M7" i="11"/>
  <c r="M6" i="11"/>
  <c r="M5" i="11"/>
  <c r="M4" i="11"/>
  <c r="M3" i="11"/>
  <c r="M2" i="11"/>
  <c r="L9" i="11"/>
  <c r="L8" i="11"/>
  <c r="L7" i="11"/>
  <c r="L6" i="11"/>
  <c r="L5" i="11"/>
  <c r="L4" i="11"/>
  <c r="L3" i="11"/>
  <c r="L2" i="11"/>
  <c r="K9" i="11"/>
  <c r="K8" i="11"/>
  <c r="K7" i="11"/>
  <c r="K6" i="11"/>
  <c r="K5" i="11"/>
  <c r="K4" i="11"/>
  <c r="K3" i="11"/>
  <c r="K2" i="11"/>
  <c r="H3" i="2" a="1"/>
  <c r="H3" i="2" s="1"/>
  <c r="C3" i="16" a="1"/>
  <c r="C3" i="16" s="1"/>
  <c r="C4" i="16" s="1" a="1"/>
  <c r="C4" i="16" s="1"/>
  <c r="C5" i="16" s="1" a="1"/>
  <c r="C5" i="16" s="1"/>
  <c r="C6" i="16" s="1" a="1"/>
  <c r="C6" i="16" s="1"/>
  <c r="C7" i="16" s="1" a="1"/>
  <c r="C7" i="16" s="1"/>
  <c r="C8" i="16" s="1" a="1"/>
  <c r="C8" i="16" s="1"/>
  <c r="C9" i="16" s="1" a="1"/>
  <c r="C9" i="16" s="1"/>
  <c r="C10" i="16" s="1" a="1"/>
  <c r="C10" i="16" s="1"/>
  <c r="C11" i="16" s="1" a="1"/>
  <c r="C11" i="16" s="1"/>
  <c r="C12" i="16" s="1" a="1"/>
  <c r="C12" i="16" s="1"/>
  <c r="C13" i="16" s="1" a="1"/>
  <c r="C13" i="16" s="1"/>
  <c r="C14" i="16" s="1" a="1"/>
  <c r="C14" i="16" s="1"/>
  <c r="C15" i="16" s="1" a="1"/>
  <c r="C15" i="16" s="1"/>
  <c r="C16" i="16" s="1" a="1"/>
  <c r="C16" i="16" s="1"/>
  <c r="C17" i="16" s="1" a="1"/>
  <c r="C17" i="16" s="1"/>
  <c r="C18" i="16" s="1" a="1"/>
  <c r="C18" i="16" s="1"/>
  <c r="C19" i="16" s="1" a="1"/>
  <c r="C19" i="16" s="1"/>
  <c r="C20" i="16" s="1" a="1"/>
  <c r="C20" i="16" s="1"/>
  <c r="C21" i="16" s="1" a="1"/>
  <c r="C21" i="16" s="1"/>
  <c r="C22" i="16" s="1" a="1"/>
  <c r="C22" i="16" s="1"/>
  <c r="C23" i="16" s="1" a="1"/>
  <c r="C23" i="16" s="1"/>
  <c r="C24" i="16" s="1" a="1"/>
  <c r="C24" i="16" s="1"/>
  <c r="C25" i="16" s="1" a="1"/>
  <c r="C25" i="16" s="1"/>
  <c r="C26" i="16" s="1" a="1"/>
  <c r="C26" i="16" s="1"/>
  <c r="C27" i="16" s="1" a="1"/>
  <c r="C27" i="16" s="1"/>
  <c r="C28" i="16" s="1" a="1"/>
  <c r="C28" i="16" s="1"/>
  <c r="C29" i="16" s="1" a="1"/>
  <c r="C29" i="16" s="1"/>
  <c r="C30" i="16" s="1" a="1"/>
  <c r="C30" i="16" s="1"/>
  <c r="C31" i="16" s="1" a="1"/>
  <c r="C31" i="16" s="1"/>
  <c r="C32" i="16" s="1" a="1"/>
  <c r="C32" i="16" s="1"/>
  <c r="C33" i="16" s="1" a="1"/>
  <c r="C33" i="16" s="1"/>
  <c r="C34" i="16" s="1" a="1"/>
  <c r="C34" i="16" s="1"/>
  <c r="C35" i="16" s="1" a="1"/>
  <c r="C35" i="16" s="1"/>
  <c r="C36" i="16" s="1" a="1"/>
  <c r="C36" i="16" s="1"/>
  <c r="C3" i="13" a="1"/>
  <c r="C3" i="13" s="1"/>
  <c r="C4" i="13" s="1" a="1"/>
  <c r="C4" i="13" s="1"/>
  <c r="C5" i="13" s="1" a="1"/>
  <c r="C5" i="13" s="1"/>
  <c r="C6" i="13" s="1" a="1"/>
  <c r="C6" i="13" s="1"/>
  <c r="C7" i="13" s="1" a="1"/>
  <c r="C7" i="13" s="1"/>
  <c r="C8" i="13" s="1" a="1"/>
  <c r="C8" i="13" s="1"/>
  <c r="C9" i="13" s="1" a="1"/>
  <c r="C9" i="13" s="1"/>
  <c r="C10" i="13" s="1" a="1"/>
  <c r="C10" i="13" s="1"/>
  <c r="C11" i="13" s="1" a="1"/>
  <c r="C11" i="13" s="1"/>
  <c r="C12" i="13" s="1" a="1"/>
  <c r="C12" i="13" s="1"/>
  <c r="C13" i="13" s="1" a="1"/>
  <c r="C13" i="13" s="1"/>
  <c r="C14" i="13" s="1" a="1"/>
  <c r="C14" i="13" s="1"/>
  <c r="C15" i="13" s="1" a="1"/>
  <c r="C15" i="13" s="1"/>
  <c r="C16" i="13" s="1" a="1"/>
  <c r="C16" i="13" s="1"/>
  <c r="C17" i="13" s="1" a="1"/>
  <c r="C17" i="13" s="1"/>
  <c r="C18" i="13" s="1" a="1"/>
  <c r="C18" i="13" s="1"/>
  <c r="C19" i="13" s="1" a="1"/>
  <c r="C19" i="13" s="1"/>
  <c r="C20" i="13" s="1" a="1"/>
  <c r="C20" i="13" s="1"/>
  <c r="C21" i="13" s="1" a="1"/>
  <c r="C21" i="13" s="1"/>
  <c r="C22" i="13" s="1" a="1"/>
  <c r="C22" i="13" s="1"/>
  <c r="C23" i="13" s="1" a="1"/>
  <c r="C23" i="13" s="1"/>
  <c r="C24" i="13" s="1" a="1"/>
  <c r="C24" i="13" s="1"/>
  <c r="C25" i="13" s="1" a="1"/>
  <c r="C25" i="13" s="1"/>
  <c r="C26" i="13" s="1" a="1"/>
  <c r="C26" i="13" s="1"/>
  <c r="C27" i="13" s="1" a="1"/>
  <c r="C27" i="13" s="1"/>
  <c r="C28" i="13" s="1" a="1"/>
  <c r="C28" i="13" s="1"/>
  <c r="C29" i="13" s="1" a="1"/>
  <c r="C29" i="13" s="1"/>
  <c r="C30" i="13" s="1" a="1"/>
  <c r="C30" i="13" s="1"/>
  <c r="C31" i="13" s="1" a="1"/>
  <c r="C31" i="13" s="1"/>
  <c r="C32" i="13" s="1" a="1"/>
  <c r="C32" i="13" s="1"/>
  <c r="C33" i="13" s="1" a="1"/>
  <c r="C33" i="13" s="1"/>
  <c r="C34" i="13" s="1" a="1"/>
  <c r="C34" i="13" s="1"/>
  <c r="C35" i="13" s="1" a="1"/>
  <c r="C35" i="13" s="1"/>
  <c r="C36" i="13" s="1" a="1"/>
  <c r="C36" i="13" s="1"/>
  <c r="D3" i="9" a="1"/>
  <c r="D3" i="9" s="1"/>
  <c r="E2" i="9" s="1"/>
  <c r="D4" i="9" a="1"/>
  <c r="D4" i="9" s="1"/>
  <c r="E3" i="9" s="1"/>
  <c r="D5" i="9" a="1"/>
  <c r="D5" i="9" s="1"/>
  <c r="E4" i="9" s="1"/>
  <c r="D6" i="9" a="1"/>
  <c r="D6" i="9" s="1"/>
  <c r="E5" i="9" s="1"/>
  <c r="D7" i="9" a="1"/>
  <c r="D7" i="9" s="1"/>
  <c r="E6" i="9" s="1"/>
  <c r="D8" i="9" a="1"/>
  <c r="D8" i="9" s="1"/>
  <c r="E7" i="9" s="1"/>
  <c r="D9" i="9" a="1"/>
  <c r="D9" i="9" s="1"/>
  <c r="E8" i="9" s="1"/>
  <c r="D10" i="9" a="1"/>
  <c r="D10" i="9" s="1"/>
  <c r="E9" i="9" s="1"/>
  <c r="D11" i="9" a="1"/>
  <c r="D11" i="9" s="1"/>
  <c r="E10" i="9" s="1"/>
  <c r="D12" i="9" a="1"/>
  <c r="D12" i="9" s="1"/>
  <c r="E11" i="9" s="1"/>
  <c r="D13" i="9" a="1"/>
  <c r="D13" i="9" s="1"/>
  <c r="E12" i="9" s="1"/>
  <c r="D14" i="9" a="1"/>
  <c r="D14" i="9" s="1"/>
  <c r="E13" i="9" s="1"/>
  <c r="D15" i="9" a="1"/>
  <c r="D15" i="9" s="1"/>
  <c r="E14" i="9" s="1"/>
  <c r="D16" i="9" a="1"/>
  <c r="D16" i="9" s="1"/>
  <c r="E15" i="9" s="1"/>
  <c r="D17" i="9" a="1"/>
  <c r="D17" i="9" s="1"/>
  <c r="E16" i="9" s="1"/>
  <c r="D18" i="9" a="1"/>
  <c r="D18" i="9" s="1"/>
  <c r="E17" i="9" s="1"/>
  <c r="D19" i="9" a="1"/>
  <c r="D19" i="9" s="1"/>
  <c r="E18" i="9" s="1"/>
  <c r="D20" i="9" a="1"/>
  <c r="D20" i="9" s="1"/>
  <c r="E19" i="9" s="1"/>
  <c r="D21" i="9" a="1"/>
  <c r="D21" i="9" s="1"/>
  <c r="E20" i="9" s="1"/>
  <c r="D22" i="9" a="1"/>
  <c r="D22" i="9" s="1"/>
  <c r="E21" i="9" s="1"/>
  <c r="D2" i="9" a="1"/>
  <c r="D2" i="9" s="1"/>
  <c r="A2" i="16" a="1"/>
  <c r="D17" i="12"/>
  <c r="D4" i="12"/>
  <c r="D3" i="12"/>
  <c r="D6" i="12"/>
  <c r="D5" i="12"/>
  <c r="B28" i="6"/>
  <c r="J29" i="6"/>
  <c r="I29" i="6"/>
  <c r="H29" i="6"/>
  <c r="G29" i="6"/>
  <c r="J28" i="6"/>
  <c r="I28" i="6"/>
  <c r="H28" i="6"/>
  <c r="G28" i="6"/>
  <c r="J27" i="6"/>
  <c r="I27" i="6"/>
  <c r="H27" i="6"/>
  <c r="G27" i="6"/>
  <c r="J26" i="6"/>
  <c r="I26" i="6"/>
  <c r="H26" i="6"/>
  <c r="G26" i="6"/>
  <c r="J25" i="6"/>
  <c r="I25" i="6"/>
  <c r="H25" i="6"/>
  <c r="G25" i="6"/>
  <c r="J24" i="6"/>
  <c r="I24" i="6"/>
  <c r="H24" i="6"/>
  <c r="G24" i="6"/>
  <c r="H18" i="6"/>
  <c r="F29" i="6" s="1"/>
  <c r="H17" i="6"/>
  <c r="E29" i="6" s="1"/>
  <c r="H7" i="6"/>
  <c r="F26" i="6" s="1"/>
  <c r="H6" i="6"/>
  <c r="E26" i="6" s="1"/>
  <c r="E18" i="6"/>
  <c r="F27" i="6" s="1"/>
  <c r="E17" i="6"/>
  <c r="E27" i="6" s="1"/>
  <c r="E7" i="6"/>
  <c r="F24" i="6" s="1"/>
  <c r="E6" i="6"/>
  <c r="E24" i="6" s="1"/>
  <c r="A2" i="13" a="1"/>
  <c r="A2" i="13" s="1"/>
  <c r="G2" i="13" s="1"/>
  <c r="B24" i="6"/>
  <c r="B23" i="6"/>
  <c r="B29" i="6"/>
  <c r="A2" i="7" a="1"/>
  <c r="A2" i="7" s="1"/>
  <c r="B18" i="6"/>
  <c r="F28" i="6" s="1"/>
  <c r="B17" i="6"/>
  <c r="E28" i="6" s="1"/>
  <c r="B7" i="6"/>
  <c r="F25" i="6" s="1"/>
  <c r="B6" i="6"/>
  <c r="E25" i="6" s="1"/>
  <c r="P2" i="2"/>
  <c r="Q2" i="2" s="1"/>
  <c r="K3" i="2" l="1" a="1"/>
  <c r="K3" i="2" s="1"/>
  <c r="J3" i="2" a="1"/>
  <c r="J3" i="2" s="1"/>
  <c r="I3" i="2" a="1"/>
  <c r="I3" i="2" s="1"/>
  <c r="J3" i="17" a="1"/>
  <c r="J3" i="17" s="1"/>
  <c r="I3" i="17" a="1"/>
  <c r="I3" i="17" s="1"/>
  <c r="D46" i="20"/>
  <c r="E46" i="21"/>
  <c r="D13" i="21"/>
  <c r="H4" i="2" a="1"/>
  <c r="H4" i="2" s="1"/>
  <c r="H4" i="17" a="1"/>
  <c r="H4" i="17" s="1"/>
  <c r="L2" i="17"/>
  <c r="P3" i="17" a="1"/>
  <c r="P3" i="17" s="1"/>
  <c r="Q2" i="17"/>
  <c r="K16" i="9"/>
  <c r="I14" i="9"/>
  <c r="J14" i="9"/>
  <c r="K14" i="9"/>
  <c r="I15" i="9"/>
  <c r="J15" i="9"/>
  <c r="K15" i="9"/>
  <c r="I16" i="9"/>
  <c r="J16" i="9"/>
  <c r="H3" i="16" a="1"/>
  <c r="H3" i="16" s="1"/>
  <c r="E4" i="16" a="1"/>
  <c r="E4" i="16" s="1"/>
  <c r="E3" i="16" a="1"/>
  <c r="E3" i="16" s="1"/>
  <c r="F3" i="16" a="1"/>
  <c r="F3" i="16" s="1"/>
  <c r="D3" i="16" a="1"/>
  <c r="D3" i="16" s="1"/>
  <c r="A2" i="16"/>
  <c r="B2" i="16" s="1"/>
  <c r="C2" i="17" s="1"/>
  <c r="D8" i="12"/>
  <c r="D9" i="12" s="1"/>
  <c r="D10" i="12"/>
  <c r="B8" i="6"/>
  <c r="B19" i="6"/>
  <c r="E8" i="6"/>
  <c r="D2" i="13" a="1"/>
  <c r="D2" i="13" s="1"/>
  <c r="B2" i="13"/>
  <c r="C2" i="2" s="1"/>
  <c r="P3" i="2" a="1"/>
  <c r="P3" i="2" s="1"/>
  <c r="Q3" i="2" s="1"/>
  <c r="F3" i="13" a="1"/>
  <c r="F3" i="13" s="1"/>
  <c r="I2" i="13"/>
  <c r="E2" i="13" a="1"/>
  <c r="E2" i="13" s="1"/>
  <c r="H19" i="6"/>
  <c r="H8" i="6"/>
  <c r="E19" i="6"/>
  <c r="F2" i="13" a="1"/>
  <c r="F2" i="13" s="1"/>
  <c r="J4" i="2" l="1" a="1"/>
  <c r="J4" i="2" s="1"/>
  <c r="I4" i="2" a="1"/>
  <c r="I4" i="2" s="1"/>
  <c r="K4" i="2" a="1"/>
  <c r="K4" i="2" s="1"/>
  <c r="J4" i="17" a="1"/>
  <c r="J4" i="17" s="1"/>
  <c r="K4" i="17" a="1"/>
  <c r="K4" i="17" s="1"/>
  <c r="I4" i="17" a="1"/>
  <c r="I4" i="17" s="1"/>
  <c r="X2" i="17" a="1"/>
  <c r="X2" i="17" s="1"/>
  <c r="Y2" i="17" a="1"/>
  <c r="Y2" i="17" s="1"/>
  <c r="E47" i="21"/>
  <c r="D47" i="20"/>
  <c r="D14" i="21"/>
  <c r="S2" i="17" a="1"/>
  <c r="S2" i="17" s="1"/>
  <c r="H5" i="17" a="1"/>
  <c r="H5" i="17" s="1"/>
  <c r="H5" i="2" a="1"/>
  <c r="H5" i="2" s="1"/>
  <c r="P4" i="17" a="1"/>
  <c r="P4" i="17" s="1"/>
  <c r="T2" i="17" a="1"/>
  <c r="T2" i="17" s="1"/>
  <c r="E2" i="17"/>
  <c r="F2" i="17" a="1"/>
  <c r="F2" i="17" s="1"/>
  <c r="D2" i="17" a="1"/>
  <c r="D2" i="17" s="1"/>
  <c r="P4" i="2" a="1"/>
  <c r="P4" i="2" s="1"/>
  <c r="L3" i="17"/>
  <c r="Q3" i="17"/>
  <c r="D12" i="12"/>
  <c r="D13" i="12" s="1"/>
  <c r="D14" i="12" s="1"/>
  <c r="D4" i="16" a="1"/>
  <c r="D4" i="16" s="1"/>
  <c r="F2" i="16" a="1"/>
  <c r="F2" i="16" s="1"/>
  <c r="J2" i="16" s="1" a="1"/>
  <c r="J2" i="16" s="1"/>
  <c r="E2" i="16" a="1"/>
  <c r="E2" i="16" s="1"/>
  <c r="D2" i="16" a="1"/>
  <c r="D2" i="16" s="1"/>
  <c r="G2" i="16"/>
  <c r="B3" i="16" s="1"/>
  <c r="B4" i="16" s="1"/>
  <c r="B5" i="16" s="1"/>
  <c r="H4" i="16" a="1"/>
  <c r="H4" i="16" s="1"/>
  <c r="F4" i="16" a="1"/>
  <c r="F4" i="16" s="1"/>
  <c r="D2" i="2" a="1"/>
  <c r="D2" i="2" s="1"/>
  <c r="E2" i="2"/>
  <c r="F2" i="2" a="1"/>
  <c r="F2" i="2" s="1"/>
  <c r="D3" i="13" a="1"/>
  <c r="D3" i="13" s="1"/>
  <c r="H3" i="13" a="1"/>
  <c r="H3" i="13" s="1"/>
  <c r="E3" i="13" a="1"/>
  <c r="E3" i="13" s="1"/>
  <c r="B26" i="6"/>
  <c r="B25" i="6"/>
  <c r="K5" i="2" l="1" a="1"/>
  <c r="K5" i="2" s="1"/>
  <c r="J5" i="2" a="1"/>
  <c r="J5" i="2" s="1"/>
  <c r="I5" i="2" a="1"/>
  <c r="I5" i="2" s="1"/>
  <c r="G2" i="17"/>
  <c r="J5" i="17" a="1"/>
  <c r="J5" i="17" s="1"/>
  <c r="K5" i="17" a="1"/>
  <c r="K5" i="17" s="1"/>
  <c r="I5" i="17" a="1"/>
  <c r="I5" i="17" s="1"/>
  <c r="D48" i="20"/>
  <c r="E48" i="21"/>
  <c r="D15" i="21"/>
  <c r="P5" i="17" a="1"/>
  <c r="P5" i="17" s="1"/>
  <c r="H6" i="17" a="1"/>
  <c r="H6" i="17" s="1"/>
  <c r="P5" i="2" a="1"/>
  <c r="P5" i="2" s="1"/>
  <c r="H6" i="2" a="1"/>
  <c r="H6" i="2" s="1"/>
  <c r="Q4" i="17"/>
  <c r="M2" i="16" a="1"/>
  <c r="M2" i="16" s="1"/>
  <c r="Q4" i="2"/>
  <c r="M3" i="16" a="1"/>
  <c r="M3" i="16" s="1"/>
  <c r="G3" i="16"/>
  <c r="I3" i="16" s="1"/>
  <c r="L4" i="17"/>
  <c r="G2" i="2"/>
  <c r="I2" i="16"/>
  <c r="H5" i="16" a="1"/>
  <c r="H5" i="16" s="1"/>
  <c r="F5" i="16" a="1"/>
  <c r="F5" i="16" s="1"/>
  <c r="E5" i="16" a="1"/>
  <c r="E5" i="16" s="1"/>
  <c r="D5" i="16" a="1"/>
  <c r="D5" i="16" s="1"/>
  <c r="G3" i="13"/>
  <c r="B3" i="13" s="1"/>
  <c r="E4" i="13" a="1"/>
  <c r="E4" i="13" s="1"/>
  <c r="F4" i="13" a="1"/>
  <c r="F4" i="13" s="1"/>
  <c r="H4" i="13" a="1"/>
  <c r="H4" i="13" s="1"/>
  <c r="D4" i="13" a="1"/>
  <c r="D4" i="13" s="1"/>
  <c r="K6" i="2" l="1" a="1"/>
  <c r="K6" i="2" s="1"/>
  <c r="J6" i="2" a="1"/>
  <c r="J6" i="2" s="1"/>
  <c r="I6" i="2" a="1"/>
  <c r="I6" i="2" s="1"/>
  <c r="J6" i="17" a="1"/>
  <c r="J6" i="17" s="1"/>
  <c r="K6" i="17" a="1"/>
  <c r="K6" i="17" s="1"/>
  <c r="I6" i="17" a="1"/>
  <c r="I6" i="17" s="1"/>
  <c r="E49" i="21"/>
  <c r="D49" i="20"/>
  <c r="D16" i="21"/>
  <c r="P6" i="17" a="1"/>
  <c r="P6" i="17" s="1"/>
  <c r="H7" i="17" a="1"/>
  <c r="H7" i="17" s="1"/>
  <c r="M2" i="17"/>
  <c r="N2" i="17" s="1"/>
  <c r="Q5" i="17"/>
  <c r="P6" i="2" a="1"/>
  <c r="P6" i="2" s="1"/>
  <c r="Q5" i="2"/>
  <c r="H7" i="2" a="1"/>
  <c r="H7" i="2" s="1"/>
  <c r="B3" i="17"/>
  <c r="B4" i="17"/>
  <c r="M4" i="16" a="1"/>
  <c r="M4" i="16" s="1"/>
  <c r="C3" i="17"/>
  <c r="G4" i="16"/>
  <c r="I4" i="16" s="1"/>
  <c r="L5" i="17"/>
  <c r="C3" i="2"/>
  <c r="H6" i="16" a="1"/>
  <c r="H6" i="16" s="1"/>
  <c r="F6" i="16" a="1"/>
  <c r="F6" i="16" s="1"/>
  <c r="E6" i="16" a="1"/>
  <c r="E6" i="16" s="1"/>
  <c r="D6" i="16" a="1"/>
  <c r="D6" i="16" s="1"/>
  <c r="G4" i="13"/>
  <c r="I4" i="13" s="1"/>
  <c r="I3" i="13"/>
  <c r="D5" i="13" a="1"/>
  <c r="D5" i="13" s="1"/>
  <c r="E5" i="13" a="1"/>
  <c r="E5" i="13" s="1"/>
  <c r="F5" i="13" a="1"/>
  <c r="F5" i="13" s="1"/>
  <c r="H5" i="13" a="1"/>
  <c r="H5" i="13" s="1"/>
  <c r="I7" i="2" l="1" a="1"/>
  <c r="I7" i="2" s="1"/>
  <c r="J7" i="2" a="1"/>
  <c r="J7" i="2" s="1"/>
  <c r="K7" i="2" a="1"/>
  <c r="K7" i="2" s="1"/>
  <c r="J7" i="17" a="1"/>
  <c r="J7" i="17" s="1"/>
  <c r="K7" i="17" a="1"/>
  <c r="K7" i="17" s="1"/>
  <c r="I7" i="17" a="1"/>
  <c r="I7" i="17" s="1"/>
  <c r="X3" i="17" a="1"/>
  <c r="X3" i="17" s="1"/>
  <c r="Y3" i="17" a="1"/>
  <c r="Y3" i="17" s="1"/>
  <c r="O2" i="17"/>
  <c r="D50" i="20"/>
  <c r="E50" i="21"/>
  <c r="D17" i="21"/>
  <c r="P7" i="17" a="1"/>
  <c r="P7" i="17" s="1"/>
  <c r="H8" i="17" a="1"/>
  <c r="H8" i="17" s="1"/>
  <c r="Q6" i="17"/>
  <c r="P7" i="2" a="1"/>
  <c r="P7" i="2" s="1"/>
  <c r="Q6" i="2"/>
  <c r="H8" i="2" a="1"/>
  <c r="H8" i="2" s="1"/>
  <c r="F3" i="2" a="1"/>
  <c r="F3" i="2" s="1"/>
  <c r="L10" i="18"/>
  <c r="S3" i="17" a="1"/>
  <c r="S3" i="17" s="1"/>
  <c r="T3" i="17" a="1"/>
  <c r="T3" i="17" s="1"/>
  <c r="M5" i="16" a="1"/>
  <c r="M5" i="16" s="1"/>
  <c r="G5" i="16"/>
  <c r="C4" i="17"/>
  <c r="E3" i="2"/>
  <c r="L6" i="17"/>
  <c r="D3" i="2" a="1"/>
  <c r="D3" i="2" s="1"/>
  <c r="B3" i="2"/>
  <c r="F3" i="17" a="1"/>
  <c r="F3" i="17" s="1"/>
  <c r="E3" i="17"/>
  <c r="D3" i="17" a="1"/>
  <c r="D3" i="17" s="1"/>
  <c r="F7" i="16" a="1"/>
  <c r="F7" i="16" s="1"/>
  <c r="H7" i="16" a="1"/>
  <c r="H7" i="16" s="1"/>
  <c r="E7" i="16" a="1"/>
  <c r="E7" i="16" s="1"/>
  <c r="D7" i="16" a="1"/>
  <c r="D7" i="16" s="1"/>
  <c r="G5" i="13"/>
  <c r="I5" i="13" s="1"/>
  <c r="B4" i="2"/>
  <c r="B4" i="13"/>
  <c r="D6" i="13" a="1"/>
  <c r="D6" i="13" s="1"/>
  <c r="F6" i="13" a="1"/>
  <c r="F6" i="13" s="1"/>
  <c r="E6" i="13" a="1"/>
  <c r="E6" i="13" s="1"/>
  <c r="H6" i="13" a="1"/>
  <c r="H6" i="13" s="1"/>
  <c r="K8" i="2" l="1" a="1"/>
  <c r="K8" i="2" s="1"/>
  <c r="J8" i="2" a="1"/>
  <c r="J8" i="2" s="1"/>
  <c r="I8" i="2" a="1"/>
  <c r="I8" i="2" s="1"/>
  <c r="J8" i="17" a="1"/>
  <c r="J8" i="17" s="1"/>
  <c r="K8" i="17" a="1"/>
  <c r="K8" i="17" s="1"/>
  <c r="I8" i="17" a="1"/>
  <c r="I8" i="17" s="1"/>
  <c r="Y4" i="17" a="1"/>
  <c r="Y4" i="17" s="1"/>
  <c r="X4" i="17" a="1"/>
  <c r="X4" i="17" s="1"/>
  <c r="E51" i="21"/>
  <c r="D51" i="20"/>
  <c r="D18" i="21"/>
  <c r="P8" i="17" a="1"/>
  <c r="P8" i="17" s="1"/>
  <c r="Q7" i="17"/>
  <c r="H9" i="17" a="1"/>
  <c r="H9" i="17" s="1"/>
  <c r="P8" i="2" a="1"/>
  <c r="P8" i="2" s="1"/>
  <c r="Q7" i="2"/>
  <c r="G3" i="2"/>
  <c r="H9" i="2" a="1"/>
  <c r="H9" i="2" s="1"/>
  <c r="I5" i="16"/>
  <c r="M6" i="16" a="1"/>
  <c r="M6" i="16" s="1"/>
  <c r="S4" i="17" a="1"/>
  <c r="S4" i="17" s="1"/>
  <c r="T4" i="17" a="1"/>
  <c r="T4" i="17" s="1"/>
  <c r="B5" i="17"/>
  <c r="B6" i="17"/>
  <c r="C5" i="17"/>
  <c r="G6" i="16"/>
  <c r="I6" i="16" s="1"/>
  <c r="L7" i="17"/>
  <c r="G3" i="17"/>
  <c r="C4" i="2"/>
  <c r="H8" i="16" a="1"/>
  <c r="H8" i="16" s="1"/>
  <c r="D8" i="16" a="1"/>
  <c r="D8" i="16" s="1"/>
  <c r="E8" i="16" a="1"/>
  <c r="E8" i="16" s="1"/>
  <c r="F8" i="16" a="1"/>
  <c r="F8" i="16" s="1"/>
  <c r="G6" i="13"/>
  <c r="I6" i="13" s="1"/>
  <c r="B5" i="13"/>
  <c r="D7" i="13" a="1"/>
  <c r="D7" i="13" s="1"/>
  <c r="E7" i="13" a="1"/>
  <c r="E7" i="13" s="1"/>
  <c r="H7" i="13" a="1"/>
  <c r="H7" i="13" s="1"/>
  <c r="F7" i="13" a="1"/>
  <c r="F7" i="13" s="1"/>
  <c r="B5" i="2"/>
  <c r="K9" i="2" l="1" a="1"/>
  <c r="K9" i="2" s="1"/>
  <c r="J9" i="2" a="1"/>
  <c r="J9" i="2" s="1"/>
  <c r="I9" i="2" a="1"/>
  <c r="I9" i="2" s="1"/>
  <c r="J9" i="17" a="1"/>
  <c r="J9" i="17" s="1"/>
  <c r="K9" i="17" a="1"/>
  <c r="K9" i="17" s="1"/>
  <c r="I9" i="17" a="1"/>
  <c r="I9" i="17" s="1"/>
  <c r="X5" i="17" a="1"/>
  <c r="X5" i="17" s="1"/>
  <c r="Y5" i="17" a="1"/>
  <c r="Y5" i="17" s="1"/>
  <c r="E52" i="21"/>
  <c r="D52" i="20"/>
  <c r="D19" i="21"/>
  <c r="H10" i="17" a="1"/>
  <c r="H10" i="17" s="1"/>
  <c r="Q8" i="17"/>
  <c r="P9" i="17" a="1"/>
  <c r="P9" i="17" s="1"/>
  <c r="P9" i="2" a="1"/>
  <c r="P9" i="2" s="1"/>
  <c r="Q8" i="2"/>
  <c r="M3" i="17"/>
  <c r="N3" i="17" s="1"/>
  <c r="O3" i="17" s="1"/>
  <c r="H10" i="2" a="1"/>
  <c r="H10" i="2" s="1"/>
  <c r="F4" i="2" a="1"/>
  <c r="F4" i="2" s="1"/>
  <c r="S5" i="17" a="1"/>
  <c r="S5" i="17" s="1"/>
  <c r="T5" i="17" a="1"/>
  <c r="T5" i="17" s="1"/>
  <c r="B6" i="16"/>
  <c r="B7" i="16" s="1"/>
  <c r="B7" i="17"/>
  <c r="M7" i="16" a="1"/>
  <c r="M7" i="16" s="1"/>
  <c r="G7" i="16"/>
  <c r="I7" i="16" s="1"/>
  <c r="E4" i="2"/>
  <c r="D4" i="2" a="1"/>
  <c r="D4" i="2" s="1"/>
  <c r="L8" i="17"/>
  <c r="C5" i="2"/>
  <c r="D4" i="17" a="1"/>
  <c r="D4" i="17" s="1"/>
  <c r="E4" i="17"/>
  <c r="F4" i="17" a="1"/>
  <c r="F4" i="17" s="1"/>
  <c r="H9" i="16" a="1"/>
  <c r="H9" i="16" s="1"/>
  <c r="F9" i="16" a="1"/>
  <c r="F9" i="16" s="1"/>
  <c r="E9" i="16" a="1"/>
  <c r="E9" i="16" s="1"/>
  <c r="D9" i="16" a="1"/>
  <c r="D9" i="16" s="1"/>
  <c r="G7" i="13"/>
  <c r="B6" i="13"/>
  <c r="D8" i="13" a="1"/>
  <c r="D8" i="13" s="1"/>
  <c r="E8" i="13" a="1"/>
  <c r="E8" i="13" s="1"/>
  <c r="F8" i="13" a="1"/>
  <c r="F8" i="13" s="1"/>
  <c r="H8" i="13" a="1"/>
  <c r="H8" i="13" s="1"/>
  <c r="B6" i="2"/>
  <c r="I10" i="2" l="1" a="1"/>
  <c r="I10" i="2" s="1"/>
  <c r="K10" i="2" a="1"/>
  <c r="K10" i="2" s="1"/>
  <c r="J10" i="2" a="1"/>
  <c r="J10" i="2" s="1"/>
  <c r="J10" i="17" a="1"/>
  <c r="J10" i="17" s="1"/>
  <c r="K10" i="17" a="1"/>
  <c r="K10" i="17" s="1"/>
  <c r="I10" i="17" a="1"/>
  <c r="I10" i="17" s="1"/>
  <c r="E53" i="21"/>
  <c r="D53" i="20"/>
  <c r="D20" i="21"/>
  <c r="P10" i="17" a="1"/>
  <c r="P10" i="17" s="1"/>
  <c r="H11" i="17" a="1"/>
  <c r="H11" i="17" s="1"/>
  <c r="Q9" i="17"/>
  <c r="P10" i="2" a="1"/>
  <c r="P10" i="2" s="1"/>
  <c r="Q9" i="2"/>
  <c r="G4" i="2"/>
  <c r="H11" i="2" a="1"/>
  <c r="H11" i="2" s="1"/>
  <c r="E5" i="2"/>
  <c r="C6" i="17"/>
  <c r="B8" i="16"/>
  <c r="B9" i="16" s="1"/>
  <c r="B10" i="16" s="1"/>
  <c r="B11" i="16" s="1"/>
  <c r="B12" i="16" s="1"/>
  <c r="B13" i="16" s="1"/>
  <c r="B14" i="16" s="1"/>
  <c r="M8" i="16" a="1"/>
  <c r="M8" i="16" s="1"/>
  <c r="G8" i="16"/>
  <c r="I8" i="16" s="1"/>
  <c r="C7" i="17"/>
  <c r="L9" i="17"/>
  <c r="D5" i="2" a="1"/>
  <c r="D5" i="2" s="1"/>
  <c r="F5" i="2" a="1"/>
  <c r="F5" i="2" s="1"/>
  <c r="G4" i="17"/>
  <c r="F5" i="17" a="1"/>
  <c r="F5" i="17" s="1"/>
  <c r="E5" i="17"/>
  <c r="D5" i="17" a="1"/>
  <c r="D5" i="17" s="1"/>
  <c r="C6" i="2"/>
  <c r="H10" i="16" a="1"/>
  <c r="H10" i="16" s="1"/>
  <c r="F10" i="16" a="1"/>
  <c r="F10" i="16" s="1"/>
  <c r="E10" i="16" a="1"/>
  <c r="E10" i="16" s="1"/>
  <c r="D10" i="16" a="1"/>
  <c r="D10" i="16" s="1"/>
  <c r="G8" i="13"/>
  <c r="B7" i="13"/>
  <c r="I7" i="13"/>
  <c r="D9" i="13" a="1"/>
  <c r="D9" i="13" s="1"/>
  <c r="H9" i="13" a="1"/>
  <c r="H9" i="13" s="1"/>
  <c r="F9" i="13" a="1"/>
  <c r="F9" i="13" s="1"/>
  <c r="E9" i="13" a="1"/>
  <c r="E9" i="13" s="1"/>
  <c r="K11" i="2" l="1" a="1"/>
  <c r="K11" i="2" s="1"/>
  <c r="J11" i="2" a="1"/>
  <c r="J11" i="2" s="1"/>
  <c r="I11" i="2" a="1"/>
  <c r="I11" i="2" s="1"/>
  <c r="J11" i="17" a="1"/>
  <c r="J11" i="17" s="1"/>
  <c r="K11" i="17" a="1"/>
  <c r="K11" i="17" s="1"/>
  <c r="I11" i="17" a="1"/>
  <c r="I11" i="17" s="1"/>
  <c r="X6" i="17" a="1"/>
  <c r="X6" i="17" s="1"/>
  <c r="Y7" i="17" s="1" a="1"/>
  <c r="Y7" i="17" s="1"/>
  <c r="Y6" i="17" a="1"/>
  <c r="Y6" i="17" s="1"/>
  <c r="E54" i="21"/>
  <c r="D54" i="20"/>
  <c r="D21" i="21"/>
  <c r="P11" i="17" a="1"/>
  <c r="P11" i="17" s="1"/>
  <c r="H12" i="17" a="1"/>
  <c r="H12" i="17" s="1"/>
  <c r="Q10" i="17"/>
  <c r="M4" i="17"/>
  <c r="N4" i="17" s="1"/>
  <c r="Q10" i="2"/>
  <c r="P11" i="2" a="1"/>
  <c r="P11" i="2" s="1"/>
  <c r="G5" i="2"/>
  <c r="H12" i="2" a="1"/>
  <c r="H12" i="2" s="1"/>
  <c r="E6" i="2"/>
  <c r="S6" i="17" a="1"/>
  <c r="S6" i="17" s="1"/>
  <c r="X7" i="17" s="1" a="1"/>
  <c r="X7" i="17" s="1"/>
  <c r="T6" i="17" a="1"/>
  <c r="T6" i="17" s="1"/>
  <c r="B8" i="17"/>
  <c r="B14" i="17"/>
  <c r="B9" i="17"/>
  <c r="B13" i="17"/>
  <c r="B11" i="17"/>
  <c r="B12" i="17"/>
  <c r="B10" i="17"/>
  <c r="M9" i="16" a="1"/>
  <c r="M9" i="16" s="1"/>
  <c r="C8" i="17"/>
  <c r="G9" i="16"/>
  <c r="I9" i="16" s="1"/>
  <c r="L10" i="17"/>
  <c r="D6" i="2" a="1"/>
  <c r="D6" i="2" s="1"/>
  <c r="F6" i="2" a="1"/>
  <c r="F6" i="2" s="1"/>
  <c r="G5" i="17"/>
  <c r="B7" i="2"/>
  <c r="F6" i="17" a="1"/>
  <c r="F6" i="17" s="1"/>
  <c r="D6" i="17" a="1"/>
  <c r="D6" i="17" s="1"/>
  <c r="E6" i="17"/>
  <c r="C7" i="2"/>
  <c r="F11" i="16" a="1"/>
  <c r="F11" i="16" s="1"/>
  <c r="H11" i="16" a="1"/>
  <c r="H11" i="16" s="1"/>
  <c r="E11" i="16" a="1"/>
  <c r="E11" i="16" s="1"/>
  <c r="D11" i="16" a="1"/>
  <c r="D11" i="16" s="1"/>
  <c r="G9" i="13"/>
  <c r="I9" i="13" s="1"/>
  <c r="B8" i="13"/>
  <c r="I8" i="13"/>
  <c r="E10" i="13" a="1"/>
  <c r="E10" i="13" s="1"/>
  <c r="H10" i="13" a="1"/>
  <c r="H10" i="13" s="1"/>
  <c r="F10" i="13" a="1"/>
  <c r="F10" i="13" s="1"/>
  <c r="D10" i="13" a="1"/>
  <c r="D10" i="13" s="1"/>
  <c r="K12" i="2" l="1" a="1"/>
  <c r="K12" i="2" s="1"/>
  <c r="J12" i="2" a="1"/>
  <c r="J12" i="2" s="1"/>
  <c r="I12" i="2" a="1"/>
  <c r="I12" i="2" s="1"/>
  <c r="J12" i="17" a="1"/>
  <c r="J12" i="17" s="1"/>
  <c r="K12" i="17" a="1"/>
  <c r="K12" i="17" s="1"/>
  <c r="I12" i="17" a="1"/>
  <c r="I12" i="17" s="1"/>
  <c r="Y8" i="17" a="1"/>
  <c r="Y8" i="17" s="1"/>
  <c r="S7" i="17" a="1"/>
  <c r="S7" i="17" s="1"/>
  <c r="X8" i="17" s="1" a="1"/>
  <c r="X8" i="17" s="1"/>
  <c r="E55" i="21"/>
  <c r="D55" i="20"/>
  <c r="D22" i="21"/>
  <c r="P12" i="17" a="1"/>
  <c r="P12" i="17" s="1"/>
  <c r="H13" i="17" a="1"/>
  <c r="H13" i="17" s="1"/>
  <c r="Q11" i="17"/>
  <c r="M5" i="17"/>
  <c r="N5" i="17" s="1"/>
  <c r="O5" i="17" s="1"/>
  <c r="P12" i="2" a="1"/>
  <c r="P12" i="2" s="1"/>
  <c r="Q11" i="2"/>
  <c r="L11" i="17"/>
  <c r="G6" i="2"/>
  <c r="H13" i="2" a="1"/>
  <c r="H13" i="2" s="1"/>
  <c r="E7" i="2"/>
  <c r="T7" i="17" a="1"/>
  <c r="T7" i="17" s="1"/>
  <c r="M10" i="16" a="1"/>
  <c r="M10" i="16" s="1"/>
  <c r="G10" i="16"/>
  <c r="G11" i="16" s="1"/>
  <c r="I11" i="16" s="1"/>
  <c r="C9" i="17"/>
  <c r="F7" i="2" a="1"/>
  <c r="F7" i="2" s="1"/>
  <c r="D7" i="2" a="1"/>
  <c r="D7" i="2" s="1"/>
  <c r="G6" i="17"/>
  <c r="C8" i="2"/>
  <c r="O4" i="17"/>
  <c r="F7" i="17" a="1"/>
  <c r="F7" i="17" s="1"/>
  <c r="E7" i="17"/>
  <c r="D7" i="17" a="1"/>
  <c r="D7" i="17" s="1"/>
  <c r="B8" i="2"/>
  <c r="H12" i="16" a="1"/>
  <c r="H12" i="16" s="1"/>
  <c r="F12" i="16" a="1"/>
  <c r="F12" i="16" s="1"/>
  <c r="E12" i="16" a="1"/>
  <c r="E12" i="16" s="1"/>
  <c r="D12" i="16" a="1"/>
  <c r="D12" i="16" s="1"/>
  <c r="G10" i="13"/>
  <c r="I10" i="13" s="1"/>
  <c r="B9" i="2"/>
  <c r="B9" i="13"/>
  <c r="D11" i="13" a="1"/>
  <c r="D11" i="13" s="1"/>
  <c r="H11" i="13" a="1"/>
  <c r="H11" i="13" s="1"/>
  <c r="E11" i="13" a="1"/>
  <c r="E11" i="13" s="1"/>
  <c r="F11" i="13" a="1"/>
  <c r="F11" i="13" s="1"/>
  <c r="K13" i="2" l="1" a="1"/>
  <c r="K13" i="2" s="1"/>
  <c r="J13" i="2" a="1"/>
  <c r="J13" i="2" s="1"/>
  <c r="I13" i="2" a="1"/>
  <c r="I13" i="2" s="1"/>
  <c r="J13" i="17" a="1"/>
  <c r="J13" i="17" s="1"/>
  <c r="K13" i="17" a="1"/>
  <c r="K13" i="17" s="1"/>
  <c r="I13" i="17" a="1"/>
  <c r="I13" i="17" s="1"/>
  <c r="Y9" i="17" a="1"/>
  <c r="Y9" i="17" s="1"/>
  <c r="T8" i="17" a="1"/>
  <c r="T8" i="17" s="1"/>
  <c r="S8" i="17" a="1"/>
  <c r="S8" i="17" s="1"/>
  <c r="X9" i="17" s="1" a="1"/>
  <c r="X9" i="17" s="1"/>
  <c r="D56" i="20"/>
  <c r="E56" i="21"/>
  <c r="D23" i="21"/>
  <c r="Q12" i="2"/>
  <c r="P13" i="17" a="1"/>
  <c r="P13" i="17" s="1"/>
  <c r="H14" i="17" a="1"/>
  <c r="H14" i="17" s="1"/>
  <c r="Q12" i="17"/>
  <c r="P13" i="2" a="1"/>
  <c r="P13" i="2" s="1"/>
  <c r="M6" i="17"/>
  <c r="N6" i="17" s="1"/>
  <c r="L12" i="17"/>
  <c r="G7" i="2"/>
  <c r="H14" i="2" a="1"/>
  <c r="H14" i="2" s="1"/>
  <c r="E8" i="2"/>
  <c r="M11" i="16" a="1"/>
  <c r="M11" i="16" s="1"/>
  <c r="M12" i="16" a="1"/>
  <c r="M12" i="16" s="1"/>
  <c r="I10" i="16"/>
  <c r="F8" i="2" a="1"/>
  <c r="F8" i="2" s="1"/>
  <c r="D8" i="2" a="1"/>
  <c r="D8" i="2" s="1"/>
  <c r="G7" i="17"/>
  <c r="C9" i="2"/>
  <c r="F8" i="17" a="1"/>
  <c r="F8" i="17" s="1"/>
  <c r="E8" i="17"/>
  <c r="D8" i="17" a="1"/>
  <c r="D8" i="17" s="1"/>
  <c r="G12" i="16"/>
  <c r="I12" i="16" s="1"/>
  <c r="H13" i="16" a="1"/>
  <c r="H13" i="16" s="1"/>
  <c r="F13" i="16" a="1"/>
  <c r="F13" i="16" s="1"/>
  <c r="D13" i="16" a="1"/>
  <c r="D13" i="16" s="1"/>
  <c r="E13" i="16" a="1"/>
  <c r="E13" i="16" s="1"/>
  <c r="G11" i="13"/>
  <c r="I11" i="13" s="1"/>
  <c r="B10" i="13"/>
  <c r="E12" i="13" a="1"/>
  <c r="E12" i="13" s="1"/>
  <c r="D12" i="13" a="1"/>
  <c r="D12" i="13" s="1"/>
  <c r="F12" i="13" a="1"/>
  <c r="F12" i="13" s="1"/>
  <c r="H12" i="13" a="1"/>
  <c r="H12" i="13" s="1"/>
  <c r="B10" i="2"/>
  <c r="K14" i="2" l="1" a="1"/>
  <c r="K14" i="2" s="1"/>
  <c r="J14" i="2" a="1"/>
  <c r="J14" i="2" s="1"/>
  <c r="I14" i="2" a="1"/>
  <c r="I14" i="2" s="1"/>
  <c r="J14" i="17" a="1"/>
  <c r="J14" i="17" s="1"/>
  <c r="K14" i="17" a="1"/>
  <c r="K14" i="17" s="1"/>
  <c r="I14" i="17" a="1"/>
  <c r="I14" i="17" s="1"/>
  <c r="T9" i="17" a="1"/>
  <c r="T9" i="17" s="1"/>
  <c r="S9" i="17" a="1"/>
  <c r="S9" i="17" s="1"/>
  <c r="E57" i="21"/>
  <c r="D57" i="20"/>
  <c r="D24" i="21"/>
  <c r="Q13" i="2"/>
  <c r="P14" i="17" a="1"/>
  <c r="P14" i="17" s="1"/>
  <c r="H15" i="17" a="1"/>
  <c r="H15" i="17" s="1"/>
  <c r="Q13" i="17"/>
  <c r="P14" i="2" a="1"/>
  <c r="P14" i="2" s="1"/>
  <c r="M7" i="17"/>
  <c r="N7" i="17" s="1"/>
  <c r="L13" i="17"/>
  <c r="G8" i="2"/>
  <c r="H15" i="2" a="1"/>
  <c r="H15" i="2" s="1"/>
  <c r="E9" i="2"/>
  <c r="O6" i="17"/>
  <c r="C11" i="17"/>
  <c r="C10" i="17"/>
  <c r="M13" i="16" a="1"/>
  <c r="M13" i="16" s="1"/>
  <c r="D9" i="2" a="1"/>
  <c r="D9" i="2" s="1"/>
  <c r="F9" i="2" a="1"/>
  <c r="F9" i="2" s="1"/>
  <c r="G8" i="17"/>
  <c r="C10" i="2"/>
  <c r="B11" i="2"/>
  <c r="E9" i="17"/>
  <c r="D9" i="17" a="1"/>
  <c r="D9" i="17" s="1"/>
  <c r="F9" i="17" a="1"/>
  <c r="F9" i="17" s="1"/>
  <c r="C12" i="17"/>
  <c r="G13" i="16"/>
  <c r="H14" i="16" a="1"/>
  <c r="H14" i="16" s="1"/>
  <c r="F14" i="16" a="1"/>
  <c r="F14" i="16" s="1"/>
  <c r="E14" i="16" a="1"/>
  <c r="E14" i="16" s="1"/>
  <c r="D14" i="16" a="1"/>
  <c r="D14" i="16" s="1"/>
  <c r="G12" i="13"/>
  <c r="B11" i="13"/>
  <c r="D13" i="13" a="1"/>
  <c r="D13" i="13" s="1"/>
  <c r="F13" i="13" a="1"/>
  <c r="F13" i="13" s="1"/>
  <c r="E13" i="13" a="1"/>
  <c r="E13" i="13" s="1"/>
  <c r="H13" i="13" a="1"/>
  <c r="H13" i="13" s="1"/>
  <c r="I15" i="2" l="1" a="1"/>
  <c r="I15" i="2" s="1"/>
  <c r="J15" i="2" a="1"/>
  <c r="J15" i="2" s="1"/>
  <c r="K15" i="2" a="1"/>
  <c r="K15" i="2" s="1"/>
  <c r="J15" i="17" a="1"/>
  <c r="J15" i="17" s="1"/>
  <c r="K15" i="17" a="1"/>
  <c r="K15" i="17" s="1"/>
  <c r="I15" i="17" a="1"/>
  <c r="I15" i="17" s="1"/>
  <c r="Y10" i="17" a="1"/>
  <c r="Y10" i="17" s="1"/>
  <c r="X10" i="17" a="1"/>
  <c r="X10" i="17" s="1"/>
  <c r="Y11" i="17" s="1" a="1"/>
  <c r="Y11" i="17" s="1"/>
  <c r="D58" i="20"/>
  <c r="E58" i="21"/>
  <c r="D25" i="21"/>
  <c r="Q14" i="2"/>
  <c r="P15" i="17" a="1"/>
  <c r="P15" i="17" s="1"/>
  <c r="H16" i="17" a="1"/>
  <c r="H16" i="17" s="1"/>
  <c r="Q14" i="17"/>
  <c r="P15" i="2" a="1"/>
  <c r="P15" i="2" s="1"/>
  <c r="M8" i="17"/>
  <c r="N8" i="17" s="1"/>
  <c r="L14" i="17"/>
  <c r="G9" i="2"/>
  <c r="H16" i="2" a="1"/>
  <c r="H16" i="2" s="1"/>
  <c r="E10" i="2"/>
  <c r="O7" i="17"/>
  <c r="S10" i="17" a="1"/>
  <c r="S10" i="17" s="1"/>
  <c r="X11" i="17" s="1" a="1"/>
  <c r="X11" i="17" s="1"/>
  <c r="Y12" i="17" s="1" a="1"/>
  <c r="Y12" i="17" s="1"/>
  <c r="T10" i="17" a="1"/>
  <c r="T10" i="17" s="1"/>
  <c r="M14" i="16" a="1"/>
  <c r="M14" i="16" s="1"/>
  <c r="D10" i="2" a="1"/>
  <c r="D10" i="2" s="1"/>
  <c r="F10" i="2" a="1"/>
  <c r="F10" i="2" s="1"/>
  <c r="G9" i="17"/>
  <c r="F10" i="17" a="1"/>
  <c r="F10" i="17" s="1"/>
  <c r="E10" i="17"/>
  <c r="D10" i="17" a="1"/>
  <c r="D10" i="17" s="1"/>
  <c r="C11" i="2"/>
  <c r="G14" i="16"/>
  <c r="I14" i="16" s="1"/>
  <c r="F15" i="16" a="1"/>
  <c r="F15" i="16" s="1"/>
  <c r="D15" i="16" a="1"/>
  <c r="D15" i="16" s="1"/>
  <c r="H15" i="16" a="1"/>
  <c r="H15" i="16" s="1"/>
  <c r="E15" i="16" a="1"/>
  <c r="E15" i="16" s="1"/>
  <c r="I13" i="16"/>
  <c r="C13" i="17"/>
  <c r="G13" i="13"/>
  <c r="I13" i="13" s="1"/>
  <c r="B12" i="13"/>
  <c r="I12" i="13"/>
  <c r="D14" i="13" a="1"/>
  <c r="D14" i="13" s="1"/>
  <c r="F14" i="13" a="1"/>
  <c r="F14" i="13" s="1"/>
  <c r="H14" i="13" a="1"/>
  <c r="H14" i="13" s="1"/>
  <c r="E14" i="13" a="1"/>
  <c r="E14" i="13" s="1"/>
  <c r="K16" i="2" l="1" a="1"/>
  <c r="K16" i="2" s="1"/>
  <c r="J16" i="2" a="1"/>
  <c r="J16" i="2" s="1"/>
  <c r="I16" i="2" a="1"/>
  <c r="I16" i="2" s="1"/>
  <c r="J16" i="17" a="1"/>
  <c r="J16" i="17" s="1"/>
  <c r="K16" i="17" a="1"/>
  <c r="K16" i="17" s="1"/>
  <c r="I16" i="17" a="1"/>
  <c r="I16" i="17" s="1"/>
  <c r="T11" i="17" a="1"/>
  <c r="T11" i="17" s="1"/>
  <c r="D59" i="20"/>
  <c r="E59" i="21"/>
  <c r="D26" i="21"/>
  <c r="Q15" i="2"/>
  <c r="P16" i="17" a="1"/>
  <c r="P16" i="17" s="1"/>
  <c r="H17" i="17" a="1"/>
  <c r="H17" i="17" s="1"/>
  <c r="Q15" i="17"/>
  <c r="P16" i="2" a="1"/>
  <c r="P16" i="2" s="1"/>
  <c r="M9" i="17"/>
  <c r="N9" i="17" s="1"/>
  <c r="L15" i="17"/>
  <c r="G10" i="2"/>
  <c r="H17" i="2" a="1"/>
  <c r="H17" i="2" s="1"/>
  <c r="E11" i="2"/>
  <c r="O8" i="17"/>
  <c r="S11" i="17" a="1"/>
  <c r="S11" i="17" s="1"/>
  <c r="X12" i="17" s="1" a="1"/>
  <c r="X12" i="17" s="1"/>
  <c r="Y13" i="17" s="1" a="1"/>
  <c r="Y13" i="17" s="1"/>
  <c r="B15" i="16"/>
  <c r="M15" i="16" a="1"/>
  <c r="M15" i="16" s="1"/>
  <c r="D11" i="2" a="1"/>
  <c r="D11" i="2" s="1"/>
  <c r="F11" i="2" a="1"/>
  <c r="F11" i="2" s="1"/>
  <c r="G10" i="17"/>
  <c r="D11" i="17" a="1"/>
  <c r="D11" i="17" s="1"/>
  <c r="F11" i="17" a="1"/>
  <c r="F11" i="17" s="1"/>
  <c r="E11" i="17"/>
  <c r="C12" i="2"/>
  <c r="B12" i="2"/>
  <c r="C14" i="17"/>
  <c r="H16" i="16" a="1"/>
  <c r="H16" i="16" s="1"/>
  <c r="F16" i="16" a="1"/>
  <c r="F16" i="16" s="1"/>
  <c r="E16" i="16" a="1"/>
  <c r="E16" i="16" s="1"/>
  <c r="D16" i="16" a="1"/>
  <c r="D16" i="16" s="1"/>
  <c r="G15" i="16"/>
  <c r="I15" i="16" s="1"/>
  <c r="G14" i="13"/>
  <c r="I14" i="13" s="1"/>
  <c r="B13" i="2"/>
  <c r="B13" i="13"/>
  <c r="D15" i="13" a="1"/>
  <c r="D15" i="13" s="1"/>
  <c r="F15" i="13" a="1"/>
  <c r="F15" i="13" s="1"/>
  <c r="H15" i="13" a="1"/>
  <c r="H15" i="13" s="1"/>
  <c r="E15" i="13" a="1"/>
  <c r="E15" i="13" s="1"/>
  <c r="J17" i="2" l="1" a="1"/>
  <c r="J17" i="2" s="1"/>
  <c r="I17" i="2" a="1"/>
  <c r="I17" i="2" s="1"/>
  <c r="K17" i="2" a="1"/>
  <c r="K17" i="2" s="1"/>
  <c r="J17" i="17" a="1"/>
  <c r="J17" i="17" s="1"/>
  <c r="K17" i="17" a="1"/>
  <c r="K17" i="17" s="1"/>
  <c r="I17" i="17" a="1"/>
  <c r="I17" i="17" s="1"/>
  <c r="Q16" i="2"/>
  <c r="E60" i="21"/>
  <c r="D60" i="20"/>
  <c r="D31" i="21"/>
  <c r="D27" i="21"/>
  <c r="D36" i="21"/>
  <c r="D32" i="21"/>
  <c r="D34" i="21"/>
  <c r="D39" i="21"/>
  <c r="D40" i="21"/>
  <c r="D41" i="21"/>
  <c r="D35" i="21"/>
  <c r="D33" i="21"/>
  <c r="D30" i="21"/>
  <c r="D37" i="21"/>
  <c r="D28" i="21"/>
  <c r="D38" i="21"/>
  <c r="D29" i="21"/>
  <c r="P17" i="17" a="1"/>
  <c r="P17" i="17" s="1"/>
  <c r="Q16" i="17"/>
  <c r="H18" i="17" a="1"/>
  <c r="H18" i="17" s="1"/>
  <c r="P17" i="2" a="1"/>
  <c r="P17" i="2" s="1"/>
  <c r="M10" i="17"/>
  <c r="N10" i="17" s="1"/>
  <c r="L16" i="17"/>
  <c r="G11" i="2"/>
  <c r="H18" i="2" a="1"/>
  <c r="H18" i="2" s="1"/>
  <c r="E12" i="2"/>
  <c r="S12" i="17" a="1"/>
  <c r="S12" i="17" s="1"/>
  <c r="X13" i="17" s="1" a="1"/>
  <c r="X13" i="17" s="1"/>
  <c r="Y14" i="17" s="1" a="1"/>
  <c r="Y14" i="17" s="1"/>
  <c r="O9" i="17"/>
  <c r="T12" i="17" a="1"/>
  <c r="T12" i="17" s="1"/>
  <c r="B15" i="17"/>
  <c r="B16" i="17"/>
  <c r="M16" i="16" a="1"/>
  <c r="M16" i="16" s="1"/>
  <c r="F12" i="2" a="1"/>
  <c r="F12" i="2" s="1"/>
  <c r="D12" i="2" a="1"/>
  <c r="D12" i="2" s="1"/>
  <c r="G11" i="17"/>
  <c r="B14" i="2"/>
  <c r="F12" i="17" a="1"/>
  <c r="F12" i="17" s="1"/>
  <c r="E12" i="17"/>
  <c r="D12" i="17" a="1"/>
  <c r="D12" i="17" s="1"/>
  <c r="C13" i="2"/>
  <c r="C15" i="17"/>
  <c r="G16" i="16"/>
  <c r="I16" i="16" s="1"/>
  <c r="H17" i="16" a="1"/>
  <c r="H17" i="16" s="1"/>
  <c r="F17" i="16" a="1"/>
  <c r="F17" i="16" s="1"/>
  <c r="D17" i="16" a="1"/>
  <c r="D17" i="16" s="1"/>
  <c r="E17" i="16" a="1"/>
  <c r="E17" i="16" s="1"/>
  <c r="G15" i="13"/>
  <c r="I15" i="13" s="1"/>
  <c r="B14" i="13"/>
  <c r="E16" i="13" a="1"/>
  <c r="E16" i="13" s="1"/>
  <c r="H16" i="13" a="1"/>
  <c r="H16" i="13" s="1"/>
  <c r="F16" i="13" a="1"/>
  <c r="F16" i="13" s="1"/>
  <c r="D16" i="13" a="1"/>
  <c r="D16" i="13" s="1"/>
  <c r="K18" i="2" l="1" a="1"/>
  <c r="K18" i="2" s="1"/>
  <c r="I18" i="2" a="1"/>
  <c r="I18" i="2" s="1"/>
  <c r="J18" i="2" a="1"/>
  <c r="J18" i="2" s="1"/>
  <c r="J18" i="17" a="1"/>
  <c r="J18" i="17" s="1"/>
  <c r="K18" i="17" a="1"/>
  <c r="K18" i="17" s="1"/>
  <c r="I18" i="17" a="1"/>
  <c r="I18" i="17" s="1"/>
  <c r="Q17" i="2"/>
  <c r="E61" i="21"/>
  <c r="E63" i="21" s="1"/>
  <c r="D61" i="20"/>
  <c r="D45" i="21"/>
  <c r="D47" i="21"/>
  <c r="D52" i="21"/>
  <c r="D57" i="21"/>
  <c r="D59" i="21"/>
  <c r="D51" i="21"/>
  <c r="D46" i="21"/>
  <c r="D54" i="21"/>
  <c r="D61" i="21"/>
  <c r="D50" i="21"/>
  <c r="D60" i="21"/>
  <c r="D55" i="21"/>
  <c r="D56" i="21"/>
  <c r="D58" i="21"/>
  <c r="D49" i="21"/>
  <c r="D42" i="21"/>
  <c r="D53" i="21"/>
  <c r="D48" i="21"/>
  <c r="D44" i="21"/>
  <c r="P18" i="2" a="1"/>
  <c r="P18" i="2" s="1"/>
  <c r="Q17" i="17"/>
  <c r="P18" i="17" a="1"/>
  <c r="P18" i="17" s="1"/>
  <c r="H19" i="17" a="1"/>
  <c r="H19" i="17" s="1"/>
  <c r="M11" i="17"/>
  <c r="N11" i="17" s="1"/>
  <c r="L17" i="17"/>
  <c r="G12" i="2"/>
  <c r="H19" i="2" a="1"/>
  <c r="H19" i="2" s="1"/>
  <c r="E13" i="2"/>
  <c r="S13" i="17" a="1"/>
  <c r="S13" i="17" s="1"/>
  <c r="X14" i="17" s="1" a="1"/>
  <c r="X14" i="17" s="1"/>
  <c r="Y15" i="17" s="1" a="1"/>
  <c r="Y15" i="17" s="1"/>
  <c r="T13" i="17" a="1"/>
  <c r="T13" i="17" s="1"/>
  <c r="O10" i="17"/>
  <c r="B16" i="16"/>
  <c r="B17" i="16" s="1"/>
  <c r="M17" i="16" a="1"/>
  <c r="M17" i="16" s="1"/>
  <c r="D13" i="2" a="1"/>
  <c r="D13" i="2" s="1"/>
  <c r="F13" i="2" a="1"/>
  <c r="F13" i="2" s="1"/>
  <c r="G12" i="17"/>
  <c r="B15" i="2"/>
  <c r="C14" i="2"/>
  <c r="F13" i="17" a="1"/>
  <c r="F13" i="17" s="1"/>
  <c r="E13" i="17"/>
  <c r="D13" i="17" a="1"/>
  <c r="D13" i="17" s="1"/>
  <c r="G17" i="16"/>
  <c r="I17" i="16" s="1"/>
  <c r="F18" i="16" a="1"/>
  <c r="F18" i="16" s="1"/>
  <c r="E18" i="16" a="1"/>
  <c r="E18" i="16" s="1"/>
  <c r="D18" i="16" a="1"/>
  <c r="D18" i="16" s="1"/>
  <c r="G16" i="13"/>
  <c r="I16" i="13" s="1"/>
  <c r="B15" i="13"/>
  <c r="E17" i="13" a="1"/>
  <c r="E17" i="13" s="1"/>
  <c r="H17" i="13" a="1"/>
  <c r="H17" i="13" s="1"/>
  <c r="D17" i="13" a="1"/>
  <c r="D17" i="13" s="1"/>
  <c r="F17" i="13" a="1"/>
  <c r="F17" i="13" s="1"/>
  <c r="K19" i="2" l="1" a="1"/>
  <c r="K19" i="2" s="1"/>
  <c r="J19" i="2" a="1"/>
  <c r="J19" i="2" s="1"/>
  <c r="I19" i="2" a="1"/>
  <c r="I19" i="2" s="1"/>
  <c r="Q18" i="2"/>
  <c r="J19" i="17" a="1"/>
  <c r="J19" i="17" s="1"/>
  <c r="K19" i="17" a="1"/>
  <c r="K19" i="17" s="1"/>
  <c r="I19" i="17" a="1"/>
  <c r="I19" i="17" s="1"/>
  <c r="T14" i="17" a="1"/>
  <c r="T14" i="17" s="1"/>
  <c r="D43" i="21"/>
  <c r="D63" i="21" s="1"/>
  <c r="H13" i="19"/>
  <c r="Q18" i="17"/>
  <c r="P19" i="2" a="1"/>
  <c r="P19" i="2" s="1"/>
  <c r="Q19" i="2" s="1"/>
  <c r="P19" i="17" a="1"/>
  <c r="P19" i="17" s="1"/>
  <c r="H20" i="17" a="1"/>
  <c r="H20" i="17" s="1"/>
  <c r="M12" i="17"/>
  <c r="N12" i="17" s="1"/>
  <c r="L18" i="17"/>
  <c r="G13" i="2"/>
  <c r="H20" i="2" a="1"/>
  <c r="H20" i="2" s="1"/>
  <c r="E14" i="2"/>
  <c r="S14" i="17" a="1"/>
  <c r="S14" i="17" s="1"/>
  <c r="X15" i="17" s="1" a="1"/>
  <c r="X15" i="17" s="1"/>
  <c r="O11" i="17"/>
  <c r="C16" i="17"/>
  <c r="J18" i="16" a="1"/>
  <c r="J18" i="16" s="1"/>
  <c r="M18" i="16" a="1"/>
  <c r="M18" i="16" s="1"/>
  <c r="F14" i="2" a="1"/>
  <c r="F14" i="2" s="1"/>
  <c r="D14" i="2" a="1"/>
  <c r="D14" i="2" s="1"/>
  <c r="C15" i="2"/>
  <c r="D14" i="17" a="1"/>
  <c r="D14" i="17" s="1"/>
  <c r="F14" i="17" a="1"/>
  <c r="F14" i="17" s="1"/>
  <c r="E14" i="17"/>
  <c r="B16" i="2"/>
  <c r="G13" i="17"/>
  <c r="C17" i="17"/>
  <c r="G18" i="16"/>
  <c r="I18" i="16" s="1"/>
  <c r="F19" i="16" a="1"/>
  <c r="F19" i="16" s="1"/>
  <c r="D19" i="16" a="1"/>
  <c r="D19" i="16" s="1"/>
  <c r="E19" i="16" a="1"/>
  <c r="E19" i="16" s="1"/>
  <c r="G17" i="13"/>
  <c r="I17" i="13" s="1"/>
  <c r="B16" i="13"/>
  <c r="E18" i="13" a="1"/>
  <c r="E18" i="13" s="1"/>
  <c r="D18" i="13" a="1"/>
  <c r="D18" i="13" s="1"/>
  <c r="F18" i="13" a="1"/>
  <c r="F18" i="13" s="1"/>
  <c r="J20" i="2" l="1" a="1"/>
  <c r="J20" i="2" s="1"/>
  <c r="I20" i="2" a="1"/>
  <c r="I20" i="2" s="1"/>
  <c r="K20" i="2" a="1"/>
  <c r="K20" i="2" s="1"/>
  <c r="B18" i="17"/>
  <c r="J20" i="17" a="1"/>
  <c r="J20" i="17" s="1"/>
  <c r="K20" i="17" a="1"/>
  <c r="K20" i="17" s="1"/>
  <c r="I20" i="17" a="1"/>
  <c r="I20" i="17" s="1"/>
  <c r="Y16" i="17" a="1"/>
  <c r="Y16" i="17" s="1"/>
  <c r="S15" i="17" a="1"/>
  <c r="S15" i="17" s="1"/>
  <c r="X16" i="17" s="1" a="1"/>
  <c r="X16" i="17" s="1"/>
  <c r="Y17" i="17" s="1" a="1"/>
  <c r="Y17" i="17" s="1"/>
  <c r="Q19" i="17"/>
  <c r="P20" i="2" a="1"/>
  <c r="P20" i="2" s="1"/>
  <c r="Q20" i="2" s="1"/>
  <c r="P20" i="17" a="1"/>
  <c r="P20" i="17" s="1"/>
  <c r="H21" i="17" a="1"/>
  <c r="H21" i="17" s="1"/>
  <c r="M13" i="17"/>
  <c r="N13" i="17" s="1"/>
  <c r="L19" i="17"/>
  <c r="G14" i="2"/>
  <c r="H21" i="2" a="1"/>
  <c r="H21" i="2" s="1"/>
  <c r="D15" i="2" a="1"/>
  <c r="D15" i="2" s="1"/>
  <c r="T15" i="17" a="1"/>
  <c r="T15" i="17" s="1"/>
  <c r="O12" i="17"/>
  <c r="B18" i="16"/>
  <c r="C18" i="17" s="1"/>
  <c r="J19" i="16" a="1"/>
  <c r="J19" i="16" s="1"/>
  <c r="B19" i="17" s="1"/>
  <c r="M19" i="16" a="1"/>
  <c r="M19" i="16" s="1"/>
  <c r="F15" i="2" a="1"/>
  <c r="F15" i="2" s="1"/>
  <c r="E15" i="2"/>
  <c r="G14" i="17"/>
  <c r="F15" i="17" a="1"/>
  <c r="F15" i="17" s="1"/>
  <c r="E15" i="17"/>
  <c r="D15" i="17" a="1"/>
  <c r="D15" i="17" s="1"/>
  <c r="B17" i="2"/>
  <c r="C16" i="2"/>
  <c r="E20" i="16" a="1"/>
  <c r="E20" i="16" s="1"/>
  <c r="F20" i="16" a="1"/>
  <c r="F20" i="16" s="1"/>
  <c r="D20" i="16" a="1"/>
  <c r="D20" i="16" s="1"/>
  <c r="G19" i="16"/>
  <c r="I19" i="16" s="1"/>
  <c r="G18" i="13"/>
  <c r="I18" i="13" s="1"/>
  <c r="B17" i="13"/>
  <c r="E19" i="13" a="1"/>
  <c r="E19" i="13" s="1"/>
  <c r="D19" i="13" a="1"/>
  <c r="D19" i="13" s="1"/>
  <c r="F19" i="13" a="1"/>
  <c r="F19" i="13" s="1"/>
  <c r="K21" i="2" l="1" a="1"/>
  <c r="K21" i="2" s="1"/>
  <c r="J21" i="2" a="1"/>
  <c r="J21" i="2" s="1"/>
  <c r="I21" i="2" a="1"/>
  <c r="I21" i="2" s="1"/>
  <c r="J21" i="17" a="1"/>
  <c r="J21" i="17" s="1"/>
  <c r="K21" i="17" a="1"/>
  <c r="K21" i="17" s="1"/>
  <c r="I21" i="17" a="1"/>
  <c r="I21" i="17" s="1"/>
  <c r="T16" i="17" a="1"/>
  <c r="T16" i="17" s="1"/>
  <c r="S16" i="17" a="1"/>
  <c r="S16" i="17" s="1"/>
  <c r="X17" i="17" s="1" a="1"/>
  <c r="X17" i="17" s="1"/>
  <c r="Y18" i="17" s="1" a="1"/>
  <c r="Y18" i="17" s="1"/>
  <c r="Q20" i="17"/>
  <c r="P21" i="2" a="1"/>
  <c r="P21" i="2" s="1"/>
  <c r="Q21" i="2" s="1"/>
  <c r="P21" i="17" a="1"/>
  <c r="P21" i="17" s="1"/>
  <c r="H22" i="17" a="1"/>
  <c r="H22" i="17" s="1"/>
  <c r="M14" i="17"/>
  <c r="N14" i="17" s="1"/>
  <c r="L20" i="17"/>
  <c r="H22" i="2" a="1"/>
  <c r="H22" i="2" s="1"/>
  <c r="D16" i="2" a="1"/>
  <c r="D16" i="2" s="1"/>
  <c r="O13" i="17"/>
  <c r="B19" i="16"/>
  <c r="C19" i="17" s="1"/>
  <c r="J20" i="16" a="1"/>
  <c r="J20" i="16" s="1"/>
  <c r="B20" i="17" s="1"/>
  <c r="M20" i="16" a="1"/>
  <c r="M20" i="16" s="1"/>
  <c r="G15" i="2"/>
  <c r="F17" i="17" a="1"/>
  <c r="F17" i="17" s="1"/>
  <c r="E17" i="17"/>
  <c r="D17" i="17" a="1"/>
  <c r="D17" i="17" s="1"/>
  <c r="E16" i="2"/>
  <c r="F16" i="2" a="1"/>
  <c r="F16" i="2" s="1"/>
  <c r="D16" i="17" a="1"/>
  <c r="D16" i="17" s="1"/>
  <c r="F16" i="17" a="1"/>
  <c r="F16" i="17" s="1"/>
  <c r="E16" i="17"/>
  <c r="G15" i="17"/>
  <c r="G20" i="16"/>
  <c r="I20" i="16" s="1"/>
  <c r="F21" i="16" a="1"/>
  <c r="F21" i="16" s="1"/>
  <c r="E21" i="16" a="1"/>
  <c r="E21" i="16" s="1"/>
  <c r="D21" i="16" a="1"/>
  <c r="D21" i="16" s="1"/>
  <c r="G19" i="13"/>
  <c r="I19" i="13" s="1"/>
  <c r="B18" i="13"/>
  <c r="C17" i="2"/>
  <c r="E20" i="13" a="1"/>
  <c r="E20" i="13" s="1"/>
  <c r="D20" i="13" a="1"/>
  <c r="D20" i="13" s="1"/>
  <c r="F20" i="13" a="1"/>
  <c r="F20" i="13" s="1"/>
  <c r="K22" i="2" l="1" a="1"/>
  <c r="K22" i="2" s="1"/>
  <c r="J22" i="2" a="1"/>
  <c r="J22" i="2" s="1"/>
  <c r="I22" i="2" a="1"/>
  <c r="I22" i="2" s="1"/>
  <c r="J22" i="17" a="1"/>
  <c r="J22" i="17" s="1"/>
  <c r="K22" i="17" a="1"/>
  <c r="K22" i="17" s="1"/>
  <c r="I22" i="17" a="1"/>
  <c r="I22" i="17" s="1"/>
  <c r="T17" i="17" a="1"/>
  <c r="T17" i="17" s="1"/>
  <c r="S17" i="17" a="1"/>
  <c r="S17" i="17" s="1"/>
  <c r="X18" i="17" s="1" a="1"/>
  <c r="X18" i="17" s="1"/>
  <c r="Y19" i="17" s="1" a="1"/>
  <c r="Y19" i="17" s="1"/>
  <c r="Q21" i="17"/>
  <c r="P22" i="2" a="1"/>
  <c r="P22" i="2" s="1"/>
  <c r="Q22" i="2" s="1"/>
  <c r="H23" i="17" a="1"/>
  <c r="H23" i="17" s="1"/>
  <c r="P22" i="17" a="1"/>
  <c r="P22" i="17" s="1"/>
  <c r="M15" i="17"/>
  <c r="N15" i="17" s="1"/>
  <c r="L21" i="17"/>
  <c r="H23" i="2" a="1"/>
  <c r="H23" i="2" s="1"/>
  <c r="O14" i="17"/>
  <c r="B20" i="16"/>
  <c r="C20" i="17" s="1"/>
  <c r="M21" i="16" a="1"/>
  <c r="M21" i="16" s="1"/>
  <c r="J21" i="16" a="1"/>
  <c r="J21" i="16" s="1"/>
  <c r="B21" i="17" s="1"/>
  <c r="G16" i="2"/>
  <c r="G16" i="17"/>
  <c r="C18" i="2"/>
  <c r="G17" i="17"/>
  <c r="G21" i="16"/>
  <c r="I21" i="16" s="1"/>
  <c r="F22" i="16" a="1"/>
  <c r="F22" i="16" s="1"/>
  <c r="E22" i="16" a="1"/>
  <c r="E22" i="16" s="1"/>
  <c r="D22" i="16" a="1"/>
  <c r="D22" i="16" s="1"/>
  <c r="G20" i="13"/>
  <c r="I20" i="13" s="1"/>
  <c r="F17" i="2" a="1"/>
  <c r="F17" i="2" s="1"/>
  <c r="D17" i="2" a="1"/>
  <c r="D17" i="2" s="1"/>
  <c r="E17" i="2"/>
  <c r="B19" i="13"/>
  <c r="D21" i="13" a="1"/>
  <c r="D21" i="13" s="1"/>
  <c r="E21" i="13" a="1"/>
  <c r="E21" i="13" s="1"/>
  <c r="F21" i="13" a="1"/>
  <c r="F21" i="13" s="1"/>
  <c r="B18" i="2"/>
  <c r="B19" i="2"/>
  <c r="K23" i="2" l="1" a="1"/>
  <c r="K23" i="2" s="1"/>
  <c r="J23" i="2" a="1"/>
  <c r="J23" i="2" s="1"/>
  <c r="I23" i="2" a="1"/>
  <c r="I23" i="2" s="1"/>
  <c r="J23" i="17" a="1"/>
  <c r="J23" i="17" s="1"/>
  <c r="K23" i="17" a="1"/>
  <c r="K23" i="17" s="1"/>
  <c r="I23" i="17" a="1"/>
  <c r="I23" i="17" s="1"/>
  <c r="T18" i="17" a="1"/>
  <c r="T18" i="17" s="1"/>
  <c r="S18" i="17" a="1"/>
  <c r="S18" i="17" s="1"/>
  <c r="X19" i="17" s="1" a="1"/>
  <c r="X19" i="17" s="1"/>
  <c r="Y20" i="17" s="1" a="1"/>
  <c r="Y20" i="17" s="1"/>
  <c r="Q22" i="17"/>
  <c r="P23" i="2" a="1"/>
  <c r="P23" i="2" s="1"/>
  <c r="Q23" i="2" s="1"/>
  <c r="H24" i="17" a="1"/>
  <c r="H24" i="17" s="1"/>
  <c r="P23" i="17" a="1"/>
  <c r="P23" i="17" s="1"/>
  <c r="M16" i="17"/>
  <c r="N16" i="17" s="1"/>
  <c r="L22" i="17"/>
  <c r="H24" i="2" a="1"/>
  <c r="H24" i="2" s="1"/>
  <c r="D18" i="2" a="1"/>
  <c r="D18" i="2" s="1"/>
  <c r="O15" i="17"/>
  <c r="B21" i="16"/>
  <c r="C21" i="17" s="1"/>
  <c r="J22" i="16" a="1"/>
  <c r="J22" i="16" s="1"/>
  <c r="B22" i="17" s="1"/>
  <c r="M22" i="16" a="1"/>
  <c r="M22" i="16" s="1"/>
  <c r="F18" i="2" a="1"/>
  <c r="F18" i="2" s="1"/>
  <c r="E18" i="2"/>
  <c r="B20" i="2"/>
  <c r="C19" i="2"/>
  <c r="D18" i="17" a="1"/>
  <c r="D18" i="17" s="1"/>
  <c r="F18" i="17" a="1"/>
  <c r="F18" i="17" s="1"/>
  <c r="E18" i="17"/>
  <c r="G22" i="16"/>
  <c r="I22" i="16" s="1"/>
  <c r="F23" i="16" a="1"/>
  <c r="F23" i="16" s="1"/>
  <c r="E23" i="16" a="1"/>
  <c r="E23" i="16" s="1"/>
  <c r="D23" i="16" a="1"/>
  <c r="D23" i="16" s="1"/>
  <c r="G21" i="13"/>
  <c r="I21" i="13" s="1"/>
  <c r="G17" i="2"/>
  <c r="B20" i="13"/>
  <c r="D22" i="13" a="1"/>
  <c r="D22" i="13" s="1"/>
  <c r="E22" i="13" a="1"/>
  <c r="E22" i="13" s="1"/>
  <c r="F22" i="13" a="1"/>
  <c r="F22" i="13" s="1"/>
  <c r="K24" i="2" l="1" a="1"/>
  <c r="K24" i="2" s="1"/>
  <c r="J24" i="2" a="1"/>
  <c r="J24" i="2" s="1"/>
  <c r="I24" i="2" a="1"/>
  <c r="I24" i="2" s="1"/>
  <c r="J24" i="17" a="1"/>
  <c r="J24" i="17" s="1"/>
  <c r="K24" i="17" a="1"/>
  <c r="K24" i="17" s="1"/>
  <c r="I24" i="17" a="1"/>
  <c r="I24" i="17" s="1"/>
  <c r="Q23" i="17"/>
  <c r="S19" i="17" a="1"/>
  <c r="S19" i="17" s="1"/>
  <c r="X20" i="17" s="1" a="1"/>
  <c r="X20" i="17" s="1"/>
  <c r="Y21" i="17" s="1" a="1"/>
  <c r="Y21" i="17" s="1"/>
  <c r="T19" i="17" a="1"/>
  <c r="T19" i="17" s="1"/>
  <c r="P24" i="2" a="1"/>
  <c r="P24" i="2" s="1"/>
  <c r="Q24" i="2" s="1"/>
  <c r="H25" i="17" a="1"/>
  <c r="H25" i="17" s="1"/>
  <c r="P24" i="17" a="1"/>
  <c r="P24" i="17" s="1"/>
  <c r="M17" i="17"/>
  <c r="N17" i="17" s="1"/>
  <c r="L23" i="17"/>
  <c r="H25" i="2" a="1"/>
  <c r="H25" i="2" s="1"/>
  <c r="D19" i="2" a="1"/>
  <c r="D19" i="2" s="1"/>
  <c r="O16" i="17"/>
  <c r="B22" i="16"/>
  <c r="C22" i="17" s="1"/>
  <c r="J23" i="16" a="1"/>
  <c r="J23" i="16" s="1"/>
  <c r="B23" i="17" s="1"/>
  <c r="M23" i="16" a="1"/>
  <c r="M23" i="16" s="1"/>
  <c r="G18" i="2"/>
  <c r="G18" i="17"/>
  <c r="F19" i="2" a="1"/>
  <c r="F19" i="2" s="1"/>
  <c r="C20" i="2"/>
  <c r="F19" i="17" a="1"/>
  <c r="F19" i="17" s="1"/>
  <c r="E19" i="17"/>
  <c r="D19" i="17" a="1"/>
  <c r="D19" i="17" s="1"/>
  <c r="B21" i="2"/>
  <c r="E19" i="2"/>
  <c r="G23" i="16"/>
  <c r="I23" i="16" s="1"/>
  <c r="F24" i="16" a="1"/>
  <c r="F24" i="16" s="1"/>
  <c r="D24" i="16" a="1"/>
  <c r="D24" i="16" s="1"/>
  <c r="E24" i="16" a="1"/>
  <c r="E24" i="16" s="1"/>
  <c r="G22" i="13"/>
  <c r="I22" i="13" s="1"/>
  <c r="B21" i="13"/>
  <c r="D23" i="13" a="1"/>
  <c r="D23" i="13" s="1"/>
  <c r="F23" i="13" a="1"/>
  <c r="F23" i="13" s="1"/>
  <c r="E23" i="13" a="1"/>
  <c r="E23" i="13" s="1"/>
  <c r="K25" i="2" l="1" a="1"/>
  <c r="K25" i="2" s="1"/>
  <c r="J25" i="2" a="1"/>
  <c r="J25" i="2" s="1"/>
  <c r="I25" i="2" a="1"/>
  <c r="I25" i="2" s="1"/>
  <c r="Q24" i="17"/>
  <c r="J25" i="17" a="1"/>
  <c r="J25" i="17" s="1"/>
  <c r="K25" i="17" a="1"/>
  <c r="K25" i="17" s="1"/>
  <c r="I25" i="17" a="1"/>
  <c r="I25" i="17" s="1"/>
  <c r="S20" i="17" a="1"/>
  <c r="S20" i="17" s="1"/>
  <c r="X21" i="17" s="1" a="1"/>
  <c r="X21" i="17" s="1"/>
  <c r="Y22" i="17" s="1" a="1"/>
  <c r="Y22" i="17" s="1"/>
  <c r="T20" i="17" a="1"/>
  <c r="T20" i="17" s="1"/>
  <c r="P25" i="2" a="1"/>
  <c r="P25" i="2" s="1"/>
  <c r="Q25" i="2" s="1"/>
  <c r="H26" i="17" a="1"/>
  <c r="H26" i="17" s="1"/>
  <c r="P25" i="17" a="1"/>
  <c r="P25" i="17" s="1"/>
  <c r="L24" i="17"/>
  <c r="M18" i="17"/>
  <c r="N18" i="17" s="1"/>
  <c r="H26" i="2" a="1"/>
  <c r="H26" i="2" s="1"/>
  <c r="D20" i="2" a="1"/>
  <c r="D20" i="2" s="1"/>
  <c r="O17" i="17"/>
  <c r="B23" i="16"/>
  <c r="C23" i="17" s="1"/>
  <c r="M24" i="16" a="1"/>
  <c r="M24" i="16" s="1"/>
  <c r="J24" i="16" a="1"/>
  <c r="J24" i="16" s="1"/>
  <c r="B24" i="17" s="1"/>
  <c r="G19" i="2"/>
  <c r="E20" i="2"/>
  <c r="F20" i="2" a="1"/>
  <c r="F20" i="2" s="1"/>
  <c r="C21" i="2"/>
  <c r="G19" i="17"/>
  <c r="B22" i="2"/>
  <c r="F20" i="17" a="1"/>
  <c r="F20" i="17" s="1"/>
  <c r="E20" i="17"/>
  <c r="D20" i="17" a="1"/>
  <c r="D20" i="17" s="1"/>
  <c r="G24" i="16"/>
  <c r="I24" i="16" s="1"/>
  <c r="F25" i="16" a="1"/>
  <c r="F25" i="16" s="1"/>
  <c r="E25" i="16" a="1"/>
  <c r="E25" i="16" s="1"/>
  <c r="D25" i="16" a="1"/>
  <c r="D25" i="16" s="1"/>
  <c r="G23" i="13"/>
  <c r="I23" i="13" s="1"/>
  <c r="B22" i="13"/>
  <c r="D24" i="13" a="1"/>
  <c r="D24" i="13" s="1"/>
  <c r="E24" i="13" a="1"/>
  <c r="E24" i="13" s="1"/>
  <c r="F24" i="13" a="1"/>
  <c r="F24" i="13" s="1"/>
  <c r="I26" i="2" l="1" a="1"/>
  <c r="I26" i="2" s="1"/>
  <c r="K26" i="2" a="1"/>
  <c r="K26" i="2" s="1"/>
  <c r="J26" i="2" a="1"/>
  <c r="J26" i="2" s="1"/>
  <c r="Q25" i="17"/>
  <c r="J26" i="17" a="1"/>
  <c r="J26" i="17" s="1"/>
  <c r="K26" i="17" a="1"/>
  <c r="K26" i="17" s="1"/>
  <c r="I26" i="17" a="1"/>
  <c r="I26" i="17" s="1"/>
  <c r="T21" i="17" a="1"/>
  <c r="T21" i="17" s="1"/>
  <c r="S21" i="17" a="1"/>
  <c r="S21" i="17" s="1"/>
  <c r="X22" i="17" s="1" a="1"/>
  <c r="X22" i="17" s="1"/>
  <c r="Y23" i="17" s="1" a="1"/>
  <c r="Y23" i="17" s="1"/>
  <c r="P26" i="2" a="1"/>
  <c r="P26" i="2" s="1"/>
  <c r="Q26" i="2" s="1"/>
  <c r="H27" i="17" a="1"/>
  <c r="H27" i="17" s="1"/>
  <c r="P26" i="17" a="1"/>
  <c r="P26" i="17" s="1"/>
  <c r="L25" i="17"/>
  <c r="M19" i="17"/>
  <c r="N19" i="17" s="1"/>
  <c r="H27" i="2" a="1"/>
  <c r="H27" i="2" s="1"/>
  <c r="D21" i="2" a="1"/>
  <c r="D21" i="2" s="1"/>
  <c r="O18" i="17"/>
  <c r="B24" i="16"/>
  <c r="C24" i="17" s="1"/>
  <c r="M25" i="16" a="1"/>
  <c r="M25" i="16" s="1"/>
  <c r="J25" i="16" a="1"/>
  <c r="J25" i="16" s="1"/>
  <c r="B25" i="17" s="1"/>
  <c r="G20" i="2"/>
  <c r="E21" i="2"/>
  <c r="F21" i="2" a="1"/>
  <c r="F21" i="2" s="1"/>
  <c r="C22" i="2"/>
  <c r="B23" i="2"/>
  <c r="G20" i="17"/>
  <c r="E21" i="17"/>
  <c r="F21" i="17" a="1"/>
  <c r="F21" i="17" s="1"/>
  <c r="D21" i="17" a="1"/>
  <c r="D21" i="17" s="1"/>
  <c r="G25" i="16"/>
  <c r="I25" i="16" s="1"/>
  <c r="F26" i="16" a="1"/>
  <c r="F26" i="16" s="1"/>
  <c r="D26" i="16" a="1"/>
  <c r="D26" i="16" s="1"/>
  <c r="E26" i="16" a="1"/>
  <c r="E26" i="16" s="1"/>
  <c r="G24" i="13"/>
  <c r="I24" i="13" s="1"/>
  <c r="B23" i="13"/>
  <c r="D25" i="13" a="1"/>
  <c r="D25" i="13" s="1"/>
  <c r="F25" i="13" a="1"/>
  <c r="F25" i="13" s="1"/>
  <c r="E25" i="13" a="1"/>
  <c r="E25" i="13" s="1"/>
  <c r="K27" i="2" l="1" a="1"/>
  <c r="K27" i="2" s="1"/>
  <c r="J27" i="2" a="1"/>
  <c r="J27" i="2" s="1"/>
  <c r="I27" i="2" a="1"/>
  <c r="I27" i="2" s="1"/>
  <c r="Q26" i="17"/>
  <c r="J27" i="17" a="1"/>
  <c r="J27" i="17" s="1"/>
  <c r="K27" i="17" a="1"/>
  <c r="K27" i="17" s="1"/>
  <c r="I27" i="17" a="1"/>
  <c r="I27" i="17" s="1"/>
  <c r="S22" i="17" a="1"/>
  <c r="S22" i="17" s="1"/>
  <c r="X23" i="17" s="1" a="1"/>
  <c r="X23" i="17" s="1"/>
  <c r="Y24" i="17" s="1" a="1"/>
  <c r="Y24" i="17" s="1"/>
  <c r="T22" i="17" a="1"/>
  <c r="T22" i="17" s="1"/>
  <c r="P27" i="2" a="1"/>
  <c r="P27" i="2" s="1"/>
  <c r="Q27" i="2" s="1"/>
  <c r="H28" i="17" a="1"/>
  <c r="H28" i="17" s="1"/>
  <c r="P27" i="17" a="1"/>
  <c r="P27" i="17" s="1"/>
  <c r="L26" i="17"/>
  <c r="M20" i="17"/>
  <c r="N20" i="17" s="1"/>
  <c r="H28" i="2" a="1"/>
  <c r="H28" i="2" s="1"/>
  <c r="D22" i="2" a="1"/>
  <c r="D22" i="2" s="1"/>
  <c r="O19" i="17"/>
  <c r="B25" i="16"/>
  <c r="C25" i="17" s="1"/>
  <c r="J26" i="16" a="1"/>
  <c r="J26" i="16" s="1"/>
  <c r="B26" i="17" s="1"/>
  <c r="M26" i="16" a="1"/>
  <c r="M26" i="16" s="1"/>
  <c r="E22" i="2"/>
  <c r="G21" i="2"/>
  <c r="F22" i="2" a="1"/>
  <c r="F22" i="2" s="1"/>
  <c r="C23" i="2"/>
  <c r="B24" i="2"/>
  <c r="G21" i="17"/>
  <c r="F22" i="17" a="1"/>
  <c r="F22" i="17" s="1"/>
  <c r="E22" i="17"/>
  <c r="D22" i="17" a="1"/>
  <c r="D22" i="17" s="1"/>
  <c r="G26" i="16"/>
  <c r="I26" i="16" s="1"/>
  <c r="F27" i="16" a="1"/>
  <c r="F27" i="16" s="1"/>
  <c r="D27" i="16" a="1"/>
  <c r="D27" i="16" s="1"/>
  <c r="E27" i="16" a="1"/>
  <c r="E27" i="16" s="1"/>
  <c r="G25" i="13"/>
  <c r="I25" i="13" s="1"/>
  <c r="B24" i="13"/>
  <c r="D26" i="13" a="1"/>
  <c r="D26" i="13" s="1"/>
  <c r="F26" i="13" a="1"/>
  <c r="F26" i="13" s="1"/>
  <c r="E26" i="13" a="1"/>
  <c r="E26" i="13" s="1"/>
  <c r="K28" i="2" l="1" a="1"/>
  <c r="K28" i="2" s="1"/>
  <c r="J28" i="2" a="1"/>
  <c r="J28" i="2" s="1"/>
  <c r="I28" i="2" a="1"/>
  <c r="I28" i="2" s="1"/>
  <c r="Q27" i="17"/>
  <c r="J28" i="17" a="1"/>
  <c r="J28" i="17" s="1"/>
  <c r="K28" i="17" a="1"/>
  <c r="K28" i="17" s="1"/>
  <c r="I28" i="17" a="1"/>
  <c r="I28" i="17" s="1"/>
  <c r="T23" i="17" a="1"/>
  <c r="T23" i="17" s="1"/>
  <c r="S23" i="17" a="1"/>
  <c r="S23" i="17" s="1"/>
  <c r="X24" i="17" s="1" a="1"/>
  <c r="X24" i="17" s="1"/>
  <c r="Y25" i="17" s="1" a="1"/>
  <c r="Y25" i="17" s="1"/>
  <c r="P28" i="2" a="1"/>
  <c r="P28" i="2" s="1"/>
  <c r="Q28" i="2" s="1"/>
  <c r="H29" i="17" a="1"/>
  <c r="H29" i="17" s="1"/>
  <c r="P28" i="17" a="1"/>
  <c r="P28" i="17" s="1"/>
  <c r="L27" i="17"/>
  <c r="M21" i="17"/>
  <c r="N21" i="17" s="1"/>
  <c r="H29" i="2" a="1"/>
  <c r="H29" i="2" s="1"/>
  <c r="D23" i="2" a="1"/>
  <c r="D23" i="2" s="1"/>
  <c r="O20" i="17"/>
  <c r="B26" i="16"/>
  <c r="C26" i="17" s="1"/>
  <c r="J27" i="16" a="1"/>
  <c r="J27" i="16" s="1"/>
  <c r="B27" i="17" s="1"/>
  <c r="M27" i="16" a="1"/>
  <c r="M27" i="16" s="1"/>
  <c r="G22" i="2"/>
  <c r="F23" i="2" a="1"/>
  <c r="F23" i="2" s="1"/>
  <c r="C24" i="2"/>
  <c r="D23" i="17" a="1"/>
  <c r="D23" i="17" s="1"/>
  <c r="F23" i="17" a="1"/>
  <c r="F23" i="17" s="1"/>
  <c r="E23" i="17"/>
  <c r="G22" i="17"/>
  <c r="B25" i="2"/>
  <c r="E23" i="2"/>
  <c r="G27" i="16"/>
  <c r="I27" i="16" s="1"/>
  <c r="F28" i="16" a="1"/>
  <c r="F28" i="16" s="1"/>
  <c r="E28" i="16" a="1"/>
  <c r="E28" i="16" s="1"/>
  <c r="D28" i="16" a="1"/>
  <c r="D28" i="16" s="1"/>
  <c r="G26" i="13"/>
  <c r="I26" i="13" s="1"/>
  <c r="B25" i="13"/>
  <c r="D27" i="13" a="1"/>
  <c r="D27" i="13" s="1"/>
  <c r="F27" i="13" a="1"/>
  <c r="F27" i="13" s="1"/>
  <c r="E27" i="13" a="1"/>
  <c r="E27" i="13" s="1"/>
  <c r="J29" i="2" l="1" a="1"/>
  <c r="J29" i="2" s="1"/>
  <c r="K29" i="2" a="1"/>
  <c r="K29" i="2" s="1"/>
  <c r="I29" i="2" a="1"/>
  <c r="I29" i="2" s="1"/>
  <c r="Q28" i="17"/>
  <c r="J29" i="17" a="1"/>
  <c r="J29" i="17" s="1"/>
  <c r="K29" i="17" a="1"/>
  <c r="K29" i="17" s="1"/>
  <c r="I29" i="17" a="1"/>
  <c r="I29" i="17" s="1"/>
  <c r="S24" i="17" a="1"/>
  <c r="S24" i="17" s="1"/>
  <c r="X25" i="17" s="1" a="1"/>
  <c r="X25" i="17" s="1"/>
  <c r="Y26" i="17" s="1" a="1"/>
  <c r="Y26" i="17" s="1"/>
  <c r="T24" i="17" a="1"/>
  <c r="T24" i="17" s="1"/>
  <c r="P29" i="2" a="1"/>
  <c r="P29" i="2" s="1"/>
  <c r="Q29" i="2" s="1"/>
  <c r="H30" i="17" a="1"/>
  <c r="H30" i="17" s="1"/>
  <c r="P29" i="17" a="1"/>
  <c r="P29" i="17" s="1"/>
  <c r="L28" i="17"/>
  <c r="M22" i="17"/>
  <c r="N22" i="17" s="1"/>
  <c r="H30" i="2" a="1"/>
  <c r="H30" i="2" s="1"/>
  <c r="D24" i="2" a="1"/>
  <c r="D24" i="2" s="1"/>
  <c r="O21" i="17"/>
  <c r="B27" i="16"/>
  <c r="C27" i="17" s="1"/>
  <c r="M28" i="16" a="1"/>
  <c r="M28" i="16" s="1"/>
  <c r="J28" i="16" a="1"/>
  <c r="J28" i="16" s="1"/>
  <c r="B28" i="17" s="1"/>
  <c r="G23" i="2"/>
  <c r="F24" i="2" a="1"/>
  <c r="F24" i="2" s="1"/>
  <c r="B26" i="2"/>
  <c r="G23" i="17"/>
  <c r="D24" i="17" a="1"/>
  <c r="D24" i="17" s="1"/>
  <c r="F24" i="17" a="1"/>
  <c r="F24" i="17" s="1"/>
  <c r="E24" i="17"/>
  <c r="C25" i="2"/>
  <c r="E24" i="2"/>
  <c r="G28" i="16"/>
  <c r="I28" i="16" s="1"/>
  <c r="F29" i="16" a="1"/>
  <c r="F29" i="16" s="1"/>
  <c r="E29" i="16" a="1"/>
  <c r="E29" i="16" s="1"/>
  <c r="D29" i="16" a="1"/>
  <c r="D29" i="16" s="1"/>
  <c r="G27" i="13"/>
  <c r="I27" i="13" s="1"/>
  <c r="B26" i="13"/>
  <c r="D28" i="13" a="1"/>
  <c r="D28" i="13" s="1"/>
  <c r="F28" i="13" a="1"/>
  <c r="F28" i="13" s="1"/>
  <c r="E28" i="13" a="1"/>
  <c r="E28" i="13" s="1"/>
  <c r="K30" i="2" l="1" a="1"/>
  <c r="K30" i="2" s="1"/>
  <c r="J30" i="2" a="1"/>
  <c r="J30" i="2" s="1"/>
  <c r="I30" i="2" a="1"/>
  <c r="I30" i="2" s="1"/>
  <c r="Q29" i="17"/>
  <c r="J30" i="17" a="1"/>
  <c r="J30" i="17" s="1"/>
  <c r="K30" i="17" a="1"/>
  <c r="K30" i="17" s="1"/>
  <c r="I30" i="17" a="1"/>
  <c r="I30" i="17" s="1"/>
  <c r="T25" i="17" a="1"/>
  <c r="T25" i="17" s="1"/>
  <c r="S25" i="17" a="1"/>
  <c r="S25" i="17" s="1"/>
  <c r="X26" i="17" s="1" a="1"/>
  <c r="X26" i="17" s="1"/>
  <c r="Y27" i="17" s="1" a="1"/>
  <c r="Y27" i="17" s="1"/>
  <c r="P30" i="2" a="1"/>
  <c r="P30" i="2" s="1"/>
  <c r="Q30" i="2" s="1"/>
  <c r="H31" i="17" a="1"/>
  <c r="H31" i="17" s="1"/>
  <c r="P30" i="17" a="1"/>
  <c r="P30" i="17" s="1"/>
  <c r="L29" i="17"/>
  <c r="M23" i="17"/>
  <c r="N23" i="17" s="1"/>
  <c r="H31" i="2" a="1"/>
  <c r="H31" i="2" s="1"/>
  <c r="D25" i="2" a="1"/>
  <c r="D25" i="2" s="1"/>
  <c r="O22" i="17"/>
  <c r="B28" i="16"/>
  <c r="C28" i="17" s="1"/>
  <c r="J29" i="16" a="1"/>
  <c r="J29" i="16" s="1"/>
  <c r="B29" i="17" s="1"/>
  <c r="M29" i="16" a="1"/>
  <c r="M29" i="16" s="1"/>
  <c r="G24" i="2"/>
  <c r="G24" i="17"/>
  <c r="E25" i="17"/>
  <c r="D25" i="17" a="1"/>
  <c r="D25" i="17" s="1"/>
  <c r="F25" i="17" a="1"/>
  <c r="F25" i="17" s="1"/>
  <c r="C26" i="2"/>
  <c r="E25" i="2"/>
  <c r="B27" i="2"/>
  <c r="F25" i="2" a="1"/>
  <c r="F25" i="2" s="1"/>
  <c r="G29" i="16"/>
  <c r="I29" i="16" s="1"/>
  <c r="F30" i="16" a="1"/>
  <c r="F30" i="16" s="1"/>
  <c r="D30" i="16" a="1"/>
  <c r="D30" i="16" s="1"/>
  <c r="E30" i="16" a="1"/>
  <c r="E30" i="16" s="1"/>
  <c r="G28" i="13"/>
  <c r="I28" i="13" s="1"/>
  <c r="B27" i="13"/>
  <c r="D29" i="13" a="1"/>
  <c r="D29" i="13" s="1"/>
  <c r="E29" i="13" a="1"/>
  <c r="E29" i="13" s="1"/>
  <c r="F29" i="13" a="1"/>
  <c r="F29" i="13" s="1"/>
  <c r="I31" i="2" l="1" a="1"/>
  <c r="I31" i="2" s="1"/>
  <c r="J31" i="2" a="1"/>
  <c r="J31" i="2" s="1"/>
  <c r="K31" i="2" a="1"/>
  <c r="K31" i="2" s="1"/>
  <c r="Q30" i="17"/>
  <c r="J31" i="17" a="1"/>
  <c r="J31" i="17" s="1"/>
  <c r="K31" i="17" a="1"/>
  <c r="K31" i="17" s="1"/>
  <c r="I31" i="17" a="1"/>
  <c r="I31" i="17" s="1"/>
  <c r="S26" i="17" a="1"/>
  <c r="S26" i="17" s="1"/>
  <c r="X27" i="17" s="1" a="1"/>
  <c r="X27" i="17" s="1"/>
  <c r="Y28" i="17" s="1" a="1"/>
  <c r="Y28" i="17" s="1"/>
  <c r="T26" i="17" a="1"/>
  <c r="T26" i="17" s="1"/>
  <c r="H32" i="17" a="1"/>
  <c r="H32" i="17" s="1"/>
  <c r="P31" i="17" a="1"/>
  <c r="P31" i="17" s="1"/>
  <c r="L30" i="17"/>
  <c r="M24" i="17"/>
  <c r="N24" i="17" s="1"/>
  <c r="P31" i="2" a="1"/>
  <c r="P31" i="2" s="1"/>
  <c r="Q31" i="2" s="1"/>
  <c r="H32" i="2" a="1"/>
  <c r="H32" i="2" s="1"/>
  <c r="D26" i="2" a="1"/>
  <c r="D26" i="2" s="1"/>
  <c r="O23" i="17"/>
  <c r="B29" i="16"/>
  <c r="C29" i="17" s="1"/>
  <c r="J30" i="16" a="1"/>
  <c r="J30" i="16" s="1"/>
  <c r="B30" i="17" s="1"/>
  <c r="M30" i="16" a="1"/>
  <c r="M30" i="16" s="1"/>
  <c r="G25" i="2"/>
  <c r="B28" i="2"/>
  <c r="E26" i="17"/>
  <c r="F26" i="17" a="1"/>
  <c r="F26" i="17" s="1"/>
  <c r="D26" i="17" a="1"/>
  <c r="D26" i="17" s="1"/>
  <c r="E26" i="2"/>
  <c r="G25" i="17"/>
  <c r="C27" i="2"/>
  <c r="F26" i="2" a="1"/>
  <c r="F26" i="2" s="1"/>
  <c r="G30" i="16"/>
  <c r="I30" i="16" s="1"/>
  <c r="F31" i="16" a="1"/>
  <c r="F31" i="16" s="1"/>
  <c r="D31" i="16" a="1"/>
  <c r="D31" i="16" s="1"/>
  <c r="E31" i="16" a="1"/>
  <c r="E31" i="16" s="1"/>
  <c r="G29" i="13"/>
  <c r="I29" i="13" s="1"/>
  <c r="B28" i="13"/>
  <c r="D30" i="13" a="1"/>
  <c r="D30" i="13" s="1"/>
  <c r="E30" i="13" a="1"/>
  <c r="E30" i="13" s="1"/>
  <c r="F30" i="13" a="1"/>
  <c r="F30" i="13" s="1"/>
  <c r="K32" i="2" l="1" a="1"/>
  <c r="K32" i="2" s="1"/>
  <c r="J32" i="2" a="1"/>
  <c r="J32" i="2" s="1"/>
  <c r="I32" i="2" a="1"/>
  <c r="I32" i="2" s="1"/>
  <c r="Q31" i="17"/>
  <c r="J32" i="17" a="1"/>
  <c r="J32" i="17" s="1"/>
  <c r="K32" i="17" a="1"/>
  <c r="K32" i="17" s="1"/>
  <c r="I32" i="17" a="1"/>
  <c r="I32" i="17" s="1"/>
  <c r="S27" i="17" a="1"/>
  <c r="S27" i="17" s="1"/>
  <c r="X28" i="17" s="1" a="1"/>
  <c r="X28" i="17" s="1"/>
  <c r="Y29" i="17" s="1" a="1"/>
  <c r="Y29" i="17" s="1"/>
  <c r="T27" i="17" a="1"/>
  <c r="T27" i="17" s="1"/>
  <c r="H33" i="17" a="1"/>
  <c r="H33" i="17" s="1"/>
  <c r="P32" i="17" a="1"/>
  <c r="P32" i="17" s="1"/>
  <c r="L31" i="17"/>
  <c r="M25" i="17"/>
  <c r="N25" i="17" s="1"/>
  <c r="P32" i="2" a="1"/>
  <c r="P32" i="2" s="1"/>
  <c r="Q32" i="2" s="1"/>
  <c r="H33" i="2" a="1"/>
  <c r="H33" i="2" s="1"/>
  <c r="D27" i="2" a="1"/>
  <c r="D27" i="2" s="1"/>
  <c r="O24" i="17"/>
  <c r="B30" i="16"/>
  <c r="C30" i="17" s="1"/>
  <c r="M31" i="16" a="1"/>
  <c r="M31" i="16" s="1"/>
  <c r="J31" i="16" a="1"/>
  <c r="J31" i="16" s="1"/>
  <c r="G26" i="2"/>
  <c r="C28" i="2"/>
  <c r="B29" i="2"/>
  <c r="F27" i="17" a="1"/>
  <c r="F27" i="17" s="1"/>
  <c r="E27" i="17"/>
  <c r="D27" i="17" a="1"/>
  <c r="D27" i="17" s="1"/>
  <c r="G26" i="17"/>
  <c r="E27" i="2"/>
  <c r="F27" i="2" a="1"/>
  <c r="F27" i="2" s="1"/>
  <c r="E32" i="16" a="1"/>
  <c r="E32" i="16" s="1"/>
  <c r="F32" i="16" a="1"/>
  <c r="F32" i="16" s="1"/>
  <c r="D32" i="16" a="1"/>
  <c r="D32" i="16" s="1"/>
  <c r="G31" i="16"/>
  <c r="I31" i="16" s="1"/>
  <c r="G30" i="13"/>
  <c r="I30" i="13" s="1"/>
  <c r="B29" i="13"/>
  <c r="D31" i="13" a="1"/>
  <c r="D31" i="13" s="1"/>
  <c r="E31" i="13" a="1"/>
  <c r="E31" i="13" s="1"/>
  <c r="F31" i="13" a="1"/>
  <c r="F31" i="13" s="1"/>
  <c r="K33" i="2" l="1" a="1"/>
  <c r="K33" i="2" s="1"/>
  <c r="J33" i="2" a="1"/>
  <c r="J33" i="2" s="1"/>
  <c r="I33" i="2" a="1"/>
  <c r="I33" i="2" s="1"/>
  <c r="Q32" i="17"/>
  <c r="J33" i="17" a="1"/>
  <c r="J33" i="17" s="1"/>
  <c r="K33" i="17" a="1"/>
  <c r="K33" i="17" s="1"/>
  <c r="I33" i="17" a="1"/>
  <c r="I33" i="17" s="1"/>
  <c r="T28" i="17" a="1"/>
  <c r="T28" i="17" s="1"/>
  <c r="S28" i="17" a="1"/>
  <c r="S28" i="17" s="1"/>
  <c r="X29" i="17" s="1" a="1"/>
  <c r="X29" i="17" s="1"/>
  <c r="Y30" i="17" s="1" a="1"/>
  <c r="Y30" i="17" s="1"/>
  <c r="H34" i="17" a="1"/>
  <c r="H34" i="17" s="1"/>
  <c r="P33" i="17" a="1"/>
  <c r="P33" i="17" s="1"/>
  <c r="L32" i="17"/>
  <c r="M26" i="17"/>
  <c r="N26" i="17" s="1"/>
  <c r="P33" i="2" a="1"/>
  <c r="P33" i="2" s="1"/>
  <c r="Q33" i="2" s="1"/>
  <c r="H34" i="2" a="1"/>
  <c r="H34" i="2" s="1"/>
  <c r="D28" i="2" a="1"/>
  <c r="D28" i="2" s="1"/>
  <c r="O25" i="17"/>
  <c r="B31" i="16"/>
  <c r="B32" i="16" s="1"/>
  <c r="B33" i="16" s="1"/>
  <c r="B34" i="16" s="1"/>
  <c r="B35" i="16" s="1"/>
  <c r="B36" i="16" s="1"/>
  <c r="B31" i="17"/>
  <c r="B17" i="17"/>
  <c r="B33" i="17"/>
  <c r="B36" i="17"/>
  <c r="B35" i="17"/>
  <c r="B34" i="17"/>
  <c r="B32" i="17"/>
  <c r="M32" i="16" a="1"/>
  <c r="M32" i="16" s="1"/>
  <c r="E28" i="2"/>
  <c r="F28" i="2" a="1"/>
  <c r="F28" i="2" s="1"/>
  <c r="G27" i="2"/>
  <c r="G27" i="17"/>
  <c r="C29" i="2"/>
  <c r="F28" i="17" a="1"/>
  <c r="F28" i="17" s="1"/>
  <c r="E28" i="17"/>
  <c r="D28" i="17" a="1"/>
  <c r="D28" i="17" s="1"/>
  <c r="B30" i="2"/>
  <c r="G32" i="16"/>
  <c r="I32" i="16" s="1"/>
  <c r="F33" i="16" a="1"/>
  <c r="F33" i="16" s="1"/>
  <c r="D33" i="16" a="1"/>
  <c r="D33" i="16" s="1"/>
  <c r="E33" i="16" a="1"/>
  <c r="E33" i="16" s="1"/>
  <c r="G31" i="13"/>
  <c r="I31" i="13" s="1"/>
  <c r="B30" i="13"/>
  <c r="D32" i="13" a="1"/>
  <c r="D32" i="13" s="1"/>
  <c r="E32" i="13" a="1"/>
  <c r="E32" i="13" s="1"/>
  <c r="F32" i="13" a="1"/>
  <c r="F32" i="13" s="1"/>
  <c r="K34" i="2" l="1" a="1"/>
  <c r="K34" i="2" s="1"/>
  <c r="J34" i="2" a="1"/>
  <c r="J34" i="2" s="1"/>
  <c r="I34" i="2" a="1"/>
  <c r="I34" i="2" s="1"/>
  <c r="Q33" i="17"/>
  <c r="J34" i="17" a="1"/>
  <c r="J34" i="17" s="1"/>
  <c r="K34" i="17" a="1"/>
  <c r="K34" i="17" s="1"/>
  <c r="I34" i="17" a="1"/>
  <c r="I34" i="17" s="1"/>
  <c r="S29" i="17" a="1"/>
  <c r="S29" i="17" s="1"/>
  <c r="X30" i="17" s="1" a="1"/>
  <c r="X30" i="17" s="1"/>
  <c r="T29" i="17" a="1"/>
  <c r="T29" i="17" s="1"/>
  <c r="H35" i="17" a="1"/>
  <c r="H35" i="17" s="1"/>
  <c r="P34" i="17" a="1"/>
  <c r="P34" i="17" s="1"/>
  <c r="L33" i="17"/>
  <c r="M27" i="17"/>
  <c r="N27" i="17" s="1"/>
  <c r="P34" i="2" a="1"/>
  <c r="P34" i="2" s="1"/>
  <c r="Q34" i="2" s="1"/>
  <c r="H35" i="2" a="1"/>
  <c r="H35" i="2" s="1"/>
  <c r="D29" i="2" a="1"/>
  <c r="D29" i="2" s="1"/>
  <c r="O26" i="17"/>
  <c r="C31" i="17"/>
  <c r="M33" i="16" a="1"/>
  <c r="M33" i="16" s="1"/>
  <c r="G28" i="2"/>
  <c r="E29" i="2"/>
  <c r="F29" i="2" a="1"/>
  <c r="F29" i="2" s="1"/>
  <c r="C30" i="2"/>
  <c r="B31" i="2"/>
  <c r="G28" i="17"/>
  <c r="E29" i="17"/>
  <c r="D29" i="17" a="1"/>
  <c r="D29" i="17" s="1"/>
  <c r="F29" i="17" a="1"/>
  <c r="F29" i="17" s="1"/>
  <c r="C32" i="17"/>
  <c r="G33" i="16"/>
  <c r="I33" i="16" s="1"/>
  <c r="F34" i="16" a="1"/>
  <c r="F34" i="16" s="1"/>
  <c r="E34" i="16" a="1"/>
  <c r="E34" i="16" s="1"/>
  <c r="D34" i="16" a="1"/>
  <c r="D34" i="16" s="1"/>
  <c r="G32" i="13"/>
  <c r="I32" i="13" s="1"/>
  <c r="B31" i="13"/>
  <c r="D33" i="13" a="1"/>
  <c r="D33" i="13" s="1"/>
  <c r="E33" i="13" a="1"/>
  <c r="E33" i="13" s="1"/>
  <c r="F33" i="13" a="1"/>
  <c r="F33" i="13" s="1"/>
  <c r="K35" i="2" l="1" a="1"/>
  <c r="K35" i="2" s="1"/>
  <c r="J35" i="2" a="1"/>
  <c r="J35" i="2" s="1"/>
  <c r="I35" i="2" a="1"/>
  <c r="I35" i="2" s="1"/>
  <c r="Q34" i="17"/>
  <c r="J35" i="17" a="1"/>
  <c r="J35" i="17" s="1"/>
  <c r="K35" i="17" a="1"/>
  <c r="K35" i="17" s="1"/>
  <c r="I35" i="17" a="1"/>
  <c r="I35" i="17" s="1"/>
  <c r="Y31" i="17" a="1"/>
  <c r="Y31" i="17" s="1"/>
  <c r="T30" i="17" a="1"/>
  <c r="T30" i="17" s="1"/>
  <c r="S30" i="17" a="1"/>
  <c r="S30" i="17" s="1"/>
  <c r="T31" i="17" s="1" a="1"/>
  <c r="T31" i="17" s="1"/>
  <c r="H36" i="17" a="1"/>
  <c r="H36" i="17" s="1"/>
  <c r="P35" i="17" a="1"/>
  <c r="P35" i="17" s="1"/>
  <c r="L34" i="17"/>
  <c r="M28" i="17"/>
  <c r="N28" i="17" s="1"/>
  <c r="P35" i="2" a="1"/>
  <c r="P35" i="2" s="1"/>
  <c r="Q35" i="2" s="1"/>
  <c r="H36" i="2" a="1"/>
  <c r="H36" i="2" s="1"/>
  <c r="D30" i="2" a="1"/>
  <c r="D30" i="2" s="1"/>
  <c r="O27" i="17"/>
  <c r="M34" i="16" a="1"/>
  <c r="M34" i="16" s="1"/>
  <c r="G29" i="2"/>
  <c r="E30" i="2"/>
  <c r="F30" i="2" a="1"/>
  <c r="F30" i="2" s="1"/>
  <c r="C31" i="2"/>
  <c r="B32" i="2"/>
  <c r="G29" i="17"/>
  <c r="E30" i="17"/>
  <c r="F30" i="17" a="1"/>
  <c r="F30" i="17" s="1"/>
  <c r="D30" i="17" a="1"/>
  <c r="D30" i="17" s="1"/>
  <c r="C33" i="17"/>
  <c r="G34" i="16"/>
  <c r="I34" i="16" s="1"/>
  <c r="F35" i="16" a="1"/>
  <c r="F35" i="16" s="1"/>
  <c r="E35" i="16" a="1"/>
  <c r="E35" i="16" s="1"/>
  <c r="D35" i="16" a="1"/>
  <c r="D35" i="16" s="1"/>
  <c r="G33" i="13"/>
  <c r="I33" i="13" s="1"/>
  <c r="B32" i="13"/>
  <c r="D34" i="13" a="1"/>
  <c r="D34" i="13" s="1"/>
  <c r="E34" i="13" a="1"/>
  <c r="E34" i="13" s="1"/>
  <c r="F34" i="13" a="1"/>
  <c r="F34" i="13" s="1"/>
  <c r="J36" i="2" l="1" a="1"/>
  <c r="J36" i="2" s="1"/>
  <c r="I36" i="2" a="1"/>
  <c r="I36" i="2" s="1"/>
  <c r="K36" i="2" a="1"/>
  <c r="K36" i="2" s="1"/>
  <c r="Q35" i="17"/>
  <c r="J36" i="17" a="1"/>
  <c r="J36" i="17" s="1"/>
  <c r="K36" i="17" a="1"/>
  <c r="K36" i="17" s="1"/>
  <c r="I36" i="17" a="1"/>
  <c r="I36" i="17" s="1"/>
  <c r="X31" i="17" a="1"/>
  <c r="X31" i="17" s="1"/>
  <c r="Y32" i="17" s="1" a="1"/>
  <c r="Y32" i="17" s="1"/>
  <c r="S31" i="17" a="1"/>
  <c r="S31" i="17" s="1"/>
  <c r="X32" i="17" s="1" a="1"/>
  <c r="X32" i="17" s="1"/>
  <c r="Y33" i="17" s="1" a="1"/>
  <c r="Y33" i="17" s="1"/>
  <c r="P36" i="17" a="1"/>
  <c r="P36" i="17" s="1"/>
  <c r="L35" i="17"/>
  <c r="M29" i="17"/>
  <c r="N29" i="17" s="1"/>
  <c r="P36" i="2" a="1"/>
  <c r="P36" i="2" s="1"/>
  <c r="Q36" i="2" s="1"/>
  <c r="H37" i="2" a="1"/>
  <c r="H37" i="2" s="1"/>
  <c r="D31" i="2" a="1"/>
  <c r="D31" i="2" s="1"/>
  <c r="O28" i="17"/>
  <c r="M35" i="16" a="1"/>
  <c r="M35" i="16" s="1"/>
  <c r="G30" i="2"/>
  <c r="F31" i="2" a="1"/>
  <c r="F31" i="2" s="1"/>
  <c r="E31" i="2"/>
  <c r="C32" i="2"/>
  <c r="B33" i="2"/>
  <c r="D31" i="17" a="1"/>
  <c r="D31" i="17" s="1"/>
  <c r="F31" i="17" a="1"/>
  <c r="F31" i="17" s="1"/>
  <c r="E31" i="17"/>
  <c r="G30" i="17"/>
  <c r="C34" i="17"/>
  <c r="G35" i="16"/>
  <c r="I35" i="16" s="1"/>
  <c r="F36" i="16" a="1"/>
  <c r="F36" i="16" s="1"/>
  <c r="E36" i="16" a="1"/>
  <c r="E36" i="16" s="1"/>
  <c r="D36" i="16" a="1"/>
  <c r="D36" i="16" s="1"/>
  <c r="G34" i="13"/>
  <c r="I34" i="13" s="1"/>
  <c r="B33" i="13"/>
  <c r="E35" i="13" a="1"/>
  <c r="E35" i="13" s="1"/>
  <c r="D35" i="13" a="1"/>
  <c r="D35" i="13" s="1"/>
  <c r="F35" i="13" a="1"/>
  <c r="F35" i="13" s="1"/>
  <c r="Q36" i="17" l="1"/>
  <c r="T32" i="17" a="1"/>
  <c r="T32" i="17" s="1"/>
  <c r="S32" i="17" a="1"/>
  <c r="S32" i="17" s="1"/>
  <c r="X33" i="17" s="1" a="1"/>
  <c r="X33" i="17" s="1"/>
  <c r="Y34" i="17" s="1" a="1"/>
  <c r="Y34" i="17" s="1"/>
  <c r="L36" i="17"/>
  <c r="M30" i="17"/>
  <c r="N30" i="17" s="1"/>
  <c r="H38" i="2" a="1"/>
  <c r="H38" i="2" s="1"/>
  <c r="H39" i="2" s="1" a="1"/>
  <c r="H39" i="2" s="1"/>
  <c r="H40" i="2" s="1" a="1"/>
  <c r="H40" i="2" s="1"/>
  <c r="H41" i="2" s="1" a="1"/>
  <c r="H41" i="2" s="1"/>
  <c r="H42" i="2" s="1" a="1"/>
  <c r="H42" i="2" s="1"/>
  <c r="H43" i="2" s="1" a="1"/>
  <c r="H43" i="2" s="1"/>
  <c r="H44" i="2" s="1" a="1"/>
  <c r="H44" i="2" s="1"/>
  <c r="H45" i="2" s="1" a="1"/>
  <c r="H45" i="2" s="1"/>
  <c r="H46" i="2" s="1" a="1"/>
  <c r="H46" i="2" s="1"/>
  <c r="H47" i="2" s="1" a="1"/>
  <c r="H47" i="2" s="1"/>
  <c r="H48" i="2" s="1" a="1"/>
  <c r="H48" i="2" s="1"/>
  <c r="H49" i="2" s="1" a="1"/>
  <c r="H49" i="2" s="1"/>
  <c r="H50" i="2" s="1" a="1"/>
  <c r="H50" i="2" s="1"/>
  <c r="H51" i="2" s="1" a="1"/>
  <c r="H51" i="2" s="1"/>
  <c r="H52" i="2" s="1" a="1"/>
  <c r="H52" i="2" s="1"/>
  <c r="H53" i="2" s="1" a="1"/>
  <c r="H53" i="2" s="1"/>
  <c r="H54" i="2" s="1" a="1"/>
  <c r="H54" i="2" s="1"/>
  <c r="H55" i="2" s="1" a="1"/>
  <c r="H55" i="2" s="1"/>
  <c r="P37" i="2" a="1"/>
  <c r="P37" i="2" s="1"/>
  <c r="D32" i="2" a="1"/>
  <c r="D32" i="2" s="1"/>
  <c r="O29" i="17"/>
  <c r="M36" i="16" a="1"/>
  <c r="M36" i="16" s="1"/>
  <c r="G31" i="2"/>
  <c r="E32" i="2"/>
  <c r="F32" i="2" a="1"/>
  <c r="F32" i="2" s="1"/>
  <c r="C33" i="2"/>
  <c r="B34" i="2"/>
  <c r="G31" i="17"/>
  <c r="F32" i="17" a="1"/>
  <c r="F32" i="17" s="1"/>
  <c r="E32" i="17"/>
  <c r="D32" i="17" a="1"/>
  <c r="D32" i="17" s="1"/>
  <c r="C35" i="17"/>
  <c r="G36" i="16"/>
  <c r="G35" i="13"/>
  <c r="I35" i="13" s="1"/>
  <c r="B34" i="13"/>
  <c r="E36" i="13" a="1"/>
  <c r="E36" i="13" s="1"/>
  <c r="D36" i="13" a="1"/>
  <c r="D36" i="13" s="1"/>
  <c r="F36" i="13" a="1"/>
  <c r="F36" i="13" s="1"/>
  <c r="S33" i="17" l="1" a="1"/>
  <c r="S33" i="17" s="1"/>
  <c r="X34" i="17" s="1" a="1"/>
  <c r="X34" i="17" s="1"/>
  <c r="Y35" i="17" s="1" a="1"/>
  <c r="Y35" i="17" s="1"/>
  <c r="T33" i="17" a="1"/>
  <c r="T33" i="17" s="1"/>
  <c r="M31" i="17"/>
  <c r="N31" i="17" s="1"/>
  <c r="P38" i="2" a="1"/>
  <c r="P38" i="2" s="1"/>
  <c r="P39" i="2" s="1" a="1"/>
  <c r="P39" i="2" s="1"/>
  <c r="P40" i="2" s="1" a="1"/>
  <c r="P40" i="2" s="1"/>
  <c r="P41" i="2" s="1" a="1"/>
  <c r="P41" i="2" s="1"/>
  <c r="P42" i="2" s="1" a="1"/>
  <c r="P42" i="2" s="1"/>
  <c r="P43" i="2" s="1" a="1"/>
  <c r="P43" i="2" s="1"/>
  <c r="P44" i="2" s="1" a="1"/>
  <c r="P44" i="2" s="1"/>
  <c r="P45" i="2" s="1" a="1"/>
  <c r="P45" i="2" s="1"/>
  <c r="P46" i="2" s="1" a="1"/>
  <c r="P46" i="2" s="1"/>
  <c r="P47" i="2" s="1" a="1"/>
  <c r="P47" i="2" s="1"/>
  <c r="P48" i="2" s="1" a="1"/>
  <c r="P48" i="2" s="1"/>
  <c r="P49" i="2" s="1" a="1"/>
  <c r="P49" i="2" s="1"/>
  <c r="P50" i="2" s="1" a="1"/>
  <c r="P50" i="2" s="1"/>
  <c r="P51" i="2" s="1" a="1"/>
  <c r="P51" i="2" s="1"/>
  <c r="P52" i="2" s="1" a="1"/>
  <c r="P52" i="2" s="1"/>
  <c r="P53" i="2" s="1" a="1"/>
  <c r="P53" i="2" s="1"/>
  <c r="P54" i="2" s="1" a="1"/>
  <c r="P54" i="2" s="1"/>
  <c r="P55" i="2" s="1" a="1"/>
  <c r="P55" i="2" s="1"/>
  <c r="Q37" i="2"/>
  <c r="D33" i="2" a="1"/>
  <c r="D33" i="2" s="1"/>
  <c r="O30" i="17"/>
  <c r="I36" i="16"/>
  <c r="G32" i="2"/>
  <c r="E33" i="2"/>
  <c r="F33" i="2" a="1"/>
  <c r="F33" i="2" s="1"/>
  <c r="C34" i="2"/>
  <c r="B35" i="2"/>
  <c r="G32" i="17"/>
  <c r="F33" i="17" a="1"/>
  <c r="F33" i="17" s="1"/>
  <c r="E33" i="17"/>
  <c r="D33" i="17" a="1"/>
  <c r="D33" i="17" s="1"/>
  <c r="C36" i="17"/>
  <c r="G36" i="13"/>
  <c r="I36" i="13" s="1"/>
  <c r="B35" i="13"/>
  <c r="S34" i="17" l="1" a="1"/>
  <c r="S34" i="17" s="1"/>
  <c r="X35" i="17" s="1" a="1"/>
  <c r="X35" i="17" s="1"/>
  <c r="Y36" i="17" s="1" a="1"/>
  <c r="Y36" i="17" s="1"/>
  <c r="Y37" i="17" s="1"/>
  <c r="T34" i="17" a="1"/>
  <c r="T34" i="17" s="1"/>
  <c r="M32" i="17"/>
  <c r="N32" i="17" s="1"/>
  <c r="Q38" i="2"/>
  <c r="I43" i="21"/>
  <c r="D34" i="2" a="1"/>
  <c r="D34" i="2" s="1"/>
  <c r="O31" i="17"/>
  <c r="G33" i="2"/>
  <c r="E34" i="2"/>
  <c r="F34" i="2" a="1"/>
  <c r="F34" i="2" s="1"/>
  <c r="B36" i="2"/>
  <c r="G33" i="17"/>
  <c r="C35" i="2"/>
  <c r="F34" i="17" a="1"/>
  <c r="F34" i="17" s="1"/>
  <c r="E34" i="17"/>
  <c r="D34" i="17" a="1"/>
  <c r="D34" i="17" s="1"/>
  <c r="B36" i="13"/>
  <c r="B37" i="13" s="1"/>
  <c r="S35" i="17" l="1" a="1"/>
  <c r="S35" i="17" s="1"/>
  <c r="X36" i="17" s="1" a="1"/>
  <c r="X36" i="17" s="1"/>
  <c r="T35" i="17" a="1"/>
  <c r="T35" i="17" s="1"/>
  <c r="H43" i="21"/>
  <c r="K43" i="21"/>
  <c r="M33" i="17"/>
  <c r="N33" i="17" s="1"/>
  <c r="Q39" i="2"/>
  <c r="I44" i="21"/>
  <c r="D35" i="2" a="1"/>
  <c r="D35" i="2" s="1"/>
  <c r="O32" i="17"/>
  <c r="G34" i="2"/>
  <c r="E35" i="2"/>
  <c r="F35" i="2" a="1"/>
  <c r="F35" i="2" s="1"/>
  <c r="C36" i="2"/>
  <c r="G34" i="17"/>
  <c r="E35" i="17"/>
  <c r="F35" i="17" a="1"/>
  <c r="F35" i="17" s="1"/>
  <c r="D35" i="17" a="1"/>
  <c r="D35" i="17" s="1"/>
  <c r="B27" i="6"/>
  <c r="S36" i="17" l="1" a="1"/>
  <c r="S36" i="17" s="1"/>
  <c r="T36" i="17" a="1"/>
  <c r="T36" i="17" s="1"/>
  <c r="H44" i="21"/>
  <c r="K44" i="21"/>
  <c r="M34" i="17"/>
  <c r="N34" i="17" s="1"/>
  <c r="Q40" i="2"/>
  <c r="I45" i="21"/>
  <c r="D36" i="2" a="1"/>
  <c r="D36" i="2" s="1"/>
  <c r="O33" i="17"/>
  <c r="G35" i="2"/>
  <c r="E36" i="2"/>
  <c r="F36" i="2" a="1"/>
  <c r="F36" i="2" s="1"/>
  <c r="G35" i="17"/>
  <c r="D36" i="17" a="1"/>
  <c r="D36" i="17" s="1"/>
  <c r="F36" i="17" a="1"/>
  <c r="F36" i="17" s="1"/>
  <c r="E36" i="17"/>
  <c r="T37" i="17" l="1"/>
  <c r="R4" i="22" s="1"/>
  <c r="H45" i="21"/>
  <c r="K45" i="21"/>
  <c r="M35" i="17"/>
  <c r="N35" i="17" s="1"/>
  <c r="Q41" i="2"/>
  <c r="I46" i="21"/>
  <c r="O34" i="17"/>
  <c r="G36" i="2"/>
  <c r="G36" i="17"/>
  <c r="L2" i="2"/>
  <c r="M2" i="2" s="1"/>
  <c r="N2" i="2" s="1"/>
  <c r="O2" i="2" s="1"/>
  <c r="R3" i="22" l="1"/>
  <c r="H46" i="21"/>
  <c r="K46" i="21"/>
  <c r="M36" i="17"/>
  <c r="Q42" i="2"/>
  <c r="I47" i="21"/>
  <c r="O35" i="17"/>
  <c r="L3" i="2"/>
  <c r="M3" i="2" s="1"/>
  <c r="N3" i="2" s="1"/>
  <c r="O3" i="2" s="1"/>
  <c r="N36" i="17" l="1"/>
  <c r="O36" i="17" s="1"/>
  <c r="H47" i="21"/>
  <c r="K47" i="21"/>
  <c r="Q43" i="2"/>
  <c r="I48" i="21"/>
  <c r="L27" i="2"/>
  <c r="L7" i="2"/>
  <c r="L35" i="2"/>
  <c r="L30" i="2"/>
  <c r="L14" i="2"/>
  <c r="L19" i="2"/>
  <c r="L32" i="2"/>
  <c r="L26" i="2"/>
  <c r="L20" i="2"/>
  <c r="L21" i="2"/>
  <c r="L17" i="2"/>
  <c r="L36" i="2"/>
  <c r="L5" i="2"/>
  <c r="L12" i="2"/>
  <c r="L9" i="2"/>
  <c r="L8" i="2"/>
  <c r="L25" i="2"/>
  <c r="L15" i="2"/>
  <c r="L28" i="2"/>
  <c r="L29" i="2"/>
  <c r="L13" i="2"/>
  <c r="L23" i="2"/>
  <c r="L33" i="2"/>
  <c r="L16" i="2"/>
  <c r="L22" i="2"/>
  <c r="L10" i="2"/>
  <c r="L31" i="2"/>
  <c r="L11" i="2"/>
  <c r="L34" i="2"/>
  <c r="L18" i="2"/>
  <c r="L6" i="2"/>
  <c r="L24" i="2"/>
  <c r="L4" i="2"/>
  <c r="M4" i="2" s="1"/>
  <c r="N4" i="2" s="1"/>
  <c r="O4" i="2" s="1"/>
  <c r="H48" i="21" l="1"/>
  <c r="K48" i="21"/>
  <c r="Q44" i="2"/>
  <c r="I49" i="21"/>
  <c r="M5" i="2"/>
  <c r="N5" i="2" s="1"/>
  <c r="O5" i="2" s="1"/>
  <c r="H49" i="21" l="1"/>
  <c r="K49" i="21"/>
  <c r="Q45" i="2"/>
  <c r="I50" i="21"/>
  <c r="M6" i="2"/>
  <c r="N6" i="2" s="1"/>
  <c r="O6" i="2" s="1"/>
  <c r="H50" i="21" l="1"/>
  <c r="K50" i="21"/>
  <c r="Q46" i="2"/>
  <c r="I51" i="21"/>
  <c r="M7" i="2"/>
  <c r="N7" i="2" s="1"/>
  <c r="O7" i="2" s="1"/>
  <c r="H51" i="21" l="1"/>
  <c r="K51" i="21"/>
  <c r="Q47" i="2"/>
  <c r="I52" i="21"/>
  <c r="M8" i="2"/>
  <c r="N8" i="2" s="1"/>
  <c r="O8" i="2" s="1"/>
  <c r="H52" i="21" l="1"/>
  <c r="K52" i="21"/>
  <c r="Q48" i="2"/>
  <c r="I53" i="21"/>
  <c r="M9" i="2"/>
  <c r="N9" i="2" s="1"/>
  <c r="O9" i="2" s="1"/>
  <c r="H53" i="21" l="1"/>
  <c r="K53" i="21"/>
  <c r="Q49" i="2"/>
  <c r="I54" i="21"/>
  <c r="M10" i="2"/>
  <c r="N10" i="2" s="1"/>
  <c r="O10" i="2" s="1"/>
  <c r="H54" i="21" l="1"/>
  <c r="K54" i="21"/>
  <c r="Q50" i="2"/>
  <c r="I55" i="21"/>
  <c r="M11" i="2"/>
  <c r="N11" i="2" s="1"/>
  <c r="O11" i="2" s="1"/>
  <c r="H55" i="21" l="1"/>
  <c r="K55" i="21"/>
  <c r="Q51" i="2"/>
  <c r="I56" i="21"/>
  <c r="M12" i="2"/>
  <c r="N12" i="2" s="1"/>
  <c r="O12" i="2" s="1"/>
  <c r="H56" i="21" l="1"/>
  <c r="K56" i="21"/>
  <c r="Q52" i="2"/>
  <c r="I57" i="21"/>
  <c r="M13" i="2"/>
  <c r="N13" i="2" s="1"/>
  <c r="O13" i="2" s="1"/>
  <c r="H57" i="21" l="1"/>
  <c r="K57" i="21"/>
  <c r="Q53" i="2"/>
  <c r="I58" i="21"/>
  <c r="M14" i="2"/>
  <c r="N14" i="2" s="1"/>
  <c r="O14" i="2" s="1"/>
  <c r="H58" i="21" l="1"/>
  <c r="K58" i="21"/>
  <c r="Q54" i="2"/>
  <c r="I59" i="21"/>
  <c r="M15" i="2"/>
  <c r="N15" i="2" s="1"/>
  <c r="O15" i="2" s="1"/>
  <c r="H59" i="21" l="1"/>
  <c r="K59" i="21"/>
  <c r="Q55" i="2"/>
  <c r="I61" i="21" s="1"/>
  <c r="I60" i="21"/>
  <c r="M16" i="2"/>
  <c r="N16" i="2" s="1"/>
  <c r="O16" i="2" s="1"/>
  <c r="H60" i="21" l="1"/>
  <c r="K60" i="21"/>
  <c r="H61" i="21"/>
  <c r="K61" i="21"/>
  <c r="M17" i="2"/>
  <c r="N17" i="2" s="1"/>
  <c r="O17" i="2" s="1"/>
  <c r="K63" i="21" l="1"/>
  <c r="H65" i="21" s="1"/>
  <c r="M18" i="2"/>
  <c r="N18" i="2" s="1"/>
  <c r="O18" i="2" s="1"/>
  <c r="M19" i="2" l="1"/>
  <c r="N19" i="2" s="1"/>
  <c r="O19" i="2" s="1"/>
  <c r="M20" i="2" l="1"/>
  <c r="N20" i="2" s="1"/>
  <c r="O20" i="2" s="1"/>
  <c r="M21" i="2" l="1"/>
  <c r="N21" i="2" s="1"/>
  <c r="O21" i="2" s="1"/>
  <c r="M22" i="2" l="1"/>
  <c r="N22" i="2" s="1"/>
  <c r="O22" i="2" s="1"/>
  <c r="M23" i="2" l="1"/>
  <c r="N23" i="2" s="1"/>
  <c r="O23" i="2" s="1"/>
  <c r="M24" i="2" l="1"/>
  <c r="N24" i="2" s="1"/>
  <c r="O24" i="2" s="1"/>
  <c r="M25" i="2" l="1"/>
  <c r="N25" i="2" s="1"/>
  <c r="O25" i="2" s="1"/>
  <c r="M26" i="2" l="1"/>
  <c r="N26" i="2" s="1"/>
  <c r="O26" i="2" s="1"/>
  <c r="M27" i="2" l="1"/>
  <c r="N27" i="2" s="1"/>
  <c r="O27" i="2" s="1"/>
  <c r="M28" i="2" l="1"/>
  <c r="N28" i="2" s="1"/>
  <c r="O28" i="2" s="1"/>
  <c r="M29" i="2" l="1"/>
  <c r="N29" i="2" s="1"/>
  <c r="O29" i="2" s="1"/>
  <c r="M30" i="2" l="1"/>
  <c r="N30" i="2" s="1"/>
  <c r="O30" i="2" s="1"/>
  <c r="M31" i="2" l="1"/>
  <c r="N31" i="2" s="1"/>
  <c r="O31" i="2" s="1"/>
  <c r="M32" i="2" l="1"/>
  <c r="N32" i="2" s="1"/>
  <c r="O32" i="2" s="1"/>
  <c r="M33" i="2" l="1"/>
  <c r="N33" i="2" s="1"/>
  <c r="O33" i="2" s="1"/>
  <c r="M34" i="2" l="1"/>
  <c r="N34" i="2" s="1"/>
  <c r="O34" i="2" s="1"/>
  <c r="M35" i="2" l="1"/>
  <c r="N35" i="2" s="1"/>
  <c r="O35" i="2" s="1"/>
  <c r="M36" i="2" l="1"/>
  <c r="N36" i="2" s="1"/>
  <c r="O36" i="2" s="1"/>
  <c r="N37"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<sst xmlns="http://schemas.openxmlformats.org/spreadsheetml/2006/main" count="929" uniqueCount="421">
  <si>
    <t>Workbook Table of Contents</t>
  </si>
  <si>
    <t>Overview of Monte Carlo Simulation Results &amp; Task 1 (Red)</t>
    <phoneticPr fontId="2" type="noConversion"/>
  </si>
  <si>
    <t>Dashboard</t>
  </si>
  <si>
    <t>Decision Tree</t>
  </si>
  <si>
    <t>Task 2 (Purple)</t>
    <phoneticPr fontId="2" type="noConversion"/>
  </si>
  <si>
    <t>model</t>
  </si>
  <si>
    <t>living expenditure actually</t>
  </si>
  <si>
    <t>health expenditure</t>
  </si>
  <si>
    <t>Transport expenditure</t>
  </si>
  <si>
    <t>Task 3 (No Colour)</t>
    <phoneticPr fontId="2" type="noConversion"/>
  </si>
  <si>
    <t>Economic Scenarios</t>
  </si>
  <si>
    <t>fundGrowth</t>
  </si>
  <si>
    <t>inflationParameter</t>
  </si>
  <si>
    <t>Income from 30-64</t>
  </si>
  <si>
    <t>Net Returns Simulations</t>
  </si>
  <si>
    <t>salaryGrowth</t>
  </si>
  <si>
    <t>salaryParameters</t>
  </si>
  <si>
    <t>fsalarySimulation</t>
  </si>
  <si>
    <t>Information and References</t>
  </si>
  <si>
    <t>Task 4 (Green)</t>
    <phoneticPr fontId="2" type="noConversion"/>
  </si>
  <si>
    <t>t4_Income from 30-64</t>
  </si>
  <si>
    <t>t4_salaryGrowthevent</t>
  </si>
  <si>
    <t>Simulations</t>
    <phoneticPr fontId="2" type="noConversion"/>
  </si>
  <si>
    <t>Income Y37</t>
    <phoneticPr fontId="2" type="noConversion"/>
  </si>
  <si>
    <t>Expense</t>
    <phoneticPr fontId="2" type="noConversion"/>
  </si>
  <si>
    <t>Balance</t>
    <phoneticPr fontId="2" type="noConversion"/>
  </si>
  <si>
    <t>Recession</t>
    <phoneticPr fontId="2" type="noConversion"/>
  </si>
  <si>
    <t>Normal</t>
    <phoneticPr fontId="2" type="noConversion"/>
  </si>
  <si>
    <t>Boom</t>
    <phoneticPr fontId="2" type="noConversion"/>
  </si>
  <si>
    <t>Promotion≤45</t>
    <phoneticPr fontId="2" type="noConversion"/>
  </si>
  <si>
    <t>Promotion46–59</t>
    <phoneticPr fontId="2" type="noConversion"/>
  </si>
  <si>
    <t>Layoff≤45</t>
    <phoneticPr fontId="2" type="noConversion"/>
  </si>
  <si>
    <t>Layoff46–59</t>
    <phoneticPr fontId="2" type="noConversion"/>
  </si>
  <si>
    <t>Layoff≥60</t>
    <phoneticPr fontId="2" type="noConversion"/>
  </si>
  <si>
    <t>EarlyRetire≥60</t>
    <phoneticPr fontId="2" type="noConversion"/>
  </si>
  <si>
    <r>
      <t xml:space="preserve">Customize Rate
</t>
    </r>
    <r>
      <rPr>
        <b/>
        <sz val="11"/>
        <color theme="7"/>
        <rFont val="Times New Roman"/>
        <family val="1"/>
      </rPr>
      <t>You can change the numbers below</t>
    </r>
    <phoneticPr fontId="2" type="noConversion"/>
  </si>
  <si>
    <t>Select KiwiSaver Contribution Rate</t>
    <phoneticPr fontId="2" type="noConversion"/>
  </si>
  <si>
    <t>Recession (Conservative)</t>
    <phoneticPr fontId="2" type="noConversion"/>
  </si>
  <si>
    <t>Use default weights</t>
    <phoneticPr fontId="2" type="noConversion"/>
  </si>
  <si>
    <t xml:space="preserve">Input HarbourSafe Rate </t>
    <phoneticPr fontId="2" type="noConversion"/>
  </si>
  <si>
    <t>Use optimized weights</t>
    <phoneticPr fontId="2" type="noConversion"/>
  </si>
  <si>
    <t>Input Horizon Rate</t>
    <phoneticPr fontId="2" type="noConversion"/>
  </si>
  <si>
    <t xml:space="preserve">Input SkyHigh Rate </t>
    <phoneticPr fontId="2" type="noConversion"/>
  </si>
  <si>
    <t>Normal (Balanced)</t>
    <phoneticPr fontId="2" type="noConversion"/>
  </si>
  <si>
    <t>Boom (Growth)</t>
    <phoneticPr fontId="2" type="noConversion"/>
  </si>
  <si>
    <t>Metric</t>
    <phoneticPr fontId="2" type="noConversion"/>
  </si>
  <si>
    <t>Investment (B)</t>
  </si>
  <si>
    <t>Expenditure (C)</t>
  </si>
  <si>
    <t>Difference(D)</t>
    <phoneticPr fontId="2" type="noConversion"/>
  </si>
  <si>
    <t>Average</t>
  </si>
  <si>
    <t>Standard Deviation</t>
  </si>
  <si>
    <t>Min</t>
  </si>
  <si>
    <t>Max</t>
  </si>
  <si>
    <t>95% CI Lower</t>
  </si>
  <si>
    <t>95% CI Upper</t>
  </si>
  <si>
    <t>2.5% Percentile</t>
  </si>
  <si>
    <t>97.5% Percentile</t>
  </si>
  <si>
    <t>Negative Count (D &lt; 0)</t>
  </si>
  <si>
    <t>Event Type</t>
    <phoneticPr fontId="2" type="noConversion"/>
  </si>
  <si>
    <t>Total Count</t>
    <phoneticPr fontId="2" type="noConversion"/>
  </si>
  <si>
    <t>≤45 years</t>
    <phoneticPr fontId="2" type="noConversion"/>
  </si>
  <si>
    <t>46–59 years</t>
    <phoneticPr fontId="2" type="noConversion"/>
  </si>
  <si>
    <t>≥60 years</t>
    <phoneticPr fontId="2" type="noConversion"/>
  </si>
  <si>
    <t>Promotion</t>
    <phoneticPr fontId="2" type="noConversion"/>
  </si>
  <si>
    <t>Job Change</t>
    <phoneticPr fontId="2" type="noConversion"/>
  </si>
  <si>
    <t>Layoff</t>
    <phoneticPr fontId="2" type="noConversion"/>
  </si>
  <si>
    <t>Pay Cut</t>
    <phoneticPr fontId="2" type="noConversion"/>
  </si>
  <si>
    <t>Career Shift</t>
    <phoneticPr fontId="2" type="noConversion"/>
  </si>
  <si>
    <t>Parental Leave</t>
    <phoneticPr fontId="2" type="noConversion"/>
  </si>
  <si>
    <t>Early Retirement</t>
    <phoneticPr fontId="2" type="noConversion"/>
  </si>
  <si>
    <t>Node 1</t>
  </si>
  <si>
    <t>Node 2</t>
  </si>
  <si>
    <t>Node 3</t>
  </si>
  <si>
    <t>Node 4</t>
  </si>
  <si>
    <t>Node 5</t>
  </si>
  <si>
    <t>Difference</t>
    <phoneticPr fontId="2" type="noConversion"/>
  </si>
  <si>
    <t>PathProbability</t>
  </si>
  <si>
    <t>ExpectedValue</t>
  </si>
  <si>
    <t>BestPath</t>
  </si>
  <si>
    <t>Recession</t>
  </si>
  <si>
    <t>Conservative</t>
  </si>
  <si>
    <t>Early Retirement: Yes</t>
  </si>
  <si>
    <t>Promotion: Yes</t>
  </si>
  <si>
    <t>Layoff: Yes</t>
  </si>
  <si>
    <t>Layoff: No</t>
  </si>
  <si>
    <t>Promotion: No</t>
  </si>
  <si>
    <t>Early Retirement: No</t>
  </si>
  <si>
    <t>Balanced</t>
  </si>
  <si>
    <t>Growth</t>
  </si>
  <si>
    <t>Normal</t>
  </si>
  <si>
    <t>Boom</t>
  </si>
  <si>
    <t>Age</t>
    <phoneticPr fontId="2" type="noConversion"/>
  </si>
  <si>
    <t>Salary growth rate</t>
    <phoneticPr fontId="2" type="noConversion"/>
  </si>
  <si>
    <t>Payroll net income before tax</t>
    <phoneticPr fontId="2" type="noConversion"/>
  </si>
  <si>
    <t>Payroll net income after tax</t>
    <phoneticPr fontId="2" type="noConversion"/>
  </si>
  <si>
    <t>KiwiSaver gross contributions (6%)</t>
    <phoneticPr fontId="2" type="noConversion"/>
  </si>
  <si>
    <t>Employer superannuation contribution tax (ESCT)</t>
  </si>
  <si>
    <t>KiwiSaver net contributions (6%)+Subsidy</t>
  </si>
  <si>
    <t>Economic Scenarios</t>
    <phoneticPr fontId="2" type="noConversion"/>
  </si>
  <si>
    <t>HarbourSafe return rate</t>
    <phoneticPr fontId="2" type="noConversion"/>
  </si>
  <si>
    <t>Horizon return rate</t>
    <phoneticPr fontId="2" type="noConversion"/>
  </si>
  <si>
    <t>SkyHigh return rate</t>
    <phoneticPr fontId="2" type="noConversion"/>
  </si>
  <si>
    <t>Total funds investment return rate (current weights)</t>
    <phoneticPr fontId="2" type="noConversion"/>
  </si>
  <si>
    <t>Net returns of Emily's KiwiSaver Investment (deduct 28% PIR)</t>
    <phoneticPr fontId="2" type="noConversion"/>
  </si>
  <si>
    <t>Real value of Emily;s KiwiSaver inverstment net return (per year)</t>
  </si>
  <si>
    <t>Total Income (funds+salary)</t>
    <phoneticPr fontId="2" type="noConversion"/>
  </si>
  <si>
    <t>Inflation</t>
    <phoneticPr fontId="2" type="noConversion"/>
  </si>
  <si>
    <t>Deflation factor (per year)</t>
  </si>
  <si>
    <t>KiwiSaver net returns(deduct 28% PIR, customized contributions and fund weights)</t>
    <phoneticPr fontId="2" type="noConversion"/>
  </si>
  <si>
    <t>Real value of KiwiSaver returns(consider inflation and customized contributions and fund weights)</t>
    <phoneticPr fontId="2" type="noConversion"/>
  </si>
  <si>
    <t>Salary growth rate (use for simulations)</t>
    <phoneticPr fontId="2" type="noConversion"/>
  </si>
  <si>
    <t>KiwiSaver Contribution Rate</t>
    <phoneticPr fontId="2" type="noConversion"/>
  </si>
  <si>
    <t>HarbourSafe Rate</t>
    <phoneticPr fontId="2" type="noConversion"/>
  </si>
  <si>
    <t>Horizon Rate</t>
    <phoneticPr fontId="2" type="noConversion"/>
  </si>
  <si>
    <t>SkyHigh Rate</t>
    <phoneticPr fontId="2" type="noConversion"/>
  </si>
  <si>
    <t>Use default fund weights</t>
    <phoneticPr fontId="2" type="noConversion"/>
  </si>
  <si>
    <t>Use optimized fund weights</t>
    <phoneticPr fontId="2" type="noConversion"/>
  </si>
  <si>
    <t>Salary</t>
    <phoneticPr fontId="2" type="noConversion"/>
  </si>
  <si>
    <t>Economic Scenario</t>
    <phoneticPr fontId="2" type="noConversion"/>
  </si>
  <si>
    <t>Mean value of salary growth under different scenarios</t>
    <phoneticPr fontId="2" type="noConversion"/>
  </si>
  <si>
    <t>Standard deviation of salary growth under different scenarios</t>
    <phoneticPr fontId="2" type="noConversion"/>
  </si>
  <si>
    <t>Dependency coefficient</t>
    <phoneticPr fontId="2" type="noConversion"/>
  </si>
  <si>
    <t>Growth rate-AR(1)</t>
    <phoneticPr fontId="2" type="noConversion"/>
  </si>
  <si>
    <t>Growth rate-Beta 30-45</t>
    <phoneticPr fontId="2" type="noConversion"/>
  </si>
  <si>
    <t>Total growth rate</t>
    <phoneticPr fontId="2" type="noConversion"/>
  </si>
  <si>
    <t>Total growth rate (career events included)</t>
    <phoneticPr fontId="2" type="noConversion"/>
  </si>
  <si>
    <t>Event</t>
    <phoneticPr fontId="2" type="noConversion"/>
  </si>
  <si>
    <t>Random probability of event</t>
    <phoneticPr fontId="2" type="noConversion"/>
  </si>
  <si>
    <t>Total salary growth rate BACKUP</t>
  </si>
  <si>
    <t>Event</t>
  </si>
  <si>
    <t>Δμ</t>
  </si>
  <si>
    <t>Δσ</t>
  </si>
  <si>
    <t>Δρ</t>
  </si>
  <si>
    <t>Description</t>
  </si>
  <si>
    <r>
      <t>Trigger Probability (Year</t>
    </r>
    <r>
      <rPr>
        <b/>
        <sz val="11"/>
        <color theme="1"/>
        <rFont val="Cambria Math"/>
        <family val="1"/>
      </rPr>
      <t>≤</t>
    </r>
    <r>
      <rPr>
        <b/>
        <sz val="11"/>
        <color theme="1"/>
        <rFont val="宋体"/>
        <family val="1"/>
        <charset val="134"/>
      </rPr>
      <t>45</t>
    </r>
    <r>
      <rPr>
        <b/>
        <sz val="11"/>
        <color theme="1"/>
        <rFont val="Times New Roman"/>
        <family val="1"/>
      </rPr>
      <t>)</t>
    </r>
    <phoneticPr fontId="2" type="noConversion"/>
  </si>
  <si>
    <r>
      <t>Trigger Probability (Year</t>
    </r>
    <r>
      <rPr>
        <b/>
        <sz val="11"/>
        <color theme="1"/>
        <rFont val="Cambria Math"/>
        <family val="1"/>
      </rPr>
      <t>≤</t>
    </r>
    <r>
      <rPr>
        <b/>
        <sz val="11"/>
        <color theme="1"/>
        <rFont val="宋体"/>
        <family val="1"/>
        <charset val="134"/>
      </rPr>
      <t>46-59</t>
    </r>
    <r>
      <rPr>
        <b/>
        <sz val="11"/>
        <color theme="1"/>
        <rFont val="Times New Roman"/>
        <family val="1"/>
      </rPr>
      <t>)</t>
    </r>
    <phoneticPr fontId="2" type="noConversion"/>
  </si>
  <si>
    <r>
      <t>Trigger Probability (Year</t>
    </r>
    <r>
      <rPr>
        <b/>
        <sz val="11"/>
        <color theme="1"/>
        <rFont val="Cambria Math"/>
        <family val="1"/>
      </rPr>
      <t>≥</t>
    </r>
    <r>
      <rPr>
        <b/>
        <sz val="11"/>
        <color theme="1"/>
        <rFont val="宋体"/>
        <family val="1"/>
        <charset val="134"/>
      </rPr>
      <t>60</t>
    </r>
    <r>
      <rPr>
        <b/>
        <sz val="11"/>
        <color theme="1"/>
        <rFont val="Times New Roman"/>
        <family val="1"/>
      </rPr>
      <t>)</t>
    </r>
    <phoneticPr fontId="2" type="noConversion"/>
  </si>
  <si>
    <t>-</t>
  </si>
  <si>
    <t>Promotion</t>
  </si>
  <si>
    <t>Stronger upward trend in salary</t>
  </si>
  <si>
    <t>0.00 – 0.06</t>
  </si>
  <si>
    <t>0.00 – 0.02</t>
  </si>
  <si>
    <t>0.00 – 0.00</t>
  </si>
  <si>
    <t>Reset of trajectory with more short-term noise</t>
  </si>
  <si>
    <t>0.06 – 0.12</t>
  </si>
  <si>
    <t>0.02 – 0.06</t>
  </si>
  <si>
    <t>0.00 – 0.01</t>
  </si>
  <si>
    <t>Layoff</t>
  </si>
  <si>
    <t>Salary drop and disruption</t>
  </si>
  <si>
    <t>0.12 – 0.15</t>
  </si>
  <si>
    <t>0.06 – 0.10</t>
  </si>
  <si>
    <t>0.01 – 0.03</t>
  </si>
  <si>
    <t>Pay Cut</t>
  </si>
  <si>
    <t>Income reduction with lower trend persistence</t>
  </si>
  <si>
    <t>0.15 – 0.17</t>
  </si>
  <si>
    <t>0.10 – 0.13</t>
  </si>
  <si>
    <t>0.03 – 0.06</t>
  </si>
  <si>
    <t>Career Shift</t>
  </si>
  <si>
    <t>Change in career track, less predictable growth</t>
  </si>
  <si>
    <t>0.17 – 0.18</t>
  </si>
  <si>
    <t>0.13 – 0.15</t>
  </si>
  <si>
    <t>0.06 – 0.07</t>
  </si>
  <si>
    <t>Parental Leave</t>
  </si>
  <si>
    <t>Salary growth pauses for a year (set gₜ = 0)</t>
  </si>
  <si>
    <t>0.18 – 0.22</t>
  </si>
  <si>
    <t>0.00 – 0.00</t>
    <phoneticPr fontId="2" type="noConversion"/>
  </si>
  <si>
    <t>Early Retirement</t>
  </si>
  <si>
    <t>Marks the end of salary growth</t>
  </si>
  <si>
    <t>0.07 – 0.13</t>
    <phoneticPr fontId="2" type="noConversion"/>
  </si>
  <si>
    <t>-</t>
    <phoneticPr fontId="2" type="noConversion"/>
  </si>
  <si>
    <t>No adjustment</t>
  </si>
  <si>
    <t>0.22 – 1.00</t>
    <phoneticPr fontId="2" type="noConversion"/>
  </si>
  <si>
    <t>0.15 – 1.00</t>
    <phoneticPr fontId="2" type="noConversion"/>
  </si>
  <si>
    <t>0.13 – 1.00</t>
  </si>
  <si>
    <t>Job Change</t>
  </si>
  <si>
    <t>Note: The automatic calculation of random numbers does not apply to this sheet.</t>
    <phoneticPr fontId="2" type="noConversion"/>
  </si>
  <si>
    <t>fundGrowth</t>
    <phoneticPr fontId="2" type="noConversion"/>
  </si>
  <si>
    <t>Boom μ</t>
  </si>
  <si>
    <t>Boom σ</t>
  </si>
  <si>
    <t>Boom ρ</t>
  </si>
  <si>
    <t>Normal μ</t>
  </si>
  <si>
    <t>Normal σ</t>
  </si>
  <si>
    <t>Normal ρ</t>
  </si>
  <si>
    <t>Recession μ</t>
  </si>
  <si>
    <t>Recession σ</t>
  </si>
  <si>
    <t>Recession ρ</t>
  </si>
  <si>
    <t>HarbourSafe</t>
  </si>
  <si>
    <t>Horizon</t>
  </si>
  <si>
    <t>SkyHigh</t>
  </si>
  <si>
    <t>Monte Carlo Simulation of Emily's Superannuation Investment Returns-Parameters and Assumptions</t>
    <phoneticPr fontId="2" type="noConversion"/>
  </si>
  <si>
    <t>Parameters-Fixed Inputs</t>
  </si>
  <si>
    <t>Name</t>
  </si>
  <si>
    <t>Value</t>
  </si>
  <si>
    <t>Source</t>
  </si>
  <si>
    <t>Comments</t>
    <phoneticPr fontId="2" type="noConversion"/>
  </si>
  <si>
    <t>Initial age</t>
  </si>
  <si>
    <t>Provided</t>
    <phoneticPr fontId="2" type="noConversion"/>
  </si>
  <si>
    <t>Retirement age</t>
  </si>
  <si>
    <t>Life expectancy</t>
  </si>
  <si>
    <t>https://www.stats.govt.nz/information-releases/births-and-deaths-year-ended-december-2024-including-abridged-period-life-table/?utm_source=chatgpt.com</t>
    <phoneticPr fontId="2" type="noConversion"/>
  </si>
  <si>
    <t>Initial pre-tax pay</t>
  </si>
  <si>
    <t>Career salary limit</t>
  </si>
  <si>
    <t>Software developers usually earn $85,000 to $139,000 per year.
Software developers can earn $60,000 to $172,000 per year.</t>
  </si>
  <si>
    <t>https://www.careers.govt.nz/jobs-database/it-and-telecommunications/information-technology/software-developer/</t>
    <phoneticPr fontId="2" type="noConversion"/>
  </si>
  <si>
    <t>Initial account balance</t>
  </si>
  <si>
    <t>Assumption</t>
    <phoneticPr fontId="2" type="noConversion"/>
  </si>
  <si>
    <t>KiwiSaver employee contribution rate</t>
    <phoneticPr fontId="2" type="noConversion"/>
  </si>
  <si>
    <t>https://www.ird.govt.nz/kiwisaver/kiwisaver-individuals/how-kiwisaver-works</t>
    <phoneticPr fontId="2" type="noConversion"/>
  </si>
  <si>
    <t>Kiwisaver contribution is deducted directly from his pre-tax paycheck</t>
    <phoneticPr fontId="2" type="noConversion"/>
  </si>
  <si>
    <t>KiwiSaver compulsory employer contributions (CEC)</t>
    <phoneticPr fontId="2" type="noConversion"/>
  </si>
  <si>
    <t>https://www.ird.govt.nz/kiwisaver/kiwisaver-employers/contributions-and-deductions/employer-contributions-to-kiwisaver-and-complying-funds</t>
    <phoneticPr fontId="2" type="noConversion"/>
  </si>
  <si>
    <t xml:space="preserve">Employer superannuation contribution tax (ESCT) </t>
    <phoneticPr fontId="2" type="noConversion"/>
  </si>
  <si>
    <t xml:space="preserve">3%-ESCT tax
$0~$ 18720  10.5%
$18721~$64200 17.5%
$64201~$93720  30%
$93721~$216000 33%
more than $216000 39%
</t>
    <phoneticPr fontId="2" type="noConversion"/>
  </si>
  <si>
    <t>https://www.ird.govt.nz/employing-staff/deductions-from-income/employer-superannuation-contriibution-tax-esct</t>
    <phoneticPr fontId="2" type="noConversion"/>
  </si>
  <si>
    <t>e.g. 70000+3%*70000 in the 30% tax interval:
3%*70000*30%=$630
Actual employer contributes:$2100-$630=$1470</t>
    <phoneticPr fontId="2" type="noConversion"/>
  </si>
  <si>
    <t>PIR for PIE account returns</t>
    <phoneticPr fontId="2" type="noConversion"/>
  </si>
  <si>
    <t>https://www.ird.govt.nz/income-tax/income-tax-for-individuals/types-of-individual-income/portfolio-investment-entity-income-for-individuals/prescribed-investor-rates/find-my-prescribed-investor-rate?utm_source=chatgpt.com</t>
    <phoneticPr fontId="2" type="noConversion"/>
  </si>
  <si>
    <t>Emily's taxable income &gt; $53,500</t>
    <phoneticPr fontId="2" type="noConversion"/>
  </si>
  <si>
    <t>Payroll tax</t>
    <phoneticPr fontId="2" type="noConversion"/>
  </si>
  <si>
    <t>https://www.ird.govt.nz/income-tax/income-tax-for-individuals/tax-codes-and-tax-rates-for-individuals/tax-rates-for-individuals?utm_source=chatgpt.com</t>
    <phoneticPr fontId="2" type="noConversion"/>
  </si>
  <si>
    <t xml:space="preserve">PAYE Caculator:https://www.paye.net.nz/calculator/?utm_source=chatgpt.com
</t>
    <phoneticPr fontId="2" type="noConversion"/>
  </si>
  <si>
    <t>ACC Levy</t>
    <phoneticPr fontId="2" type="noConversion"/>
  </si>
  <si>
    <t xml:space="preserve">$1.67 per $100 (1.67%) </t>
    <phoneticPr fontId="2" type="noConversion"/>
  </si>
  <si>
    <t>https://www.ird.govt.nz/income-tax/income-tax-for-individuals/acc-clients-and-carers/acc-earners-levy-rates</t>
    <phoneticPr fontId="2" type="noConversion"/>
  </si>
  <si>
    <t>e.g. 70000*1.67%</t>
    <phoneticPr fontId="2" type="noConversion"/>
  </si>
  <si>
    <t>Government subsidy from KiwiSaver</t>
    <phoneticPr fontId="2" type="noConversion"/>
  </si>
  <si>
    <t>https://www.ird.govt.nz/kiwisaver/kiwisaver-individuals/growing-my-kiwisaver-account/getting-the-kiwisaver-government-contribution</t>
    <phoneticPr fontId="2" type="noConversion"/>
  </si>
  <si>
    <t>You must save to contribute at least $1042.86 of your own money</t>
    <phoneticPr fontId="2" type="noConversion"/>
  </si>
  <si>
    <r>
      <t>NZ Super Rates(</t>
    </r>
    <r>
      <rPr>
        <sz val="11"/>
        <color rgb="FF00B0F0"/>
        <rFont val="宋体"/>
        <family val="3"/>
        <charset val="134"/>
      </rPr>
      <t>≥</t>
    </r>
    <r>
      <rPr>
        <sz val="11"/>
        <color rgb="FF00B0F0"/>
        <rFont val="Times New Roman"/>
        <family val="1"/>
      </rPr>
      <t>65 years old)</t>
    </r>
    <phoneticPr fontId="2" type="noConversion"/>
  </si>
  <si>
    <t>Single (Annual value after tax):$25,876.82 (2025)</t>
    <phoneticPr fontId="2" type="noConversion"/>
  </si>
  <si>
    <t>https://www.moneyhub.co.nz/super-rates.html</t>
    <phoneticPr fontId="2" type="noConversion"/>
  </si>
  <si>
    <t xml:space="preserve">Massey Retirement Expense per year Estimates </t>
  </si>
  <si>
    <t>$687.84~$768.76 per week</t>
    <phoneticPr fontId="2" type="noConversion"/>
  </si>
  <si>
    <t>https://www.massey.ac.nz/documents/2145/new-zealand-retirement-expenditure-guidelines-2024.pdf</t>
  </si>
  <si>
    <t>Parameters-Uncertainty Variables</t>
  </si>
  <si>
    <t>Variable</t>
  </si>
  <si>
    <t>Mean</t>
  </si>
  <si>
    <t>Distribution Type</t>
    <phoneticPr fontId="2" type="noConversion"/>
  </si>
  <si>
    <t>Annual wage growth rate</t>
  </si>
  <si>
    <t>Beta Distribution</t>
    <phoneticPr fontId="2" type="noConversion"/>
  </si>
  <si>
    <t>Salary decrease after 45 years old</t>
    <phoneticPr fontId="2" type="noConversion"/>
  </si>
  <si>
    <t>2%(Estimated)</t>
    <phoneticPr fontId="2" type="noConversion"/>
  </si>
  <si>
    <t>N/A</t>
    <phoneticPr fontId="2" type="noConversion"/>
  </si>
  <si>
    <t>https://www.rnz.co.nz/news/business/516290/here-s-what-you-should-be-earning-at-any-age</t>
    <phoneticPr fontId="2" type="noConversion"/>
  </si>
  <si>
    <t>Inflation rate</t>
  </si>
  <si>
    <t>Norm Distribution
Ln(1+inflation factor)</t>
    <phoneticPr fontId="2" type="noConversion"/>
  </si>
  <si>
    <t>https://data.worldbank.org/indicator/FP.CPI.TOTL.ZG?locations=NZ</t>
    <phoneticPr fontId="2" type="noConversion"/>
  </si>
  <si>
    <t>There has been only one currency contraction in 64 years. It is a special situation when inflation is very high during the COVID-19 epidemic</t>
    <phoneticPr fontId="2" type="noConversion"/>
  </si>
  <si>
    <t>HarbourSafe Annual Yield</t>
  </si>
  <si>
    <t>Norm Distribution</t>
    <phoneticPr fontId="2" type="noConversion"/>
  </si>
  <si>
    <t>Horizon Annual Yield</t>
  </si>
  <si>
    <t>SkyHigh Annual Yield</t>
  </si>
  <si>
    <t>Simulation #</t>
  </si>
  <si>
    <t>Salary at 64 (C36)</t>
  </si>
  <si>
    <t>Real Value at 64 (N36)</t>
  </si>
  <si>
    <t>Total KiwiSaver Income (N37)</t>
  </si>
  <si>
    <t>Statistic</t>
  </si>
  <si>
    <t>Salary at 64</t>
  </si>
  <si>
    <t>Real Value at 64</t>
  </si>
  <si>
    <t>Total KiwiSaver Income</t>
  </si>
  <si>
    <t>Variance</t>
  </si>
  <si>
    <t>2.5th Percentile</t>
  </si>
  <si>
    <t>97.5th Percentile</t>
  </si>
  <si>
    <t>Employer superannuation contribution tax (ESCT)</t>
    <phoneticPr fontId="2" type="noConversion"/>
  </si>
  <si>
    <t>KiwiSaver net contributions (6%)+Subsidy</t>
    <phoneticPr fontId="2" type="noConversion"/>
  </si>
  <si>
    <t>Real value of Emily;s KiwiSaver inverstment net return (per year)</t>
    <phoneticPr fontId="2" type="noConversion"/>
  </si>
  <si>
    <t>Deflation factor (per year)</t>
    <phoneticPr fontId="2" type="noConversion"/>
  </si>
  <si>
    <t>Year</t>
    <phoneticPr fontId="2" type="noConversion"/>
  </si>
  <si>
    <t>Inflation Rate</t>
    <phoneticPr fontId="2" type="noConversion"/>
  </si>
  <si>
    <t>Red values are outliers</t>
    <phoneticPr fontId="2" type="noConversion"/>
  </si>
  <si>
    <t>Max inflation rate(exclude outliers)</t>
    <phoneticPr fontId="2" type="noConversion"/>
  </si>
  <si>
    <t>Min inflation rate(exclude outliers)</t>
    <phoneticPr fontId="2" type="noConversion"/>
  </si>
  <si>
    <t>Mean of inflation(exclude outliers)</t>
    <phoneticPr fontId="2" type="noConversion"/>
  </si>
  <si>
    <t>STD of inflation(exclude outliers)</t>
    <phoneticPr fontId="2" type="noConversion"/>
  </si>
  <si>
    <t>first term</t>
    <phoneticPr fontId="2" type="noConversion"/>
  </si>
  <si>
    <t>second term</t>
    <phoneticPr fontId="2" type="noConversion"/>
  </si>
  <si>
    <t>third term</t>
    <phoneticPr fontId="2" type="noConversion"/>
  </si>
  <si>
    <t>α</t>
    <phoneticPr fontId="2" type="noConversion"/>
  </si>
  <si>
    <t>β</t>
    <phoneticPr fontId="2" type="noConversion"/>
  </si>
  <si>
    <t>BeteFit for inflation of normal years</t>
    <phoneticPr fontId="2" type="noConversion"/>
  </si>
  <si>
    <t>Deflation -0.1% can be ignored since only one time occurred in 64 years</t>
    <phoneticPr fontId="2" type="noConversion"/>
  </si>
  <si>
    <t>Considering the Black Swan Event such as COVID 19 occurred (&lt;5%)</t>
    <phoneticPr fontId="2" type="noConversion"/>
  </si>
  <si>
    <r>
      <t>ρ (correlation</t>
    </r>
    <r>
      <rPr>
        <sz val="11"/>
        <color theme="1"/>
        <rFont val="宋体"/>
        <family val="1"/>
        <charset val="134"/>
      </rPr>
      <t xml:space="preserve"> coefficient</t>
    </r>
    <r>
      <rPr>
        <sz val="11"/>
        <color theme="1"/>
        <rFont val="Times New Roman"/>
        <family val="1"/>
      </rPr>
      <t>)</t>
    </r>
    <phoneticPr fontId="2" type="noConversion"/>
  </si>
  <si>
    <t>Economic scenario</t>
    <phoneticPr fontId="2" type="noConversion"/>
  </si>
  <si>
    <t>ρ assumptions</t>
    <phoneticPr fontId="2" type="noConversion"/>
  </si>
  <si>
    <t>0.61-0.8</t>
    <phoneticPr fontId="2" type="noConversion"/>
  </si>
  <si>
    <t>0.34-0.60</t>
    <phoneticPr fontId="2" type="noConversion"/>
  </si>
  <si>
    <t>0.20-0.33</t>
    <phoneticPr fontId="2" type="noConversion"/>
  </si>
  <si>
    <t>Data exclude outliers</t>
    <phoneticPr fontId="2" type="noConversion"/>
  </si>
  <si>
    <t>Year</t>
  </si>
  <si>
    <t>GDP Growth (%)</t>
  </si>
  <si>
    <t>Unemployment Rate (%)</t>
  </si>
  <si>
    <t>Transferred Status(%)</t>
    <phoneticPr fontId="2" type="noConversion"/>
  </si>
  <si>
    <t>Sourcre:</t>
    <phoneticPr fontId="2" type="noConversion"/>
  </si>
  <si>
    <t>https://data.worldbank.org/indicator/NY.GDP.MKTP.KD.ZG?locations=NZ</t>
    <phoneticPr fontId="2" type="noConversion"/>
  </si>
  <si>
    <t>https://data.worldbank.org/indicator/SL.UEM.TOTL.NE.ZS?locations=NZ</t>
    <phoneticPr fontId="2" type="noConversion"/>
  </si>
  <si>
    <t>Economic scenario Assumption</t>
    <phoneticPr fontId="2" type="noConversion"/>
  </si>
  <si>
    <t>GDP%</t>
    <phoneticPr fontId="2" type="noConversion"/>
  </si>
  <si>
    <t>New Zealand Unemployment Rate%</t>
    <phoneticPr fontId="2" type="noConversion"/>
  </si>
  <si>
    <t>&gt;=3</t>
    <phoneticPr fontId="2" type="noConversion"/>
  </si>
  <si>
    <t>&lt;=4</t>
    <phoneticPr fontId="2" type="noConversion"/>
  </si>
  <si>
    <t>&gt;=1.5,&lt;3</t>
    <phoneticPr fontId="2" type="noConversion"/>
  </si>
  <si>
    <t>&lt;=5,&gt;4</t>
    <phoneticPr fontId="2" type="noConversion"/>
  </si>
  <si>
    <t>&lt;=1.5</t>
    <phoneticPr fontId="2" type="noConversion"/>
  </si>
  <si>
    <t>or &gt;5</t>
    <phoneticPr fontId="2" type="noConversion"/>
  </si>
  <si>
    <t>Markov Transition Matrix</t>
    <phoneticPr fontId="2" type="noConversion"/>
  </si>
  <si>
    <t>From \ To</t>
    <phoneticPr fontId="2" type="noConversion"/>
  </si>
  <si>
    <t>Parameter 30-45 (Normal)</t>
    <phoneticPr fontId="2" type="noConversion"/>
  </si>
  <si>
    <t>Value</t>
    <phoneticPr fontId="2" type="noConversion"/>
  </si>
  <si>
    <t>Parameter 30-45 (Boom)</t>
    <phoneticPr fontId="2" type="noConversion"/>
  </si>
  <si>
    <t>Parameter 30-45 (Recession)</t>
    <phoneticPr fontId="2" type="noConversion"/>
  </si>
  <si>
    <t>a (min growth rate)</t>
    <phoneticPr fontId="2" type="noConversion"/>
  </si>
  <si>
    <t>b (max growth rate)</t>
  </si>
  <si>
    <t>alpha (α)</t>
  </si>
  <si>
    <t>beta (β)</t>
  </si>
  <si>
    <t>Mapped Mean</t>
  </si>
  <si>
    <t>Mapped Std Dev</t>
  </si>
  <si>
    <t>Total Error (for Solver target)</t>
  </si>
  <si>
    <t>Parameter 46-64 (Normal)</t>
    <phoneticPr fontId="2" type="noConversion"/>
  </si>
  <si>
    <t>Parameter 46-64 (Boom)</t>
    <phoneticPr fontId="2" type="noConversion"/>
  </si>
  <si>
    <t>Parameter 46-64 (Recession)</t>
    <phoneticPr fontId="2" type="noConversion"/>
  </si>
  <si>
    <t>a (min growth rate)</t>
  </si>
  <si>
    <t>Salary Data Verification</t>
    <phoneticPr fontId="2" type="noConversion"/>
  </si>
  <si>
    <t>Economic Scenario-Wage Growth Matrix</t>
    <phoneticPr fontId="2" type="noConversion"/>
  </si>
  <si>
    <t>P2.5% final Salary (from Simulation)</t>
    <phoneticPr fontId="2" type="noConversion"/>
  </si>
  <si>
    <t>μ</t>
    <phoneticPr fontId="2" type="noConversion"/>
  </si>
  <si>
    <t>σ</t>
    <phoneticPr fontId="2" type="noConversion"/>
  </si>
  <si>
    <t>a</t>
    <phoneticPr fontId="2" type="noConversion"/>
  </si>
  <si>
    <t>b</t>
    <phoneticPr fontId="2" type="noConversion"/>
  </si>
  <si>
    <t>P97.5% final Salary (from Simulation)</t>
    <phoneticPr fontId="2" type="noConversion"/>
  </si>
  <si>
    <t>Boom (30-45)</t>
    <phoneticPr fontId="2" type="noConversion"/>
  </si>
  <si>
    <t>95% C.I. of mean final salary</t>
    <phoneticPr fontId="2" type="noConversion"/>
  </si>
  <si>
    <t>Normal (30-45)</t>
    <phoneticPr fontId="2" type="noConversion"/>
  </si>
  <si>
    <t>Recession (30-45)</t>
    <phoneticPr fontId="2" type="noConversion"/>
  </si>
  <si>
    <t>64th Salary</t>
    <phoneticPr fontId="2" type="noConversion"/>
  </si>
  <si>
    <t>Boom (46-64)</t>
    <phoneticPr fontId="2" type="noConversion"/>
  </si>
  <si>
    <t>Mean of final salary (1000 simulations)</t>
    <phoneticPr fontId="2" type="noConversion"/>
  </si>
  <si>
    <t>Normal (46-64)</t>
    <phoneticPr fontId="2" type="noConversion"/>
  </si>
  <si>
    <t>Std Dev (1000 simulations)</t>
    <phoneticPr fontId="2" type="noConversion"/>
  </si>
  <si>
    <t>Recession (46-64)</t>
    <phoneticPr fontId="2" type="noConversion"/>
  </si>
  <si>
    <t>The Principle of Betafit for Emily's Salary growth</t>
    <phoneticPr fontId="2" type="noConversion"/>
  </si>
  <si>
    <t>30-45 years old</t>
    <phoneticPr fontId="2" type="noConversion"/>
  </si>
  <si>
    <r>
      <t>α</t>
    </r>
    <r>
      <rPr>
        <sz val="11"/>
        <color theme="1"/>
        <rFont val="宋体"/>
        <family val="1"/>
        <charset val="134"/>
      </rPr>
      <t>＞</t>
    </r>
    <r>
      <rPr>
        <sz val="11"/>
        <color theme="1"/>
        <rFont val="Times New Roman"/>
        <family val="1"/>
      </rPr>
      <t>β</t>
    </r>
    <phoneticPr fontId="2" type="noConversion"/>
  </si>
  <si>
    <t>45-60 years old</t>
    <phoneticPr fontId="2" type="noConversion"/>
  </si>
  <si>
    <t>α&lt;β</t>
    <phoneticPr fontId="2" type="noConversion"/>
  </si>
  <si>
    <t>Number</t>
    <phoneticPr fontId="2" type="noConversion"/>
  </si>
  <si>
    <t>finalSalary</t>
    <phoneticPr fontId="2" type="noConversion"/>
  </si>
  <si>
    <t>living expenditures</t>
  </si>
  <si>
    <t>Health expenditure</t>
    <phoneticPr fontId="2" type="noConversion"/>
  </si>
  <si>
    <t>Transport expenditure</t>
    <phoneticPr fontId="2" type="noConversion"/>
  </si>
  <si>
    <t>Housing Cost</t>
    <phoneticPr fontId="2" type="noConversion"/>
  </si>
  <si>
    <t>Other expenditure</t>
    <phoneticPr fontId="2" type="noConversion"/>
  </si>
  <si>
    <t>Total expenditure</t>
    <phoneticPr fontId="2" type="noConversion"/>
  </si>
  <si>
    <t>Inflation(deflation factor per year)</t>
    <phoneticPr fontId="2" type="noConversion"/>
  </si>
  <si>
    <t>CPI</t>
  </si>
  <si>
    <t>NZ Super (65-83)</t>
    <phoneticPr fontId="2" type="noConversion"/>
  </si>
  <si>
    <t>NZ Super</t>
    <phoneticPr fontId="2" type="noConversion"/>
  </si>
  <si>
    <t>Over the past seven years, after removing outliers, NZ Super has grown at an average annual rate of approximately 3.6%, and standard variation is 1.22%.</t>
    <phoneticPr fontId="2" type="noConversion"/>
  </si>
  <si>
    <r>
      <rPr>
        <b/>
        <sz val="11"/>
        <color theme="1"/>
        <rFont val="Times New Roman"/>
        <family val="1"/>
      </rPr>
      <t>Source:</t>
    </r>
    <r>
      <rPr>
        <sz val="11"/>
        <color theme="1"/>
        <rFont val="Times New Roman"/>
        <family val="1"/>
      </rPr>
      <t xml:space="preserve"> https://www.workandincome.govt.nz/products/a-z-benefits/nz-superannuation.html</t>
    </r>
    <phoneticPr fontId="2" type="noConversion"/>
  </si>
  <si>
    <t>Total</t>
    <phoneticPr fontId="2" type="noConversion"/>
  </si>
  <si>
    <t xml:space="preserve">Each part is the nominal total expenditure, taking into account CPI growth, so after discounting by inflation each year and summing up, the total expenditure from age 65 to 83 is calculated (Amount deducted from NZ Super). </t>
    <phoneticPr fontId="2" type="noConversion"/>
  </si>
  <si>
    <t>Since inflation is calculated from when Emily turns 30, this amount is actually based on the value in 2025, when Emily turns 30. In other words, the amount Emily will spend in 2078, when she is 83, is equivalent to this amount in 2025, so the value is much smaller.</t>
  </si>
  <si>
    <t>years</t>
  </si>
  <si>
    <t>age</t>
  </si>
  <si>
    <t>account</t>
  </si>
  <si>
    <t>Inflation rate</t>
    <phoneticPr fontId="2" type="noConversion"/>
  </si>
  <si>
    <t>Cumulative inflation</t>
  </si>
  <si>
    <t>Norminal food cost (2014-2078)</t>
    <phoneticPr fontId="2" type="noConversion"/>
  </si>
  <si>
    <t>Norminal food cost (2013-2023)</t>
    <phoneticPr fontId="2" type="noConversion"/>
  </si>
  <si>
    <t>linest</t>
  </si>
  <si>
    <t>Factor</t>
  </si>
  <si>
    <r>
      <rPr>
        <sz val="11"/>
        <color rgb="FF000000"/>
        <rFont val="宋体"/>
        <family val="3"/>
        <charset val="134"/>
      </rPr>
      <t>（</t>
    </r>
    <r>
      <rPr>
        <sz val="11"/>
        <color rgb="FF000000"/>
        <rFont val="Times New Roman"/>
        <family val="1"/>
      </rPr>
      <t>go-go</t>
    </r>
    <r>
      <rPr>
        <sz val="11"/>
        <color rgb="FF000000"/>
        <rFont val="宋体"/>
        <family val="3"/>
        <charset val="134"/>
      </rPr>
      <t>）</t>
    </r>
  </si>
  <si>
    <t>65–75</t>
  </si>
  <si>
    <r>
      <rPr>
        <sz val="11"/>
        <color rgb="FF000000"/>
        <rFont val="宋体"/>
        <family val="3"/>
        <charset val="134"/>
      </rPr>
      <t>（</t>
    </r>
    <r>
      <rPr>
        <sz val="11"/>
        <color rgb="FF000000"/>
        <rFont val="Times New Roman"/>
        <family val="1"/>
      </rPr>
      <t>Slow-Go</t>
    </r>
    <r>
      <rPr>
        <sz val="11"/>
        <color rgb="FF000000"/>
        <rFont val="宋体"/>
        <family val="3"/>
        <charset val="134"/>
      </rPr>
      <t>）</t>
    </r>
  </si>
  <si>
    <r>
      <t>76–83</t>
    </r>
    <r>
      <rPr>
        <sz val="11"/>
        <color theme="1"/>
        <rFont val="宋体"/>
        <family val="2"/>
      </rPr>
      <t>岁</t>
    </r>
  </si>
  <si>
    <t>β₀</t>
  </si>
  <si>
    <r>
      <rPr>
        <sz val="11"/>
        <color rgb="FF000000"/>
        <rFont val="Times New Roman"/>
        <family val="1"/>
      </rPr>
      <t>β</t>
    </r>
    <r>
      <rPr>
        <sz val="11"/>
        <color rgb="FF000000"/>
        <rFont val="Cambria Math"/>
        <family val="1"/>
      </rPr>
      <t>₁</t>
    </r>
    <r>
      <rPr>
        <sz val="11"/>
        <color rgb="FF000000"/>
        <rFont val="Times New Roman"/>
        <family val="1"/>
      </rPr>
      <t xml:space="preserve"> </t>
    </r>
  </si>
  <si>
    <t>From 1961 to 2025, New Zealand's average food inflation rate was 3.1%.</t>
  </si>
  <si>
    <t>https://tradingeconomics.com/new-zealand/food-inflation</t>
  </si>
  <si>
    <t>Norminal health expenditures (medical+health insurance)</t>
    <phoneticPr fontId="2" type="noConversion"/>
  </si>
  <si>
    <t>2019 (medical+health insurance for retired life)</t>
    <phoneticPr fontId="2" type="noConversion"/>
  </si>
  <si>
    <t>Initial value</t>
    <phoneticPr fontId="2" type="noConversion"/>
  </si>
  <si>
    <t>Medical: 2597</t>
    <phoneticPr fontId="2" type="noConversion"/>
  </si>
  <si>
    <t>Insurance: 4124</t>
    <phoneticPr fontId="2" type="noConversion"/>
  </si>
  <si>
    <t>Total: 6721</t>
    <phoneticPr fontId="2" type="noConversion"/>
  </si>
  <si>
    <r>
      <rPr>
        <b/>
        <sz val="11"/>
        <color theme="1"/>
        <rFont val="Times New Roman"/>
        <family val="1"/>
      </rPr>
      <t>Source:</t>
    </r>
    <r>
      <rPr>
        <sz val="11"/>
        <color theme="1"/>
        <rFont val="Times New Roman"/>
        <family val="1"/>
      </rPr>
      <t xml:space="preserve">
Motu Working Paper 23-07
Expenditure patterns of New
Zealand retiree households
</t>
    </r>
    <r>
      <rPr>
        <b/>
        <sz val="11"/>
        <color theme="1"/>
        <rFont val="Times New Roman"/>
        <family val="1"/>
      </rPr>
      <t>Author:</t>
    </r>
    <r>
      <rPr>
        <sz val="11"/>
        <color theme="1"/>
        <rFont val="Times New Roman"/>
        <family val="1"/>
      </rPr>
      <t xml:space="preserve"> Trinh Le and Euan Richardson
August 2023</t>
    </r>
  </si>
  <si>
    <r>
      <t>Year 30-49</t>
    </r>
    <r>
      <rPr>
        <sz val="11"/>
        <color rgb="FF000000"/>
        <rFont val="宋体"/>
        <family val="3"/>
        <charset val="134"/>
      </rPr>
      <t>（Linear Growth）</t>
    </r>
    <phoneticPr fontId="2" type="noConversion"/>
  </si>
  <si>
    <t>Moderate, linear</t>
  </si>
  <si>
    <t xml:space="preserve">Starting Value
</t>
  </si>
  <si>
    <t>value</t>
  </si>
  <si>
    <r>
      <t>Year 50-64</t>
    </r>
    <r>
      <rPr>
        <sz val="11"/>
        <color rgb="FF000000"/>
        <rFont val="宋体"/>
        <family val="3"/>
        <charset val="134"/>
      </rPr>
      <t>（Exponential Growth）</t>
    </r>
    <phoneticPr fontId="2" type="noConversion"/>
  </si>
  <si>
    <t xml:space="preserve">Accelerated growth, onset of illness
</t>
  </si>
  <si>
    <t xml:space="preserve">Growth Rate
</t>
  </si>
  <si>
    <r>
      <t>Year 65-75</t>
    </r>
    <r>
      <rPr>
        <sz val="11"/>
        <color rgb="FF000000"/>
        <rFont val="宋体"/>
        <family val="3"/>
        <charset val="134"/>
      </rPr>
      <t>（Exponential + Random Events）</t>
    </r>
    <phoneticPr fontId="2" type="noConversion"/>
  </si>
  <si>
    <t>Significant increase</t>
  </si>
  <si>
    <r>
      <t>Year 76-83</t>
    </r>
    <r>
      <rPr>
        <sz val="11"/>
        <color rgb="FF000000"/>
        <rFont val="宋体"/>
        <family val="3"/>
        <charset val="134"/>
      </rPr>
      <t>（Exponential + Random Events）</t>
    </r>
    <phoneticPr fontId="2" type="noConversion"/>
  </si>
  <si>
    <t xml:space="preserve">Rapid increase, end-of-life risks
</t>
  </si>
  <si>
    <t xml:space="preserve">Category
</t>
  </si>
  <si>
    <t xml:space="preserve">
Probability
</t>
  </si>
  <si>
    <t xml:space="preserve">Multiplier
</t>
  </si>
  <si>
    <t xml:space="preserve">Frugal Year
</t>
  </si>
  <si>
    <t xml:space="preserve">Normal Year
</t>
  </si>
  <si>
    <t xml:space="preserve">Active Year
</t>
  </si>
  <si>
    <t xml:space="preserve">Illness Year
</t>
  </si>
  <si>
    <t>sum</t>
  </si>
  <si>
    <t>Nominal transport cost</t>
    <phoneticPr fontId="2" type="noConversion"/>
  </si>
  <si>
    <t>Nominal transport cost (Adjusted)</t>
    <phoneticPr fontId="2" type="noConversion"/>
  </si>
  <si>
    <t>Factor</t>
    <phoneticPr fontId="2" type="noConversion"/>
  </si>
  <si>
    <t>Annual expenditure (u)</t>
  </si>
  <si>
    <t>Annual volatility (assumed)</t>
  </si>
  <si>
    <r>
      <t xml:space="preserve">Weekly household transport expenditure increased between the years ended June 2019 and 2023 from $216.00 to $251.60, up 16.5 percent. We assume an average annual transport growth rate of </t>
    </r>
    <r>
      <rPr>
        <b/>
        <sz val="11"/>
        <color rgb="FFFF0000"/>
        <rFont val="Times New Roman"/>
        <family val="1"/>
      </rPr>
      <t>3.3%</t>
    </r>
    <r>
      <rPr>
        <sz val="11"/>
        <color rgb="FFFF0000"/>
        <rFont val="Times New Roman"/>
        <family val="1"/>
      </rPr>
      <t>.</t>
    </r>
  </si>
  <si>
    <t>https://www.stats.govt.nz/news/transport-expenditure-both-rises-and-falls-for-new-zealand-households/</t>
    <phoneticPr fontId="2" type="noConversion"/>
  </si>
  <si>
    <t xml:space="preserve">Behaviour Factor
</t>
  </si>
  <si>
    <t xml:space="preserve">Description
</t>
  </si>
  <si>
    <t>no active</t>
  </si>
  <si>
    <t xml:space="preserve">Normal year
</t>
  </si>
  <si>
    <t xml:space="preserve">Frequent outings / Domestic travel
</t>
  </si>
  <si>
    <t>International travel / Luxury year</t>
  </si>
  <si>
    <t>Initial transport cost for retired life</t>
    <phoneticPr fontId="2" type="noConversion"/>
  </si>
  <si>
    <r>
      <rPr>
        <b/>
        <sz val="11"/>
        <color theme="1"/>
        <rFont val="Times New Roman"/>
        <family val="1"/>
      </rPr>
      <t>Source:</t>
    </r>
    <r>
      <rPr>
        <sz val="11"/>
        <color theme="1"/>
        <rFont val="Times New Roman"/>
        <family val="1"/>
      </rPr>
      <t xml:space="preserve">
Motu Working Paper 23-07
Expenditure patterns of New
Zealand retiree households
</t>
    </r>
    <r>
      <rPr>
        <b/>
        <sz val="11"/>
        <color theme="1"/>
        <rFont val="Times New Roman"/>
        <family val="1"/>
      </rPr>
      <t>Author:</t>
    </r>
    <r>
      <rPr>
        <sz val="11"/>
        <color theme="1"/>
        <rFont val="Times New Roman"/>
        <family val="1"/>
      </rPr>
      <t xml:space="preserve"> Trinh Le and Euan Richardson
August 2023</t>
    </r>
    <phoneticPr fontId="2" type="noConversion"/>
  </si>
  <si>
    <t>Growth factor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</si>
</sst>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quot;$&quot;#,##0_);[Red]\(&quot;$&quot;#,##0\)"/>
    <numFmt numFmtId="165" formatCode="&quot;$&quot;#,##0.00_);[Red]\(&quot;$&quot;#,##0.00\)"/>
    <numFmt numFmtId="166" formatCode="0.00_ "/>
    <numFmt numFmtId="167" formatCode="0.0000_ "/>
    <numFmt numFmtId="168" formatCode="0.0_ "/>
    <numFmt numFmtId="169" formatCode="0.0_);[Red]\(0.0\)"/>
    <numFmt numFmtId="170" formatCode="&quot;$&quot;#,##0.00"/>
    <numFmt numFmtId="171" formatCode="0.0000000"/>
    <numFmt numFmtId="172" formatCode="0.0%"/>
    <numFmt numFmtId="173" formatCode="0.00_);[Red]\(0.00\)"/>
  </numFmts>
  <fonts count="37">
    <font>
      <sz val="11"/>
      <color theme="1"/>
      <name val="Calibri"/>
      <charset val="134"/>
      <scheme val="minor"/>
    </font>
    <font>
      <sz val="11"/>
      <color theme="1"/>
      <name val="Calibri"/>
      <family val="2"/>
      <scheme val="minor"/>
    </font>
    <font>
      <sz val="9"/>
      <name val="Calibri"/>
      <family val="3"/>
      <charset val="134"/>
      <scheme val="minor"/>
    </font>
    <font>
      <sz val="11"/>
      <color theme="0"/>
      <name val="Calibri"/>
      <family val="2"/>
      <charset val="134"/>
      <scheme val="minor"/>
    </font>
    <font>
      <b/>
      <sz val="11"/>
      <color theme="1"/>
      <name val="Times New Roman"/>
      <family val="1"/>
    </font>
    <font>
      <sz val="11"/>
      <color theme="1"/>
      <name val="Times New Roman"/>
      <family val="1"/>
    </font>
    <font>
      <sz val="11"/>
      <color rgb="FF00B0F0"/>
      <name val="Times New Roman"/>
      <family val="1"/>
    </font>
    <font>
      <sz val="11"/>
      <color indexed="8"/>
      <name val="Times New Roman"/>
      <family val="1"/>
    </font>
    <font>
      <sz val="11"/>
      <name val="Times New Roman"/>
      <family val="1"/>
    </font>
    <font>
      <b/>
      <i/>
      <sz val="11"/>
      <color theme="0"/>
      <name val="Times New Roman"/>
      <family val="1"/>
    </font>
    <font>
      <sz val="11"/>
      <color theme="5"/>
      <name val="Times New Roman"/>
      <family val="1"/>
    </font>
    <font>
      <sz val="11"/>
      <color theme="1"/>
      <name val="Calibri"/>
      <family val="3"/>
      <charset val="134"/>
      <scheme val="minor"/>
    </font>
    <font>
      <sz val="11"/>
      <color theme="1"/>
      <name val="宋体"/>
      <family val="1"/>
      <charset val="134"/>
    </font>
    <font>
      <sz val="11"/>
      <color rgb="FF00B0F0"/>
      <name val="宋体"/>
      <family val="3"/>
      <charset val="134"/>
    </font>
    <font>
      <b/>
      <sz val="11"/>
      <color theme="0"/>
      <name val="Times New Roman"/>
      <family val="1"/>
    </font>
    <font>
      <sz val="11"/>
      <color rgb="FFFF0000"/>
      <name val="Times New Roman"/>
      <family val="1"/>
    </font>
    <font>
      <b/>
      <sz val="11"/>
      <color theme="1"/>
      <name val="宋体"/>
      <family val="1"/>
      <charset val="134"/>
    </font>
    <font>
      <b/>
      <sz val="11"/>
      <color theme="1"/>
      <name val="Cambria Math"/>
      <family val="1"/>
    </font>
    <font>
      <sz val="11"/>
      <color rgb="FF000000"/>
      <name val="Times New Roman"/>
      <family val="1"/>
    </font>
    <font>
      <b/>
      <sz val="11"/>
      <color theme="7"/>
      <name val="Times New Roman"/>
      <family val="1"/>
    </font>
    <font>
      <u/>
      <sz val="11"/>
      <color theme="10"/>
      <name val="Calibri"/>
      <family val="2"/>
      <scheme val="minor"/>
    </font>
    <font>
      <b/>
      <sz val="11"/>
      <color rgb="FFFF0000"/>
      <name val="Times New Roman"/>
      <family val="1"/>
    </font>
    <font>
      <sz val="11"/>
      <color theme="1"/>
      <name val="宋体"/>
      <family val="2"/>
    </font>
    <font>
      <b/>
      <sz val="11"/>
      <color theme="1"/>
      <name val="Times New Roman"/>
      <family val="2"/>
    </font>
    <font>
      <b/>
      <strike/>
      <sz val="11"/>
      <color theme="1"/>
      <name val="Times New Roman"/>
      <family val="1"/>
    </font>
    <font>
      <sz val="11"/>
      <color theme="4" tint="-0.249977111117893"/>
      <name val="Times New Roman"/>
      <family val="1"/>
    </font>
    <font>
      <sz val="11"/>
      <color indexed="8"/>
      <name val="宋体"/>
      <family val="3"/>
      <charset val="134"/>
    </font>
    <font>
      <sz val="11"/>
      <color theme="1"/>
      <name val="Times New Roman"/>
      <family val="2"/>
    </font>
    <font>
      <b/>
      <sz val="11"/>
      <color rgb="FFFF0000"/>
      <name val="宋体"/>
      <family val="3"/>
    </font>
    <font>
      <sz val="11"/>
      <color indexed="17"/>
      <name val="宋体"/>
      <family val="3"/>
      <charset val="134"/>
    </font>
    <font>
      <b/>
      <sz val="11"/>
      <color indexed="8"/>
      <name val="宋体"/>
      <family val="3"/>
      <charset val="134"/>
    </font>
    <font>
      <sz val="11"/>
      <color rgb="FF000000"/>
      <name val="宋体"/>
      <family val="3"/>
      <charset val="134"/>
    </font>
    <font>
      <sz val="11"/>
      <color rgb="FF000000"/>
      <name val="Cambria Math"/>
      <family val="1"/>
    </font>
    <font>
      <b/>
      <sz val="11"/>
      <name val="Times New Roman"/>
      <family val="1"/>
    </font>
    <font>
      <u/>
      <sz val="11"/>
      <color theme="10"/>
      <name val="Times New Roman"/>
      <family val="1"/>
    </font>
    <font>
      <b/>
      <sz val="12"/>
      <color rgb="FFFF0000"/>
      <name val="Times New Roman"/>
      <family val="1"/>
    </font>
    <font>
      <b/>
      <sz val="9"/>
      <color rgb="FFFF6600"/>
      <name val="Times New Roman"/>
      <family val="1"/>
    </font>
  </fonts>
  <fills count="17">
    <fill>
      <patternFill patternType="none"/>
    </fill>
    <fill>
      <patternFill patternType="gray125"/>
    </fill>
    <fill>
      <patternFill patternType="solid">
        <fgColor rgb="FFFFFF00"/>
        <bgColor indexed="64"/>
      </patternFill>
    </fill>
    <fill>
      <patternFill patternType="solid">
        <fgColor theme="4"/>
      </patternFill>
    </fill>
    <fill>
      <patternFill patternType="solid">
        <fgColor rgb="FFFFC00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bgColor indexed="64"/>
      </patternFill>
    </fill>
    <fill>
      <patternFill patternType="solid">
        <fgColor theme="7" tint="0.59999389629810485"/>
        <bgColor indexed="64"/>
      </patternFill>
    </fill>
  </fills>
  <borders count="45">
    <border>
      <left/>
      <right/>
      <top/>
      <bottom/>
      <diagonal/>
    </border>
    <border>
      <left style="medium">
        <color rgb="FFFF0000"/>
      </left>
      <right style="medium">
        <color rgb="FFFF0000"/>
      </right>
      <top style="medium">
        <color rgb="FFFF0000"/>
      </top>
      <bottom style="medium">
        <color rgb="FFFF0000"/>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style="medium">
        <color rgb="FFFF0000"/>
      </left>
      <right style="thin">
        <color auto="1"/>
      </right>
      <top style="medium">
        <color rgb="FFFF0000"/>
      </top>
      <bottom style="thin">
        <color auto="1"/>
      </bottom>
      <diagonal/>
    </border>
    <border>
      <left style="thin">
        <color auto="1"/>
      </left>
      <right style="medium">
        <color rgb="FFFF0000"/>
      </right>
      <top style="medium">
        <color rgb="FFFF0000"/>
      </top>
      <bottom style="thin">
        <color auto="1"/>
      </bottom>
      <diagonal/>
    </border>
    <border>
      <left style="medium">
        <color rgb="FFFF0000"/>
      </left>
      <right style="thin">
        <color auto="1"/>
      </right>
      <top style="thin">
        <color auto="1"/>
      </top>
      <bottom style="thin">
        <color auto="1"/>
      </bottom>
      <diagonal/>
    </border>
    <border>
      <left style="thin">
        <color auto="1"/>
      </left>
      <right style="medium">
        <color rgb="FFFF0000"/>
      </right>
      <top style="thin">
        <color auto="1"/>
      </top>
      <bottom style="thin">
        <color auto="1"/>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bottom/>
      <diagonal/>
    </border>
    <border>
      <left/>
      <right style="medium">
        <color theme="4"/>
      </right>
      <top/>
      <bottom/>
      <diagonal/>
    </border>
    <border>
      <left style="medium">
        <color theme="4"/>
      </left>
      <right/>
      <top style="medium">
        <color rgb="FFFF0000"/>
      </top>
      <bottom style="medium">
        <color rgb="FFFF0000"/>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
      <left/>
      <right style="medium">
        <color theme="4"/>
      </right>
      <top style="thin">
        <color theme="4"/>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auto="1"/>
      </top>
      <bottom/>
      <diagonal/>
    </border>
    <border>
      <left/>
      <right style="medium">
        <color auto="1"/>
      </right>
      <top style="medium">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5">
    <xf numFmtId="0" fontId="0" fillId="0" borderId="0">
      <alignment vertical="center"/>
    </xf>
    <xf numFmtId="0" fontId="1" fillId="0" borderId="0"/>
    <xf numFmtId="0" fontId="3" fillId="3" borderId="0" applyNumberFormat="0" applyBorder="0" applyAlignment="0" applyProtection="0">
      <alignment vertical="center"/>
    </xf>
    <xf numFmtId="0" fontId="11" fillId="0" borderId="0">
      <alignment vertical="center"/>
    </xf>
    <xf numFmtId="0" fontId="20" fillId="0" borderId="0" applyNumberFormat="0" applyFill="0" applyBorder="0" applyAlignment="0" applyProtection="0">
      <alignment vertical="center"/>
    </xf>
  </cellStyleXfs>
  <cellXfs count="201">
    <xf numFmtId="0" fontId="0" fillId="0" borderId="0" xfId="0">
      <alignment vertical="center"/>
    </xf>
    <xf numFmtId="0" fontId="5"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wrapText="1"/>
    </xf>
    <xf numFmtId="0" fontId="5" fillId="0" borderId="0" xfId="0" applyFont="1" applyAlignment="1">
      <alignment vertical="center" wrapText="1"/>
    </xf>
    <xf numFmtId="0" fontId="5" fillId="0" borderId="0" xfId="0" applyFont="1">
      <alignment vertical="center"/>
    </xf>
    <xf numFmtId="10" fontId="5" fillId="0" borderId="0" xfId="0" applyNumberFormat="1" applyFont="1" applyAlignment="1">
      <alignment horizontal="left" vertical="center"/>
    </xf>
    <xf numFmtId="0" fontId="4" fillId="0" borderId="0" xfId="0" applyFont="1" applyAlignment="1">
      <alignment horizontal="left" vertical="center" wrapText="1"/>
    </xf>
    <xf numFmtId="0" fontId="5" fillId="0" borderId="6" xfId="0" applyFont="1" applyBorder="1" applyAlignment="1">
      <alignment horizontal="left" vertical="center"/>
    </xf>
    <xf numFmtId="0" fontId="5" fillId="0" borderId="8" xfId="0" applyFont="1" applyBorder="1" applyAlignment="1">
      <alignment horizontal="left" vertical="center"/>
    </xf>
    <xf numFmtId="0" fontId="5" fillId="0" borderId="9" xfId="0" applyFont="1" applyBorder="1" applyAlignment="1">
      <alignment horizontal="left" vertical="center"/>
    </xf>
    <xf numFmtId="10" fontId="5" fillId="0" borderId="0" xfId="0" applyNumberFormat="1" applyFont="1">
      <alignment vertical="center"/>
    </xf>
    <xf numFmtId="166" fontId="5" fillId="0" borderId="0" xfId="0" applyNumberFormat="1" applyFont="1">
      <alignment vertical="center"/>
    </xf>
    <xf numFmtId="0" fontId="8" fillId="0" borderId="11" xfId="0" applyFont="1" applyBorder="1" applyAlignment="1">
      <alignment horizontal="left" vertical="center"/>
    </xf>
    <xf numFmtId="0" fontId="5" fillId="0" borderId="5" xfId="0" applyFont="1" applyBorder="1">
      <alignment vertical="center"/>
    </xf>
    <xf numFmtId="0" fontId="5" fillId="0" borderId="7" xfId="0" applyFont="1" applyBorder="1">
      <alignment vertical="center"/>
    </xf>
    <xf numFmtId="0" fontId="5" fillId="0" borderId="8" xfId="0" applyFont="1" applyBorder="1">
      <alignment vertical="center"/>
    </xf>
    <xf numFmtId="0" fontId="0" fillId="0" borderId="0" xfId="0" applyAlignment="1">
      <alignment vertical="center" wrapText="1"/>
    </xf>
    <xf numFmtId="10" fontId="5" fillId="0" borderId="0" xfId="0" applyNumberFormat="1" applyFont="1" applyAlignment="1">
      <alignment horizontal="left" vertical="center" wrapText="1"/>
    </xf>
    <xf numFmtId="0" fontId="5" fillId="4" borderId="0" xfId="0" applyFont="1" applyFill="1" applyAlignment="1">
      <alignment vertical="center" wrapText="1"/>
    </xf>
    <xf numFmtId="164" fontId="8" fillId="0" borderId="10" xfId="0" applyNumberFormat="1" applyFont="1" applyBorder="1" applyAlignment="1">
      <alignment horizontal="left" vertical="center"/>
    </xf>
    <xf numFmtId="9" fontId="5" fillId="0" borderId="0" xfId="0" applyNumberFormat="1" applyFont="1" applyAlignment="1">
      <alignment horizontal="left" vertical="center"/>
    </xf>
    <xf numFmtId="9" fontId="5" fillId="0" borderId="0" xfId="0" applyNumberFormat="1" applyFont="1" applyAlignment="1">
      <alignment horizontal="left" vertical="center" wrapText="1"/>
    </xf>
    <xf numFmtId="165" fontId="5" fillId="0" borderId="0" xfId="0" applyNumberFormat="1" applyFont="1" applyAlignment="1">
      <alignment horizontal="left" vertical="center"/>
    </xf>
    <xf numFmtId="0" fontId="9" fillId="3" borderId="16" xfId="2" applyFont="1" applyBorder="1" applyAlignment="1">
      <alignment horizontal="left" vertical="center"/>
    </xf>
    <xf numFmtId="0" fontId="9" fillId="3" borderId="17" xfId="2" applyFont="1" applyBorder="1" applyAlignment="1">
      <alignment horizontal="left" vertical="center"/>
    </xf>
    <xf numFmtId="0" fontId="9" fillId="3" borderId="18" xfId="2" applyFont="1" applyBorder="1" applyAlignment="1">
      <alignment horizontal="left" vertical="center"/>
    </xf>
    <xf numFmtId="0" fontId="5" fillId="0" borderId="19" xfId="0" applyFont="1" applyBorder="1" applyAlignment="1">
      <alignment horizontal="left" vertical="center"/>
    </xf>
    <xf numFmtId="0" fontId="5" fillId="0" borderId="20" xfId="0" applyFont="1" applyBorder="1" applyAlignment="1">
      <alignment horizontal="left" vertical="center"/>
    </xf>
    <xf numFmtId="0" fontId="8" fillId="0" borderId="21" xfId="0" applyFont="1" applyBorder="1" applyAlignment="1">
      <alignment horizontal="left" vertical="center"/>
    </xf>
    <xf numFmtId="0" fontId="5" fillId="0" borderId="20" xfId="0" applyFont="1" applyBorder="1" applyAlignment="1">
      <alignment horizontal="left" vertical="center" wrapText="1"/>
    </xf>
    <xf numFmtId="0" fontId="5" fillId="0" borderId="19" xfId="0" applyFont="1" applyBorder="1" applyAlignment="1">
      <alignment horizontal="left" vertical="center" wrapText="1"/>
    </xf>
    <xf numFmtId="0" fontId="6" fillId="0" borderId="22" xfId="0" applyFont="1" applyBorder="1" applyAlignment="1">
      <alignment horizontal="left" vertical="center" wrapText="1"/>
    </xf>
    <xf numFmtId="0" fontId="5" fillId="0" borderId="23" xfId="0" applyFont="1" applyBorder="1" applyAlignment="1">
      <alignment horizontal="left" vertical="center"/>
    </xf>
    <xf numFmtId="0" fontId="5" fillId="0" borderId="24" xfId="0" applyFont="1" applyBorder="1" applyAlignment="1">
      <alignment horizontal="left" vertical="center"/>
    </xf>
    <xf numFmtId="0" fontId="5" fillId="0" borderId="22" xfId="0" applyFont="1" applyBorder="1" applyAlignment="1">
      <alignment horizontal="left" vertical="center"/>
    </xf>
    <xf numFmtId="10" fontId="5" fillId="0" borderId="23" xfId="0" applyNumberFormat="1" applyFont="1" applyBorder="1" applyAlignment="1">
      <alignment horizontal="left" vertical="center"/>
    </xf>
    <xf numFmtId="167" fontId="5" fillId="0" borderId="0" xfId="0" applyNumberFormat="1" applyFont="1">
      <alignment vertical="center"/>
    </xf>
    <xf numFmtId="0" fontId="5" fillId="0" borderId="25" xfId="0" applyFont="1" applyBorder="1" applyAlignment="1">
      <alignment horizontal="left" vertical="center"/>
    </xf>
    <xf numFmtId="0" fontId="11" fillId="0" borderId="0" xfId="0" applyFont="1">
      <alignment vertical="center"/>
    </xf>
    <xf numFmtId="0" fontId="6" fillId="0" borderId="19" xfId="0" applyFont="1" applyBorder="1" applyAlignment="1">
      <alignment horizontal="left" vertical="center"/>
    </xf>
    <xf numFmtId="0" fontId="6" fillId="0" borderId="0" xfId="0" applyFont="1" applyAlignment="1">
      <alignment horizontal="left" vertical="center" wrapText="1"/>
    </xf>
    <xf numFmtId="0" fontId="5" fillId="0" borderId="17" xfId="0" applyFont="1" applyBorder="1" applyAlignment="1">
      <alignment horizontal="left" vertical="center"/>
    </xf>
    <xf numFmtId="0" fontId="5" fillId="2" borderId="0" xfId="0" applyFont="1" applyFill="1">
      <alignment vertical="center"/>
    </xf>
    <xf numFmtId="169" fontId="4" fillId="0" borderId="0" xfId="0" applyNumberFormat="1" applyFont="1" applyAlignment="1">
      <alignment horizontal="left" vertical="center" wrapText="1"/>
    </xf>
    <xf numFmtId="0" fontId="0" fillId="0" borderId="0" xfId="0" applyAlignment="1">
      <alignment horizontal="left" vertical="center" wrapText="1"/>
    </xf>
    <xf numFmtId="0" fontId="7" fillId="0" borderId="0" xfId="0" applyFont="1" applyAlignment="1">
      <alignment horizontal="left"/>
    </xf>
    <xf numFmtId="0" fontId="5" fillId="2" borderId="0" xfId="0" applyFont="1" applyFill="1" applyAlignment="1">
      <alignment horizontal="left"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5" fillId="0" borderId="5" xfId="0" applyFont="1" applyBorder="1" applyAlignment="1">
      <alignment horizontal="left" vertical="center"/>
    </xf>
    <xf numFmtId="0" fontId="5" fillId="0" borderId="7" xfId="0" applyFont="1" applyBorder="1" applyAlignment="1">
      <alignment horizontal="left" vertical="center"/>
    </xf>
    <xf numFmtId="166" fontId="5" fillId="0" borderId="0" xfId="0" applyNumberFormat="1" applyFont="1" applyAlignment="1">
      <alignment horizontal="left" vertical="center"/>
    </xf>
    <xf numFmtId="0" fontId="14" fillId="5" borderId="29" xfId="0" applyFont="1" applyFill="1" applyBorder="1" applyAlignment="1">
      <alignment horizontal="left" vertical="center" wrapText="1"/>
    </xf>
    <xf numFmtId="0" fontId="14" fillId="5" borderId="30" xfId="0" applyFont="1" applyFill="1" applyBorder="1" applyAlignment="1">
      <alignment horizontal="left" vertical="center" wrapText="1"/>
    </xf>
    <xf numFmtId="0" fontId="14" fillId="5" borderId="31" xfId="0" applyFont="1" applyFill="1" applyBorder="1" applyAlignment="1">
      <alignment horizontal="left" vertical="center" wrapText="1"/>
    </xf>
    <xf numFmtId="0" fontId="0" fillId="0" borderId="0" xfId="0" applyAlignment="1">
      <alignment horizontal="left" vertical="center"/>
    </xf>
    <xf numFmtId="0" fontId="5" fillId="6" borderId="29" xfId="0" applyFont="1" applyFill="1" applyBorder="1" applyAlignment="1">
      <alignment horizontal="left" vertical="center" wrapText="1"/>
    </xf>
    <xf numFmtId="0" fontId="5" fillId="6" borderId="30" xfId="0" applyFont="1" applyFill="1" applyBorder="1" applyAlignment="1">
      <alignment horizontal="left" vertical="center" wrapText="1"/>
    </xf>
    <xf numFmtId="0" fontId="5" fillId="6" borderId="31" xfId="0" applyFont="1" applyFill="1" applyBorder="1" applyAlignment="1">
      <alignment horizontal="left" vertical="center" wrapText="1"/>
    </xf>
    <xf numFmtId="0" fontId="5" fillId="0" borderId="29" xfId="0" applyFont="1" applyBorder="1" applyAlignment="1">
      <alignment horizontal="left" vertical="center" wrapText="1"/>
    </xf>
    <xf numFmtId="0" fontId="5" fillId="0" borderId="30" xfId="0" applyFont="1" applyBorder="1" applyAlignment="1">
      <alignment horizontal="left" vertical="center" wrapText="1"/>
    </xf>
    <xf numFmtId="0" fontId="5" fillId="0" borderId="31" xfId="0" applyFont="1" applyBorder="1" applyAlignment="1">
      <alignment horizontal="left" vertical="center" wrapText="1"/>
    </xf>
    <xf numFmtId="0" fontId="5" fillId="6" borderId="28" xfId="0" applyFont="1" applyFill="1" applyBorder="1" applyAlignment="1">
      <alignment horizontal="left" vertical="center" wrapText="1"/>
    </xf>
    <xf numFmtId="0" fontId="5" fillId="6" borderId="26" xfId="0" applyFont="1" applyFill="1" applyBorder="1" applyAlignment="1">
      <alignment horizontal="left" vertical="center" wrapText="1"/>
    </xf>
    <xf numFmtId="0" fontId="5" fillId="6" borderId="27" xfId="0" applyFont="1" applyFill="1" applyBorder="1" applyAlignment="1">
      <alignment horizontal="left" vertical="center" wrapText="1"/>
    </xf>
    <xf numFmtId="0" fontId="7" fillId="0" borderId="0" xfId="0" applyFont="1" applyAlignment="1">
      <alignment horizontal="left" vertical="center"/>
    </xf>
    <xf numFmtId="0" fontId="11" fillId="0" borderId="0" xfId="0" applyFont="1" applyAlignment="1">
      <alignment horizontal="left" vertical="center"/>
    </xf>
    <xf numFmtId="0" fontId="11" fillId="0" borderId="0" xfId="0" applyFont="1" applyAlignment="1">
      <alignment horizontal="left" vertical="center" wrapText="1"/>
    </xf>
    <xf numFmtId="0" fontId="4" fillId="0" borderId="15" xfId="1" applyFont="1" applyBorder="1" applyAlignment="1">
      <alignment horizontal="left" vertical="top"/>
    </xf>
    <xf numFmtId="0" fontId="5" fillId="0" borderId="0" xfId="1" applyFont="1" applyAlignment="1">
      <alignment horizontal="left"/>
    </xf>
    <xf numFmtId="0" fontId="4" fillId="0" borderId="12" xfId="1" applyFont="1" applyBorder="1" applyAlignment="1">
      <alignment horizontal="left" vertical="top"/>
    </xf>
    <xf numFmtId="0" fontId="4" fillId="0" borderId="13" xfId="1" applyFont="1" applyBorder="1" applyAlignment="1">
      <alignment horizontal="left" vertical="top"/>
    </xf>
    <xf numFmtId="0" fontId="5" fillId="0" borderId="5" xfId="1" applyFont="1" applyBorder="1" applyAlignment="1">
      <alignment horizontal="left"/>
    </xf>
    <xf numFmtId="0" fontId="5" fillId="0" borderId="6" xfId="1" applyFont="1" applyBorder="1" applyAlignment="1">
      <alignment horizontal="left"/>
    </xf>
    <xf numFmtId="0" fontId="4" fillId="0" borderId="14" xfId="1" applyFont="1" applyBorder="1" applyAlignment="1">
      <alignment horizontal="left" vertical="top"/>
    </xf>
    <xf numFmtId="0" fontId="5" fillId="0" borderId="7" xfId="1" applyFont="1" applyBorder="1" applyAlignment="1">
      <alignment horizontal="left"/>
    </xf>
    <xf numFmtId="0" fontId="5" fillId="0" borderId="9" xfId="1" applyFont="1" applyBorder="1" applyAlignment="1">
      <alignment horizontal="left"/>
    </xf>
    <xf numFmtId="0" fontId="5" fillId="2" borderId="0" xfId="1" applyFont="1" applyFill="1" applyAlignment="1">
      <alignment horizontal="left"/>
    </xf>
    <xf numFmtId="0" fontId="5" fillId="0" borderId="2" xfId="1" applyFont="1" applyBorder="1" applyAlignment="1">
      <alignment horizontal="left"/>
    </xf>
    <xf numFmtId="0" fontId="5" fillId="0" borderId="3" xfId="1" applyFont="1" applyBorder="1" applyAlignment="1">
      <alignment horizontal="left"/>
    </xf>
    <xf numFmtId="0" fontId="5" fillId="0" borderId="4" xfId="1" applyFont="1" applyBorder="1" applyAlignment="1">
      <alignment horizontal="left"/>
    </xf>
    <xf numFmtId="0" fontId="5" fillId="0" borderId="8" xfId="1" applyFont="1" applyBorder="1" applyAlignment="1">
      <alignment horizontal="left"/>
    </xf>
    <xf numFmtId="0" fontId="4" fillId="2" borderId="0" xfId="1" applyFont="1" applyFill="1" applyAlignment="1">
      <alignment horizontal="left"/>
    </xf>
    <xf numFmtId="0" fontId="5" fillId="0" borderId="0" xfId="1" applyFont="1" applyAlignment="1">
      <alignment horizontal="left" vertical="center"/>
    </xf>
    <xf numFmtId="0" fontId="4" fillId="0" borderId="0" xfId="1" applyFont="1" applyAlignment="1">
      <alignment horizontal="left"/>
    </xf>
    <xf numFmtId="0" fontId="5" fillId="0" borderId="1" xfId="0" applyFont="1" applyBorder="1" applyAlignment="1">
      <alignment horizontal="left" vertical="center" wrapText="1"/>
    </xf>
    <xf numFmtId="0" fontId="10" fillId="0" borderId="0" xfId="0" applyFont="1" applyAlignment="1">
      <alignment horizontal="left" vertical="center" wrapText="1"/>
    </xf>
    <xf numFmtId="0" fontId="5" fillId="4" borderId="0" xfId="0" applyFont="1" applyFill="1" applyAlignment="1">
      <alignment horizontal="left" vertical="center" wrapText="1"/>
    </xf>
    <xf numFmtId="0" fontId="15" fillId="0" borderId="0" xfId="0" applyFont="1" applyAlignment="1">
      <alignment horizontal="left" vertical="center" wrapText="1"/>
    </xf>
    <xf numFmtId="10" fontId="15" fillId="0" borderId="0" xfId="0" applyNumberFormat="1" applyFont="1" applyAlignment="1">
      <alignment horizontal="left" vertical="center" wrapText="1"/>
    </xf>
    <xf numFmtId="0" fontId="5" fillId="0" borderId="2" xfId="0" applyFont="1" applyBorder="1">
      <alignment vertical="center"/>
    </xf>
    <xf numFmtId="0" fontId="5" fillId="0" borderId="3"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11" fillId="0" borderId="0" xfId="0" applyFont="1" applyAlignment="1">
      <alignment vertical="center" wrapText="1"/>
    </xf>
    <xf numFmtId="9" fontId="11" fillId="0" borderId="0" xfId="0" applyNumberFormat="1" applyFont="1" applyAlignment="1">
      <alignment vertical="center" wrapText="1"/>
    </xf>
    <xf numFmtId="166" fontId="4" fillId="0" borderId="2" xfId="0" applyNumberFormat="1" applyFont="1" applyBorder="1" applyAlignment="1">
      <alignment horizontal="left" vertical="center" wrapText="1"/>
    </xf>
    <xf numFmtId="166" fontId="4" fillId="0" borderId="3" xfId="0" applyNumberFormat="1" applyFont="1" applyBorder="1" applyAlignment="1">
      <alignment horizontal="left" vertical="center" wrapText="1"/>
    </xf>
    <xf numFmtId="166" fontId="4" fillId="0" borderId="4" xfId="0" applyNumberFormat="1" applyFont="1" applyBorder="1" applyAlignment="1">
      <alignment horizontal="left" vertical="center" wrapText="1"/>
    </xf>
    <xf numFmtId="166" fontId="5" fillId="0" borderId="5" xfId="0" applyNumberFormat="1" applyFont="1" applyBorder="1" applyAlignment="1">
      <alignment horizontal="left" vertical="center"/>
    </xf>
    <xf numFmtId="166" fontId="5" fillId="0" borderId="6" xfId="0" applyNumberFormat="1" applyFont="1" applyBorder="1" applyAlignment="1">
      <alignment horizontal="left" vertical="center"/>
    </xf>
    <xf numFmtId="166" fontId="5" fillId="0" borderId="7" xfId="0" applyNumberFormat="1" applyFont="1" applyBorder="1" applyAlignment="1">
      <alignment horizontal="left" vertical="center"/>
    </xf>
    <xf numFmtId="166" fontId="5" fillId="0" borderId="8" xfId="0" applyNumberFormat="1" applyFont="1" applyBorder="1" applyAlignment="1">
      <alignment horizontal="left" vertical="center"/>
    </xf>
    <xf numFmtId="166" fontId="5" fillId="0" borderId="9" xfId="0" applyNumberFormat="1" applyFont="1" applyBorder="1" applyAlignment="1">
      <alignment horizontal="left" vertical="center"/>
    </xf>
    <xf numFmtId="0" fontId="15" fillId="0" borderId="0" xfId="0" applyFont="1" applyAlignment="1">
      <alignment horizontal="left" vertical="center"/>
    </xf>
    <xf numFmtId="0" fontId="4" fillId="4" borderId="0" xfId="0" applyFont="1" applyFill="1" applyAlignment="1">
      <alignment horizontal="left" vertical="center" wrapText="1"/>
    </xf>
    <xf numFmtId="0" fontId="8" fillId="7" borderId="0" xfId="0" applyFont="1" applyFill="1" applyAlignment="1">
      <alignment horizontal="left" vertical="center" wrapText="1"/>
    </xf>
    <xf numFmtId="0" fontId="5" fillId="8" borderId="0" xfId="0" applyFont="1" applyFill="1" applyAlignment="1">
      <alignment horizontal="left" vertical="center"/>
    </xf>
    <xf numFmtId="0" fontId="5" fillId="9" borderId="0" xfId="0" applyFont="1" applyFill="1" applyAlignment="1">
      <alignment horizontal="left" vertical="center"/>
    </xf>
    <xf numFmtId="0" fontId="5" fillId="10" borderId="0" xfId="0" applyFont="1" applyFill="1" applyAlignment="1">
      <alignment horizontal="left" vertical="center"/>
    </xf>
    <xf numFmtId="0" fontId="5" fillId="11" borderId="0" xfId="0" applyFont="1" applyFill="1" applyAlignment="1">
      <alignment horizontal="left" vertical="center" wrapText="1"/>
    </xf>
    <xf numFmtId="170" fontId="5" fillId="0" borderId="0" xfId="0" applyNumberFormat="1" applyFont="1" applyAlignment="1">
      <alignment horizontal="left" vertical="center"/>
    </xf>
    <xf numFmtId="171" fontId="18" fillId="0" borderId="0" xfId="3" applyNumberFormat="1" applyFont="1" applyAlignment="1">
      <alignment horizontal="left" vertical="center" wrapText="1"/>
    </xf>
    <xf numFmtId="0" fontId="18" fillId="0" borderId="0" xfId="3" applyFont="1" applyAlignment="1">
      <alignment horizontal="left" vertical="center" wrapText="1"/>
    </xf>
    <xf numFmtId="0" fontId="15" fillId="0" borderId="0" xfId="3" applyFont="1" applyAlignment="1">
      <alignment horizontal="left" vertical="center" wrapText="1"/>
    </xf>
    <xf numFmtId="0" fontId="5" fillId="0" borderId="0" xfId="3" applyFont="1" applyAlignment="1">
      <alignment horizontal="left" vertical="center" wrapText="1"/>
    </xf>
    <xf numFmtId="0" fontId="5" fillId="0" borderId="0" xfId="3" applyFont="1" applyAlignment="1">
      <alignment horizontal="left" vertical="center"/>
    </xf>
    <xf numFmtId="0" fontId="18" fillId="0" borderId="0" xfId="3" applyFont="1" applyAlignment="1">
      <alignment horizontal="left" vertical="center"/>
    </xf>
    <xf numFmtId="0" fontId="5" fillId="0" borderId="32" xfId="3" applyFont="1" applyBorder="1" applyAlignment="1">
      <alignment horizontal="left" vertical="center"/>
    </xf>
    <xf numFmtId="0" fontId="5" fillId="0" borderId="33" xfId="3" applyFont="1" applyBorder="1" applyAlignment="1">
      <alignment horizontal="left" vertical="center"/>
    </xf>
    <xf numFmtId="10" fontId="5" fillId="0" borderId="0" xfId="3" applyNumberFormat="1" applyFont="1" applyAlignment="1">
      <alignment horizontal="left" vertical="center"/>
    </xf>
    <xf numFmtId="0" fontId="5" fillId="0" borderId="34" xfId="3" applyFont="1" applyBorder="1" applyAlignment="1">
      <alignment horizontal="left" vertical="center"/>
    </xf>
    <xf numFmtId="9" fontId="5" fillId="0" borderId="0" xfId="3" applyNumberFormat="1" applyFont="1" applyAlignment="1">
      <alignment horizontal="left" vertical="center"/>
    </xf>
    <xf numFmtId="0" fontId="5" fillId="0" borderId="37" xfId="3" applyFont="1" applyBorder="1" applyAlignment="1">
      <alignment horizontal="left" vertical="center"/>
    </xf>
    <xf numFmtId="0" fontId="5" fillId="0" borderId="0" xfId="3" applyFont="1" applyAlignment="1">
      <alignment vertical="center" wrapText="1"/>
    </xf>
    <xf numFmtId="0" fontId="5" fillId="0" borderId="0" xfId="3" applyFont="1">
      <alignment vertical="center"/>
    </xf>
    <xf numFmtId="0" fontId="18" fillId="0" borderId="0" xfId="3" applyFont="1">
      <alignment vertical="center"/>
    </xf>
    <xf numFmtId="10" fontId="5" fillId="0" borderId="0" xfId="3" applyNumberFormat="1" applyFont="1">
      <alignment vertical="center"/>
    </xf>
    <xf numFmtId="0" fontId="5" fillId="0" borderId="34" xfId="3" applyFont="1" applyBorder="1">
      <alignment vertical="center"/>
    </xf>
    <xf numFmtId="172" fontId="5" fillId="0" borderId="0" xfId="3" applyNumberFormat="1" applyFont="1">
      <alignment vertical="center"/>
    </xf>
    <xf numFmtId="9" fontId="5" fillId="0" borderId="0" xfId="3" applyNumberFormat="1" applyFont="1">
      <alignment vertical="center"/>
    </xf>
    <xf numFmtId="9" fontId="5" fillId="0" borderId="36" xfId="3" applyNumberFormat="1" applyFont="1" applyBorder="1">
      <alignment vertical="center"/>
    </xf>
    <xf numFmtId="0" fontId="5" fillId="0" borderId="36" xfId="3" applyFont="1" applyBorder="1">
      <alignment vertical="center"/>
    </xf>
    <xf numFmtId="0" fontId="5" fillId="0" borderId="37" xfId="3" applyFont="1" applyBorder="1">
      <alignment vertical="center"/>
    </xf>
    <xf numFmtId="0" fontId="15" fillId="0" borderId="0" xfId="3" applyFont="1" applyAlignment="1">
      <alignment vertical="center" wrapText="1"/>
    </xf>
    <xf numFmtId="3" fontId="5" fillId="0" borderId="0" xfId="3" applyNumberFormat="1" applyFont="1" applyAlignment="1">
      <alignment horizontal="left" vertical="center"/>
    </xf>
    <xf numFmtId="0" fontId="4" fillId="0" borderId="0" xfId="3" applyFont="1" applyAlignment="1">
      <alignment horizontal="left" vertical="center"/>
    </xf>
    <xf numFmtId="0" fontId="4" fillId="0" borderId="0" xfId="3" applyFont="1" applyAlignment="1">
      <alignment horizontal="left" vertical="center" wrapText="1"/>
    </xf>
    <xf numFmtId="0" fontId="4" fillId="12" borderId="0" xfId="3" applyFont="1" applyFill="1" applyAlignment="1">
      <alignment horizontal="left" vertical="center" wrapText="1"/>
    </xf>
    <xf numFmtId="0" fontId="5" fillId="12" borderId="0" xfId="3" applyFont="1" applyFill="1" applyAlignment="1">
      <alignment vertical="center" wrapText="1"/>
    </xf>
    <xf numFmtId="2" fontId="15" fillId="0" borderId="0" xfId="3" applyNumberFormat="1" applyFont="1" applyAlignment="1">
      <alignment horizontal="left" vertical="center"/>
    </xf>
    <xf numFmtId="173" fontId="4" fillId="0" borderId="0" xfId="3" applyNumberFormat="1" applyFont="1" applyAlignment="1">
      <alignment horizontal="left" vertical="center"/>
    </xf>
    <xf numFmtId="173" fontId="5" fillId="0" borderId="0" xfId="3" applyNumberFormat="1" applyFont="1" applyAlignment="1">
      <alignment horizontal="left" vertical="center"/>
    </xf>
    <xf numFmtId="0" fontId="15" fillId="0" borderId="36" xfId="3" applyFont="1" applyBorder="1" applyAlignment="1">
      <alignment horizontal="left" vertical="center"/>
    </xf>
    <xf numFmtId="0" fontId="23" fillId="0" borderId="0" xfId="3" applyFont="1" applyAlignment="1">
      <alignment horizontal="left" vertical="center" wrapText="1"/>
    </xf>
    <xf numFmtId="0" fontId="23" fillId="12" borderId="0" xfId="3" applyFont="1" applyFill="1" applyAlignment="1">
      <alignment horizontal="left" vertical="center" wrapText="1"/>
    </xf>
    <xf numFmtId="0" fontId="24" fillId="0" borderId="0" xfId="3" applyFont="1" applyAlignment="1">
      <alignment horizontal="left" vertical="center" wrapText="1"/>
    </xf>
    <xf numFmtId="0" fontId="5" fillId="13" borderId="0" xfId="3" applyFont="1" applyFill="1" applyAlignment="1">
      <alignment horizontal="left" vertical="center"/>
    </xf>
    <xf numFmtId="0" fontId="18" fillId="13" borderId="0" xfId="3" applyFont="1" applyFill="1" applyAlignment="1">
      <alignment horizontal="left" vertical="center" wrapText="1"/>
    </xf>
    <xf numFmtId="0" fontId="5" fillId="9" borderId="0" xfId="3" applyFont="1" applyFill="1" applyAlignment="1">
      <alignment horizontal="left" vertical="center"/>
    </xf>
    <xf numFmtId="0" fontId="25" fillId="9" borderId="0" xfId="3" applyFont="1" applyFill="1" applyAlignment="1">
      <alignment horizontal="left" vertical="center"/>
    </xf>
    <xf numFmtId="0" fontId="25" fillId="0" borderId="0" xfId="3" applyFont="1" applyAlignment="1">
      <alignment horizontal="left" vertical="center"/>
    </xf>
    <xf numFmtId="0" fontId="5" fillId="13" borderId="0" xfId="3" applyFont="1" applyFill="1">
      <alignment vertical="center"/>
    </xf>
    <xf numFmtId="0" fontId="26" fillId="0" borderId="38" xfId="0" applyFont="1" applyBorder="1">
      <alignment vertical="center"/>
    </xf>
    <xf numFmtId="0" fontId="26" fillId="0" borderId="39" xfId="0" applyFont="1" applyBorder="1">
      <alignment vertical="center"/>
    </xf>
    <xf numFmtId="0" fontId="15" fillId="0" borderId="0" xfId="3" applyFont="1" applyAlignment="1">
      <alignment horizontal="left" vertical="center"/>
    </xf>
    <xf numFmtId="0" fontId="8" fillId="12" borderId="0" xfId="3" applyFont="1" applyFill="1" applyAlignment="1">
      <alignment horizontal="left" vertical="center"/>
    </xf>
    <xf numFmtId="0" fontId="28" fillId="0" borderId="0" xfId="3" applyFont="1">
      <alignment vertical="center"/>
    </xf>
    <xf numFmtId="0" fontId="8" fillId="14" borderId="40" xfId="0" applyFont="1" applyFill="1" applyBorder="1" applyAlignment="1">
      <alignment horizontal="left" vertical="center"/>
    </xf>
    <xf numFmtId="0" fontId="5" fillId="0" borderId="41" xfId="0" applyFont="1" applyBorder="1" applyAlignment="1">
      <alignment horizontal="left" vertical="center"/>
    </xf>
    <xf numFmtId="0" fontId="5" fillId="0" borderId="42" xfId="0" applyFont="1" applyBorder="1" applyAlignment="1">
      <alignment horizontal="left" vertical="center"/>
    </xf>
    <xf numFmtId="0" fontId="5" fillId="9" borderId="40" xfId="0" applyFont="1" applyFill="1" applyBorder="1" applyAlignment="1">
      <alignment horizontal="left" vertical="center"/>
    </xf>
    <xf numFmtId="0" fontId="5" fillId="13" borderId="40" xfId="0" applyFont="1" applyFill="1" applyBorder="1" applyAlignment="1">
      <alignment horizontal="left" vertical="center"/>
    </xf>
    <xf numFmtId="0" fontId="5" fillId="4" borderId="0" xfId="0" applyFont="1" applyFill="1" applyAlignment="1">
      <alignment horizontal="left" vertical="center"/>
    </xf>
    <xf numFmtId="0" fontId="20" fillId="0" borderId="0" xfId="4">
      <alignment vertical="center"/>
    </xf>
    <xf numFmtId="0" fontId="22" fillId="0" borderId="0" xfId="3" applyFont="1" applyAlignment="1">
      <alignment horizontal="left" vertical="center"/>
    </xf>
    <xf numFmtId="0" fontId="26" fillId="0" borderId="0" xfId="0" applyFont="1" applyAlignment="1"/>
    <xf numFmtId="0" fontId="29" fillId="2" borderId="0" xfId="0" applyFont="1" applyFill="1" applyAlignment="1"/>
    <xf numFmtId="0" fontId="4" fillId="0" borderId="43" xfId="1" applyFont="1" applyBorder="1" applyAlignment="1">
      <alignment horizontal="left" vertical="top"/>
    </xf>
    <xf numFmtId="170" fontId="5" fillId="4" borderId="0" xfId="0" applyNumberFormat="1" applyFont="1" applyFill="1" applyAlignment="1">
      <alignment horizontal="left" vertical="center"/>
    </xf>
    <xf numFmtId="170" fontId="5" fillId="15" borderId="0" xfId="0" applyNumberFormat="1" applyFont="1" applyFill="1" applyAlignment="1">
      <alignment horizontal="left" vertical="center"/>
    </xf>
    <xf numFmtId="165" fontId="5" fillId="4" borderId="0" xfId="0" applyNumberFormat="1" applyFont="1" applyFill="1" applyAlignment="1">
      <alignment horizontal="left" vertical="center"/>
    </xf>
    <xf numFmtId="0" fontId="4" fillId="0" borderId="0" xfId="0" applyFont="1" applyAlignment="1">
      <alignment horizontal="center" vertical="center" wrapText="1"/>
    </xf>
    <xf numFmtId="0" fontId="4" fillId="0" borderId="0" xfId="0" applyFont="1" applyAlignment="1">
      <alignment vertical="center" wrapText="1"/>
    </xf>
    <xf numFmtId="0" fontId="30" fillId="0" borderId="44" xfId="0" applyFont="1" applyBorder="1" applyAlignment="1">
      <alignment horizontal="center" vertical="top"/>
    </xf>
    <xf numFmtId="0" fontId="26" fillId="0" borderId="44" xfId="0" applyFont="1" applyBorder="1" applyAlignment="1"/>
    <xf numFmtId="0" fontId="29" fillId="2" borderId="44" xfId="0" applyFont="1" applyFill="1" applyBorder="1" applyAlignment="1"/>
    <xf numFmtId="0" fontId="18" fillId="0" borderId="33" xfId="3" applyFont="1" applyBorder="1" applyAlignment="1">
      <alignment horizontal="left" vertical="center"/>
    </xf>
    <xf numFmtId="0" fontId="18" fillId="0" borderId="35" xfId="3" applyFont="1" applyBorder="1" applyAlignment="1">
      <alignment horizontal="left" vertical="center"/>
    </xf>
    <xf numFmtId="0" fontId="18" fillId="0" borderId="38" xfId="3" applyFont="1" applyBorder="1" applyAlignment="1">
      <alignment horizontal="left" vertical="center"/>
    </xf>
    <xf numFmtId="0" fontId="18" fillId="0" borderId="39" xfId="3" applyFont="1" applyBorder="1" applyAlignment="1">
      <alignment horizontal="left" vertical="center"/>
    </xf>
    <xf numFmtId="0" fontId="18" fillId="0" borderId="32" xfId="3" applyFont="1" applyBorder="1">
      <alignment vertical="center"/>
    </xf>
    <xf numFmtId="0" fontId="4" fillId="0" borderId="43" xfId="0" applyFont="1" applyBorder="1" applyAlignment="1">
      <alignment horizontal="left" vertical="center"/>
    </xf>
    <xf numFmtId="0" fontId="4" fillId="0" borderId="43" xfId="0" applyFont="1" applyBorder="1" applyAlignment="1">
      <alignment horizontal="left" vertical="center" wrapText="1"/>
    </xf>
    <xf numFmtId="168" fontId="5" fillId="0" borderId="43" xfId="0" applyNumberFormat="1" applyFont="1" applyBorder="1" applyAlignment="1">
      <alignment horizontal="left" vertical="center"/>
    </xf>
    <xf numFmtId="0" fontId="5" fillId="0" borderId="43" xfId="0" applyFont="1" applyBorder="1" applyAlignment="1">
      <alignment horizontal="left" vertical="center"/>
    </xf>
    <xf numFmtId="0" fontId="26" fillId="0" borderId="38" xfId="0" applyFont="1" applyBorder="1" applyAlignment="1">
      <alignment vertical="center" wrapText="1"/>
    </xf>
    <xf numFmtId="0" fontId="27" fillId="0" borderId="0" xfId="3" applyFont="1" applyAlignment="1">
      <alignment vertical="center" wrapText="1"/>
    </xf>
    <xf numFmtId="0" fontId="18" fillId="0" borderId="33" xfId="3" applyFont="1" applyBorder="1">
      <alignment vertical="center"/>
    </xf>
    <xf numFmtId="0" fontId="4" fillId="0" borderId="33" xfId="3" applyFont="1" applyBorder="1" applyAlignment="1">
      <alignment vertical="center" wrapText="1"/>
    </xf>
    <xf numFmtId="0" fontId="5" fillId="0" borderId="33" xfId="3" applyFont="1" applyBorder="1" applyAlignment="1">
      <alignment vertical="center" wrapText="1"/>
    </xf>
    <xf numFmtId="0" fontId="5" fillId="0" borderId="35" xfId="3" applyFont="1" applyBorder="1" applyAlignment="1">
      <alignment vertical="center" wrapText="1"/>
    </xf>
    <xf numFmtId="9" fontId="16" fillId="0" borderId="0" xfId="3" applyNumberFormat="1" applyFont="1" applyAlignment="1">
      <alignment vertical="center" wrapText="1"/>
    </xf>
    <xf numFmtId="0" fontId="16" fillId="0" borderId="0" xfId="3" applyFont="1" applyAlignment="1">
      <alignment vertical="center" wrapText="1"/>
    </xf>
    <xf numFmtId="0" fontId="33" fillId="16" borderId="0" xfId="0" applyFont="1" applyFill="1">
      <alignment vertical="center"/>
    </xf>
    <xf numFmtId="0" fontId="4" fillId="0" borderId="0" xfId="0" applyFont="1">
      <alignment vertical="center"/>
    </xf>
    <xf numFmtId="0" fontId="34" fillId="0" borderId="0" xfId="4" applyFont="1">
      <alignment vertical="center"/>
    </xf>
    <xf numFmtId="0" fontId="20" fillId="0" borderId="0" xfId="4" applyAlignment="1">
      <alignment vertical="center" wrapText="1"/>
    </xf>
    <xf numFmtId="0" fontId="4" fillId="4" borderId="0" xfId="0" applyFont="1" applyFill="1" applyAlignment="1">
      <alignment horizontal="left" vertical="center"/>
    </xf>
  </cellXfs>
  <cellStyles count="5">
    <cellStyle name="Accent1" xfId="2" builtinId="29"/>
    <cellStyle name="Hyperlink" xfId="4" builtinId="8"/>
    <cellStyle name="Normal" xfId="0" builtinId="0"/>
    <cellStyle name="Normal 2" xfId="1" xr:uid="{03E6B355-D9E8-4D16-8F18-61E64119F3EC}"/>
    <cellStyle name="Normal 3" xfId="3" xr:uid="{C0E1D37E-496A-423A-A92A-CE2F53D593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Year</a:t>
            </a:r>
            <a:r>
              <a:rPr lang="en-US" altLang="zh-CN" baseline="0"/>
              <a:t> 30-64 </a:t>
            </a:r>
            <a:r>
              <a:rPr lang="en-US" altLang="zh-CN"/>
              <a:t>KiwiSaver Return</a:t>
            </a:r>
            <a:r>
              <a:rPr lang="en-US" altLang="zh-CN" baseline="0"/>
              <a:t> Trend</a:t>
            </a:r>
            <a:endParaRPr lang="en-US" altLang="zh-C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zh-CN"/>
        </a:p>
      </c:txPr>
    </c:title>
    <c:autoTitleDeleted val="0"/>
    <c:plotArea>
      <c:layout/>
      <c:lineChart>
        <c:grouping val="standard"/>
        <c:varyColors val="0"/>
        <c:ser>
          <c:idx val="1"/>
          <c:order val="1"/>
          <c:tx>
            <c:v>KiwiSaver Return</c:v>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'Income from 30-64'!$N$2:$N$36</c:f>
              <c:numCache>
                <c:formatCode>"$"#,##0.00_);[Red]\("$"#,##0.00\)</c:formatCode>
                <c:ptCount val="35"/>
                <c:pt idx="0">
                  <c:v>3047.9919004171766</c:v>
                </c:pt>
                <c:pt idx="1">
                  <c:v>5030.5787247472445</c:v>
                </c:pt>
                <c:pt idx="2">
                  <c:v>5920.8514918223773</c:v>
                </c:pt>
                <c:pt idx="3">
                  <c:v>7551.9118820032536</c:v>
                </c:pt>
                <c:pt idx="4">
                  <c:v>9002.8467722302739</c:v>
                </c:pt>
                <c:pt idx="5">
                  <c:v>10351.200104563572</c:v>
                </c:pt>
                <c:pt idx="6">
                  <c:v>11129.5691282676</c:v>
                </c:pt>
                <c:pt idx="7">
                  <c:v>11196.432634081179</c:v>
                </c:pt>
                <c:pt idx="8">
                  <c:v>11604.642197985671</c:v>
                </c:pt>
                <c:pt idx="9">
                  <c:v>11681.737335883105</c:v>
                </c:pt>
                <c:pt idx="10">
                  <c:v>11857.852713976388</c:v>
                </c:pt>
                <c:pt idx="11">
                  <c:v>12525.534950131794</c:v>
                </c:pt>
                <c:pt idx="12">
                  <c:v>13210.075981888958</c:v>
                </c:pt>
                <c:pt idx="13">
                  <c:v>13577.433816380193</c:v>
                </c:pt>
                <c:pt idx="14">
                  <c:v>13934.583974720259</c:v>
                </c:pt>
                <c:pt idx="15">
                  <c:v>14521.02583321109</c:v>
                </c:pt>
                <c:pt idx="16">
                  <c:v>15527.66076473164</c:v>
                </c:pt>
                <c:pt idx="17">
                  <c:v>16147.781136326856</c:v>
                </c:pt>
                <c:pt idx="18">
                  <c:v>16360.017438968689</c:v>
                </c:pt>
                <c:pt idx="19">
                  <c:v>16051.143460372265</c:v>
                </c:pt>
                <c:pt idx="20">
                  <c:v>16463.795400610354</c:v>
                </c:pt>
                <c:pt idx="21">
                  <c:v>16747.944945607556</c:v>
                </c:pt>
                <c:pt idx="22">
                  <c:v>15912.490790249858</c:v>
                </c:pt>
                <c:pt idx="23">
                  <c:v>14643.259864485955</c:v>
                </c:pt>
                <c:pt idx="24">
                  <c:v>13658.685245117178</c:v>
                </c:pt>
                <c:pt idx="25">
                  <c:v>12960.81987109486</c:v>
                </c:pt>
                <c:pt idx="26">
                  <c:v>13096.77976309547</c:v>
                </c:pt>
                <c:pt idx="27">
                  <c:v>13862.61554793996</c:v>
                </c:pt>
                <c:pt idx="28">
                  <c:v>13555.341947685574</c:v>
                </c:pt>
                <c:pt idx="29">
                  <c:v>12579.109088094601</c:v>
                </c:pt>
                <c:pt idx="30">
                  <c:v>12130.47146395261</c:v>
                </c:pt>
                <c:pt idx="31">
                  <c:v>11503.823571325051</c:v>
                </c:pt>
                <c:pt idx="32">
                  <c:v>12400.520825109976</c:v>
                </c:pt>
                <c:pt idx="33">
                  <c:v>12288.714585435744</c:v>
                </c:pt>
                <c:pt idx="34">
                  <c:v>11945.47078389056</c:v>
                </c:pt>
              </c:numCache>
            </c:numRef>
          </c:val>
          <c:smooth val="0"/>
          <c:extLst>
            <c:ext xmlns:c16="http://schemas.microsoft.com/office/drawing/2014/chart" uri="{C3380CC4-5D6E-409C-BE32-E72D297353CC}">
              <c16:uniqueId val="{00000001-4BEE-4B4B-9E94-B05CD74D1B08}"/>
            </c:ext>
          </c:extLst>
        </c:ser>
        <c:dLbls>
          <c:showLegendKey val="0"/>
          <c:showVal val="0"/>
          <c:showCatName val="0"/>
          <c:showSerName val="0"/>
          <c:showPercent val="0"/>
          <c:showBubbleSize val="0"/>
        </c:dLbls>
        <c:marker val="1"/>
        <c:smooth val="0"/>
        <c:axId val="1115899536"/>
        <c:axId val="1115892816"/>
        <c:extLst>
          <c:ext xmlns:c15="http://schemas.microsoft.com/office/drawing/2012/chart" uri="{02D57815-91ED-43cb-92C2-25804820EDAC}">
            <c15:filteredLineSeries>
              <c15: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extLst>
                      <c:ext uri="{02D57815-91ED-43cb-92C2-25804820EDAC}">
                        <c15:formulaRef>
                          <c15:sqref>'Income from 30-64'!$A$2:$A$36</c15:sqref>
                        </c15:formulaRef>
                      </c:ext>
                    </c:extLst>
                    <c:numCache>
                      <c:formatCode>General</c:formatCode>
                      <c:ptCount val="35"/>
                      <c:pt idx="0">
                        <c:v>30</c:v>
                      </c:pt>
                      <c:pt idx="1">
                        <c:v>31</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57</c:v>
                      </c:pt>
                      <c:pt idx="28">
                        <c:v>58</c:v>
                      </c:pt>
                      <c:pt idx="29">
                        <c:v>59</c:v>
                      </c:pt>
                      <c:pt idx="30">
                        <c:v>60</c:v>
                      </c:pt>
                      <c:pt idx="31">
                        <c:v>61</c:v>
                      </c:pt>
                      <c:pt idx="32">
                        <c:v>62</c:v>
                      </c:pt>
                      <c:pt idx="33">
                        <c:v>63</c:v>
                      </c:pt>
                      <c:pt idx="34">
                        <c:v>64</c:v>
                      </c:pt>
                    </c:numCache>
                  </c:numRef>
                </c:val>
                <c:smooth val="0"/>
                <c:extLst>
                  <c:ext xmlns:c16="http://schemas.microsoft.com/office/drawing/2014/chart" uri="{C3380CC4-5D6E-409C-BE32-E72D297353CC}">
                    <c16:uniqueId val="{00000000-4BEE-4B4B-9E94-B05CD74D1B08}"/>
                  </c:ext>
                </c:extLst>
              </c15:ser>
            </c15:filteredLineSeries>
          </c:ext>
        </c:extLst>
      </c:lineChart>
      <c:catAx>
        <c:axId val="111589953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15892816"/>
        <c:crosses val="autoZero"/>
        <c:auto val="1"/>
        <c:lblAlgn val="ctr"/>
        <c:lblOffset val="100"/>
        <c:noMultiLvlLbl val="0"/>
      </c:catAx>
      <c:valAx>
        <c:axId val="11158928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15899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tx>
            <c:v>Real Inflation Rate(outliers excluded)</c:v>
          </c:tx>
          <c:spPr>
            <a:ln w="28575" cap="rnd">
              <a:solidFill>
                <a:schemeClr val="accent2"/>
              </a:solidFill>
              <a:round/>
            </a:ln>
            <a:effectLst/>
          </c:spPr>
          <c:marker>
            <c:symbol val="none"/>
          </c:marker>
          <c:cat>
            <c:numRef>
              <c:extLst>
                <c:ext xmlns:c15="http://schemas.microsoft.com/office/drawing/2012/chart" uri="{02D57815-91ED-43cb-92C2-25804820EDAC}">
                  <c15:fullRef>
                    <c15:sqref>inflationParameter!$A$2:$A$34</c15:sqref>
                  </c15:fullRef>
                </c:ext>
              </c:extLst>
              <c:f>(inflationParameter!$A$2:$A$8,inflationParameter!$A$10:$A$34)</c:f>
              <c:numCache>
                <c:formatCode>General</c:formatCode>
                <c:ptCount val="32"/>
                <c:pt idx="0">
                  <c:v>1992</c:v>
                </c:pt>
                <c:pt idx="1">
                  <c:v>1993</c:v>
                </c:pt>
                <c:pt idx="2">
                  <c:v>1994</c:v>
                </c:pt>
                <c:pt idx="3">
                  <c:v>1995</c:v>
                </c:pt>
                <c:pt idx="4">
                  <c:v>1996</c:v>
                </c:pt>
                <c:pt idx="5">
                  <c:v>1997</c:v>
                </c:pt>
                <c:pt idx="6">
                  <c:v>1998</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pt idx="25">
                  <c:v>2018</c:v>
                </c:pt>
                <c:pt idx="26">
                  <c:v>2019</c:v>
                </c:pt>
                <c:pt idx="27">
                  <c:v>2020</c:v>
                </c:pt>
                <c:pt idx="28">
                  <c:v>2021</c:v>
                </c:pt>
                <c:pt idx="29">
                  <c:v>2022</c:v>
                </c:pt>
                <c:pt idx="30">
                  <c:v>2023</c:v>
                </c:pt>
                <c:pt idx="31">
                  <c:v>2024</c:v>
                </c:pt>
              </c:numCache>
            </c:numRef>
          </c:cat>
          <c:val>
            <c:numRef>
              <c:extLst>
                <c:ext xmlns:c15="http://schemas.microsoft.com/office/drawing/2012/chart" uri="{02D57815-91ED-43cb-92C2-25804820EDAC}">
                  <c15:fullRef>
                    <c15:sqref>inflationParameter!$B$39:$B$68</c15:sqref>
                  </c15:fullRef>
                </c:ext>
              </c:extLst>
              <c:f>(inflationParameter!$B$39:$B$45,inflationParameter!$B$47:$B$68)</c:f>
              <c:numCache>
                <c:formatCode>0.00%</c:formatCode>
                <c:ptCount val="29"/>
                <c:pt idx="0">
                  <c:v>0.01</c:v>
                </c:pt>
                <c:pt idx="1">
                  <c:v>1.2999999999999999E-2</c:v>
                </c:pt>
                <c:pt idx="2">
                  <c:v>1.7000000000000001E-2</c:v>
                </c:pt>
                <c:pt idx="3">
                  <c:v>3.7999999999999999E-2</c:v>
                </c:pt>
                <c:pt idx="4">
                  <c:v>2.3E-2</c:v>
                </c:pt>
                <c:pt idx="5">
                  <c:v>1.2E-2</c:v>
                </c:pt>
                <c:pt idx="6">
                  <c:v>1.2999999999999999E-2</c:v>
                </c:pt>
                <c:pt idx="7">
                  <c:v>2.5999999999999999E-2</c:v>
                </c:pt>
                <c:pt idx="8">
                  <c:v>2.7E-2</c:v>
                </c:pt>
                <c:pt idx="9">
                  <c:v>1.7999999999999999E-2</c:v>
                </c:pt>
                <c:pt idx="10">
                  <c:v>2.3E-2</c:v>
                </c:pt>
                <c:pt idx="11">
                  <c:v>0.03</c:v>
                </c:pt>
                <c:pt idx="12">
                  <c:v>3.4000000000000002E-2</c:v>
                </c:pt>
                <c:pt idx="13">
                  <c:v>2.4E-2</c:v>
                </c:pt>
                <c:pt idx="14">
                  <c:v>0.04</c:v>
                </c:pt>
                <c:pt idx="15">
                  <c:v>2.1000000000000001E-2</c:v>
                </c:pt>
                <c:pt idx="16">
                  <c:v>2.3E-2</c:v>
                </c:pt>
                <c:pt idx="17">
                  <c:v>0.04</c:v>
                </c:pt>
                <c:pt idx="18">
                  <c:v>1.0999999999999999E-2</c:v>
                </c:pt>
                <c:pt idx="19">
                  <c:v>1.0999999999999999E-2</c:v>
                </c:pt>
                <c:pt idx="20">
                  <c:v>1.2E-2</c:v>
                </c:pt>
                <c:pt idx="21">
                  <c:v>3.0000000000000001E-3</c:v>
                </c:pt>
                <c:pt idx="22">
                  <c:v>6.0000000000000001E-3</c:v>
                </c:pt>
                <c:pt idx="23">
                  <c:v>1.9E-2</c:v>
                </c:pt>
                <c:pt idx="24">
                  <c:v>1.6E-2</c:v>
                </c:pt>
                <c:pt idx="25">
                  <c:v>1.6E-2</c:v>
                </c:pt>
                <c:pt idx="26">
                  <c:v>1.7000000000000001E-2</c:v>
                </c:pt>
                <c:pt idx="27">
                  <c:v>3.9E-2</c:v>
                </c:pt>
                <c:pt idx="28">
                  <c:v>2.9000000000000001E-2</c:v>
                </c:pt>
              </c:numCache>
            </c:numRef>
          </c:val>
          <c:smooth val="0"/>
          <c:extLst>
            <c:ext xmlns:c16="http://schemas.microsoft.com/office/drawing/2014/chart" uri="{C3380CC4-5D6E-409C-BE32-E72D297353CC}">
              <c16:uniqueId val="{00000002-3C87-4824-8C02-F91244C1F572}"/>
            </c:ext>
          </c:extLst>
        </c:ser>
        <c:ser>
          <c:idx val="2"/>
          <c:order val="1"/>
          <c:tx>
            <c:v>Simulated Inflation Rate</c:v>
          </c:tx>
          <c:spPr>
            <a:ln w="28575" cap="rnd">
              <a:solidFill>
                <a:srgbClr val="00B0F0"/>
              </a:solidFill>
              <a:round/>
            </a:ln>
            <a:effectLst/>
          </c:spPr>
          <c:marker>
            <c:symbol val="none"/>
          </c:marker>
          <c:cat>
            <c:strLit>
              <c:ptCount val="33"/>
              <c:pt idx="0">
                <c:v>1992</c:v>
              </c:pt>
              <c:pt idx="1">
                <c:v>1993</c:v>
              </c:pt>
              <c:pt idx="2">
                <c:v>1994</c:v>
              </c:pt>
              <c:pt idx="3">
                <c:v>1995</c:v>
              </c:pt>
              <c:pt idx="4">
                <c:v>1996</c:v>
              </c:pt>
              <c:pt idx="5">
                <c:v>1997</c:v>
              </c:pt>
              <c:pt idx="6">
                <c:v>1998</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pt idx="25">
                <c:v>2018</c:v>
              </c:pt>
              <c:pt idx="26">
                <c:v>2019</c:v>
              </c:pt>
              <c:pt idx="27">
                <c:v>2020</c:v>
              </c:pt>
              <c:pt idx="28">
                <c:v>2021</c:v>
              </c:pt>
              <c:pt idx="29">
                <c:v>2022</c:v>
              </c:pt>
              <c:pt idx="30">
                <c:v>2023</c:v>
              </c:pt>
              <c:pt idx="31">
                <c:v>2024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'Income from 30-64'!$P$2:$P$35</c15:sqref>
                  </c15:fullRef>
                </c:ext>
              </c:extLst>
              <c:f>('Income from 30-64'!$P$2:$P$8,'Income from 30-64'!$P$10:$P$35)</c:f>
              <c:numCache>
                <c:formatCode>General</c:formatCode>
                <c:ptCount val="33"/>
                <c:pt idx="0">
                  <c:v>3.4776542509930147E-2</c:v>
                </c:pt>
                <c:pt idx="1">
                  <c:v>2.1622668647748568E-2</c:v>
                </c:pt>
                <c:pt idx="2">
                  <c:v>2.0283809701449013E-2</c:v>
                </c:pt>
                <c:pt idx="3">
                  <c:v>2.0366768014360159E-2</c:v>
                </c:pt>
                <c:pt idx="4">
                  <c:v>1.4451588557759763E-2</c:v>
                </c:pt>
                <c:pt idx="5">
                  <c:v>1.1979693845980566E-2</c:v>
                </c:pt>
                <c:pt idx="6">
                  <c:v>2.622738781995184E-2</c:v>
                </c:pt>
                <c:pt idx="7">
                  <c:v>2.4580722797745719E-2</c:v>
                </c:pt>
                <c:pt idx="8">
                  <c:v>2.589027541894132E-2</c:v>
                </c:pt>
                <c:pt idx="9">
                  <c:v>2.7382285881052165E-2</c:v>
                </c:pt>
                <c:pt idx="10">
                  <c:v>1.7655604428040875E-2</c:v>
                </c:pt>
                <c:pt idx="11">
                  <c:v>1.8229950668189911E-2</c:v>
                </c:pt>
                <c:pt idx="12">
                  <c:v>1.2413380071416175E-2</c:v>
                </c:pt>
                <c:pt idx="13">
                  <c:v>1.1063436724768594E-2</c:v>
                </c:pt>
                <c:pt idx="14">
                  <c:v>1.8063174354099636E-2</c:v>
                </c:pt>
                <c:pt idx="15">
                  <c:v>2.3743814905925822E-2</c:v>
                </c:pt>
                <c:pt idx="16">
                  <c:v>2.0091412836961805E-2</c:v>
                </c:pt>
                <c:pt idx="17">
                  <c:v>2.0450944397929733E-2</c:v>
                </c:pt>
                <c:pt idx="18">
                  <c:v>2.7898644286966555E-2</c:v>
                </c:pt>
                <c:pt idx="19">
                  <c:v>2.2753432088036429E-2</c:v>
                </c:pt>
                <c:pt idx="20">
                  <c:v>1.6534392123647917E-2</c:v>
                </c:pt>
                <c:pt idx="21">
                  <c:v>1.1907813331654044E-2</c:v>
                </c:pt>
                <c:pt idx="22">
                  <c:v>2.4885221387981896E-2</c:v>
                </c:pt>
                <c:pt idx="23">
                  <c:v>2.5394351402883476E-2</c:v>
                </c:pt>
                <c:pt idx="24">
                  <c:v>2.8011309478689329E-2</c:v>
                </c:pt>
                <c:pt idx="25">
                  <c:v>1.9526873630088593E-2</c:v>
                </c:pt>
                <c:pt idx="26">
                  <c:v>2.0573679628388072E-2</c:v>
                </c:pt>
                <c:pt idx="27">
                  <c:v>4.0322054818335187E-2</c:v>
                </c:pt>
                <c:pt idx="28">
                  <c:v>3.6113850049484975E-2</c:v>
                </c:pt>
                <c:pt idx="29">
                  <c:v>3.3194786901249218E-2</c:v>
                </c:pt>
                <c:pt idx="30">
                  <c:v>3.1690224142730476E-2</c:v>
                </c:pt>
                <c:pt idx="31">
                  <c:v>2.8457544768662822E-2</c:v>
                </c:pt>
                <c:pt idx="32">
                  <c:v>1.1971302156876376E-2</c:v>
                </c:pt>
              </c:numCache>
            </c:numRef>
          </c:val>
          <c:smooth val="0"/>
          <c:extLst>
            <c:ext xmlns:c16="http://schemas.microsoft.com/office/drawing/2014/chart" uri="{C3380CC4-5D6E-409C-BE32-E72D297353CC}">
              <c16:uniqueId val="{0000004D-3C87-4824-8C02-F91244C1F572}"/>
            </c:ext>
          </c:extLst>
        </c:ser>
        <c:dLbls>
          <c:showLegendKey val="0"/>
          <c:showVal val="0"/>
          <c:showCatName val="0"/>
          <c:showSerName val="0"/>
          <c:showPercent val="0"/>
          <c:showBubbleSize val="0"/>
        </c:dLbls>
        <c:smooth val="0"/>
        <c:axId val="1525991792"/>
        <c:axId val="1525992272"/>
      </c:lineChart>
      <c:catAx>
        <c:axId val="152599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525992272"/>
        <c:crosses val="autoZero"/>
        <c:auto val="1"/>
        <c:lblAlgn val="ctr"/>
        <c:lblOffset val="100"/>
        <c:noMultiLvlLbl val="0"/>
      </c:catAx>
      <c:valAx>
        <c:axId val="1525992272"/>
        <c:scaling>
          <c:orientation val="minMax"/>
          <c:max val="0.1"/>
          <c:min val="-2.0000000000000004E-2"/>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525991792"/>
        <c:crosses val="autoZero"/>
        <c:crossBetween val="between"/>
      </c:valAx>
      <c:spPr>
        <a:noFill/>
        <a:ln cap="rnd">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14</xdr:col>
          <xdr:colOff>585788</xdr:colOff>
          <xdr:row>15</xdr:row>
          <xdr:rowOff>114300</xdr:rowOff>
        </xdr:from>
        <xdr:to>
          <xdr:col>17</xdr:col>
          <xdr:colOff>214313</xdr:colOff>
          <xdr:row>22</xdr:row>
          <xdr:rowOff>138113</xdr:rowOff>
        </xdr:to>
        <xdr:sp macro="" textlink="">
          <xdr:nvSpPr>
            <xdr:cNvPr id="20482" name="Button 2" hidden="1">
              <a:extLst>
                <a:ext uri="{63B3BB69-23CF-44E3-9099-C40C66FF867C}">
                  <a14:compatExt spid="_x0000_s20482"/>
                </a:ext>
                <a:ext uri="{FF2B5EF4-FFF2-40B4-BE49-F238E27FC236}">
                  <a16:creationId xmlns:a16="http://schemas.microsoft.com/office/drawing/2014/main" id="{00000000-0008-0000-0100-000002500000}"/>
                </a:ext>
              </a:extLst>
            </xdr:cNvPr>
            <xdr:cNvSpPr/>
          </xdr:nvSpPr>
          <xdr:spPr bwMode="auto">
            <a:xfrm>
              <a:off x="0" y="0"/>
              <a:ext cx="0" cy="0"/>
            </a:xfrm>
            <a:prstGeom prst="rect">
              <a:avLst/>
            </a:prstGeom>
            <a:noFill/>
            <a:ln w="9525">
              <a:miter lim="800000"/>
              <a:headEnd/>
              <a:tailEnd/>
            </a:ln>
          </xdr:spPr>
          <xdr:txBody>
            <a:bodyPr vertOverflow="clip" wrap="square" lIns="45720" tIns="41148" rIns="45720" bIns="41148" anchor="ctr" upright="1"/>
            <a:lstStyle/>
            <a:p>
              <a:pPr algn="ctr" rtl="0">
                <a:defRPr sz="1000"/>
              </a:pPr>
              <a:r>
                <a:rPr lang="en-NZ" sz="1200" b="1" i="0" u="none" strike="noStrike" baseline="0">
                  <a:solidFill>
                    <a:srgbClr val="FF0000"/>
                  </a:solidFill>
                  <a:latin typeface="Times New Roman"/>
                  <a:cs typeface="Times New Roman"/>
                </a:rPr>
                <a:t>Click Me to Run 5000 Simulations</a:t>
              </a:r>
            </a:p>
            <a:p>
              <a:pPr algn="ctr" rtl="0">
                <a:defRPr sz="1000"/>
              </a:pPr>
              <a:r>
                <a:rPr lang="en-NZ" sz="900" b="1" i="0" u="none" strike="noStrike" baseline="0">
                  <a:solidFill>
                    <a:srgbClr val="FF6600"/>
                  </a:solidFill>
                  <a:latin typeface="Times New Roman"/>
                  <a:cs typeface="Times New Roman"/>
                </a:rPr>
                <a:t>The full pathway for ages 30-83</a:t>
              </a:r>
            </a:p>
            <a:p>
              <a:pPr algn="ctr" rtl="0">
                <a:defRPr sz="1000"/>
              </a:pPr>
              <a:r>
                <a:rPr lang="en-NZ" sz="900" b="1" i="0" u="none" strike="noStrike" baseline="0">
                  <a:solidFill>
                    <a:srgbClr val="FF6600"/>
                  </a:solidFill>
                  <a:latin typeface="Times New Roman"/>
                  <a:cs typeface="Times New Roman"/>
                </a:rPr>
                <a:t> is a single simulation </a:t>
              </a:r>
            </a:p>
          </xdr:txBody>
        </xdr:sp>
        <xdr:clientData fPrintsWithSheet="0"/>
      </xdr:twoCellAnchor>
    </mc:Choice>
    <mc:Fallback/>
  </mc:AlternateContent>
  <xdr:twoCellAnchor>
    <xdr:from>
      <xdr:col>17</xdr:col>
      <xdr:colOff>520700</xdr:colOff>
      <xdr:row>15</xdr:row>
      <xdr:rowOff>171450</xdr:rowOff>
    </xdr:from>
    <xdr:to>
      <xdr:col>21</xdr:col>
      <xdr:colOff>590550</xdr:colOff>
      <xdr:row>22</xdr:row>
      <xdr:rowOff>101600</xdr:rowOff>
    </xdr:to>
    <xdr:sp macro="" textlink="">
      <xdr:nvSpPr>
        <xdr:cNvPr id="2" name="TextBox 1">
          <a:extLst>
            <a:ext uri="{FF2B5EF4-FFF2-40B4-BE49-F238E27FC236}">
              <a16:creationId xmlns:a16="http://schemas.microsoft.com/office/drawing/2014/main" id="{55510CAF-ECB2-87A4-4329-7C2FA0B41882}"/>
            </a:ext>
          </a:extLst>
        </xdr:cNvPr>
        <xdr:cNvSpPr txBox="1"/>
      </xdr:nvSpPr>
      <xdr:spPr>
        <a:xfrm>
          <a:off x="16395700" y="3949700"/>
          <a:ext cx="3994150" cy="1174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US" altLang="zh-CN" sz="1100" b="1">
              <a:solidFill>
                <a:schemeClr val="accent4"/>
              </a:solidFill>
            </a:rPr>
            <a:t>Note: </a:t>
          </a:r>
          <a:r>
            <a:rPr lang="en-US" altLang="zh-CN" sz="1100">
              <a:solidFill>
                <a:schemeClr val="accent4"/>
              </a:solidFill>
            </a:rPr>
            <a:t>Click the button left to simulate Emily's total expenses and income as a full pathway of ages 30 to 83 5000 times, and calculate the difference. Descriptive statistics are then automatically generated below, along with statistics for all occupational events in the 1000 simulations.</a:t>
          </a:r>
          <a:endParaRPr lang="zh-CN" altLang="en-US" sz="1100">
            <a:solidFill>
              <a:schemeClr val="accent4"/>
            </a:solidFill>
          </a:endParaRP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15</xdr:col>
          <xdr:colOff>785813</xdr:colOff>
          <xdr:row>22</xdr:row>
          <xdr:rowOff>152400</xdr:rowOff>
        </xdr:from>
        <xdr:to>
          <xdr:col>19</xdr:col>
          <xdr:colOff>1042988</xdr:colOff>
          <xdr:row>30</xdr:row>
          <xdr:rowOff>100013</xdr:rowOff>
        </xdr:to>
        <xdr:sp macro="" textlink="">
          <xdr:nvSpPr>
            <xdr:cNvPr id="11265" name="Button 1" hidden="1">
              <a:extLst>
                <a:ext uri="{63B3BB69-23CF-44E3-9099-C40C66FF867C}">
                  <a14:compatExt spid="_x0000_s11265"/>
                </a:ext>
                <a:ext uri="{FF2B5EF4-FFF2-40B4-BE49-F238E27FC236}">
                  <a16:creationId xmlns:a16="http://schemas.microsoft.com/office/drawing/2014/main" id="{00000000-0008-0000-0400-0000012C0000}"/>
                </a:ext>
              </a:extLst>
            </xdr:cNvPr>
            <xdr:cNvSpPr/>
          </xdr:nvSpPr>
          <xdr:spPr bwMode="auto">
            <a:xfrm>
              <a:off x="0" y="0"/>
              <a:ext cx="0" cy="0"/>
            </a:xfrm>
            <a:prstGeom prst="rect">
              <a:avLst/>
            </a:prstGeom>
            <a:noFill/>
            <a:ln w="9525">
              <a:miter lim="800000"/>
              <a:headEnd/>
              <a:tailEnd/>
            </a:ln>
          </xdr:spPr>
          <xdr:txBody>
            <a:bodyPr vertOverflow="clip" wrap="square" lIns="45720" tIns="36576" rIns="45720" bIns="36576" anchor="ctr" upright="1"/>
            <a:lstStyle/>
            <a:p>
              <a:pPr algn="ctr" rtl="0">
                <a:defRPr sz="1000"/>
              </a:pPr>
              <a:r>
                <a:rPr lang="en-NZ" sz="1100" b="1" i="0" u="none" strike="noStrike" baseline="0">
                  <a:solidFill>
                    <a:srgbClr val="FF0000"/>
                  </a:solidFill>
                  <a:latin typeface="Times New Roman"/>
                  <a:cs typeface="Times New Roman"/>
                </a:rPr>
                <a:t>Click Me to Get Salary Growth with</a:t>
              </a:r>
            </a:p>
            <a:p>
              <a:pPr algn="ctr" rtl="0">
                <a:defRPr sz="1000"/>
              </a:pPr>
              <a:r>
                <a:rPr lang="en-NZ" sz="1100" b="1" i="0" u="none" strike="noStrike" baseline="0">
                  <a:solidFill>
                    <a:srgbClr val="FF0000"/>
                  </a:solidFill>
                  <a:latin typeface="Times New Roman"/>
                  <a:cs typeface="Times New Roman"/>
                </a:rPr>
                <a:t> Career Event</a:t>
              </a:r>
            </a:p>
          </xdr:txBody>
        </xdr:sp>
        <xdr:clientData fPrintsWithSheet="0"/>
      </xdr:twoCellAnchor>
    </mc:Choice>
    <mc:Fallback/>
  </mc:AlternateContent>
  <xdr:twoCellAnchor>
    <xdr:from>
      <xdr:col>15</xdr:col>
      <xdr:colOff>19050</xdr:colOff>
      <xdr:row>10</xdr:row>
      <xdr:rowOff>50800</xdr:rowOff>
    </xdr:from>
    <xdr:to>
      <xdr:col>20</xdr:col>
      <xdr:colOff>196850</xdr:colOff>
      <xdr:row>20</xdr:row>
      <xdr:rowOff>25400</xdr:rowOff>
    </xdr:to>
    <xdr:sp macro="" textlink="">
      <xdr:nvSpPr>
        <xdr:cNvPr id="2" name="TextBox 1">
          <a:extLst>
            <a:ext uri="{FF2B5EF4-FFF2-40B4-BE49-F238E27FC236}">
              <a16:creationId xmlns:a16="http://schemas.microsoft.com/office/drawing/2014/main" id="{52C8FA77-AC0D-5AAA-8B2F-2A5A82A86504}"/>
            </a:ext>
          </a:extLst>
        </xdr:cNvPr>
        <xdr:cNvSpPr txBox="1"/>
      </xdr:nvSpPr>
      <xdr:spPr>
        <a:xfrm>
          <a:off x="13766800" y="3778250"/>
          <a:ext cx="4184650" cy="175260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100"/>
            <a:t>Assumptions: </a:t>
          </a:r>
        </a:p>
        <a:p>
          <a:r>
            <a:rPr lang="en-US" altLang="zh-CN" sz="1100"/>
            <a:t>1. Parental Leave triggers (up to age 45) with no change in the rate of increase in the current year and no change in the following year. </a:t>
          </a:r>
        </a:p>
        <a:p>
          <a:r>
            <a:rPr lang="en-US" altLang="zh-CN" sz="1100"/>
            <a:t>2.</a:t>
          </a:r>
          <a:r>
            <a:rPr lang="en-US" altLang="zh-CN" sz="1100" baseline="0"/>
            <a:t> </a:t>
          </a:r>
          <a:r>
            <a:rPr lang="en-US" altLang="zh-CN" sz="1100"/>
            <a:t>Early Retirement triggers (age 30-64), the rate of increase will be 0 in the current year and the following year.</a:t>
          </a:r>
        </a:p>
        <a:p>
          <a:r>
            <a:rPr lang="en-US" altLang="zh-CN" sz="1100"/>
            <a:t>3.</a:t>
          </a:r>
          <a:r>
            <a:rPr lang="en-US" altLang="zh-CN" sz="1100" baseline="0"/>
            <a:t> O</a:t>
          </a:r>
          <a:r>
            <a:rPr lang="en-US" altLang="zh-CN" sz="1100"/>
            <a:t>ther career events will not be triggered for two consecutive years and will be triggered twice at most.</a:t>
          </a:r>
          <a:endParaRPr lang="zh-CN"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19051</xdr:colOff>
      <xdr:row>14</xdr:row>
      <xdr:rowOff>19051</xdr:rowOff>
    </xdr:from>
    <xdr:to>
      <xdr:col>1</xdr:col>
      <xdr:colOff>2971801</xdr:colOff>
      <xdr:row>14</xdr:row>
      <xdr:rowOff>1330292</xdr:rowOff>
    </xdr:to>
    <xdr:pic>
      <xdr:nvPicPr>
        <xdr:cNvPr id="2" name="Picture 1">
          <a:extLst>
            <a:ext uri="{FF2B5EF4-FFF2-40B4-BE49-F238E27FC236}">
              <a16:creationId xmlns:a16="http://schemas.microsoft.com/office/drawing/2014/main" id="{44E0AEC4-35B2-9435-D889-C6F4FDA7404F}"/>
            </a:ext>
          </a:extLst>
        </xdr:cNvPr>
        <xdr:cNvPicPr>
          <a:picLocks noChangeAspect="1"/>
        </xdr:cNvPicPr>
      </xdr:nvPicPr>
      <xdr:blipFill>
        <a:blip xmlns:r="http://schemas.openxmlformats.org/officeDocument/2006/relationships" r:embed="rId1"/>
        <a:stretch>
          <a:fillRect/>
        </a:stretch>
      </xdr:blipFill>
      <xdr:spPr>
        <a:xfrm>
          <a:off x="2933701" y="6438901"/>
          <a:ext cx="2952750" cy="131124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314324</xdr:colOff>
      <xdr:row>42</xdr:row>
      <xdr:rowOff>12700</xdr:rowOff>
    </xdr:from>
    <xdr:to>
      <xdr:col>13</xdr:col>
      <xdr:colOff>412749</xdr:colOff>
      <xdr:row>58</xdr:row>
      <xdr:rowOff>165100</xdr:rowOff>
    </xdr:to>
    <xdr:graphicFrame macro="">
      <xdr:nvGraphicFramePr>
        <xdr:cNvPr id="3" name="Chart 2">
          <a:extLst>
            <a:ext uri="{FF2B5EF4-FFF2-40B4-BE49-F238E27FC236}">
              <a16:creationId xmlns:a16="http://schemas.microsoft.com/office/drawing/2014/main" id="{52628B20-6C4E-74E3-99FE-43EED8EFE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276224</xdr:colOff>
      <xdr:row>1</xdr:row>
      <xdr:rowOff>158750</xdr:rowOff>
    </xdr:from>
    <xdr:to>
      <xdr:col>16</xdr:col>
      <xdr:colOff>139700</xdr:colOff>
      <xdr:row>16</xdr:row>
      <xdr:rowOff>222250</xdr:rowOff>
    </xdr:to>
    <xdr:graphicFrame macro="">
      <xdr:nvGraphicFramePr>
        <xdr:cNvPr id="3" name="Chart 2">
          <a:extLst>
            <a:ext uri="{FF2B5EF4-FFF2-40B4-BE49-F238E27FC236}">
              <a16:creationId xmlns:a16="http://schemas.microsoft.com/office/drawing/2014/main" id="{53CD7149-3E49-38F2-CFEB-CD1880384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2990849</xdr:colOff>
      <xdr:row>36</xdr:row>
      <xdr:rowOff>166064</xdr:rowOff>
    </xdr:from>
    <xdr:to>
      <xdr:col>1</xdr:col>
      <xdr:colOff>1840204</xdr:colOff>
      <xdr:row>36</xdr:row>
      <xdr:rowOff>1327150</xdr:rowOff>
    </xdr:to>
    <xdr:pic>
      <xdr:nvPicPr>
        <xdr:cNvPr id="2" name="Picture 1" descr="输出图片">
          <a:extLst>
            <a:ext uri="{FF2B5EF4-FFF2-40B4-BE49-F238E27FC236}">
              <a16:creationId xmlns:a16="http://schemas.microsoft.com/office/drawing/2014/main" id="{21D8CD5D-41A0-5B57-EE2E-99FB2B7C64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90849" y="7709864"/>
          <a:ext cx="1871955" cy="11610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xdr:colOff>
      <xdr:row>35</xdr:row>
      <xdr:rowOff>133109</xdr:rowOff>
    </xdr:from>
    <xdr:to>
      <xdr:col>1</xdr:col>
      <xdr:colOff>1808196</xdr:colOff>
      <xdr:row>35</xdr:row>
      <xdr:rowOff>1219201</xdr:rowOff>
    </xdr:to>
    <xdr:pic>
      <xdr:nvPicPr>
        <xdr:cNvPr id="4" name="Picture 3" descr="输出图片">
          <a:extLst>
            <a:ext uri="{FF2B5EF4-FFF2-40B4-BE49-F238E27FC236}">
              <a16:creationId xmlns:a16="http://schemas.microsoft.com/office/drawing/2014/main" id="{06C24102-A457-89BF-98B1-8CDE78E993E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79750" y="6362459"/>
          <a:ext cx="1751046" cy="10860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12</xdr:col>
      <xdr:colOff>361950</xdr:colOff>
      <xdr:row>15</xdr:row>
      <xdr:rowOff>133350</xdr:rowOff>
    </xdr:from>
    <xdr:to>
      <xdr:col>18</xdr:col>
      <xdr:colOff>254000</xdr:colOff>
      <xdr:row>37</xdr:row>
      <xdr:rowOff>355600</xdr:rowOff>
    </xdr:to>
    <xdr:sp macro="" textlink="">
      <xdr:nvSpPr>
        <xdr:cNvPr id="31" name="TextBox 3">
          <a:extLst>
            <a:ext uri="{FF2B5EF4-FFF2-40B4-BE49-F238E27FC236}">
              <a16:creationId xmlns:a16="http://schemas.microsoft.com/office/drawing/2014/main" id="{383312CE-1FBA-56A9-087B-BFE2341D1CB5}"/>
            </a:ext>
          </a:extLst>
        </xdr:cNvPr>
        <xdr:cNvSpPr txBox="1"/>
      </xdr:nvSpPr>
      <xdr:spPr>
        <a:xfrm>
          <a:off x="23088600" y="2978150"/>
          <a:ext cx="5994400" cy="413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100">
              <a:solidFill>
                <a:srgbClr val="FF0000"/>
              </a:solidFill>
              <a:latin typeface="Times New Roman" panose="02020603050405020304" pitchFamily="18" charset="0"/>
              <a:cs typeface="Times New Roman" panose="02020603050405020304" pitchFamily="18" charset="0"/>
            </a:rPr>
            <a:t>Housing Cost Assumptions :</a:t>
          </a:r>
        </a:p>
        <a:p>
          <a:endParaRPr lang="en-US" altLang="zh-CN" sz="1100">
            <a:solidFill>
              <a:srgbClr val="FF0000"/>
            </a:solidFill>
            <a:latin typeface="Times New Roman" panose="02020603050405020304" pitchFamily="18" charset="0"/>
            <a:cs typeface="Times New Roman" panose="02020603050405020304" pitchFamily="18" charset="0"/>
          </a:endParaRPr>
        </a:p>
        <a:p>
          <a:r>
            <a:rPr lang="en-US" altLang="zh-CN" sz="1100">
              <a:solidFill>
                <a:srgbClr val="FF0000"/>
              </a:solidFill>
              <a:latin typeface="Times New Roman" panose="02020603050405020304" pitchFamily="18" charset="0"/>
              <a:cs typeface="Times New Roman" panose="02020603050405020304" pitchFamily="18" charset="0"/>
            </a:rPr>
            <a:t>1. 2019 Initial housing cost: </a:t>
          </a:r>
          <a:r>
            <a:rPr lang="en-US" altLang="zh-CN" sz="1100" b="1" u="sng">
              <a:solidFill>
                <a:srgbClr val="FF0000"/>
              </a:solidFill>
              <a:latin typeface="Times New Roman" panose="02020603050405020304" pitchFamily="18" charset="0"/>
              <a:cs typeface="Times New Roman" panose="02020603050405020304" pitchFamily="18" charset="0"/>
            </a:rPr>
            <a:t>11957</a:t>
          </a:r>
        </a:p>
        <a:p>
          <a:r>
            <a:rPr lang="en-US" altLang="zh-CN" sz="1100" b="1">
              <a:solidFill>
                <a:srgbClr val="FF0000"/>
              </a:solidFill>
              <a:latin typeface="Times New Roman" panose="02020603050405020304" pitchFamily="18" charset="0"/>
              <a:cs typeface="Times New Roman" panose="02020603050405020304" pitchFamily="18" charset="0"/>
            </a:rPr>
            <a:t>Source:</a:t>
          </a:r>
        </a:p>
        <a:p>
          <a:r>
            <a:rPr lang="en-US" altLang="zh-CN" sz="1100">
              <a:solidFill>
                <a:srgbClr val="FF0000"/>
              </a:solidFill>
              <a:latin typeface="Times New Roman" panose="02020603050405020304" pitchFamily="18" charset="0"/>
              <a:cs typeface="Times New Roman" panose="02020603050405020304" pitchFamily="18" charset="0"/>
            </a:rPr>
            <a:t>Motu Working Paper 23-07</a:t>
          </a:r>
        </a:p>
        <a:p>
          <a:r>
            <a:rPr lang="en-US" altLang="zh-CN" sz="1100">
              <a:solidFill>
                <a:srgbClr val="FF0000"/>
              </a:solidFill>
              <a:latin typeface="Times New Roman" panose="02020603050405020304" pitchFamily="18" charset="0"/>
              <a:cs typeface="Times New Roman" panose="02020603050405020304" pitchFamily="18" charset="0"/>
            </a:rPr>
            <a:t>Expenditure patterns of New</a:t>
          </a:r>
        </a:p>
        <a:p>
          <a:r>
            <a:rPr lang="en-US" altLang="zh-CN" sz="1100">
              <a:solidFill>
                <a:srgbClr val="FF0000"/>
              </a:solidFill>
              <a:latin typeface="Times New Roman" panose="02020603050405020304" pitchFamily="18" charset="0"/>
              <a:cs typeface="Times New Roman" panose="02020603050405020304" pitchFamily="18" charset="0"/>
            </a:rPr>
            <a:t>Zealand retiree households</a:t>
          </a:r>
        </a:p>
        <a:p>
          <a:r>
            <a:rPr lang="en-US" altLang="zh-CN" sz="1100">
              <a:solidFill>
                <a:srgbClr val="FF0000"/>
              </a:solidFill>
              <a:latin typeface="Times New Roman" panose="02020603050405020304" pitchFamily="18" charset="0"/>
              <a:cs typeface="Times New Roman" panose="02020603050405020304" pitchFamily="18" charset="0"/>
            </a:rPr>
            <a:t>Author: Trinh Le and Euan Richardson</a:t>
          </a:r>
        </a:p>
        <a:p>
          <a:r>
            <a:rPr lang="en-US" altLang="zh-CN" sz="1100">
              <a:solidFill>
                <a:srgbClr val="FF0000"/>
              </a:solidFill>
              <a:latin typeface="Times New Roman" panose="02020603050405020304" pitchFamily="18" charset="0"/>
              <a:cs typeface="Times New Roman" panose="02020603050405020304" pitchFamily="18" charset="0"/>
            </a:rPr>
            <a:t>August 2023</a:t>
          </a:r>
        </a:p>
        <a:p>
          <a:endParaRPr lang="en-US" altLang="zh-CN" sz="1100">
            <a:solidFill>
              <a:srgbClr val="FF0000"/>
            </a:solidFill>
            <a:latin typeface="Times New Roman" panose="02020603050405020304" pitchFamily="18" charset="0"/>
            <a:cs typeface="Times New Roman" panose="02020603050405020304" pitchFamily="18" charset="0"/>
          </a:endParaRPr>
        </a:p>
        <a:p>
          <a:r>
            <a:rPr lang="en-US" altLang="zh-CN" sz="1100">
              <a:solidFill>
                <a:srgbClr val="FF0000"/>
              </a:solidFill>
              <a:latin typeface="Times New Roman" panose="02020603050405020304" pitchFamily="18" charset="0"/>
              <a:cs typeface="Times New Roman" panose="02020603050405020304" pitchFamily="18" charset="0"/>
            </a:rPr>
            <a:t>2.Assuming Emily does not need to pay a mortgage, only property taxes and routine home maintenance are considered:</a:t>
          </a:r>
        </a:p>
        <a:p>
          <a:r>
            <a:rPr lang="en-US" altLang="zh-CN" sz="1100" b="0">
              <a:solidFill>
                <a:schemeClr val="tx1"/>
              </a:solidFill>
              <a:latin typeface="Times New Roman" panose="02020603050405020304" pitchFamily="18" charset="0"/>
              <a:cs typeface="Times New Roman" panose="02020603050405020304" pitchFamily="18" charset="0"/>
            </a:rPr>
            <a:t>**According to the report “Consumer Price Index Review: 2024” released by Statistics New Zealand (Stats NZ), the “property maintenance” category saw a cumulative price increase of 20.49% between June 2020 and December 2024. This equates to an average annual growth rate of approximately </a:t>
          </a:r>
          <a:r>
            <a:rPr lang="en-US" altLang="zh-CN" sz="1100" b="1">
              <a:solidFill>
                <a:srgbClr val="FF0000"/>
              </a:solidFill>
              <a:latin typeface="Times New Roman" panose="02020603050405020304" pitchFamily="18" charset="0"/>
              <a:cs typeface="Times New Roman" panose="02020603050405020304" pitchFamily="18" charset="0"/>
            </a:rPr>
            <a:t>4.8%</a:t>
          </a:r>
          <a:r>
            <a:rPr lang="en-US" altLang="zh-CN" sz="1100" b="0">
              <a:solidFill>
                <a:srgbClr val="FF0000"/>
              </a:solidFill>
              <a:latin typeface="Times New Roman" panose="02020603050405020304" pitchFamily="18" charset="0"/>
              <a:cs typeface="Times New Roman" panose="02020603050405020304" pitchFamily="18" charset="0"/>
            </a:rPr>
            <a:t>.</a:t>
          </a:r>
        </a:p>
        <a:p>
          <a:r>
            <a:rPr lang="en-US" altLang="zh-CN" sz="1100" b="1">
              <a:solidFill>
                <a:sysClr val="windowText" lastClr="000000"/>
              </a:solidFill>
              <a:latin typeface="Times New Roman" panose="02020603050405020304" pitchFamily="18" charset="0"/>
              <a:cs typeface="Times New Roman" panose="02020603050405020304" pitchFamily="18" charset="0"/>
            </a:rPr>
            <a:t>Source: </a:t>
          </a:r>
          <a:r>
            <a:rPr lang="en-US" altLang="zh-CN" sz="1100" b="0">
              <a:solidFill>
                <a:sysClr val="windowText" lastClr="000000"/>
              </a:solidFill>
              <a:latin typeface="Times New Roman" panose="02020603050405020304" pitchFamily="18" charset="0"/>
              <a:cs typeface="Times New Roman" panose="02020603050405020304" pitchFamily="18" charset="0"/>
            </a:rPr>
            <a:t>https://www.stats.govt.nz/assets/Methods/Consumers-price-indexes-review-2024/consumers-price-index-review-2024-report.pdf?utm_source=chatgpt.com</a:t>
          </a:r>
        </a:p>
        <a:p>
          <a:endParaRPr lang="en-US" altLang="zh-CN" sz="1100" b="0">
            <a:solidFill>
              <a:srgbClr val="FF0000"/>
            </a:solidFill>
            <a:latin typeface="Times New Roman" panose="02020603050405020304" pitchFamily="18" charset="0"/>
            <a:cs typeface="Times New Roman" panose="02020603050405020304" pitchFamily="18" charset="0"/>
          </a:endParaRPr>
        </a:p>
        <a:p>
          <a:r>
            <a:rPr lang="en-US" altLang="zh-CN" sz="1100" b="0">
              <a:solidFill>
                <a:schemeClr val="tx1"/>
              </a:solidFill>
              <a:latin typeface="Times New Roman" panose="02020603050405020304" pitchFamily="18" charset="0"/>
              <a:cs typeface="Times New Roman" panose="02020603050405020304" pitchFamily="18" charset="0"/>
            </a:rPr>
            <a:t>**Setting the annual growth rate for local taxes (nominal)Short term (2025–2030): Use current municipal forecasts, such as an average growth rate of 7% per year (high growth pressure)Medium term (2031–2040): Slow down to 5% per yearLong term (2041–2078): Approach the inflation rate, approximately 3% per year. Simplifing to a single growth rate:Annual growth rate </a:t>
          </a:r>
          <a:r>
            <a:rPr lang="en-US" altLang="zh-CN" sz="1100" b="0">
              <a:solidFill>
                <a:srgbClr val="FF0000"/>
              </a:solidFill>
              <a:latin typeface="Times New Roman" panose="02020603050405020304" pitchFamily="18" charset="0"/>
              <a:cs typeface="Times New Roman" panose="02020603050405020304" pitchFamily="18" charset="0"/>
            </a:rPr>
            <a:t>=</a:t>
          </a:r>
          <a:r>
            <a:rPr lang="en-US" altLang="zh-CN" sz="1100" b="1">
              <a:solidFill>
                <a:srgbClr val="FF0000"/>
              </a:solidFill>
              <a:latin typeface="Times New Roman" panose="02020603050405020304" pitchFamily="18" charset="0"/>
              <a:cs typeface="Times New Roman" panose="02020603050405020304" pitchFamily="18" charset="0"/>
            </a:rPr>
            <a:t>4.5%</a:t>
          </a:r>
        </a:p>
        <a:p>
          <a:r>
            <a:rPr lang="en-US" altLang="zh-CN" sz="1100" b="1">
              <a:solidFill>
                <a:sysClr val="windowText" lastClr="000000"/>
              </a:solidFill>
              <a:latin typeface="Times New Roman" panose="02020603050405020304" pitchFamily="18" charset="0"/>
              <a:cs typeface="Times New Roman" panose="02020603050405020304" pitchFamily="18" charset="0"/>
            </a:rPr>
            <a:t>Source:</a:t>
          </a:r>
          <a:r>
            <a:rPr lang="en-US" altLang="zh-CN" sz="1100" b="0">
              <a:solidFill>
                <a:sysClr val="windowText" lastClr="000000"/>
              </a:solidFill>
              <a:latin typeface="Times New Roman" panose="02020603050405020304" pitchFamily="18" charset="0"/>
              <a:cs typeface="Times New Roman" panose="02020603050405020304" pitchFamily="18" charset="0"/>
            </a:rPr>
            <a:t>https://oag.parliament.nz/2025/long-term-plans/part2.htm?utm_source=chatgpt.com</a:t>
          </a:r>
        </a:p>
        <a:p>
          <a:r>
            <a:rPr lang="en-US" altLang="zh-CN" sz="1100" b="0">
              <a:solidFill>
                <a:srgbClr val="FF0000"/>
              </a:solidFill>
              <a:latin typeface="Times New Roman" panose="02020603050405020304" pitchFamily="18" charset="0"/>
              <a:cs typeface="Times New Roman" panose="02020603050405020304" pitchFamily="18" charset="0"/>
            </a:rPr>
            <a:t>Assuming that property taxes account for 70% of housing costs and maintenance accounts for 30%, the total growth rate is 0.045*0.7+0.048*0.3=</a:t>
          </a:r>
          <a:r>
            <a:rPr lang="en-US" altLang="zh-CN" sz="1100" b="1">
              <a:solidFill>
                <a:srgbClr val="FF0000"/>
              </a:solidFill>
              <a:latin typeface="Times New Roman" panose="02020603050405020304" pitchFamily="18" charset="0"/>
              <a:cs typeface="Times New Roman" panose="02020603050405020304" pitchFamily="18" charset="0"/>
            </a:rPr>
            <a:t>0.0459</a:t>
          </a:r>
          <a:r>
            <a:rPr lang="en-US" altLang="zh-CN" sz="1100" b="0">
              <a:solidFill>
                <a:srgbClr val="FF0000"/>
              </a:solidFill>
              <a:latin typeface="Times New Roman" panose="02020603050405020304" pitchFamily="18" charset="0"/>
              <a:cs typeface="Times New Roman" panose="02020603050405020304" pitchFamily="18" charset="0"/>
            </a:rPr>
            <a:t>. fluctuations:</a:t>
          </a:r>
          <a:r>
            <a:rPr lang="en-US" altLang="zh-CN" sz="1100" b="0" baseline="0">
              <a:solidFill>
                <a:srgbClr val="FF0000"/>
              </a:solidFill>
              <a:latin typeface="Times New Roman" panose="02020603050405020304" pitchFamily="18" charset="0"/>
              <a:cs typeface="Times New Roman" panose="02020603050405020304" pitchFamily="18" charset="0"/>
            </a:rPr>
            <a:t> 0.2%</a:t>
          </a:r>
          <a:endParaRPr lang="zh-CN" altLang="en-US" sz="1100" b="0">
            <a:solidFill>
              <a:srgbClr val="FF0000"/>
            </a:solidFill>
            <a:latin typeface="Times New Roman" panose="02020603050405020304" pitchFamily="18" charset="0"/>
            <a:cs typeface="Times New Roman" panose="02020603050405020304" pitchFamily="18" charset="0"/>
          </a:endParaRPr>
        </a:p>
      </xdr:txBody>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ird.govt.nz/employing-staff/deductions-from-income/employer-superannuation-contriibution-tax-esct"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hyperlink" Target="https://tradingeconomics.com/new-zealand/food-infl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1E90F-1371-4D3C-8F6E-125E0DF34EC3}">
  <sheetPr>
    <tabColor rgb="FFFFFF00"/>
  </sheetPr>
  <dimension ref="A1:A22"/>
  <sheetViews>
    <sheetView workbookViewId="0">
      <selection activeCell="D21" sqref="D21"/>
    </sheetView>
  </sheetViews>
  <sheetFormatPr defaultColWidth="9" defaultRowHeight="13.9"/>
  <cols>
    <col min="1" max="1" width="56.1328125" style="5" customWidth="1"/>
    <col min="2" max="16384" width="9" style="5"/>
  </cols>
  <sheetData>
    <row r="1" spans="1:1">
      <c r="A1" s="196" t="s">
        <v>0</v>
      </c>
    </row>
    <row r="2" spans="1:1" ht="17.100000000000001" customHeight="1">
      <c r="A2" s="197" t="s">
        <v>1</v>
      </c>
    </row>
    <row r="3" spans="1:1">
      <c r="A3" s="198" t="s">
        <v>2</v>
      </c>
    </row>
    <row r="4" spans="1:1">
      <c r="A4" s="198" t="s">
        <v>3</v>
      </c>
    </row>
    <row r="5" spans="1:1">
      <c r="A5" s="197" t="s">
        <v>4</v>
      </c>
    </row>
    <row r="6" spans="1:1">
      <c r="A6" s="198" t="s">
        <v>5</v>
      </c>
    </row>
    <row r="7" spans="1:1">
      <c r="A7" s="198" t="s">
        <v>6</v>
      </c>
    </row>
    <row r="8" spans="1:1">
      <c r="A8" s="198" t="s">
        <v>7</v>
      </c>
    </row>
    <row r="9" spans="1:1">
      <c r="A9" s="198" t="s">
        <v>8</v>
      </c>
    </row>
    <row r="10" spans="1:1">
      <c r="A10" s="197" t="s">
        <v>9</v>
      </c>
    </row>
    <row r="11" spans="1:1">
      <c r="A11" s="198" t="s">
        <v>10</v>
      </c>
    </row>
    <row r="12" spans="1:1">
      <c r="A12" s="198" t="s">
        <v>11</v>
      </c>
    </row>
    <row r="13" spans="1:1">
      <c r="A13" s="198" t="s">
        <v>12</v>
      </c>
    </row>
    <row r="14" spans="1:1">
      <c r="A14" s="198" t="s">
        <v>13</v>
      </c>
    </row>
    <row r="15" spans="1:1">
      <c r="A15" s="198" t="s">
        <v>14</v>
      </c>
    </row>
    <row r="16" spans="1:1">
      <c r="A16" s="198" t="s">
        <v>15</v>
      </c>
    </row>
    <row r="17" spans="1:1">
      <c r="A17" s="198" t="s">
        <v>16</v>
      </c>
    </row>
    <row r="18" spans="1:1">
      <c r="A18" s="198" t="s">
        <v>17</v>
      </c>
    </row>
    <row r="19" spans="1:1">
      <c r="A19" s="198" t="s">
        <v>18</v>
      </c>
    </row>
    <row r="20" spans="1:1">
      <c r="A20" s="197" t="s">
        <v>19</v>
      </c>
    </row>
    <row r="21" spans="1:1">
      <c r="A21" s="198" t="s">
        <v>20</v>
      </c>
    </row>
    <row r="22" spans="1:1">
      <c r="A22" s="198" t="s">
        <v>21</v>
      </c>
    </row>
  </sheetData>
  <phoneticPr fontId="2" type="noConversion"/>
  <hyperlinks>
    <hyperlink ref="A3" location="'Dashboard'!A1" display="Dashboard" xr:uid="{1DC79993-B9E1-43E8-93F8-3180C3C74EBC}"/>
    <hyperlink ref="A4" location="'Decision Tree'!A1" display="Decision Tree" xr:uid="{C24F0FF6-69EA-4E9A-9782-324CE5D5EB55}"/>
    <hyperlink ref="A21" location="'t4_Income from 30-64'!A1" display="t4_Income from 30-64" xr:uid="{1BE829EF-EE28-4BAE-9BCC-7FAA11CA4E51}"/>
    <hyperlink ref="A22" location="'t4_salaryGrowthevent'!A1" display="t4_salaryGrowthevent" xr:uid="{F977ADD4-4955-4C3D-AEDA-57937989FFC4}"/>
    <hyperlink ref="A12" location="'fundGrowth'!A1" display="fundGrowth" xr:uid="{EEBF549A-30F1-434C-B930-C25EF4016DFB}"/>
    <hyperlink ref="A19" location="'Information and References'!A1" display="Information and References" xr:uid="{FC8E4D2A-433B-4EE8-A4B8-DA65F58F23A6}"/>
    <hyperlink ref="A15" location="'Net Returns Simulations'!A1" display="Net Returns Simulations" xr:uid="{C85FF0C5-EEB6-4C86-96EB-28ED0AA5470D}"/>
    <hyperlink ref="A14" location="'Income from 30-64'!A1" display="Income from 30-64" xr:uid="{0B52A70F-3199-4880-916C-8BD26997A39F}"/>
    <hyperlink ref="A13" location="'inflationParameter'!A1" display="inflationParameter" xr:uid="{77E1BBC7-81E3-44D0-B3D6-A013F86E8A2B}"/>
    <hyperlink ref="A11" location="'Economic Scenarios'!A1" display="Economic Scenarios" xr:uid="{55AD37E1-BFDD-4A42-B6C9-72A766939B66}"/>
    <hyperlink ref="A16" location="'salaryGrowth'!A1" display="salaryGrowth" xr:uid="{82394A38-7F62-4DDC-83B3-528C4E2A4E59}"/>
    <hyperlink ref="A17" location="'salaryParameters'!A1" display="salaryParameters" xr:uid="{A3801279-F638-43F2-8974-BA3E104E4C21}"/>
    <hyperlink ref="A18" location="'fsalarySimulation'!A1" display="fsalarySimulation" xr:uid="{BF413CD9-08AE-46EF-9962-443D38990B00}"/>
    <hyperlink ref="A6" location="'model'!A1" display="model" xr:uid="{FA355537-5BF2-4A7B-A2E5-3AFEF409259B}"/>
    <hyperlink ref="A7" location="'living expenditure actually'!A1" display="living expenditure actually" xr:uid="{F667E84F-F814-49CE-8594-B0788C268937}"/>
    <hyperlink ref="A8" location="'health expenditure'!A1" display="health expenditure" xr:uid="{B06448A2-4D33-476F-ADD7-27625745E18E}"/>
    <hyperlink ref="A9" location="'Transport expenditure'!A1" display="Transport expenditure" xr:uid="{3F08219D-74BC-4912-BD35-A4FD1B34550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834A0-5798-4360-B516-C6E2CB756A74}">
  <sheetPr codeName="Sheet8">
    <tabColor rgb="FFFF0000"/>
  </sheetPr>
  <dimension ref="A1:T5001"/>
  <sheetViews>
    <sheetView zoomScale="60" zoomScaleNormal="60" workbookViewId="0">
      <selection activeCell="R8" sqref="R8"/>
    </sheetView>
  </sheetViews>
  <sheetFormatPr defaultColWidth="8.59765625" defaultRowHeight="13.9"/>
  <cols>
    <col min="1" max="1" width="11.59765625" style="1" customWidth="1"/>
    <col min="2" max="2" width="17.73046875" style="1" customWidth="1"/>
    <col min="3" max="3" width="16.3984375" style="1" customWidth="1"/>
    <col min="4" max="4" width="15.73046875" style="1" customWidth="1"/>
    <col min="5" max="5" width="11.1328125" style="1" customWidth="1"/>
    <col min="6" max="7" width="8.59765625" style="1"/>
    <col min="8" max="8" width="12" style="1" bestFit="1" customWidth="1"/>
    <col min="9" max="9" width="13.59765625" style="1" bestFit="1" customWidth="1"/>
    <col min="10" max="10" width="9.1328125" style="1" bestFit="1" customWidth="1"/>
    <col min="11" max="11" width="11" style="1" bestFit="1" customWidth="1"/>
    <col min="12" max="12" width="9.1328125" style="1" bestFit="1" customWidth="1"/>
    <col min="13" max="13" width="12.59765625" style="1" bestFit="1" customWidth="1"/>
    <col min="14" max="15" width="8.59765625" style="1"/>
    <col min="16" max="16" width="26.59765625" style="1" customWidth="1"/>
    <col min="17" max="17" width="13.3984375" style="1" customWidth="1"/>
    <col min="18" max="18" width="25.46484375" style="1" customWidth="1"/>
    <col min="19" max="19" width="29.3984375" style="1" customWidth="1"/>
    <col min="20" max="20" width="9.1328125" style="1" customWidth="1"/>
    <col min="21" max="16384" width="8.59765625" style="1"/>
  </cols>
  <sheetData>
    <row r="1" spans="1:19" ht="63" customHeight="1">
      <c r="A1" s="2" t="s">
        <v>22</v>
      </c>
      <c r="B1" s="7" t="s">
        <v>23</v>
      </c>
      <c r="C1" s="7" t="s">
        <v>24</v>
      </c>
      <c r="D1" s="7" t="s">
        <v>25</v>
      </c>
      <c r="E1" s="2" t="s">
        <v>26</v>
      </c>
      <c r="F1" s="2" t="s">
        <v>27</v>
      </c>
      <c r="G1" s="2" t="s">
        <v>28</v>
      </c>
      <c r="H1" s="1" t="s">
        <v>29</v>
      </c>
      <c r="I1" s="1" t="s">
        <v>30</v>
      </c>
      <c r="J1" s="1" t="s">
        <v>31</v>
      </c>
      <c r="K1" s="1" t="s">
        <v>32</v>
      </c>
      <c r="L1" s="1" t="s">
        <v>33</v>
      </c>
      <c r="M1" s="1" t="s">
        <v>34</v>
      </c>
      <c r="P1" s="7" t="s">
        <v>35</v>
      </c>
      <c r="S1" s="7"/>
    </row>
    <row r="2" spans="1:19" ht="51" customHeight="1" thickBot="1">
      <c r="A2" s="1" cm="1">
        <f t="array" ref="A2:A5001">_xlfn.SEQUENCE(5000,1,1,1)</f>
        <v>1</v>
      </c>
      <c r="B2" s="1">
        <v>871310.39159999997</v>
      </c>
      <c r="C2" s="113">
        <v>883717.72081043373</v>
      </c>
      <c r="D2" s="113">
        <f t="shared" ref="D2:D65" si="0">B2-C2</f>
        <v>-12407.32921043376</v>
      </c>
      <c r="E2" s="1">
        <v>10</v>
      </c>
      <c r="F2" s="1">
        <v>22</v>
      </c>
      <c r="G2" s="1">
        <v>3</v>
      </c>
      <c r="H2" s="1">
        <v>1</v>
      </c>
      <c r="I2" s="1">
        <v>1</v>
      </c>
      <c r="J2" s="1">
        <v>0</v>
      </c>
      <c r="K2" s="1">
        <v>1</v>
      </c>
      <c r="L2" s="1">
        <v>0</v>
      </c>
      <c r="M2" s="1">
        <v>1</v>
      </c>
      <c r="P2" s="108" t="s">
        <v>36</v>
      </c>
      <c r="Q2" s="1">
        <v>0.1</v>
      </c>
      <c r="S2" s="3"/>
    </row>
    <row r="3" spans="1:19" ht="20.25" customHeight="1">
      <c r="A3" s="1">
        <v>2</v>
      </c>
      <c r="B3" s="1">
        <v>844899.45070000004</v>
      </c>
      <c r="C3" s="1">
        <v>470982.66248219972</v>
      </c>
      <c r="D3" s="1">
        <f t="shared" si="0"/>
        <v>373916.78821780032</v>
      </c>
      <c r="E3" s="1">
        <v>24</v>
      </c>
      <c r="F3" s="1">
        <v>9</v>
      </c>
      <c r="G3" s="1">
        <v>2</v>
      </c>
      <c r="H3" s="1">
        <v>2</v>
      </c>
      <c r="I3" s="1">
        <v>0</v>
      </c>
      <c r="J3" s="1">
        <v>0</v>
      </c>
      <c r="K3" s="1">
        <v>1</v>
      </c>
      <c r="L3" s="1">
        <v>1</v>
      </c>
      <c r="M3" s="1">
        <v>1</v>
      </c>
      <c r="P3" s="160" t="s">
        <v>37</v>
      </c>
      <c r="R3" s="109">
        <f ca="1">'t4_Income from 30-64'!T37</f>
        <v>930999.08959756582</v>
      </c>
      <c r="S3" s="3" t="s">
        <v>38</v>
      </c>
    </row>
    <row r="4" spans="1:19" ht="17.649999999999999" customHeight="1">
      <c r="A4" s="1">
        <v>3</v>
      </c>
      <c r="B4" s="1">
        <v>943200.01470000006</v>
      </c>
      <c r="C4" s="1">
        <v>1101862.7238073538</v>
      </c>
      <c r="D4" s="1">
        <f t="shared" si="0"/>
        <v>-158662.7091073537</v>
      </c>
      <c r="E4" s="1">
        <v>23</v>
      </c>
      <c r="F4" s="1">
        <v>10</v>
      </c>
      <c r="G4" s="1">
        <v>2</v>
      </c>
      <c r="H4" s="1">
        <v>0</v>
      </c>
      <c r="I4" s="1">
        <v>1</v>
      </c>
      <c r="J4" s="1">
        <v>1</v>
      </c>
      <c r="K4" s="1">
        <v>0</v>
      </c>
      <c r="L4" s="1">
        <v>0</v>
      </c>
      <c r="M4" s="1">
        <v>0</v>
      </c>
      <c r="P4" s="161" t="s">
        <v>39</v>
      </c>
      <c r="Q4" s="1">
        <v>1</v>
      </c>
      <c r="R4" s="165">
        <f ca="1">'t4_Income from 30-64'!T37</f>
        <v>930999.08959756582</v>
      </c>
      <c r="S4" s="3" t="s">
        <v>40</v>
      </c>
    </row>
    <row r="5" spans="1:19">
      <c r="A5" s="1">
        <v>4</v>
      </c>
      <c r="B5" s="1">
        <v>991101.67799999996</v>
      </c>
      <c r="C5" s="1">
        <v>901618.92063630756</v>
      </c>
      <c r="D5" s="1">
        <f t="shared" si="0"/>
        <v>89482.757363692392</v>
      </c>
      <c r="E5" s="1">
        <v>11</v>
      </c>
      <c r="F5" s="1">
        <v>18</v>
      </c>
      <c r="G5" s="1">
        <v>6</v>
      </c>
      <c r="H5" s="1">
        <v>0</v>
      </c>
      <c r="I5" s="1">
        <v>1</v>
      </c>
      <c r="J5" s="1">
        <v>0</v>
      </c>
      <c r="K5" s="1">
        <v>1</v>
      </c>
      <c r="L5" s="1">
        <v>0</v>
      </c>
      <c r="M5" s="1">
        <v>0</v>
      </c>
      <c r="P5" s="161" t="s">
        <v>41</v>
      </c>
      <c r="Q5" s="1">
        <v>0</v>
      </c>
      <c r="S5" s="3"/>
    </row>
    <row r="6" spans="1:19" ht="14.25" thickBot="1">
      <c r="A6" s="1">
        <v>5</v>
      </c>
      <c r="B6" s="1">
        <v>903866.96010000003</v>
      </c>
      <c r="C6" s="1">
        <v>795928.0447596265</v>
      </c>
      <c r="D6" s="1">
        <f t="shared" si="0"/>
        <v>107938.91534037353</v>
      </c>
      <c r="E6" s="1">
        <v>10</v>
      </c>
      <c r="F6" s="1">
        <v>20</v>
      </c>
      <c r="G6" s="1">
        <v>5</v>
      </c>
      <c r="H6" s="1">
        <v>1</v>
      </c>
      <c r="I6" s="1">
        <v>0</v>
      </c>
      <c r="J6" s="1">
        <v>2</v>
      </c>
      <c r="K6" s="1">
        <v>0</v>
      </c>
      <c r="L6" s="1">
        <v>0</v>
      </c>
      <c r="M6" s="1">
        <v>0</v>
      </c>
      <c r="P6" s="162" t="s">
        <v>42</v>
      </c>
      <c r="Q6" s="1">
        <v>0</v>
      </c>
      <c r="S6" s="3"/>
    </row>
    <row r="7" spans="1:19">
      <c r="A7" s="1">
        <v>6</v>
      </c>
      <c r="B7" s="1">
        <v>911373.82739999995</v>
      </c>
      <c r="C7" s="1">
        <v>1127233.7599771081</v>
      </c>
      <c r="D7" s="1">
        <f t="shared" si="0"/>
        <v>-215859.93257710815</v>
      </c>
      <c r="E7" s="1">
        <v>17</v>
      </c>
      <c r="F7" s="1">
        <v>15</v>
      </c>
      <c r="G7" s="1">
        <v>3</v>
      </c>
      <c r="H7" s="1">
        <v>1</v>
      </c>
      <c r="I7" s="1">
        <v>0</v>
      </c>
      <c r="J7" s="1">
        <v>0</v>
      </c>
      <c r="K7" s="1">
        <v>1</v>
      </c>
      <c r="L7" s="1">
        <v>0</v>
      </c>
      <c r="M7" s="1">
        <v>0</v>
      </c>
      <c r="P7" s="163" t="s">
        <v>43</v>
      </c>
      <c r="S7" s="3"/>
    </row>
    <row r="8" spans="1:19">
      <c r="A8" s="1">
        <v>7</v>
      </c>
      <c r="B8" s="1">
        <v>919447.01969999995</v>
      </c>
      <c r="C8" s="1">
        <v>594222.46990721219</v>
      </c>
      <c r="D8" s="1">
        <f t="shared" si="0"/>
        <v>325224.54979278776</v>
      </c>
      <c r="E8" s="1">
        <v>19</v>
      </c>
      <c r="F8" s="1">
        <v>11</v>
      </c>
      <c r="G8" s="1">
        <v>5</v>
      </c>
      <c r="H8" s="1">
        <v>0</v>
      </c>
      <c r="I8" s="1">
        <v>1</v>
      </c>
      <c r="J8" s="1">
        <v>0</v>
      </c>
      <c r="K8" s="1">
        <v>0</v>
      </c>
      <c r="L8" s="1">
        <v>0</v>
      </c>
      <c r="M8" s="1">
        <v>0</v>
      </c>
      <c r="P8" s="161" t="s">
        <v>39</v>
      </c>
      <c r="Q8" s="1">
        <v>0</v>
      </c>
      <c r="S8" s="3"/>
    </row>
    <row r="9" spans="1:19">
      <c r="A9" s="1">
        <v>8</v>
      </c>
      <c r="B9" s="1">
        <v>1109723.0547</v>
      </c>
      <c r="C9" s="1">
        <v>1047744.3803943829</v>
      </c>
      <c r="D9" s="1">
        <f t="shared" si="0"/>
        <v>61978.674305617111</v>
      </c>
      <c r="E9" s="1">
        <v>12</v>
      </c>
      <c r="F9" s="1">
        <v>17</v>
      </c>
      <c r="G9" s="1">
        <v>6</v>
      </c>
      <c r="H9" s="1">
        <v>0</v>
      </c>
      <c r="I9" s="1">
        <v>0</v>
      </c>
      <c r="J9" s="1">
        <v>0</v>
      </c>
      <c r="K9" s="1">
        <v>0</v>
      </c>
      <c r="L9" s="1">
        <v>0</v>
      </c>
      <c r="M9" s="1">
        <v>1</v>
      </c>
      <c r="P9" s="161" t="s">
        <v>41</v>
      </c>
      <c r="Q9" s="1">
        <v>0.5</v>
      </c>
      <c r="S9" s="3"/>
    </row>
    <row r="10" spans="1:19" ht="14.25" thickBot="1">
      <c r="A10" s="1">
        <v>9</v>
      </c>
      <c r="B10" s="1">
        <v>896328.679</v>
      </c>
      <c r="C10" s="1">
        <v>879059.65838056849</v>
      </c>
      <c r="D10" s="1">
        <f t="shared" si="0"/>
        <v>17269.020619431511</v>
      </c>
      <c r="E10" s="1">
        <v>17</v>
      </c>
      <c r="F10" s="1">
        <v>12</v>
      </c>
      <c r="G10" s="1">
        <v>6</v>
      </c>
      <c r="H10" s="1">
        <v>0</v>
      </c>
      <c r="I10" s="1">
        <v>0</v>
      </c>
      <c r="J10" s="1">
        <v>1</v>
      </c>
      <c r="K10" s="1">
        <v>1</v>
      </c>
      <c r="L10" s="1">
        <v>0</v>
      </c>
      <c r="M10" s="1">
        <v>0</v>
      </c>
      <c r="P10" s="162" t="s">
        <v>42</v>
      </c>
      <c r="Q10" s="1">
        <v>0.5</v>
      </c>
    </row>
    <row r="11" spans="1:19">
      <c r="A11" s="1">
        <v>10</v>
      </c>
      <c r="B11" s="1">
        <v>951587.29669999995</v>
      </c>
      <c r="C11" s="1">
        <v>981796.92005877895</v>
      </c>
      <c r="D11" s="1">
        <f t="shared" si="0"/>
        <v>-30209.623358779005</v>
      </c>
      <c r="E11" s="1">
        <v>14</v>
      </c>
      <c r="F11" s="1">
        <v>15</v>
      </c>
      <c r="G11" s="1">
        <v>6</v>
      </c>
      <c r="H11" s="1">
        <v>1</v>
      </c>
      <c r="I11" s="1">
        <v>0</v>
      </c>
      <c r="J11" s="1">
        <v>0</v>
      </c>
      <c r="K11" s="1">
        <v>1</v>
      </c>
      <c r="L11" s="1">
        <v>0</v>
      </c>
      <c r="M11" s="1">
        <v>0</v>
      </c>
      <c r="P11" s="164" t="s">
        <v>44</v>
      </c>
    </row>
    <row r="12" spans="1:19">
      <c r="A12" s="1">
        <v>11</v>
      </c>
      <c r="B12" s="1">
        <v>961008.38899999997</v>
      </c>
      <c r="C12" s="1">
        <v>635148.57304338797</v>
      </c>
      <c r="D12" s="1">
        <f t="shared" si="0"/>
        <v>325859.815956612</v>
      </c>
      <c r="E12" s="1">
        <v>7</v>
      </c>
      <c r="F12" s="1">
        <v>22</v>
      </c>
      <c r="G12" s="1">
        <v>6</v>
      </c>
      <c r="H12" s="1">
        <v>2</v>
      </c>
      <c r="I12" s="1">
        <v>0</v>
      </c>
      <c r="J12" s="1">
        <v>0</v>
      </c>
      <c r="K12" s="1">
        <v>0</v>
      </c>
      <c r="L12" s="1">
        <v>0</v>
      </c>
      <c r="M12" s="1">
        <v>0</v>
      </c>
      <c r="P12" s="161" t="s">
        <v>39</v>
      </c>
      <c r="Q12" s="1">
        <v>0</v>
      </c>
    </row>
    <row r="13" spans="1:19">
      <c r="A13" s="1">
        <v>12</v>
      </c>
      <c r="B13" s="1">
        <v>949477.549</v>
      </c>
      <c r="C13" s="1">
        <v>535794.3016343608</v>
      </c>
      <c r="D13" s="1">
        <f t="shared" si="0"/>
        <v>413683.2473656392</v>
      </c>
      <c r="E13" s="1">
        <v>20</v>
      </c>
      <c r="F13" s="1">
        <v>10</v>
      </c>
      <c r="G13" s="1">
        <v>5</v>
      </c>
      <c r="H13" s="1">
        <v>2</v>
      </c>
      <c r="I13" s="1">
        <v>0</v>
      </c>
      <c r="J13" s="1">
        <v>1</v>
      </c>
      <c r="K13" s="1">
        <v>0</v>
      </c>
      <c r="L13" s="1">
        <v>0</v>
      </c>
      <c r="M13" s="1">
        <v>1</v>
      </c>
      <c r="P13" s="161" t="s">
        <v>41</v>
      </c>
      <c r="Q13" s="1">
        <v>0</v>
      </c>
    </row>
    <row r="14" spans="1:19" ht="14.25" thickBot="1">
      <c r="A14" s="1">
        <v>13</v>
      </c>
      <c r="B14" s="1">
        <v>997748.174</v>
      </c>
      <c r="C14" s="1">
        <v>1317405.9154151648</v>
      </c>
      <c r="D14" s="1">
        <f t="shared" si="0"/>
        <v>-319657.74141516478</v>
      </c>
      <c r="E14" s="1">
        <v>11</v>
      </c>
      <c r="F14" s="1">
        <v>19</v>
      </c>
      <c r="G14" s="1">
        <v>5</v>
      </c>
      <c r="H14" s="1">
        <v>1</v>
      </c>
      <c r="I14" s="1">
        <v>0</v>
      </c>
      <c r="J14" s="1">
        <v>0</v>
      </c>
      <c r="K14" s="1">
        <v>1</v>
      </c>
      <c r="L14" s="1">
        <v>0</v>
      </c>
      <c r="M14" s="1">
        <v>0</v>
      </c>
      <c r="P14" s="162" t="s">
        <v>42</v>
      </c>
      <c r="Q14" s="1">
        <v>1</v>
      </c>
    </row>
    <row r="15" spans="1:19">
      <c r="A15" s="1">
        <v>14</v>
      </c>
      <c r="B15" s="1">
        <v>1037184.615</v>
      </c>
      <c r="C15" s="1">
        <v>1400100.3326872308</v>
      </c>
      <c r="D15" s="1">
        <f t="shared" si="0"/>
        <v>-362915.71768723079</v>
      </c>
      <c r="E15" s="1">
        <v>12</v>
      </c>
      <c r="F15" s="1">
        <v>18</v>
      </c>
      <c r="G15" s="1">
        <v>5</v>
      </c>
      <c r="H15" s="1">
        <v>1</v>
      </c>
      <c r="I15" s="1">
        <v>0</v>
      </c>
      <c r="J15" s="1">
        <v>1</v>
      </c>
      <c r="K15" s="1">
        <v>0</v>
      </c>
      <c r="L15" s="1">
        <v>0</v>
      </c>
      <c r="M15" s="1">
        <v>1</v>
      </c>
    </row>
    <row r="16" spans="1:19">
      <c r="A16" s="1">
        <v>15</v>
      </c>
      <c r="B16" s="1">
        <v>920490.64199999999</v>
      </c>
      <c r="C16" s="1">
        <v>732627.66364756017</v>
      </c>
      <c r="D16" s="1">
        <f t="shared" si="0"/>
        <v>187862.97835243982</v>
      </c>
      <c r="E16" s="1">
        <v>11</v>
      </c>
      <c r="F16" s="1">
        <v>19</v>
      </c>
      <c r="G16" s="1">
        <v>5</v>
      </c>
      <c r="H16" s="1">
        <v>1</v>
      </c>
      <c r="I16" s="1">
        <v>0</v>
      </c>
      <c r="J16" s="1">
        <v>0</v>
      </c>
      <c r="K16" s="1">
        <v>0</v>
      </c>
      <c r="L16" s="1">
        <v>0</v>
      </c>
      <c r="M16" s="1">
        <v>0</v>
      </c>
    </row>
    <row r="17" spans="1:19">
      <c r="A17" s="1">
        <v>16</v>
      </c>
      <c r="B17" s="1">
        <v>931045.66579999996</v>
      </c>
      <c r="C17" s="1">
        <v>889977.41829118074</v>
      </c>
      <c r="D17" s="1">
        <f t="shared" si="0"/>
        <v>41068.247508819215</v>
      </c>
      <c r="E17" s="1">
        <v>18</v>
      </c>
      <c r="F17" s="1">
        <v>13</v>
      </c>
      <c r="G17" s="1">
        <v>4</v>
      </c>
      <c r="H17" s="1">
        <v>1</v>
      </c>
      <c r="I17" s="1">
        <v>0</v>
      </c>
      <c r="J17" s="1">
        <v>0</v>
      </c>
      <c r="K17" s="1">
        <v>0</v>
      </c>
      <c r="L17" s="1">
        <v>0</v>
      </c>
      <c r="M17" s="1">
        <v>1</v>
      </c>
      <c r="P17" s="3"/>
    </row>
    <row r="18" spans="1:19">
      <c r="A18" s="1">
        <v>17</v>
      </c>
      <c r="B18" s="1">
        <v>888446.3811</v>
      </c>
      <c r="C18" s="1">
        <v>553338.32744727388</v>
      </c>
      <c r="D18" s="1">
        <f t="shared" si="0"/>
        <v>335108.05365272611</v>
      </c>
      <c r="E18" s="1">
        <v>19</v>
      </c>
      <c r="F18" s="1">
        <v>12</v>
      </c>
      <c r="G18" s="1">
        <v>4</v>
      </c>
      <c r="H18" s="1">
        <v>1</v>
      </c>
      <c r="I18" s="1">
        <v>0</v>
      </c>
      <c r="J18" s="1">
        <v>2</v>
      </c>
      <c r="K18" s="1">
        <v>0</v>
      </c>
      <c r="L18" s="1">
        <v>0</v>
      </c>
      <c r="M18" s="1">
        <v>0</v>
      </c>
    </row>
    <row r="19" spans="1:19">
      <c r="A19" s="1">
        <v>18</v>
      </c>
      <c r="B19" s="1">
        <v>934750.26910000003</v>
      </c>
      <c r="C19" s="1">
        <v>809477.45050282276</v>
      </c>
      <c r="D19" s="1">
        <f t="shared" si="0"/>
        <v>125272.81859717728</v>
      </c>
      <c r="E19" s="1">
        <v>11</v>
      </c>
      <c r="F19" s="1">
        <v>21</v>
      </c>
      <c r="G19" s="1">
        <v>3</v>
      </c>
      <c r="H19" s="1">
        <v>0</v>
      </c>
      <c r="I19" s="1">
        <v>0</v>
      </c>
      <c r="J19" s="1">
        <v>0</v>
      </c>
      <c r="K19" s="1">
        <v>1</v>
      </c>
      <c r="L19" s="1">
        <v>0</v>
      </c>
      <c r="M19" s="1">
        <v>0</v>
      </c>
    </row>
    <row r="20" spans="1:19">
      <c r="A20" s="1">
        <v>19</v>
      </c>
      <c r="B20" s="1">
        <v>904397.08810000005</v>
      </c>
      <c r="C20" s="1">
        <v>673648.07162980188</v>
      </c>
      <c r="D20" s="1">
        <f t="shared" si="0"/>
        <v>230749.01647019817</v>
      </c>
      <c r="E20" s="1">
        <v>14</v>
      </c>
      <c r="F20" s="1">
        <v>16</v>
      </c>
      <c r="G20" s="1">
        <v>5</v>
      </c>
      <c r="H20" s="1">
        <v>0</v>
      </c>
      <c r="I20" s="1">
        <v>0</v>
      </c>
      <c r="J20" s="1">
        <v>1</v>
      </c>
      <c r="K20" s="1">
        <v>0</v>
      </c>
      <c r="L20" s="1">
        <v>0</v>
      </c>
      <c r="M20" s="1">
        <v>0</v>
      </c>
    </row>
    <row r="21" spans="1:19">
      <c r="A21" s="1">
        <v>20</v>
      </c>
      <c r="B21" s="1">
        <v>908722.9179</v>
      </c>
      <c r="C21" s="1">
        <v>1033424.8264890763</v>
      </c>
      <c r="D21" s="1">
        <f t="shared" si="0"/>
        <v>-124701.90858907625</v>
      </c>
      <c r="E21" s="1">
        <v>19</v>
      </c>
      <c r="F21" s="1">
        <v>11</v>
      </c>
      <c r="G21" s="1">
        <v>5</v>
      </c>
      <c r="H21" s="1">
        <v>0</v>
      </c>
      <c r="I21" s="1">
        <v>0</v>
      </c>
      <c r="J21" s="1">
        <v>0</v>
      </c>
      <c r="K21" s="1">
        <v>1</v>
      </c>
      <c r="L21" s="1">
        <v>0</v>
      </c>
      <c r="M21" s="1">
        <v>0</v>
      </c>
    </row>
    <row r="22" spans="1:19">
      <c r="A22" s="1">
        <v>21</v>
      </c>
      <c r="B22" s="1">
        <v>871657.10609999998</v>
      </c>
      <c r="C22" s="1">
        <v>1140586.7010461963</v>
      </c>
      <c r="D22" s="1">
        <f t="shared" si="0"/>
        <v>-268929.5949461963</v>
      </c>
      <c r="E22" s="1">
        <v>20</v>
      </c>
      <c r="F22" s="1">
        <v>7</v>
      </c>
      <c r="G22" s="1">
        <v>8</v>
      </c>
      <c r="H22" s="1">
        <v>2</v>
      </c>
      <c r="I22" s="1">
        <v>0</v>
      </c>
      <c r="J22" s="1">
        <v>2</v>
      </c>
      <c r="K22" s="1">
        <v>0</v>
      </c>
      <c r="L22" s="1">
        <v>0</v>
      </c>
      <c r="M22" s="1">
        <v>0</v>
      </c>
    </row>
    <row r="23" spans="1:19">
      <c r="A23" s="1">
        <v>22</v>
      </c>
      <c r="B23" s="1">
        <v>938866.02500000002</v>
      </c>
      <c r="C23" s="1">
        <v>758733.31100569828</v>
      </c>
      <c r="D23" s="1">
        <f t="shared" si="0"/>
        <v>180132.71399430174</v>
      </c>
      <c r="E23" s="1">
        <v>5</v>
      </c>
      <c r="F23" s="1">
        <v>27</v>
      </c>
      <c r="G23" s="1">
        <v>3</v>
      </c>
      <c r="H23" s="1">
        <v>0</v>
      </c>
      <c r="I23" s="1">
        <v>0</v>
      </c>
      <c r="J23" s="1">
        <v>1</v>
      </c>
      <c r="K23" s="1">
        <v>1</v>
      </c>
      <c r="L23" s="1">
        <v>0</v>
      </c>
      <c r="M23" s="1">
        <v>1</v>
      </c>
    </row>
    <row r="24" spans="1:19">
      <c r="A24" s="1">
        <v>23</v>
      </c>
      <c r="B24" s="1">
        <v>915127.29819999996</v>
      </c>
      <c r="C24" s="1">
        <v>1031302.5378754843</v>
      </c>
      <c r="D24" s="1">
        <f t="shared" si="0"/>
        <v>-116175.23967548436</v>
      </c>
      <c r="E24" s="1">
        <v>11</v>
      </c>
      <c r="F24" s="1">
        <v>20</v>
      </c>
      <c r="G24" s="1">
        <v>4</v>
      </c>
      <c r="H24" s="1">
        <v>2</v>
      </c>
      <c r="I24" s="1">
        <v>0</v>
      </c>
      <c r="J24" s="1">
        <v>2</v>
      </c>
      <c r="K24" s="1">
        <v>0</v>
      </c>
      <c r="L24" s="1">
        <v>0</v>
      </c>
      <c r="M24" s="1">
        <v>0</v>
      </c>
    </row>
    <row r="25" spans="1:19">
      <c r="A25" s="1">
        <v>24</v>
      </c>
      <c r="B25" s="1">
        <v>826181.8443</v>
      </c>
      <c r="C25" s="1">
        <v>691780.88996527996</v>
      </c>
      <c r="D25" s="1">
        <f t="shared" si="0"/>
        <v>134400.95433472004</v>
      </c>
      <c r="E25" s="1">
        <v>13</v>
      </c>
      <c r="F25" s="1">
        <v>18</v>
      </c>
      <c r="G25" s="1">
        <v>4</v>
      </c>
      <c r="H25" s="1">
        <v>1</v>
      </c>
      <c r="I25" s="1">
        <v>0</v>
      </c>
      <c r="J25" s="1">
        <v>2</v>
      </c>
      <c r="K25" s="1">
        <v>0</v>
      </c>
      <c r="L25" s="1">
        <v>0</v>
      </c>
      <c r="M25" s="1">
        <v>1</v>
      </c>
      <c r="P25" s="1" t="s">
        <v>45</v>
      </c>
      <c r="Q25" s="1" t="s">
        <v>46</v>
      </c>
      <c r="R25" s="1" t="s">
        <v>47</v>
      </c>
      <c r="S25" s="1" t="s">
        <v>48</v>
      </c>
    </row>
    <row r="26" spans="1:19">
      <c r="A26" s="1">
        <v>25</v>
      </c>
      <c r="B26" s="1">
        <v>858755.85580000002</v>
      </c>
      <c r="C26" s="1">
        <v>1023123.0457903167</v>
      </c>
      <c r="D26" s="1">
        <f t="shared" si="0"/>
        <v>-164367.18999031663</v>
      </c>
      <c r="E26" s="1">
        <v>24</v>
      </c>
      <c r="F26" s="1">
        <v>7</v>
      </c>
      <c r="G26" s="1">
        <v>4</v>
      </c>
      <c r="H26" s="1">
        <v>2</v>
      </c>
      <c r="I26" s="1">
        <v>0</v>
      </c>
      <c r="J26" s="1">
        <v>0</v>
      </c>
      <c r="K26" s="1">
        <v>2</v>
      </c>
      <c r="L26" s="1">
        <v>0</v>
      </c>
      <c r="M26" s="1">
        <v>1</v>
      </c>
      <c r="P26" s="1" t="s">
        <v>49</v>
      </c>
      <c r="Q26" s="1">
        <f>AVERAGE(B2:B5001)</f>
        <v>937991.03956564202</v>
      </c>
      <c r="R26" s="113">
        <f>AVERAGE(C2:C5001)</f>
        <v>948313.05275668623</v>
      </c>
      <c r="S26" s="113">
        <f>AVERAGE(D2:D5001)</f>
        <v>-10322.013191047648</v>
      </c>
    </row>
    <row r="27" spans="1:19">
      <c r="A27" s="1">
        <v>26</v>
      </c>
      <c r="B27" s="1">
        <v>950510.27099999995</v>
      </c>
      <c r="C27" s="1">
        <v>585698.78196757659</v>
      </c>
      <c r="D27" s="1">
        <f t="shared" si="0"/>
        <v>364811.48903242336</v>
      </c>
      <c r="E27" s="1">
        <v>7</v>
      </c>
      <c r="F27" s="1">
        <v>22</v>
      </c>
      <c r="G27" s="1">
        <v>6</v>
      </c>
      <c r="H27" s="1">
        <v>0</v>
      </c>
      <c r="I27" s="1">
        <v>1</v>
      </c>
      <c r="J27" s="1">
        <v>0</v>
      </c>
      <c r="K27" s="1">
        <v>0</v>
      </c>
      <c r="L27" s="1">
        <v>0</v>
      </c>
      <c r="M27" s="1">
        <v>0</v>
      </c>
      <c r="P27" s="1" t="s">
        <v>50</v>
      </c>
      <c r="Q27" s="1">
        <f>_xlfn.STDEV.P(B2:B5001)</f>
        <v>64337.557858899308</v>
      </c>
      <c r="R27" s="1">
        <f>_xlfn.STDEV.P(C2:C5001)</f>
        <v>440668.10186252068</v>
      </c>
    </row>
    <row r="28" spans="1:19">
      <c r="A28" s="1">
        <v>27</v>
      </c>
      <c r="B28" s="1">
        <v>970195.86340000003</v>
      </c>
      <c r="C28" s="1">
        <v>758460.54439766426</v>
      </c>
      <c r="D28" s="1">
        <f t="shared" si="0"/>
        <v>211735.31900233577</v>
      </c>
      <c r="E28" s="1">
        <v>8</v>
      </c>
      <c r="F28" s="1">
        <v>24</v>
      </c>
      <c r="G28" s="1">
        <v>3</v>
      </c>
      <c r="H28" s="1">
        <v>0</v>
      </c>
      <c r="I28" s="1">
        <v>1</v>
      </c>
      <c r="J28" s="1">
        <v>2</v>
      </c>
      <c r="K28" s="1">
        <v>0</v>
      </c>
      <c r="L28" s="1">
        <v>0</v>
      </c>
      <c r="M28" s="1">
        <v>1</v>
      </c>
      <c r="P28" s="1" t="s">
        <v>51</v>
      </c>
      <c r="Q28" s="1">
        <f>MIN(B2:B5001)</f>
        <v>753018.22219999996</v>
      </c>
      <c r="R28" s="113">
        <f>MIN(C2:C5001)</f>
        <v>265772.44214957161</v>
      </c>
    </row>
    <row r="29" spans="1:19">
      <c r="A29" s="1">
        <v>28</v>
      </c>
      <c r="B29" s="1">
        <v>908304.95010000002</v>
      </c>
      <c r="C29" s="1">
        <v>933922.83372797514</v>
      </c>
      <c r="D29" s="1">
        <f t="shared" si="0"/>
        <v>-25617.883627975127</v>
      </c>
      <c r="E29" s="1">
        <v>18</v>
      </c>
      <c r="F29" s="1">
        <v>9</v>
      </c>
      <c r="G29" s="1">
        <v>8</v>
      </c>
      <c r="H29" s="1">
        <v>1</v>
      </c>
      <c r="I29" s="1">
        <v>1</v>
      </c>
      <c r="J29" s="1">
        <v>2</v>
      </c>
      <c r="K29" s="1">
        <v>0</v>
      </c>
      <c r="L29" s="1">
        <v>0</v>
      </c>
      <c r="M29" s="1">
        <v>1</v>
      </c>
      <c r="P29" s="1" t="s">
        <v>52</v>
      </c>
      <c r="Q29" s="1">
        <f>MAX(B2:B5001)</f>
        <v>1210886.4553</v>
      </c>
      <c r="R29" s="113">
        <f>MAX(C2:C5001)</f>
        <v>14697148.714999896</v>
      </c>
    </row>
    <row r="30" spans="1:19">
      <c r="A30" s="1">
        <v>29</v>
      </c>
      <c r="B30" s="1">
        <v>890267.2818</v>
      </c>
      <c r="C30" s="1">
        <v>910425.4397685444</v>
      </c>
      <c r="D30" s="1">
        <f t="shared" si="0"/>
        <v>-20158.157968544401</v>
      </c>
      <c r="E30" s="1">
        <v>18</v>
      </c>
      <c r="F30" s="1">
        <v>13</v>
      </c>
      <c r="G30" s="1">
        <v>4</v>
      </c>
      <c r="H30" s="1">
        <v>1</v>
      </c>
      <c r="I30" s="1">
        <v>0</v>
      </c>
      <c r="J30" s="1">
        <v>2</v>
      </c>
      <c r="K30" s="1">
        <v>0</v>
      </c>
      <c r="L30" s="1">
        <v>0</v>
      </c>
      <c r="M30" s="1">
        <v>0</v>
      </c>
      <c r="P30" s="1" t="s">
        <v>53</v>
      </c>
      <c r="Q30" s="1">
        <f>AVERAGE(B2:B5001)-1.96*_xlfn.STDEV.P(B2:B5001)/SQRT(5000)</f>
        <v>936207.6934465192</v>
      </c>
      <c r="R30" s="113">
        <f>AVERAGE(C2:C5001)-1.96*_xlfn.STDEV.P(C2:C5001)/SQRT(1000)</f>
        <v>921000.1608329406</v>
      </c>
    </row>
    <row r="31" spans="1:19">
      <c r="A31" s="1">
        <v>30</v>
      </c>
      <c r="B31" s="1">
        <v>910429.33940000006</v>
      </c>
      <c r="C31" s="1">
        <v>1148279.3882346568</v>
      </c>
      <c r="D31" s="1">
        <f t="shared" si="0"/>
        <v>-237850.04883465671</v>
      </c>
      <c r="E31" s="1">
        <v>13</v>
      </c>
      <c r="F31" s="1">
        <v>16</v>
      </c>
      <c r="G31" s="1">
        <v>6</v>
      </c>
      <c r="H31" s="1">
        <v>2</v>
      </c>
      <c r="I31" s="1">
        <v>0</v>
      </c>
      <c r="J31" s="1">
        <v>2</v>
      </c>
      <c r="K31" s="1">
        <v>0</v>
      </c>
      <c r="L31" s="1">
        <v>0</v>
      </c>
      <c r="M31" s="1">
        <v>1</v>
      </c>
      <c r="P31" s="1" t="s">
        <v>54</v>
      </c>
      <c r="Q31" s="1">
        <f>AVERAGE(B2:B5001)+1.96*_xlfn.STDEV.P(B2:B5001)/SQRT(1000)</f>
        <v>941978.72271541099</v>
      </c>
      <c r="R31" s="113">
        <f>AVERAGE(C2:C5001)+1.96*_xlfn.STDEV.P(C2:C5001)/SQRT(1000)</f>
        <v>975625.94468043186</v>
      </c>
    </row>
    <row r="32" spans="1:19">
      <c r="A32" s="1">
        <v>31</v>
      </c>
      <c r="B32" s="1">
        <v>917258.59550000005</v>
      </c>
      <c r="C32" s="1">
        <v>896256.77259150008</v>
      </c>
      <c r="D32" s="1">
        <f t="shared" si="0"/>
        <v>21001.822908499977</v>
      </c>
      <c r="E32" s="1">
        <v>18</v>
      </c>
      <c r="F32" s="1">
        <v>14</v>
      </c>
      <c r="G32" s="1">
        <v>3</v>
      </c>
      <c r="H32" s="1">
        <v>0</v>
      </c>
      <c r="I32" s="1">
        <v>0</v>
      </c>
      <c r="J32" s="1">
        <v>0</v>
      </c>
      <c r="K32" s="1">
        <v>1</v>
      </c>
      <c r="L32" s="1">
        <v>0</v>
      </c>
      <c r="M32" s="1">
        <v>0</v>
      </c>
      <c r="P32" s="1" t="s">
        <v>55</v>
      </c>
      <c r="Q32" s="1">
        <f>_xlfn.PERCENTILE.INC(B2:B5001, 0.025)</f>
        <v>826531.04540250008</v>
      </c>
      <c r="R32" s="1">
        <f>_xlfn.PERCENTILE.INC(C2:C5001, 0.025)</f>
        <v>484385.41199793469</v>
      </c>
    </row>
    <row r="33" spans="1:20">
      <c r="A33" s="1">
        <v>32</v>
      </c>
      <c r="B33" s="1">
        <v>831727.24609999999</v>
      </c>
      <c r="C33" s="1">
        <v>1502660.3494605357</v>
      </c>
      <c r="D33" s="1">
        <f t="shared" si="0"/>
        <v>-670933.10336053569</v>
      </c>
      <c r="E33" s="1">
        <v>15</v>
      </c>
      <c r="F33" s="1">
        <v>15</v>
      </c>
      <c r="G33" s="1">
        <v>5</v>
      </c>
      <c r="H33" s="1">
        <v>0</v>
      </c>
      <c r="I33" s="1">
        <v>2</v>
      </c>
      <c r="J33" s="1">
        <v>1</v>
      </c>
      <c r="K33" s="1">
        <v>1</v>
      </c>
      <c r="L33" s="1">
        <v>0</v>
      </c>
      <c r="M33" s="1">
        <v>0</v>
      </c>
      <c r="P33" s="1" t="s">
        <v>56</v>
      </c>
      <c r="Q33" s="1">
        <f>_xlfn.PERCENTILE.INC(B2:B5001, 0.975)</f>
        <v>1078537.8923774997</v>
      </c>
      <c r="R33" s="1">
        <f>_xlfn.PERCENTILE.INC(C2:C5001, 0.975)</f>
        <v>1880500.9207100447</v>
      </c>
    </row>
    <row r="34" spans="1:20">
      <c r="A34" s="1">
        <v>33</v>
      </c>
      <c r="B34" s="1">
        <v>970590.67180000001</v>
      </c>
      <c r="C34" s="1">
        <v>1032646.8625855788</v>
      </c>
      <c r="D34" s="1">
        <f t="shared" si="0"/>
        <v>-62056.190785578801</v>
      </c>
      <c r="E34" s="1">
        <v>17</v>
      </c>
      <c r="F34" s="1">
        <v>12</v>
      </c>
      <c r="G34" s="1">
        <v>6</v>
      </c>
      <c r="H34" s="1">
        <v>1</v>
      </c>
      <c r="I34" s="1">
        <v>1</v>
      </c>
      <c r="J34" s="1">
        <v>1</v>
      </c>
      <c r="K34" s="1">
        <v>0</v>
      </c>
      <c r="L34" s="1">
        <v>0</v>
      </c>
      <c r="M34" s="1">
        <v>1</v>
      </c>
    </row>
    <row r="35" spans="1:20">
      <c r="A35" s="1">
        <v>34</v>
      </c>
      <c r="B35" s="1">
        <v>908267.13919999998</v>
      </c>
      <c r="C35" s="1">
        <v>974145.1057105019</v>
      </c>
      <c r="D35" s="1">
        <f t="shared" si="0"/>
        <v>-65877.966510501923</v>
      </c>
      <c r="E35" s="1">
        <v>10</v>
      </c>
      <c r="F35" s="1">
        <v>19</v>
      </c>
      <c r="G35" s="1">
        <v>6</v>
      </c>
      <c r="H35" s="1">
        <v>1</v>
      </c>
      <c r="I35" s="1">
        <v>0</v>
      </c>
      <c r="J35" s="1">
        <v>1</v>
      </c>
      <c r="K35" s="1">
        <v>1</v>
      </c>
      <c r="L35" s="1">
        <v>0</v>
      </c>
      <c r="M35" s="1">
        <v>0</v>
      </c>
      <c r="P35" s="1" t="s">
        <v>57</v>
      </c>
      <c r="Q35" s="1">
        <f>COUNTIF(D2:D5001, "&lt;0")</f>
        <v>1980</v>
      </c>
    </row>
    <row r="36" spans="1:20">
      <c r="A36" s="1">
        <v>35</v>
      </c>
      <c r="B36" s="1">
        <v>970295.32759999996</v>
      </c>
      <c r="C36" s="1">
        <v>596846.42887752235</v>
      </c>
      <c r="D36" s="1">
        <f t="shared" si="0"/>
        <v>373448.89872247761</v>
      </c>
      <c r="E36" s="1">
        <v>8</v>
      </c>
      <c r="F36" s="1">
        <v>18</v>
      </c>
      <c r="G36" s="1">
        <v>9</v>
      </c>
      <c r="H36" s="1">
        <v>2</v>
      </c>
      <c r="I36" s="1">
        <v>0</v>
      </c>
      <c r="J36" s="1">
        <v>1</v>
      </c>
      <c r="K36" s="1">
        <v>1</v>
      </c>
      <c r="L36" s="1">
        <v>0</v>
      </c>
      <c r="M36" s="1">
        <v>0</v>
      </c>
    </row>
    <row r="37" spans="1:20">
      <c r="A37" s="1">
        <v>36</v>
      </c>
      <c r="B37" s="1">
        <v>881242.46440000006</v>
      </c>
      <c r="C37" s="1">
        <v>924970.47794136859</v>
      </c>
      <c r="D37" s="1">
        <f t="shared" si="0"/>
        <v>-43728.013541368535</v>
      </c>
      <c r="E37" s="1">
        <v>10</v>
      </c>
      <c r="F37" s="1">
        <v>22</v>
      </c>
      <c r="G37" s="1">
        <v>3</v>
      </c>
      <c r="H37" s="1">
        <v>1</v>
      </c>
      <c r="I37" s="1">
        <v>1</v>
      </c>
      <c r="J37" s="1">
        <v>0</v>
      </c>
      <c r="K37" s="1">
        <v>0</v>
      </c>
      <c r="L37" s="1">
        <v>0</v>
      </c>
      <c r="M37" s="1">
        <v>0</v>
      </c>
    </row>
    <row r="38" spans="1:20">
      <c r="A38" s="1">
        <v>37</v>
      </c>
      <c r="B38" s="1">
        <v>876691.75120000006</v>
      </c>
      <c r="C38" s="1">
        <v>1289855.9344084649</v>
      </c>
      <c r="D38" s="1">
        <f t="shared" si="0"/>
        <v>-413164.18320846488</v>
      </c>
      <c r="E38" s="1">
        <v>22</v>
      </c>
      <c r="F38" s="1">
        <v>10</v>
      </c>
      <c r="G38" s="1">
        <v>3</v>
      </c>
      <c r="H38" s="1">
        <v>2</v>
      </c>
      <c r="I38" s="1">
        <v>0</v>
      </c>
      <c r="J38" s="1">
        <v>1</v>
      </c>
      <c r="K38" s="1">
        <v>1</v>
      </c>
      <c r="L38" s="1">
        <v>0</v>
      </c>
      <c r="M38" s="1">
        <v>0</v>
      </c>
    </row>
    <row r="39" spans="1:20">
      <c r="A39" s="1">
        <v>38</v>
      </c>
      <c r="B39" s="1">
        <v>896513.821</v>
      </c>
      <c r="C39" s="1">
        <v>708543.24091725005</v>
      </c>
      <c r="D39" s="1">
        <f t="shared" si="0"/>
        <v>187970.58008274995</v>
      </c>
      <c r="E39" s="1">
        <v>17</v>
      </c>
      <c r="F39" s="1">
        <v>16</v>
      </c>
      <c r="G39" s="1">
        <v>2</v>
      </c>
      <c r="H39" s="1">
        <v>0</v>
      </c>
      <c r="I39" s="1">
        <v>0</v>
      </c>
      <c r="J39" s="1">
        <v>2</v>
      </c>
      <c r="K39" s="1">
        <v>0</v>
      </c>
      <c r="L39" s="1">
        <v>0</v>
      </c>
      <c r="M39" s="1">
        <v>0</v>
      </c>
      <c r="P39" s="1" t="s">
        <v>58</v>
      </c>
      <c r="Q39" s="1" t="s">
        <v>59</v>
      </c>
    </row>
    <row r="40" spans="1:20">
      <c r="A40" s="1">
        <v>39</v>
      </c>
      <c r="B40" s="1">
        <v>902309.06940000004</v>
      </c>
      <c r="C40" s="1">
        <v>893635.07613171544</v>
      </c>
      <c r="D40" s="1">
        <f t="shared" si="0"/>
        <v>8673.9932682845974</v>
      </c>
      <c r="E40" s="1">
        <v>16</v>
      </c>
      <c r="F40" s="1">
        <v>15</v>
      </c>
      <c r="G40" s="1">
        <v>4</v>
      </c>
      <c r="H40" s="1">
        <v>1</v>
      </c>
      <c r="I40" s="1">
        <v>0</v>
      </c>
      <c r="J40" s="1">
        <v>0</v>
      </c>
      <c r="K40" s="1">
        <v>2</v>
      </c>
      <c r="L40" s="1">
        <v>0</v>
      </c>
      <c r="M40" s="1">
        <v>0</v>
      </c>
      <c r="P40" s="1" t="s">
        <v>58</v>
      </c>
      <c r="Q40" s="1" t="s">
        <v>59</v>
      </c>
      <c r="R40" s="1" t="s">
        <v>60</v>
      </c>
      <c r="S40" s="1" t="s">
        <v>61</v>
      </c>
      <c r="T40" s="1" t="s">
        <v>62</v>
      </c>
    </row>
    <row r="41" spans="1:20">
      <c r="A41" s="1">
        <v>40</v>
      </c>
      <c r="B41" s="1">
        <v>802350.45270000002</v>
      </c>
      <c r="C41" s="1">
        <v>1229398.9122952027</v>
      </c>
      <c r="D41" s="1">
        <f t="shared" si="0"/>
        <v>-427048.4595952027</v>
      </c>
      <c r="E41" s="1">
        <v>9</v>
      </c>
      <c r="F41" s="1">
        <v>20</v>
      </c>
      <c r="G41" s="1">
        <v>6</v>
      </c>
      <c r="H41" s="1">
        <v>1</v>
      </c>
      <c r="I41" s="1">
        <v>0</v>
      </c>
      <c r="J41" s="1">
        <v>0</v>
      </c>
      <c r="K41" s="1">
        <v>1</v>
      </c>
      <c r="L41" s="1">
        <v>1</v>
      </c>
      <c r="M41" s="1">
        <v>0</v>
      </c>
      <c r="P41" s="1" t="s">
        <v>63</v>
      </c>
      <c r="Q41" s="1">
        <v>1084</v>
      </c>
      <c r="R41" s="1">
        <v>875</v>
      </c>
      <c r="S41" s="1">
        <v>209</v>
      </c>
      <c r="T41" s="1">
        <v>0</v>
      </c>
    </row>
    <row r="42" spans="1:20">
      <c r="A42" s="1">
        <v>41</v>
      </c>
      <c r="B42" s="1">
        <v>836560.57790000003</v>
      </c>
      <c r="C42" s="1">
        <v>777287.62361007417</v>
      </c>
      <c r="D42" s="1">
        <f t="shared" si="0"/>
        <v>59272.954289925867</v>
      </c>
      <c r="E42" s="1">
        <v>16</v>
      </c>
      <c r="F42" s="1">
        <v>14</v>
      </c>
      <c r="G42" s="1">
        <v>5</v>
      </c>
      <c r="H42" s="1">
        <v>2</v>
      </c>
      <c r="I42" s="1">
        <v>0</v>
      </c>
      <c r="J42" s="1">
        <v>0</v>
      </c>
      <c r="K42" s="1">
        <v>0</v>
      </c>
      <c r="L42" s="1">
        <v>0</v>
      </c>
      <c r="M42" s="1">
        <v>0</v>
      </c>
      <c r="P42" s="1" t="s">
        <v>64</v>
      </c>
      <c r="Q42" s="1">
        <v>1257</v>
      </c>
      <c r="R42" s="1">
        <v>851</v>
      </c>
      <c r="S42" s="1">
        <v>388</v>
      </c>
      <c r="T42" s="1">
        <v>18</v>
      </c>
    </row>
    <row r="43" spans="1:20">
      <c r="A43" s="1">
        <v>42</v>
      </c>
      <c r="B43" s="1">
        <v>1030429.9481</v>
      </c>
      <c r="C43" s="1">
        <v>620665.62158806506</v>
      </c>
      <c r="D43" s="1">
        <f t="shared" si="0"/>
        <v>409764.32651193498</v>
      </c>
      <c r="E43" s="1">
        <v>5</v>
      </c>
      <c r="F43" s="1">
        <v>22</v>
      </c>
      <c r="G43" s="1">
        <v>8</v>
      </c>
      <c r="H43" s="1">
        <v>0</v>
      </c>
      <c r="I43" s="1">
        <v>0</v>
      </c>
      <c r="J43" s="1">
        <v>2</v>
      </c>
      <c r="K43" s="1">
        <v>0</v>
      </c>
      <c r="L43" s="1">
        <v>0</v>
      </c>
      <c r="M43" s="1">
        <v>1</v>
      </c>
      <c r="P43" s="1" t="s">
        <v>65</v>
      </c>
      <c r="Q43" s="1">
        <v>967</v>
      </c>
      <c r="R43" s="1">
        <v>440</v>
      </c>
      <c r="S43" s="1">
        <v>459</v>
      </c>
      <c r="T43" s="1">
        <v>68</v>
      </c>
    </row>
    <row r="44" spans="1:20">
      <c r="A44" s="1">
        <v>43</v>
      </c>
      <c r="B44" s="1">
        <v>941204.05799999996</v>
      </c>
      <c r="C44" s="1">
        <v>1145494.4845574903</v>
      </c>
      <c r="D44" s="1">
        <f t="shared" si="0"/>
        <v>-204290.42655749037</v>
      </c>
      <c r="E44" s="1">
        <v>16</v>
      </c>
      <c r="F44" s="1">
        <v>17</v>
      </c>
      <c r="G44" s="1">
        <v>2</v>
      </c>
      <c r="H44" s="1">
        <v>0</v>
      </c>
      <c r="I44" s="1">
        <v>0</v>
      </c>
      <c r="J44" s="1">
        <v>0</v>
      </c>
      <c r="K44" s="1">
        <v>1</v>
      </c>
      <c r="L44" s="1">
        <v>0</v>
      </c>
      <c r="M44" s="1">
        <v>0</v>
      </c>
      <c r="P44" s="1" t="s">
        <v>66</v>
      </c>
      <c r="Q44" s="1">
        <v>792</v>
      </c>
      <c r="R44" s="1">
        <v>324</v>
      </c>
      <c r="S44" s="1">
        <v>350</v>
      </c>
      <c r="T44" s="1">
        <v>118</v>
      </c>
    </row>
    <row r="45" spans="1:20">
      <c r="A45" s="1">
        <v>44</v>
      </c>
      <c r="B45" s="1">
        <v>924878.25829999999</v>
      </c>
      <c r="C45" s="1">
        <v>1523640.3005048619</v>
      </c>
      <c r="D45" s="1">
        <f t="shared" si="0"/>
        <v>-598762.04220486188</v>
      </c>
      <c r="E45" s="1">
        <v>11</v>
      </c>
      <c r="F45" s="1">
        <v>19</v>
      </c>
      <c r="G45" s="1">
        <v>5</v>
      </c>
      <c r="H45" s="1">
        <v>1</v>
      </c>
      <c r="I45" s="1">
        <v>1</v>
      </c>
      <c r="J45" s="1">
        <v>1</v>
      </c>
      <c r="K45" s="1">
        <v>0</v>
      </c>
      <c r="L45" s="1">
        <v>1</v>
      </c>
      <c r="M45" s="1">
        <v>0</v>
      </c>
      <c r="P45" s="1" t="s">
        <v>67</v>
      </c>
      <c r="Q45" s="1">
        <v>480</v>
      </c>
      <c r="R45" s="1">
        <v>165</v>
      </c>
      <c r="S45" s="1">
        <v>269</v>
      </c>
      <c r="T45" s="1">
        <v>46</v>
      </c>
    </row>
    <row r="46" spans="1:20">
      <c r="A46" s="1">
        <v>45</v>
      </c>
      <c r="B46" s="1">
        <v>926563.38800000004</v>
      </c>
      <c r="C46" s="1">
        <v>620330.03147898684</v>
      </c>
      <c r="D46" s="1">
        <f t="shared" si="0"/>
        <v>306233.35652101319</v>
      </c>
      <c r="E46" s="1">
        <v>17</v>
      </c>
      <c r="F46" s="1">
        <v>16</v>
      </c>
      <c r="G46" s="1">
        <v>2</v>
      </c>
      <c r="H46" s="1">
        <v>0</v>
      </c>
      <c r="I46" s="1">
        <v>0</v>
      </c>
      <c r="J46" s="1">
        <v>1</v>
      </c>
      <c r="K46" s="1">
        <v>1</v>
      </c>
      <c r="L46" s="1">
        <v>0</v>
      </c>
      <c r="M46" s="1">
        <v>0</v>
      </c>
      <c r="P46" s="1" t="s">
        <v>68</v>
      </c>
      <c r="Q46" s="1">
        <v>508</v>
      </c>
      <c r="R46" s="1">
        <v>508</v>
      </c>
      <c r="S46" s="1">
        <v>0</v>
      </c>
      <c r="T46" s="1">
        <v>0</v>
      </c>
    </row>
    <row r="47" spans="1:20">
      <c r="A47" s="1">
        <v>46</v>
      </c>
      <c r="B47" s="1">
        <v>803194.19830000005</v>
      </c>
      <c r="C47" s="1">
        <v>979790.88031746133</v>
      </c>
      <c r="D47" s="1">
        <f t="shared" si="0"/>
        <v>-176596.68201746128</v>
      </c>
      <c r="E47" s="1">
        <v>9</v>
      </c>
      <c r="F47" s="1">
        <v>21</v>
      </c>
      <c r="G47" s="1">
        <v>5</v>
      </c>
      <c r="H47" s="1">
        <v>0</v>
      </c>
      <c r="I47" s="1">
        <v>1</v>
      </c>
      <c r="J47" s="1">
        <v>0</v>
      </c>
      <c r="K47" s="1">
        <v>2</v>
      </c>
      <c r="L47" s="1">
        <v>0</v>
      </c>
      <c r="M47" s="1">
        <v>0</v>
      </c>
      <c r="P47" s="1" t="s">
        <v>69</v>
      </c>
      <c r="Q47" s="1">
        <v>252</v>
      </c>
      <c r="R47" s="1">
        <v>0</v>
      </c>
      <c r="S47" s="1">
        <v>0</v>
      </c>
      <c r="T47" s="1">
        <v>252</v>
      </c>
    </row>
    <row r="48" spans="1:20">
      <c r="A48" s="1">
        <v>47</v>
      </c>
      <c r="B48" s="1">
        <v>992336.95589999994</v>
      </c>
      <c r="C48" s="1">
        <v>975150.27564729506</v>
      </c>
      <c r="D48" s="1">
        <f t="shared" si="0"/>
        <v>17186.680252704886</v>
      </c>
      <c r="E48" s="1">
        <v>8</v>
      </c>
      <c r="F48" s="1">
        <v>22</v>
      </c>
      <c r="G48" s="1">
        <v>5</v>
      </c>
      <c r="H48" s="1">
        <v>1</v>
      </c>
      <c r="I48" s="1">
        <v>1</v>
      </c>
      <c r="J48" s="1">
        <v>0</v>
      </c>
      <c r="K48" s="1">
        <v>0</v>
      </c>
      <c r="L48" s="1">
        <v>1</v>
      </c>
      <c r="M48" s="1">
        <v>0</v>
      </c>
    </row>
    <row r="49" spans="1:13">
      <c r="A49" s="1">
        <v>48</v>
      </c>
      <c r="B49" s="1">
        <v>904915.94440000004</v>
      </c>
      <c r="C49" s="1">
        <v>915719.76918929047</v>
      </c>
      <c r="D49" s="1">
        <f t="shared" si="0"/>
        <v>-10803.824789290433</v>
      </c>
      <c r="E49" s="1">
        <v>16</v>
      </c>
      <c r="F49" s="1">
        <v>13</v>
      </c>
      <c r="G49" s="1">
        <v>6</v>
      </c>
      <c r="H49" s="1">
        <v>1</v>
      </c>
      <c r="I49" s="1">
        <v>0</v>
      </c>
      <c r="J49" s="1">
        <v>0</v>
      </c>
      <c r="K49" s="1">
        <v>2</v>
      </c>
      <c r="L49" s="1">
        <v>0</v>
      </c>
      <c r="M49" s="1">
        <v>1</v>
      </c>
    </row>
    <row r="50" spans="1:13">
      <c r="A50" s="1">
        <v>49</v>
      </c>
      <c r="B50" s="1">
        <v>914536.74719999998</v>
      </c>
      <c r="C50" s="1">
        <v>1140577.9702726027</v>
      </c>
      <c r="D50" s="1">
        <f t="shared" si="0"/>
        <v>-226041.22307260276</v>
      </c>
      <c r="E50" s="1">
        <v>10</v>
      </c>
      <c r="F50" s="1">
        <v>20</v>
      </c>
      <c r="G50" s="1">
        <v>5</v>
      </c>
      <c r="H50" s="1">
        <v>0</v>
      </c>
      <c r="I50" s="1">
        <v>0</v>
      </c>
      <c r="J50" s="1">
        <v>0</v>
      </c>
      <c r="K50" s="1">
        <v>0</v>
      </c>
      <c r="L50" s="1">
        <v>0</v>
      </c>
      <c r="M50" s="1">
        <v>0</v>
      </c>
    </row>
    <row r="51" spans="1:13">
      <c r="A51" s="1">
        <v>50</v>
      </c>
      <c r="B51" s="1">
        <v>986616.57019999996</v>
      </c>
      <c r="C51" s="1">
        <v>552836.18881979014</v>
      </c>
      <c r="D51" s="1">
        <f t="shared" si="0"/>
        <v>433780.38138020982</v>
      </c>
      <c r="E51" s="1">
        <v>15</v>
      </c>
      <c r="F51" s="1">
        <v>18</v>
      </c>
      <c r="G51" s="1">
        <v>2</v>
      </c>
      <c r="H51" s="1">
        <v>0</v>
      </c>
      <c r="I51" s="1">
        <v>0</v>
      </c>
      <c r="J51" s="1">
        <v>0</v>
      </c>
      <c r="K51" s="1">
        <v>0</v>
      </c>
      <c r="L51" s="1">
        <v>0</v>
      </c>
      <c r="M51" s="1">
        <v>0</v>
      </c>
    </row>
    <row r="52" spans="1:13">
      <c r="A52" s="1">
        <v>51</v>
      </c>
      <c r="B52" s="1">
        <v>898661.67980000004</v>
      </c>
      <c r="C52" s="1">
        <v>1690883.7725582297</v>
      </c>
      <c r="D52" s="1">
        <f t="shared" si="0"/>
        <v>-792222.0927582297</v>
      </c>
      <c r="E52" s="1">
        <v>7</v>
      </c>
      <c r="F52" s="1">
        <v>24</v>
      </c>
      <c r="G52" s="1">
        <v>4</v>
      </c>
      <c r="H52" s="1">
        <v>0</v>
      </c>
      <c r="I52" s="1">
        <v>0</v>
      </c>
      <c r="J52" s="1">
        <v>1</v>
      </c>
      <c r="K52" s="1">
        <v>1</v>
      </c>
      <c r="L52" s="1">
        <v>0</v>
      </c>
      <c r="M52" s="1">
        <v>0</v>
      </c>
    </row>
    <row r="53" spans="1:13">
      <c r="A53" s="1">
        <v>52</v>
      </c>
      <c r="B53" s="1">
        <v>944664.20200000005</v>
      </c>
      <c r="C53" s="1">
        <v>595066.52842085843</v>
      </c>
      <c r="D53" s="1">
        <f t="shared" si="0"/>
        <v>349597.67357914161</v>
      </c>
      <c r="E53" s="1">
        <v>12</v>
      </c>
      <c r="F53" s="1">
        <v>19</v>
      </c>
      <c r="G53" s="1">
        <v>4</v>
      </c>
      <c r="H53" s="1">
        <v>0</v>
      </c>
      <c r="I53" s="1">
        <v>0</v>
      </c>
      <c r="J53" s="1">
        <v>0</v>
      </c>
      <c r="K53" s="1">
        <v>0</v>
      </c>
      <c r="L53" s="1">
        <v>0</v>
      </c>
      <c r="M53" s="1">
        <v>0</v>
      </c>
    </row>
    <row r="54" spans="1:13">
      <c r="A54" s="1">
        <v>53</v>
      </c>
      <c r="B54" s="1">
        <v>953541.87399999995</v>
      </c>
      <c r="C54" s="1">
        <v>581829.81912093272</v>
      </c>
      <c r="D54" s="1">
        <f t="shared" si="0"/>
        <v>371712.05487906723</v>
      </c>
      <c r="E54" s="1">
        <v>7</v>
      </c>
      <c r="F54" s="1">
        <v>21</v>
      </c>
      <c r="G54" s="1">
        <v>7</v>
      </c>
      <c r="H54" s="1">
        <v>0</v>
      </c>
      <c r="I54" s="1">
        <v>0</v>
      </c>
      <c r="J54" s="1">
        <v>2</v>
      </c>
      <c r="K54" s="1">
        <v>0</v>
      </c>
      <c r="L54" s="1">
        <v>0</v>
      </c>
      <c r="M54" s="1">
        <v>0</v>
      </c>
    </row>
    <row r="55" spans="1:13">
      <c r="A55" s="1">
        <v>54</v>
      </c>
      <c r="B55" s="1">
        <v>861165.29209999996</v>
      </c>
      <c r="C55" s="1">
        <v>908886.230162277</v>
      </c>
      <c r="D55" s="1">
        <f t="shared" si="0"/>
        <v>-47720.93806227704</v>
      </c>
      <c r="E55" s="1">
        <v>15</v>
      </c>
      <c r="F55" s="1">
        <v>15</v>
      </c>
      <c r="G55" s="1">
        <v>5</v>
      </c>
      <c r="H55" s="1">
        <v>2</v>
      </c>
      <c r="I55" s="1">
        <v>0</v>
      </c>
      <c r="J55" s="1">
        <v>1</v>
      </c>
      <c r="K55" s="1">
        <v>1</v>
      </c>
      <c r="L55" s="1">
        <v>0</v>
      </c>
      <c r="M55" s="1">
        <v>0</v>
      </c>
    </row>
    <row r="56" spans="1:13">
      <c r="A56" s="1">
        <v>55</v>
      </c>
      <c r="B56" s="1">
        <v>1016587.9026</v>
      </c>
      <c r="C56" s="1">
        <v>615891.94928120449</v>
      </c>
      <c r="D56" s="1">
        <f t="shared" si="0"/>
        <v>400695.95331879554</v>
      </c>
      <c r="E56" s="1">
        <v>13</v>
      </c>
      <c r="F56" s="1">
        <v>16</v>
      </c>
      <c r="G56" s="1">
        <v>6</v>
      </c>
      <c r="H56" s="1">
        <v>2</v>
      </c>
      <c r="I56" s="1">
        <v>0</v>
      </c>
      <c r="J56" s="1">
        <v>1</v>
      </c>
      <c r="K56" s="1">
        <v>0</v>
      </c>
      <c r="L56" s="1">
        <v>0</v>
      </c>
      <c r="M56" s="1">
        <v>0</v>
      </c>
    </row>
    <row r="57" spans="1:13">
      <c r="A57" s="1">
        <v>56</v>
      </c>
      <c r="B57" s="1">
        <v>975558.72990000003</v>
      </c>
      <c r="C57" s="1">
        <v>626606.74942120793</v>
      </c>
      <c r="D57" s="1">
        <f t="shared" si="0"/>
        <v>348951.9804787921</v>
      </c>
      <c r="E57" s="1">
        <v>17</v>
      </c>
      <c r="F57" s="1">
        <v>12</v>
      </c>
      <c r="G57" s="1">
        <v>6</v>
      </c>
      <c r="H57" s="1">
        <v>0</v>
      </c>
      <c r="I57" s="1">
        <v>0</v>
      </c>
      <c r="J57" s="1">
        <v>0</v>
      </c>
      <c r="K57" s="1">
        <v>1</v>
      </c>
      <c r="L57" s="1">
        <v>0</v>
      </c>
      <c r="M57" s="1">
        <v>1</v>
      </c>
    </row>
    <row r="58" spans="1:13">
      <c r="A58" s="1">
        <v>57</v>
      </c>
      <c r="B58" s="1">
        <v>798928.13630000001</v>
      </c>
      <c r="C58" s="1">
        <v>455557.39845629036</v>
      </c>
      <c r="D58" s="1">
        <f t="shared" si="0"/>
        <v>343370.73784370965</v>
      </c>
      <c r="E58" s="1">
        <v>24</v>
      </c>
      <c r="F58" s="1">
        <v>7</v>
      </c>
      <c r="G58" s="1">
        <v>4</v>
      </c>
      <c r="H58" s="1">
        <v>0</v>
      </c>
      <c r="I58" s="1">
        <v>1</v>
      </c>
      <c r="J58" s="1">
        <v>0</v>
      </c>
      <c r="K58" s="1">
        <v>0</v>
      </c>
      <c r="L58" s="1">
        <v>0</v>
      </c>
      <c r="M58" s="1">
        <v>1</v>
      </c>
    </row>
    <row r="59" spans="1:13">
      <c r="A59" s="1">
        <v>58</v>
      </c>
      <c r="B59" s="1">
        <v>974755.90379999997</v>
      </c>
      <c r="C59" s="1">
        <v>990292.38943722425</v>
      </c>
      <c r="D59" s="1">
        <f t="shared" si="0"/>
        <v>-15536.485637224279</v>
      </c>
      <c r="E59" s="1">
        <v>15</v>
      </c>
      <c r="F59" s="1">
        <v>14</v>
      </c>
      <c r="G59" s="1">
        <v>6</v>
      </c>
      <c r="H59" s="1">
        <v>1</v>
      </c>
      <c r="I59" s="1">
        <v>0</v>
      </c>
      <c r="J59" s="1">
        <v>1</v>
      </c>
      <c r="K59" s="1">
        <v>0</v>
      </c>
      <c r="L59" s="1">
        <v>0</v>
      </c>
      <c r="M59" s="1">
        <v>0</v>
      </c>
    </row>
    <row r="60" spans="1:13">
      <c r="A60" s="1">
        <v>59</v>
      </c>
      <c r="B60" s="1">
        <v>1121084.1976999999</v>
      </c>
      <c r="C60" s="1">
        <v>902098.40418536251</v>
      </c>
      <c r="D60" s="1">
        <f t="shared" si="0"/>
        <v>218985.79351463739</v>
      </c>
      <c r="E60" s="1">
        <v>16</v>
      </c>
      <c r="F60" s="1">
        <v>12</v>
      </c>
      <c r="G60" s="1">
        <v>7</v>
      </c>
      <c r="H60" s="1">
        <v>1</v>
      </c>
      <c r="I60" s="1">
        <v>0</v>
      </c>
      <c r="J60" s="1">
        <v>0</v>
      </c>
      <c r="K60" s="1">
        <v>0</v>
      </c>
      <c r="L60" s="1">
        <v>0</v>
      </c>
      <c r="M60" s="1">
        <v>1</v>
      </c>
    </row>
    <row r="61" spans="1:13">
      <c r="A61" s="1">
        <v>60</v>
      </c>
      <c r="B61" s="1">
        <v>937447.29429999995</v>
      </c>
      <c r="C61" s="1">
        <v>818219.34048180957</v>
      </c>
      <c r="D61" s="1">
        <f t="shared" si="0"/>
        <v>119227.95381819038</v>
      </c>
      <c r="E61" s="1">
        <v>11</v>
      </c>
      <c r="F61" s="1">
        <v>20</v>
      </c>
      <c r="G61" s="1">
        <v>4</v>
      </c>
      <c r="H61" s="1">
        <v>1</v>
      </c>
      <c r="I61" s="1">
        <v>0</v>
      </c>
      <c r="J61" s="1">
        <v>0</v>
      </c>
      <c r="K61" s="1">
        <v>1</v>
      </c>
      <c r="L61" s="1">
        <v>0</v>
      </c>
      <c r="M61" s="1">
        <v>0</v>
      </c>
    </row>
    <row r="62" spans="1:13">
      <c r="A62" s="1">
        <v>61</v>
      </c>
      <c r="B62" s="1">
        <v>1021556.7557</v>
      </c>
      <c r="C62" s="1">
        <v>843572.19914650579</v>
      </c>
      <c r="D62" s="1">
        <f t="shared" si="0"/>
        <v>177984.55655349419</v>
      </c>
      <c r="E62" s="1">
        <v>6</v>
      </c>
      <c r="F62" s="1">
        <v>26</v>
      </c>
      <c r="G62" s="1">
        <v>3</v>
      </c>
      <c r="H62" s="1">
        <v>0</v>
      </c>
      <c r="I62" s="1">
        <v>0</v>
      </c>
      <c r="J62" s="1">
        <v>0</v>
      </c>
      <c r="K62" s="1">
        <v>0</v>
      </c>
      <c r="L62" s="1">
        <v>0</v>
      </c>
      <c r="M62" s="1">
        <v>0</v>
      </c>
    </row>
    <row r="63" spans="1:13">
      <c r="A63" s="1">
        <v>62</v>
      </c>
      <c r="B63" s="1">
        <v>1088292.7774</v>
      </c>
      <c r="C63" s="1">
        <v>578906.11170745827</v>
      </c>
      <c r="D63" s="1">
        <f t="shared" si="0"/>
        <v>509386.66569254175</v>
      </c>
      <c r="E63" s="1">
        <v>12</v>
      </c>
      <c r="F63" s="1">
        <v>17</v>
      </c>
      <c r="G63" s="1">
        <v>6</v>
      </c>
      <c r="H63" s="1">
        <v>1</v>
      </c>
      <c r="I63" s="1">
        <v>0</v>
      </c>
      <c r="J63" s="1">
        <v>1</v>
      </c>
      <c r="K63" s="1">
        <v>0</v>
      </c>
      <c r="L63" s="1">
        <v>0</v>
      </c>
      <c r="M63" s="1">
        <v>1</v>
      </c>
    </row>
    <row r="64" spans="1:13">
      <c r="A64" s="1">
        <v>63</v>
      </c>
      <c r="B64" s="1">
        <v>953105.80539999995</v>
      </c>
      <c r="C64" s="1">
        <v>609685.91712624638</v>
      </c>
      <c r="D64" s="1">
        <f t="shared" si="0"/>
        <v>343419.88827375358</v>
      </c>
      <c r="E64" s="1">
        <v>10</v>
      </c>
      <c r="F64" s="1">
        <v>18</v>
      </c>
      <c r="G64" s="1">
        <v>7</v>
      </c>
      <c r="H64" s="1">
        <v>1</v>
      </c>
      <c r="I64" s="1">
        <v>0</v>
      </c>
      <c r="J64" s="1">
        <v>0</v>
      </c>
      <c r="K64" s="1">
        <v>0</v>
      </c>
      <c r="L64" s="1">
        <v>0</v>
      </c>
      <c r="M64" s="1">
        <v>0</v>
      </c>
    </row>
    <row r="65" spans="1:13">
      <c r="A65" s="1">
        <v>64</v>
      </c>
      <c r="B65" s="1">
        <v>888517.29720000003</v>
      </c>
      <c r="C65" s="1">
        <v>1357572.560943312</v>
      </c>
      <c r="D65" s="1">
        <f t="shared" si="0"/>
        <v>-469055.26374331198</v>
      </c>
      <c r="E65" s="1">
        <v>21</v>
      </c>
      <c r="F65" s="1">
        <v>10</v>
      </c>
      <c r="G65" s="1">
        <v>4</v>
      </c>
      <c r="H65" s="1">
        <v>0</v>
      </c>
      <c r="I65" s="1">
        <v>0</v>
      </c>
      <c r="J65" s="1">
        <v>1</v>
      </c>
      <c r="K65" s="1">
        <v>1</v>
      </c>
      <c r="L65" s="1">
        <v>0</v>
      </c>
      <c r="M65" s="1">
        <v>0</v>
      </c>
    </row>
    <row r="66" spans="1:13">
      <c r="A66" s="1">
        <v>65</v>
      </c>
      <c r="B66" s="1">
        <v>963207.83909999998</v>
      </c>
      <c r="C66" s="1">
        <v>659613.10982124938</v>
      </c>
      <c r="D66" s="1">
        <f t="shared" ref="D66:D129" si="1">B66-C66</f>
        <v>303594.7292787506</v>
      </c>
      <c r="E66" s="1">
        <v>13</v>
      </c>
      <c r="F66" s="1">
        <v>15</v>
      </c>
      <c r="G66" s="1">
        <v>7</v>
      </c>
      <c r="H66" s="1">
        <v>2</v>
      </c>
      <c r="I66" s="1">
        <v>0</v>
      </c>
      <c r="J66" s="1">
        <v>0</v>
      </c>
      <c r="K66" s="1">
        <v>1</v>
      </c>
      <c r="L66" s="1">
        <v>0</v>
      </c>
      <c r="M66" s="1">
        <v>1</v>
      </c>
    </row>
    <row r="67" spans="1:13">
      <c r="A67" s="1">
        <v>66</v>
      </c>
      <c r="B67" s="1">
        <v>895002.4632</v>
      </c>
      <c r="C67" s="1">
        <v>451614.57515228807</v>
      </c>
      <c r="D67" s="1">
        <f t="shared" si="1"/>
        <v>443387.88804771192</v>
      </c>
      <c r="E67" s="1">
        <v>12</v>
      </c>
      <c r="F67" s="1">
        <v>18</v>
      </c>
      <c r="G67" s="1">
        <v>5</v>
      </c>
      <c r="H67" s="1">
        <v>0</v>
      </c>
      <c r="I67" s="1">
        <v>1</v>
      </c>
      <c r="J67" s="1">
        <v>0</v>
      </c>
      <c r="K67" s="1">
        <v>1</v>
      </c>
      <c r="L67" s="1">
        <v>0</v>
      </c>
      <c r="M67" s="1">
        <v>1</v>
      </c>
    </row>
    <row r="68" spans="1:13">
      <c r="A68" s="1">
        <v>67</v>
      </c>
      <c r="B68" s="1">
        <v>1021910.9102</v>
      </c>
      <c r="C68" s="1">
        <v>385544.91528099694</v>
      </c>
      <c r="D68" s="1">
        <f t="shared" si="1"/>
        <v>636365.9949190031</v>
      </c>
      <c r="E68" s="1">
        <v>7</v>
      </c>
      <c r="F68" s="1">
        <v>21</v>
      </c>
      <c r="G68" s="1">
        <v>7</v>
      </c>
      <c r="H68" s="1">
        <v>0</v>
      </c>
      <c r="I68" s="1">
        <v>0</v>
      </c>
      <c r="J68" s="1">
        <v>0</v>
      </c>
      <c r="K68" s="1">
        <v>0</v>
      </c>
      <c r="L68" s="1">
        <v>0</v>
      </c>
      <c r="M68" s="1">
        <v>0</v>
      </c>
    </row>
    <row r="69" spans="1:13">
      <c r="A69" s="1">
        <v>68</v>
      </c>
      <c r="B69" s="1">
        <v>980726.29350000003</v>
      </c>
      <c r="C69" s="1">
        <v>564258.27045280812</v>
      </c>
      <c r="D69" s="1">
        <f t="shared" si="1"/>
        <v>416468.02304719191</v>
      </c>
      <c r="E69" s="1">
        <v>13</v>
      </c>
      <c r="F69" s="1">
        <v>18</v>
      </c>
      <c r="G69" s="1">
        <v>4</v>
      </c>
      <c r="H69" s="1">
        <v>1</v>
      </c>
      <c r="I69" s="1">
        <v>0</v>
      </c>
      <c r="J69" s="1">
        <v>0</v>
      </c>
      <c r="K69" s="1">
        <v>1</v>
      </c>
      <c r="L69" s="1">
        <v>0</v>
      </c>
      <c r="M69" s="1">
        <v>0</v>
      </c>
    </row>
    <row r="70" spans="1:13">
      <c r="A70" s="1">
        <v>69</v>
      </c>
      <c r="B70" s="1">
        <v>929008.32700000005</v>
      </c>
      <c r="C70" s="1">
        <v>871142.44875269325</v>
      </c>
      <c r="D70" s="1">
        <f t="shared" si="1"/>
        <v>57865.878247306799</v>
      </c>
      <c r="E70" s="1">
        <v>10</v>
      </c>
      <c r="F70" s="1">
        <v>22</v>
      </c>
      <c r="G70" s="1">
        <v>3</v>
      </c>
      <c r="H70" s="1">
        <v>1</v>
      </c>
      <c r="I70" s="1">
        <v>0</v>
      </c>
      <c r="J70" s="1">
        <v>0</v>
      </c>
      <c r="K70" s="1">
        <v>1</v>
      </c>
      <c r="L70" s="1">
        <v>0</v>
      </c>
      <c r="M70" s="1">
        <v>0</v>
      </c>
    </row>
    <row r="71" spans="1:13">
      <c r="A71" s="1">
        <v>70</v>
      </c>
      <c r="B71" s="1">
        <v>961731.72069999995</v>
      </c>
      <c r="C71" s="1">
        <v>986503.20919627091</v>
      </c>
      <c r="D71" s="1">
        <f t="shared" si="1"/>
        <v>-24771.488496270962</v>
      </c>
      <c r="E71" s="1">
        <v>15</v>
      </c>
      <c r="F71" s="1">
        <v>15</v>
      </c>
      <c r="G71" s="1">
        <v>5</v>
      </c>
      <c r="H71" s="1">
        <v>2</v>
      </c>
      <c r="I71" s="1">
        <v>0</v>
      </c>
      <c r="J71" s="1">
        <v>1</v>
      </c>
      <c r="K71" s="1">
        <v>1</v>
      </c>
      <c r="L71" s="1">
        <v>0</v>
      </c>
      <c r="M71" s="1">
        <v>0</v>
      </c>
    </row>
    <row r="72" spans="1:13">
      <c r="A72" s="1">
        <v>71</v>
      </c>
      <c r="B72" s="1">
        <v>882688.56610000005</v>
      </c>
      <c r="C72" s="1">
        <v>1649272.8565886356</v>
      </c>
      <c r="D72" s="1">
        <f t="shared" si="1"/>
        <v>-766584.29048863554</v>
      </c>
      <c r="E72" s="1">
        <v>10</v>
      </c>
      <c r="F72" s="1">
        <v>22</v>
      </c>
      <c r="G72" s="1">
        <v>3</v>
      </c>
      <c r="H72" s="1">
        <v>1</v>
      </c>
      <c r="I72" s="1">
        <v>0</v>
      </c>
      <c r="J72" s="1">
        <v>2</v>
      </c>
      <c r="K72" s="1">
        <v>0</v>
      </c>
      <c r="L72" s="1">
        <v>0</v>
      </c>
      <c r="M72" s="1">
        <v>0</v>
      </c>
    </row>
    <row r="73" spans="1:13">
      <c r="A73" s="1">
        <v>72</v>
      </c>
      <c r="B73" s="1">
        <v>1081431.797</v>
      </c>
      <c r="C73" s="1">
        <v>550340.69272503816</v>
      </c>
      <c r="D73" s="1">
        <f t="shared" si="1"/>
        <v>531091.10427496186</v>
      </c>
      <c r="E73" s="1">
        <v>13</v>
      </c>
      <c r="F73" s="1">
        <v>17</v>
      </c>
      <c r="G73" s="1">
        <v>5</v>
      </c>
      <c r="H73" s="1">
        <v>2</v>
      </c>
      <c r="I73" s="1">
        <v>0</v>
      </c>
      <c r="J73" s="1">
        <v>2</v>
      </c>
      <c r="K73" s="1">
        <v>0</v>
      </c>
      <c r="L73" s="1">
        <v>0</v>
      </c>
      <c r="M73" s="1">
        <v>0</v>
      </c>
    </row>
    <row r="74" spans="1:13">
      <c r="A74" s="1">
        <v>73</v>
      </c>
      <c r="B74" s="1">
        <v>927866.86670000001</v>
      </c>
      <c r="C74" s="1">
        <v>1150660.0266261729</v>
      </c>
      <c r="D74" s="1">
        <f t="shared" si="1"/>
        <v>-222793.15992617293</v>
      </c>
      <c r="E74" s="1">
        <v>15</v>
      </c>
      <c r="F74" s="1">
        <v>14</v>
      </c>
      <c r="G74" s="1">
        <v>6</v>
      </c>
      <c r="H74" s="1">
        <v>1</v>
      </c>
      <c r="I74" s="1">
        <v>0</v>
      </c>
      <c r="J74" s="1">
        <v>0</v>
      </c>
      <c r="K74" s="1">
        <v>2</v>
      </c>
      <c r="L74" s="1">
        <v>0</v>
      </c>
      <c r="M74" s="1">
        <v>0</v>
      </c>
    </row>
    <row r="75" spans="1:13">
      <c r="A75" s="1">
        <v>74</v>
      </c>
      <c r="B75" s="1">
        <v>856096.40529999998</v>
      </c>
      <c r="C75" s="1">
        <v>606012.40099005145</v>
      </c>
      <c r="D75" s="1">
        <f t="shared" si="1"/>
        <v>250084.00430994853</v>
      </c>
      <c r="E75" s="1">
        <v>12</v>
      </c>
      <c r="F75" s="1">
        <v>17</v>
      </c>
      <c r="G75" s="1">
        <v>6</v>
      </c>
      <c r="H75" s="1">
        <v>2</v>
      </c>
      <c r="I75" s="1">
        <v>0</v>
      </c>
      <c r="J75" s="1">
        <v>1</v>
      </c>
      <c r="K75" s="1">
        <v>1</v>
      </c>
      <c r="L75" s="1">
        <v>0</v>
      </c>
      <c r="M75" s="1">
        <v>1</v>
      </c>
    </row>
    <row r="76" spans="1:13">
      <c r="A76" s="1">
        <v>75</v>
      </c>
      <c r="B76" s="1">
        <v>914608.03650000005</v>
      </c>
      <c r="C76" s="1">
        <v>1085472.5191441204</v>
      </c>
      <c r="D76" s="1">
        <f t="shared" si="1"/>
        <v>-170864.48264412035</v>
      </c>
      <c r="E76" s="1">
        <v>16</v>
      </c>
      <c r="F76" s="1">
        <v>13</v>
      </c>
      <c r="G76" s="1">
        <v>6</v>
      </c>
      <c r="H76" s="1">
        <v>0</v>
      </c>
      <c r="I76" s="1">
        <v>0</v>
      </c>
      <c r="J76" s="1">
        <v>0</v>
      </c>
      <c r="K76" s="1">
        <v>1</v>
      </c>
      <c r="L76" s="1">
        <v>0</v>
      </c>
      <c r="M76" s="1">
        <v>1</v>
      </c>
    </row>
    <row r="77" spans="1:13">
      <c r="A77" s="1">
        <v>76</v>
      </c>
      <c r="B77" s="1">
        <v>956433.67890000006</v>
      </c>
      <c r="C77" s="1">
        <v>1471479.4117703536</v>
      </c>
      <c r="D77" s="1">
        <f t="shared" si="1"/>
        <v>-515045.7328703535</v>
      </c>
      <c r="E77" s="1">
        <v>7</v>
      </c>
      <c r="F77" s="1">
        <v>21</v>
      </c>
      <c r="G77" s="1">
        <v>7</v>
      </c>
      <c r="H77" s="1">
        <v>1</v>
      </c>
      <c r="I77" s="1">
        <v>0</v>
      </c>
      <c r="J77" s="1">
        <v>2</v>
      </c>
      <c r="K77" s="1">
        <v>0</v>
      </c>
      <c r="L77" s="1">
        <v>0</v>
      </c>
      <c r="M77" s="1">
        <v>0</v>
      </c>
    </row>
    <row r="78" spans="1:13">
      <c r="A78" s="1">
        <v>77</v>
      </c>
      <c r="B78" s="1">
        <v>950616.17850000004</v>
      </c>
      <c r="C78" s="1">
        <v>781737.75565617683</v>
      </c>
      <c r="D78" s="1">
        <f t="shared" si="1"/>
        <v>168878.42284382321</v>
      </c>
      <c r="E78" s="1">
        <v>13</v>
      </c>
      <c r="F78" s="1">
        <v>18</v>
      </c>
      <c r="G78" s="1">
        <v>4</v>
      </c>
      <c r="H78" s="1">
        <v>1</v>
      </c>
      <c r="I78" s="1">
        <v>0</v>
      </c>
      <c r="J78" s="1">
        <v>2</v>
      </c>
      <c r="K78" s="1">
        <v>0</v>
      </c>
      <c r="L78" s="1">
        <v>0</v>
      </c>
      <c r="M78" s="1">
        <v>0</v>
      </c>
    </row>
    <row r="79" spans="1:13">
      <c r="A79" s="1">
        <v>78</v>
      </c>
      <c r="B79" s="1">
        <v>961878.80900000001</v>
      </c>
      <c r="C79" s="1">
        <v>810053.26709441748</v>
      </c>
      <c r="D79" s="1">
        <f t="shared" si="1"/>
        <v>151825.54190558253</v>
      </c>
      <c r="E79" s="1">
        <v>9</v>
      </c>
      <c r="F79" s="1">
        <v>22</v>
      </c>
      <c r="G79" s="1">
        <v>4</v>
      </c>
      <c r="H79" s="1">
        <v>0</v>
      </c>
      <c r="I79" s="1">
        <v>0</v>
      </c>
      <c r="J79" s="1">
        <v>1</v>
      </c>
      <c r="K79" s="1">
        <v>1</v>
      </c>
      <c r="L79" s="1">
        <v>0</v>
      </c>
      <c r="M79" s="1">
        <v>0</v>
      </c>
    </row>
    <row r="80" spans="1:13">
      <c r="A80" s="1">
        <v>79</v>
      </c>
      <c r="B80" s="1">
        <v>935830.71810000006</v>
      </c>
      <c r="C80" s="1">
        <v>864656.47326225566</v>
      </c>
      <c r="D80" s="1">
        <f t="shared" si="1"/>
        <v>71174.244837744394</v>
      </c>
      <c r="E80" s="1">
        <v>17</v>
      </c>
      <c r="F80" s="1">
        <v>11</v>
      </c>
      <c r="G80" s="1">
        <v>7</v>
      </c>
      <c r="H80" s="1">
        <v>0</v>
      </c>
      <c r="I80" s="1">
        <v>0</v>
      </c>
      <c r="J80" s="1">
        <v>0</v>
      </c>
      <c r="K80" s="1">
        <v>0</v>
      </c>
      <c r="L80" s="1">
        <v>0</v>
      </c>
      <c r="M80" s="1">
        <v>0</v>
      </c>
    </row>
    <row r="81" spans="1:13">
      <c r="A81" s="1">
        <v>80</v>
      </c>
      <c r="B81" s="1">
        <v>935735.69079999998</v>
      </c>
      <c r="C81" s="1">
        <v>797326.52463320107</v>
      </c>
      <c r="D81" s="1">
        <f t="shared" si="1"/>
        <v>138409.16616679891</v>
      </c>
      <c r="E81" s="1">
        <v>11</v>
      </c>
      <c r="F81" s="1">
        <v>16</v>
      </c>
      <c r="G81" s="1">
        <v>8</v>
      </c>
      <c r="H81" s="1">
        <v>2</v>
      </c>
      <c r="I81" s="1">
        <v>0</v>
      </c>
      <c r="J81" s="1">
        <v>1</v>
      </c>
      <c r="K81" s="1">
        <v>1</v>
      </c>
      <c r="L81" s="1">
        <v>0</v>
      </c>
      <c r="M81" s="1">
        <v>1</v>
      </c>
    </row>
    <row r="82" spans="1:13">
      <c r="A82" s="1">
        <v>81</v>
      </c>
      <c r="B82" s="1">
        <v>916029.78650000005</v>
      </c>
      <c r="C82" s="1">
        <v>510758.95166007674</v>
      </c>
      <c r="D82" s="1">
        <f t="shared" si="1"/>
        <v>405270.83483992331</v>
      </c>
      <c r="E82" s="1">
        <v>16</v>
      </c>
      <c r="F82" s="1">
        <v>13</v>
      </c>
      <c r="G82" s="1">
        <v>6</v>
      </c>
      <c r="H82" s="1">
        <v>0</v>
      </c>
      <c r="I82" s="1">
        <v>0</v>
      </c>
      <c r="J82" s="1">
        <v>0</v>
      </c>
      <c r="K82" s="1">
        <v>0</v>
      </c>
      <c r="L82" s="1">
        <v>0</v>
      </c>
      <c r="M82" s="1">
        <v>1</v>
      </c>
    </row>
    <row r="83" spans="1:13">
      <c r="A83" s="1">
        <v>82</v>
      </c>
      <c r="B83" s="1">
        <v>961689.62040000001</v>
      </c>
      <c r="C83" s="1">
        <v>1003305.4861141802</v>
      </c>
      <c r="D83" s="1">
        <f t="shared" si="1"/>
        <v>-41615.865714180167</v>
      </c>
      <c r="E83" s="1">
        <v>20</v>
      </c>
      <c r="F83" s="1">
        <v>10</v>
      </c>
      <c r="G83" s="1">
        <v>5</v>
      </c>
      <c r="H83" s="1">
        <v>1</v>
      </c>
      <c r="I83" s="1">
        <v>0</v>
      </c>
      <c r="J83" s="1">
        <v>0</v>
      </c>
      <c r="K83" s="1">
        <v>0</v>
      </c>
      <c r="L83" s="1">
        <v>0</v>
      </c>
      <c r="M83" s="1">
        <v>1</v>
      </c>
    </row>
    <row r="84" spans="1:13">
      <c r="A84" s="1">
        <v>83</v>
      </c>
      <c r="B84" s="1">
        <v>877591.84990000003</v>
      </c>
      <c r="C84" s="1">
        <v>956666.71764761151</v>
      </c>
      <c r="D84" s="1">
        <f t="shared" si="1"/>
        <v>-79074.867747611483</v>
      </c>
      <c r="E84" s="1">
        <v>8</v>
      </c>
      <c r="F84" s="1">
        <v>19</v>
      </c>
      <c r="G84" s="1">
        <v>8</v>
      </c>
      <c r="H84" s="1">
        <v>0</v>
      </c>
      <c r="I84" s="1">
        <v>0</v>
      </c>
      <c r="J84" s="1">
        <v>0</v>
      </c>
      <c r="K84" s="1">
        <v>0</v>
      </c>
      <c r="L84" s="1">
        <v>0</v>
      </c>
      <c r="M84" s="1">
        <v>0</v>
      </c>
    </row>
    <row r="85" spans="1:13">
      <c r="A85" s="1">
        <v>84</v>
      </c>
      <c r="B85" s="1">
        <v>961749.93530000001</v>
      </c>
      <c r="C85" s="1">
        <v>1689466.6155301915</v>
      </c>
      <c r="D85" s="1">
        <f t="shared" si="1"/>
        <v>-727716.68023019144</v>
      </c>
      <c r="E85" s="1">
        <v>18</v>
      </c>
      <c r="F85" s="1">
        <v>12</v>
      </c>
      <c r="G85" s="1">
        <v>5</v>
      </c>
      <c r="H85" s="1">
        <v>0</v>
      </c>
      <c r="I85" s="1">
        <v>0</v>
      </c>
      <c r="J85" s="1">
        <v>0</v>
      </c>
      <c r="K85" s="1">
        <v>0</v>
      </c>
      <c r="L85" s="1">
        <v>0</v>
      </c>
      <c r="M85" s="1">
        <v>0</v>
      </c>
    </row>
    <row r="86" spans="1:13">
      <c r="A86" s="1">
        <v>85</v>
      </c>
      <c r="B86" s="1">
        <v>957515.15590000001</v>
      </c>
      <c r="C86" s="1">
        <v>1138705.599518379</v>
      </c>
      <c r="D86" s="1">
        <f t="shared" si="1"/>
        <v>-181190.44361837895</v>
      </c>
      <c r="E86" s="1">
        <v>8</v>
      </c>
      <c r="F86" s="1">
        <v>21</v>
      </c>
      <c r="G86" s="1">
        <v>6</v>
      </c>
      <c r="H86" s="1">
        <v>0</v>
      </c>
      <c r="I86" s="1">
        <v>0</v>
      </c>
      <c r="J86" s="1">
        <v>0</v>
      </c>
      <c r="K86" s="1">
        <v>1</v>
      </c>
      <c r="L86" s="1">
        <v>0</v>
      </c>
      <c r="M86" s="1">
        <v>1</v>
      </c>
    </row>
    <row r="87" spans="1:13">
      <c r="A87" s="1">
        <v>86</v>
      </c>
      <c r="B87" s="1">
        <v>1001839.4503</v>
      </c>
      <c r="C87" s="1">
        <v>890661.57262668107</v>
      </c>
      <c r="D87" s="1">
        <f t="shared" si="1"/>
        <v>111177.87767331896</v>
      </c>
      <c r="E87" s="1">
        <v>7</v>
      </c>
      <c r="F87" s="1">
        <v>21</v>
      </c>
      <c r="G87" s="1">
        <v>7</v>
      </c>
      <c r="H87" s="1">
        <v>1</v>
      </c>
      <c r="I87" s="1">
        <v>0</v>
      </c>
      <c r="J87" s="1">
        <v>1</v>
      </c>
      <c r="K87" s="1">
        <v>0</v>
      </c>
      <c r="L87" s="1">
        <v>0</v>
      </c>
      <c r="M87" s="1">
        <v>1</v>
      </c>
    </row>
    <row r="88" spans="1:13">
      <c r="A88" s="1">
        <v>87</v>
      </c>
      <c r="B88" s="1">
        <v>938933.47759999998</v>
      </c>
      <c r="C88" s="1">
        <v>575561.08637215185</v>
      </c>
      <c r="D88" s="1">
        <f t="shared" si="1"/>
        <v>363372.39122784813</v>
      </c>
      <c r="E88" s="1">
        <v>14</v>
      </c>
      <c r="F88" s="1">
        <v>15</v>
      </c>
      <c r="G88" s="1">
        <v>6</v>
      </c>
      <c r="H88" s="1">
        <v>1</v>
      </c>
      <c r="I88" s="1">
        <v>0</v>
      </c>
      <c r="J88" s="1">
        <v>0</v>
      </c>
      <c r="K88" s="1">
        <v>0</v>
      </c>
      <c r="L88" s="1">
        <v>0</v>
      </c>
      <c r="M88" s="1">
        <v>0</v>
      </c>
    </row>
    <row r="89" spans="1:13">
      <c r="A89" s="1">
        <v>88</v>
      </c>
      <c r="B89" s="1">
        <v>849705.02240000002</v>
      </c>
      <c r="C89" s="1">
        <v>645284.14201925613</v>
      </c>
      <c r="D89" s="1">
        <f t="shared" si="1"/>
        <v>204420.88038074388</v>
      </c>
      <c r="E89" s="1">
        <v>13</v>
      </c>
      <c r="F89" s="1">
        <v>18</v>
      </c>
      <c r="G89" s="1">
        <v>4</v>
      </c>
      <c r="H89" s="1">
        <v>2</v>
      </c>
      <c r="I89" s="1">
        <v>0</v>
      </c>
      <c r="J89" s="1">
        <v>1</v>
      </c>
      <c r="K89" s="1">
        <v>0</v>
      </c>
      <c r="L89" s="1">
        <v>0</v>
      </c>
      <c r="M89" s="1">
        <v>1</v>
      </c>
    </row>
    <row r="90" spans="1:13">
      <c r="A90" s="1">
        <v>89</v>
      </c>
      <c r="B90" s="1">
        <v>871161.11060000001</v>
      </c>
      <c r="C90" s="1">
        <v>1408845.8852291547</v>
      </c>
      <c r="D90" s="1">
        <f t="shared" si="1"/>
        <v>-537684.77462915471</v>
      </c>
      <c r="E90" s="1">
        <v>18</v>
      </c>
      <c r="F90" s="1">
        <v>14</v>
      </c>
      <c r="G90" s="1">
        <v>3</v>
      </c>
      <c r="H90" s="1">
        <v>0</v>
      </c>
      <c r="I90" s="1">
        <v>0</v>
      </c>
      <c r="J90" s="1">
        <v>0</v>
      </c>
      <c r="K90" s="1">
        <v>0</v>
      </c>
      <c r="L90" s="1">
        <v>0</v>
      </c>
      <c r="M90" s="1">
        <v>0</v>
      </c>
    </row>
    <row r="91" spans="1:13">
      <c r="A91" s="1">
        <v>90</v>
      </c>
      <c r="B91" s="1">
        <v>907141.51839999994</v>
      </c>
      <c r="C91" s="1">
        <v>562018.42266684375</v>
      </c>
      <c r="D91" s="1">
        <f t="shared" si="1"/>
        <v>345123.09573315619</v>
      </c>
      <c r="E91" s="1">
        <v>14</v>
      </c>
      <c r="F91" s="1">
        <v>15</v>
      </c>
      <c r="G91" s="1">
        <v>6</v>
      </c>
      <c r="H91" s="1">
        <v>2</v>
      </c>
      <c r="I91" s="1">
        <v>0</v>
      </c>
      <c r="J91" s="1">
        <v>1</v>
      </c>
      <c r="K91" s="1">
        <v>0</v>
      </c>
      <c r="L91" s="1">
        <v>0</v>
      </c>
      <c r="M91" s="1">
        <v>1</v>
      </c>
    </row>
    <row r="92" spans="1:13">
      <c r="A92" s="1">
        <v>91</v>
      </c>
      <c r="B92" s="1">
        <v>868439.63020000001</v>
      </c>
      <c r="C92" s="1">
        <v>1274389.8662622408</v>
      </c>
      <c r="D92" s="1">
        <f t="shared" si="1"/>
        <v>-405950.23606224079</v>
      </c>
      <c r="E92" s="1">
        <v>8</v>
      </c>
      <c r="F92" s="1">
        <v>20</v>
      </c>
      <c r="G92" s="1">
        <v>7</v>
      </c>
      <c r="H92" s="1">
        <v>0</v>
      </c>
      <c r="I92" s="1">
        <v>0</v>
      </c>
      <c r="J92" s="1">
        <v>1</v>
      </c>
      <c r="K92" s="1">
        <v>0</v>
      </c>
      <c r="L92" s="1">
        <v>0</v>
      </c>
      <c r="M92" s="1">
        <v>1</v>
      </c>
    </row>
    <row r="93" spans="1:13">
      <c r="A93" s="1">
        <v>92</v>
      </c>
      <c r="B93" s="1">
        <v>924563.61159999995</v>
      </c>
      <c r="C93" s="1">
        <v>768766.89171175356</v>
      </c>
      <c r="D93" s="1">
        <f t="shared" si="1"/>
        <v>155796.71988824639</v>
      </c>
      <c r="E93" s="1">
        <v>15</v>
      </c>
      <c r="F93" s="1">
        <v>12</v>
      </c>
      <c r="G93" s="1">
        <v>8</v>
      </c>
      <c r="H93" s="1">
        <v>1</v>
      </c>
      <c r="I93" s="1">
        <v>0</v>
      </c>
      <c r="J93" s="1">
        <v>0</v>
      </c>
      <c r="K93" s="1">
        <v>1</v>
      </c>
      <c r="L93" s="1">
        <v>0</v>
      </c>
      <c r="M93" s="1">
        <v>1</v>
      </c>
    </row>
    <row r="94" spans="1:13">
      <c r="A94" s="1">
        <v>93</v>
      </c>
      <c r="B94" s="1">
        <v>900053.97560000001</v>
      </c>
      <c r="C94" s="1">
        <v>710356.51174939016</v>
      </c>
      <c r="D94" s="1">
        <f t="shared" si="1"/>
        <v>189697.46385060984</v>
      </c>
      <c r="E94" s="1">
        <v>10</v>
      </c>
      <c r="F94" s="1">
        <v>19</v>
      </c>
      <c r="G94" s="1">
        <v>6</v>
      </c>
      <c r="H94" s="1">
        <v>1</v>
      </c>
      <c r="I94" s="1">
        <v>1</v>
      </c>
      <c r="J94" s="1">
        <v>0</v>
      </c>
      <c r="K94" s="1">
        <v>0</v>
      </c>
      <c r="L94" s="1">
        <v>0</v>
      </c>
      <c r="M94" s="1">
        <v>0</v>
      </c>
    </row>
    <row r="95" spans="1:13">
      <c r="A95" s="1">
        <v>94</v>
      </c>
      <c r="B95" s="1">
        <v>1039158.1096</v>
      </c>
      <c r="C95" s="1">
        <v>586883.82004816504</v>
      </c>
      <c r="D95" s="1">
        <f t="shared" si="1"/>
        <v>452274.28955183493</v>
      </c>
      <c r="E95" s="1">
        <v>5</v>
      </c>
      <c r="F95" s="1">
        <v>25</v>
      </c>
      <c r="G95" s="1">
        <v>5</v>
      </c>
      <c r="H95" s="1">
        <v>0</v>
      </c>
      <c r="I95" s="1">
        <v>0</v>
      </c>
      <c r="J95" s="1">
        <v>2</v>
      </c>
      <c r="K95" s="1">
        <v>0</v>
      </c>
      <c r="L95" s="1">
        <v>0</v>
      </c>
      <c r="M95" s="1">
        <v>1</v>
      </c>
    </row>
    <row r="96" spans="1:13">
      <c r="A96" s="1">
        <v>95</v>
      </c>
      <c r="B96" s="1">
        <v>1008466.275</v>
      </c>
      <c r="C96" s="1">
        <v>774101.28767700063</v>
      </c>
      <c r="D96" s="1">
        <f t="shared" si="1"/>
        <v>234364.9873229994</v>
      </c>
      <c r="E96" s="1">
        <v>8</v>
      </c>
      <c r="F96" s="1">
        <v>19</v>
      </c>
      <c r="G96" s="1">
        <v>8</v>
      </c>
      <c r="H96" s="1">
        <v>1</v>
      </c>
      <c r="I96" s="1">
        <v>0</v>
      </c>
      <c r="J96" s="1">
        <v>0</v>
      </c>
      <c r="K96" s="1">
        <v>0</v>
      </c>
      <c r="L96" s="1">
        <v>0</v>
      </c>
      <c r="M96" s="1">
        <v>1</v>
      </c>
    </row>
    <row r="97" spans="1:13">
      <c r="A97" s="1">
        <v>96</v>
      </c>
      <c r="B97" s="1">
        <v>881232.80070000002</v>
      </c>
      <c r="C97" s="1">
        <v>901499.37566610449</v>
      </c>
      <c r="D97" s="1">
        <f t="shared" si="1"/>
        <v>-20266.574966104468</v>
      </c>
      <c r="E97" s="1">
        <v>14</v>
      </c>
      <c r="F97" s="1">
        <v>16</v>
      </c>
      <c r="G97" s="1">
        <v>5</v>
      </c>
      <c r="H97" s="1">
        <v>2</v>
      </c>
      <c r="I97" s="1">
        <v>0</v>
      </c>
      <c r="J97" s="1">
        <v>1</v>
      </c>
      <c r="K97" s="1">
        <v>0</v>
      </c>
      <c r="L97" s="1">
        <v>0</v>
      </c>
      <c r="M97" s="1">
        <v>1</v>
      </c>
    </row>
    <row r="98" spans="1:13">
      <c r="A98" s="1">
        <v>97</v>
      </c>
      <c r="B98" s="1">
        <v>1027058.8554999999</v>
      </c>
      <c r="C98" s="1">
        <v>3753847.9145539794</v>
      </c>
      <c r="D98" s="1">
        <f t="shared" si="1"/>
        <v>-2726789.0590539793</v>
      </c>
      <c r="E98" s="1">
        <v>10</v>
      </c>
      <c r="F98" s="1">
        <v>20</v>
      </c>
      <c r="G98" s="1">
        <v>5</v>
      </c>
      <c r="H98" s="1">
        <v>2</v>
      </c>
      <c r="I98" s="1">
        <v>0</v>
      </c>
      <c r="J98" s="1">
        <v>1</v>
      </c>
      <c r="K98" s="1">
        <v>0</v>
      </c>
      <c r="L98" s="1">
        <v>0</v>
      </c>
      <c r="M98" s="1">
        <v>0</v>
      </c>
    </row>
    <row r="99" spans="1:13">
      <c r="A99" s="1">
        <v>98</v>
      </c>
      <c r="B99" s="1">
        <v>970705.13760000002</v>
      </c>
      <c r="C99" s="1">
        <v>808385.8850618602</v>
      </c>
      <c r="D99" s="1">
        <f t="shared" si="1"/>
        <v>162319.25253813982</v>
      </c>
      <c r="E99" s="1">
        <v>12</v>
      </c>
      <c r="F99" s="1">
        <v>18</v>
      </c>
      <c r="G99" s="1">
        <v>5</v>
      </c>
      <c r="H99" s="1">
        <v>1</v>
      </c>
      <c r="I99" s="1">
        <v>0</v>
      </c>
      <c r="J99" s="1">
        <v>2</v>
      </c>
      <c r="K99" s="1">
        <v>0</v>
      </c>
      <c r="L99" s="1">
        <v>0</v>
      </c>
      <c r="M99" s="1">
        <v>0</v>
      </c>
    </row>
    <row r="100" spans="1:13">
      <c r="A100" s="1">
        <v>99</v>
      </c>
      <c r="B100" s="1">
        <v>939867.94369999995</v>
      </c>
      <c r="C100" s="1">
        <v>901786.85666787974</v>
      </c>
      <c r="D100" s="1">
        <f t="shared" si="1"/>
        <v>38081.087032120209</v>
      </c>
      <c r="E100" s="1">
        <v>10</v>
      </c>
      <c r="F100" s="1">
        <v>20</v>
      </c>
      <c r="G100" s="1">
        <v>5</v>
      </c>
      <c r="H100" s="1">
        <v>0</v>
      </c>
      <c r="I100" s="1">
        <v>0</v>
      </c>
      <c r="J100" s="1">
        <v>0</v>
      </c>
      <c r="K100" s="1">
        <v>0</v>
      </c>
      <c r="L100" s="1">
        <v>0</v>
      </c>
      <c r="M100" s="1">
        <v>1</v>
      </c>
    </row>
    <row r="101" spans="1:13">
      <c r="A101" s="1">
        <v>100</v>
      </c>
      <c r="B101" s="1">
        <v>974849.42929999996</v>
      </c>
      <c r="C101" s="1">
        <v>1321335.6452630125</v>
      </c>
      <c r="D101" s="1">
        <f t="shared" si="1"/>
        <v>-346486.21596301254</v>
      </c>
      <c r="E101" s="1">
        <v>14</v>
      </c>
      <c r="F101" s="1">
        <v>16</v>
      </c>
      <c r="G101" s="1">
        <v>5</v>
      </c>
      <c r="H101" s="1">
        <v>0</v>
      </c>
      <c r="I101" s="1">
        <v>0</v>
      </c>
      <c r="J101" s="1">
        <v>1</v>
      </c>
      <c r="K101" s="1">
        <v>0</v>
      </c>
      <c r="L101" s="1">
        <v>0</v>
      </c>
      <c r="M101" s="1">
        <v>0</v>
      </c>
    </row>
    <row r="102" spans="1:13">
      <c r="A102" s="1">
        <v>101</v>
      </c>
      <c r="B102" s="1">
        <v>883669.91709999996</v>
      </c>
      <c r="C102" s="1">
        <v>811511.68446456618</v>
      </c>
      <c r="D102" s="1">
        <f t="shared" si="1"/>
        <v>72158.232635433786</v>
      </c>
      <c r="E102" s="1">
        <v>17</v>
      </c>
      <c r="F102" s="1">
        <v>12</v>
      </c>
      <c r="G102" s="1">
        <v>6</v>
      </c>
      <c r="H102" s="1">
        <v>1</v>
      </c>
      <c r="I102" s="1">
        <v>0</v>
      </c>
      <c r="J102" s="1">
        <v>0</v>
      </c>
      <c r="K102" s="1">
        <v>0</v>
      </c>
      <c r="L102" s="1">
        <v>0</v>
      </c>
      <c r="M102" s="1">
        <v>1</v>
      </c>
    </row>
    <row r="103" spans="1:13">
      <c r="A103" s="1">
        <v>102</v>
      </c>
      <c r="B103" s="1">
        <v>919250.30220000003</v>
      </c>
      <c r="C103" s="1">
        <v>812877.40770909295</v>
      </c>
      <c r="D103" s="1">
        <f t="shared" si="1"/>
        <v>106372.89449090709</v>
      </c>
      <c r="E103" s="1">
        <v>13</v>
      </c>
      <c r="F103" s="1">
        <v>14</v>
      </c>
      <c r="G103" s="1">
        <v>8</v>
      </c>
      <c r="H103" s="1">
        <v>0</v>
      </c>
      <c r="I103" s="1">
        <v>0</v>
      </c>
      <c r="J103" s="1">
        <v>1</v>
      </c>
      <c r="K103" s="1">
        <v>0</v>
      </c>
      <c r="L103" s="1">
        <v>0</v>
      </c>
      <c r="M103" s="1">
        <v>0</v>
      </c>
    </row>
    <row r="104" spans="1:13">
      <c r="A104" s="1">
        <v>103</v>
      </c>
      <c r="B104" s="1">
        <v>874486.12170000002</v>
      </c>
      <c r="C104" s="1">
        <v>1757221.6627209894</v>
      </c>
      <c r="D104" s="1">
        <f t="shared" si="1"/>
        <v>-882735.54102098942</v>
      </c>
      <c r="E104" s="1">
        <v>15</v>
      </c>
      <c r="F104" s="1">
        <v>14</v>
      </c>
      <c r="G104" s="1">
        <v>6</v>
      </c>
      <c r="H104" s="1">
        <v>1</v>
      </c>
      <c r="I104" s="1">
        <v>1</v>
      </c>
      <c r="J104" s="1">
        <v>0</v>
      </c>
      <c r="K104" s="1">
        <v>0</v>
      </c>
      <c r="L104" s="1">
        <v>0</v>
      </c>
      <c r="M104" s="1">
        <v>0</v>
      </c>
    </row>
    <row r="105" spans="1:13">
      <c r="A105" s="1">
        <v>104</v>
      </c>
      <c r="B105" s="1">
        <v>955926.3175</v>
      </c>
      <c r="C105" s="1">
        <v>566531.02770470025</v>
      </c>
      <c r="D105" s="1">
        <f t="shared" si="1"/>
        <v>389395.28979529976</v>
      </c>
      <c r="E105" s="1">
        <v>16</v>
      </c>
      <c r="F105" s="1">
        <v>16</v>
      </c>
      <c r="G105" s="1">
        <v>3</v>
      </c>
      <c r="H105" s="1">
        <v>0</v>
      </c>
      <c r="I105" s="1">
        <v>0</v>
      </c>
      <c r="J105" s="1">
        <v>2</v>
      </c>
      <c r="K105" s="1">
        <v>0</v>
      </c>
      <c r="L105" s="1">
        <v>0</v>
      </c>
      <c r="M105" s="1">
        <v>0</v>
      </c>
    </row>
    <row r="106" spans="1:13">
      <c r="A106" s="1">
        <v>105</v>
      </c>
      <c r="B106" s="1">
        <v>982745.17489999998</v>
      </c>
      <c r="C106" s="1">
        <v>883071.86826942163</v>
      </c>
      <c r="D106" s="1">
        <f t="shared" si="1"/>
        <v>99673.306630578358</v>
      </c>
      <c r="E106" s="1">
        <v>11</v>
      </c>
      <c r="F106" s="1">
        <v>18</v>
      </c>
      <c r="G106" s="1">
        <v>6</v>
      </c>
      <c r="H106" s="1">
        <v>1</v>
      </c>
      <c r="I106" s="1">
        <v>0</v>
      </c>
      <c r="J106" s="1">
        <v>1</v>
      </c>
      <c r="K106" s="1">
        <v>0</v>
      </c>
      <c r="L106" s="1">
        <v>0</v>
      </c>
      <c r="M106" s="1">
        <v>1</v>
      </c>
    </row>
    <row r="107" spans="1:13">
      <c r="A107" s="1">
        <v>106</v>
      </c>
      <c r="B107" s="1">
        <v>814395.28689999995</v>
      </c>
      <c r="C107" s="1">
        <v>838760.19091138116</v>
      </c>
      <c r="D107" s="1">
        <f t="shared" si="1"/>
        <v>-24364.904011381208</v>
      </c>
      <c r="E107" s="1">
        <v>11</v>
      </c>
      <c r="F107" s="1">
        <v>18</v>
      </c>
      <c r="G107" s="1">
        <v>6</v>
      </c>
      <c r="H107" s="1">
        <v>2</v>
      </c>
      <c r="I107" s="1">
        <v>0</v>
      </c>
      <c r="J107" s="1">
        <v>1</v>
      </c>
      <c r="K107" s="1">
        <v>1</v>
      </c>
      <c r="L107" s="1">
        <v>0</v>
      </c>
      <c r="M107" s="1">
        <v>0</v>
      </c>
    </row>
    <row r="108" spans="1:13">
      <c r="A108" s="1">
        <v>107</v>
      </c>
      <c r="B108" s="1">
        <v>937622.53209999995</v>
      </c>
      <c r="C108" s="1">
        <v>684767.08575092233</v>
      </c>
      <c r="D108" s="1">
        <f t="shared" si="1"/>
        <v>252855.44634907763</v>
      </c>
      <c r="E108" s="1">
        <v>8</v>
      </c>
      <c r="F108" s="1">
        <v>21</v>
      </c>
      <c r="G108" s="1">
        <v>6</v>
      </c>
      <c r="H108" s="1">
        <v>1</v>
      </c>
      <c r="I108" s="1">
        <v>1</v>
      </c>
      <c r="J108" s="1">
        <v>0</v>
      </c>
      <c r="K108" s="1">
        <v>0</v>
      </c>
      <c r="L108" s="1">
        <v>0</v>
      </c>
      <c r="M108" s="1">
        <v>0</v>
      </c>
    </row>
    <row r="109" spans="1:13">
      <c r="A109" s="1">
        <v>108</v>
      </c>
      <c r="B109" s="1">
        <v>960440.81499999994</v>
      </c>
      <c r="C109" s="1">
        <v>822744.80287042598</v>
      </c>
      <c r="D109" s="1">
        <f t="shared" si="1"/>
        <v>137696.01212957397</v>
      </c>
      <c r="E109" s="1">
        <v>15</v>
      </c>
      <c r="F109" s="1">
        <v>13</v>
      </c>
      <c r="G109" s="1">
        <v>7</v>
      </c>
      <c r="H109" s="1">
        <v>1</v>
      </c>
      <c r="I109" s="1">
        <v>0</v>
      </c>
      <c r="J109" s="1">
        <v>0</v>
      </c>
      <c r="K109" s="1">
        <v>1</v>
      </c>
      <c r="L109" s="1">
        <v>0</v>
      </c>
      <c r="M109" s="1">
        <v>0</v>
      </c>
    </row>
    <row r="110" spans="1:13">
      <c r="A110" s="1">
        <v>109</v>
      </c>
      <c r="B110" s="1">
        <v>914964.51919999998</v>
      </c>
      <c r="C110" s="1">
        <v>952088.64366470068</v>
      </c>
      <c r="D110" s="1">
        <f t="shared" si="1"/>
        <v>-37124.124464700697</v>
      </c>
      <c r="E110" s="1">
        <v>13</v>
      </c>
      <c r="F110" s="1">
        <v>16</v>
      </c>
      <c r="G110" s="1">
        <v>6</v>
      </c>
      <c r="H110" s="1">
        <v>1</v>
      </c>
      <c r="I110" s="1">
        <v>0</v>
      </c>
      <c r="J110" s="1">
        <v>1</v>
      </c>
      <c r="K110" s="1">
        <v>1</v>
      </c>
      <c r="L110" s="1">
        <v>0</v>
      </c>
      <c r="M110" s="1">
        <v>0</v>
      </c>
    </row>
    <row r="111" spans="1:13">
      <c r="A111" s="1">
        <v>110</v>
      </c>
      <c r="B111" s="1">
        <v>862070.8419</v>
      </c>
      <c r="C111" s="1">
        <v>1009414.1769933521</v>
      </c>
      <c r="D111" s="1">
        <f t="shared" si="1"/>
        <v>-147343.33509335213</v>
      </c>
      <c r="E111" s="1">
        <v>14</v>
      </c>
      <c r="F111" s="1">
        <v>17</v>
      </c>
      <c r="G111" s="1">
        <v>4</v>
      </c>
      <c r="H111" s="1">
        <v>0</v>
      </c>
      <c r="I111" s="1">
        <v>0</v>
      </c>
      <c r="J111" s="1">
        <v>2</v>
      </c>
      <c r="K111" s="1">
        <v>0</v>
      </c>
      <c r="L111" s="1">
        <v>0</v>
      </c>
      <c r="M111" s="1">
        <v>0</v>
      </c>
    </row>
    <row r="112" spans="1:13">
      <c r="A112" s="1">
        <v>111</v>
      </c>
      <c r="B112" s="1">
        <v>946744.91170000006</v>
      </c>
      <c r="C112" s="1">
        <v>924967.07788651134</v>
      </c>
      <c r="D112" s="1">
        <f t="shared" si="1"/>
        <v>21777.833813488716</v>
      </c>
      <c r="E112" s="1">
        <v>19</v>
      </c>
      <c r="F112" s="1">
        <v>10</v>
      </c>
      <c r="G112" s="1">
        <v>6</v>
      </c>
      <c r="H112" s="1">
        <v>2</v>
      </c>
      <c r="I112" s="1">
        <v>0</v>
      </c>
      <c r="J112" s="1">
        <v>1</v>
      </c>
      <c r="K112" s="1">
        <v>1</v>
      </c>
      <c r="L112" s="1">
        <v>0</v>
      </c>
      <c r="M112" s="1">
        <v>0</v>
      </c>
    </row>
    <row r="113" spans="1:13">
      <c r="A113" s="1">
        <v>112</v>
      </c>
      <c r="B113" s="1">
        <v>961300.86679999996</v>
      </c>
      <c r="C113" s="1">
        <v>818406.41783352918</v>
      </c>
      <c r="D113" s="1">
        <f t="shared" si="1"/>
        <v>142894.44896647078</v>
      </c>
      <c r="E113" s="1">
        <v>16</v>
      </c>
      <c r="F113" s="1">
        <v>15</v>
      </c>
      <c r="G113" s="1">
        <v>4</v>
      </c>
      <c r="H113" s="1">
        <v>1</v>
      </c>
      <c r="I113" s="1">
        <v>0</v>
      </c>
      <c r="J113" s="1">
        <v>0</v>
      </c>
      <c r="K113" s="1">
        <v>1</v>
      </c>
      <c r="L113" s="1">
        <v>0</v>
      </c>
      <c r="M113" s="1">
        <v>1</v>
      </c>
    </row>
    <row r="114" spans="1:13">
      <c r="A114" s="1">
        <v>113</v>
      </c>
      <c r="B114" s="1">
        <v>961107.54209999996</v>
      </c>
      <c r="C114" s="1">
        <v>1341087.0908716195</v>
      </c>
      <c r="D114" s="1">
        <f t="shared" si="1"/>
        <v>-379979.54877161956</v>
      </c>
      <c r="E114" s="1">
        <v>16</v>
      </c>
      <c r="F114" s="1">
        <v>12</v>
      </c>
      <c r="G114" s="1">
        <v>7</v>
      </c>
      <c r="H114" s="1">
        <v>1</v>
      </c>
      <c r="I114" s="1">
        <v>0</v>
      </c>
      <c r="J114" s="1">
        <v>0</v>
      </c>
      <c r="K114" s="1">
        <v>0</v>
      </c>
      <c r="L114" s="1">
        <v>1</v>
      </c>
      <c r="M114" s="1">
        <v>0</v>
      </c>
    </row>
    <row r="115" spans="1:13">
      <c r="A115" s="1">
        <v>114</v>
      </c>
      <c r="B115" s="1">
        <v>968945.93530000001</v>
      </c>
      <c r="C115" s="1">
        <v>890523.89444002148</v>
      </c>
      <c r="D115" s="1">
        <f t="shared" si="1"/>
        <v>78422.04085997853</v>
      </c>
      <c r="E115" s="1">
        <v>18</v>
      </c>
      <c r="F115" s="1">
        <v>11</v>
      </c>
      <c r="G115" s="1">
        <v>6</v>
      </c>
      <c r="H115" s="1">
        <v>0</v>
      </c>
      <c r="I115" s="1">
        <v>2</v>
      </c>
      <c r="J115" s="1">
        <v>1</v>
      </c>
      <c r="K115" s="1">
        <v>1</v>
      </c>
      <c r="L115" s="1">
        <v>0</v>
      </c>
      <c r="M115" s="1">
        <v>0</v>
      </c>
    </row>
    <row r="116" spans="1:13">
      <c r="A116" s="1">
        <v>115</v>
      </c>
      <c r="B116" s="1">
        <v>1027383.8111</v>
      </c>
      <c r="C116" s="1">
        <v>1346013.6917586392</v>
      </c>
      <c r="D116" s="1">
        <f t="shared" si="1"/>
        <v>-318629.88065863913</v>
      </c>
      <c r="E116" s="1">
        <v>5</v>
      </c>
      <c r="F116" s="1">
        <v>25</v>
      </c>
      <c r="G116" s="1">
        <v>5</v>
      </c>
      <c r="H116" s="1">
        <v>1</v>
      </c>
      <c r="I116" s="1">
        <v>0</v>
      </c>
      <c r="J116" s="1">
        <v>1</v>
      </c>
      <c r="K116" s="1">
        <v>1</v>
      </c>
      <c r="L116" s="1">
        <v>0</v>
      </c>
      <c r="M116" s="1">
        <v>1</v>
      </c>
    </row>
    <row r="117" spans="1:13">
      <c r="A117" s="1">
        <v>116</v>
      </c>
      <c r="B117" s="1">
        <v>1077579.3591</v>
      </c>
      <c r="C117" s="1">
        <v>748028.220822784</v>
      </c>
      <c r="D117" s="1">
        <f t="shared" si="1"/>
        <v>329551.138277216</v>
      </c>
      <c r="E117" s="1">
        <v>6</v>
      </c>
      <c r="F117" s="1">
        <v>21</v>
      </c>
      <c r="G117" s="1">
        <v>8</v>
      </c>
      <c r="H117" s="1">
        <v>2</v>
      </c>
      <c r="I117" s="1">
        <v>0</v>
      </c>
      <c r="J117" s="1">
        <v>0</v>
      </c>
      <c r="K117" s="1">
        <v>2</v>
      </c>
      <c r="L117" s="1">
        <v>0</v>
      </c>
      <c r="M117" s="1">
        <v>1</v>
      </c>
    </row>
    <row r="118" spans="1:13">
      <c r="A118" s="1">
        <v>117</v>
      </c>
      <c r="B118" s="1">
        <v>926094.15870000003</v>
      </c>
      <c r="C118" s="1">
        <v>378078.54624029843</v>
      </c>
      <c r="D118" s="1">
        <f t="shared" si="1"/>
        <v>548015.6124597016</v>
      </c>
      <c r="E118" s="1">
        <v>16</v>
      </c>
      <c r="F118" s="1">
        <v>11</v>
      </c>
      <c r="G118" s="1">
        <v>8</v>
      </c>
      <c r="H118" s="1">
        <v>1</v>
      </c>
      <c r="I118" s="1">
        <v>0</v>
      </c>
      <c r="J118" s="1">
        <v>0</v>
      </c>
      <c r="K118" s="1">
        <v>1</v>
      </c>
      <c r="L118" s="1">
        <v>1</v>
      </c>
      <c r="M118" s="1">
        <v>0</v>
      </c>
    </row>
    <row r="119" spans="1:13">
      <c r="A119" s="1">
        <v>118</v>
      </c>
      <c r="B119" s="1">
        <v>916784.01029999997</v>
      </c>
      <c r="C119" s="1">
        <v>865515.50639851415</v>
      </c>
      <c r="D119" s="1">
        <f t="shared" si="1"/>
        <v>51268.503901485819</v>
      </c>
      <c r="E119" s="1">
        <v>15</v>
      </c>
      <c r="F119" s="1">
        <v>15</v>
      </c>
      <c r="G119" s="1">
        <v>5</v>
      </c>
      <c r="H119" s="1">
        <v>2</v>
      </c>
      <c r="I119" s="1">
        <v>0</v>
      </c>
      <c r="J119" s="1">
        <v>1</v>
      </c>
      <c r="K119" s="1">
        <v>0</v>
      </c>
      <c r="L119" s="1">
        <v>0</v>
      </c>
      <c r="M119" s="1">
        <v>1</v>
      </c>
    </row>
    <row r="120" spans="1:13">
      <c r="A120" s="1">
        <v>119</v>
      </c>
      <c r="B120" s="1">
        <v>996169.13899999997</v>
      </c>
      <c r="C120" s="1">
        <v>459218.73294633406</v>
      </c>
      <c r="D120" s="1">
        <f t="shared" si="1"/>
        <v>536950.40605366591</v>
      </c>
      <c r="E120" s="1">
        <v>15</v>
      </c>
      <c r="F120" s="1">
        <v>14</v>
      </c>
      <c r="G120" s="1">
        <v>6</v>
      </c>
      <c r="H120" s="1">
        <v>0</v>
      </c>
      <c r="I120" s="1">
        <v>0</v>
      </c>
      <c r="J120" s="1">
        <v>2</v>
      </c>
      <c r="K120" s="1">
        <v>0</v>
      </c>
      <c r="L120" s="1">
        <v>0</v>
      </c>
      <c r="M120" s="1">
        <v>0</v>
      </c>
    </row>
    <row r="121" spans="1:13">
      <c r="A121" s="1">
        <v>120</v>
      </c>
      <c r="B121" s="1">
        <v>1040484.6327</v>
      </c>
      <c r="C121" s="1">
        <v>658010.13662795187</v>
      </c>
      <c r="D121" s="1">
        <f t="shared" si="1"/>
        <v>382474.49607204809</v>
      </c>
      <c r="E121" s="1">
        <v>13</v>
      </c>
      <c r="F121" s="1">
        <v>13</v>
      </c>
      <c r="G121" s="1">
        <v>9</v>
      </c>
      <c r="H121" s="1">
        <v>2</v>
      </c>
      <c r="I121" s="1">
        <v>0</v>
      </c>
      <c r="J121" s="1">
        <v>1</v>
      </c>
      <c r="K121" s="1">
        <v>1</v>
      </c>
      <c r="L121" s="1">
        <v>0</v>
      </c>
      <c r="M121" s="1">
        <v>1</v>
      </c>
    </row>
    <row r="122" spans="1:13">
      <c r="A122" s="1">
        <v>121</v>
      </c>
      <c r="B122" s="1">
        <v>931032.0061</v>
      </c>
      <c r="C122" s="1">
        <v>1056747.4851064507</v>
      </c>
      <c r="D122" s="1">
        <f t="shared" si="1"/>
        <v>-125715.47900645074</v>
      </c>
      <c r="E122" s="1">
        <v>17</v>
      </c>
      <c r="F122" s="1">
        <v>15</v>
      </c>
      <c r="G122" s="1">
        <v>3</v>
      </c>
      <c r="H122" s="1">
        <v>1</v>
      </c>
      <c r="I122" s="1">
        <v>0</v>
      </c>
      <c r="J122" s="1">
        <v>0</v>
      </c>
      <c r="K122" s="1">
        <v>0</v>
      </c>
      <c r="L122" s="1">
        <v>0</v>
      </c>
      <c r="M122" s="1">
        <v>0</v>
      </c>
    </row>
    <row r="123" spans="1:13">
      <c r="A123" s="1">
        <v>122</v>
      </c>
      <c r="B123" s="1">
        <v>928196.64110000001</v>
      </c>
      <c r="C123" s="1">
        <v>1129210.1018460987</v>
      </c>
      <c r="D123" s="1">
        <f t="shared" si="1"/>
        <v>-201013.46074609866</v>
      </c>
      <c r="E123" s="1">
        <v>16</v>
      </c>
      <c r="F123" s="1">
        <v>14</v>
      </c>
      <c r="G123" s="1">
        <v>5</v>
      </c>
      <c r="H123" s="1">
        <v>0</v>
      </c>
      <c r="I123" s="1">
        <v>0</v>
      </c>
      <c r="J123" s="1">
        <v>2</v>
      </c>
      <c r="K123" s="1">
        <v>0</v>
      </c>
      <c r="L123" s="1">
        <v>0</v>
      </c>
      <c r="M123" s="1">
        <v>0</v>
      </c>
    </row>
    <row r="124" spans="1:13">
      <c r="A124" s="1">
        <v>123</v>
      </c>
      <c r="B124" s="1">
        <v>886275.29909999995</v>
      </c>
      <c r="C124" s="1">
        <v>1413854.5681699105</v>
      </c>
      <c r="D124" s="1">
        <f t="shared" si="1"/>
        <v>-527579.26906991052</v>
      </c>
      <c r="E124" s="1">
        <v>13</v>
      </c>
      <c r="F124" s="1">
        <v>16</v>
      </c>
      <c r="G124" s="1">
        <v>6</v>
      </c>
      <c r="H124" s="1">
        <v>0</v>
      </c>
      <c r="I124" s="1">
        <v>0</v>
      </c>
      <c r="J124" s="1">
        <v>1</v>
      </c>
      <c r="K124" s="1">
        <v>0</v>
      </c>
      <c r="L124" s="1">
        <v>0</v>
      </c>
      <c r="M124" s="1">
        <v>0</v>
      </c>
    </row>
    <row r="125" spans="1:13">
      <c r="A125" s="1">
        <v>124</v>
      </c>
      <c r="B125" s="1">
        <v>1086845.9079</v>
      </c>
      <c r="C125" s="1">
        <v>725095.21003890748</v>
      </c>
      <c r="D125" s="1">
        <f t="shared" si="1"/>
        <v>361750.69786109251</v>
      </c>
      <c r="E125" s="1">
        <v>8</v>
      </c>
      <c r="F125" s="1">
        <v>22</v>
      </c>
      <c r="G125" s="1">
        <v>5</v>
      </c>
      <c r="H125" s="1">
        <v>2</v>
      </c>
      <c r="I125" s="1">
        <v>0</v>
      </c>
      <c r="J125" s="1">
        <v>1</v>
      </c>
      <c r="K125" s="1">
        <v>0</v>
      </c>
      <c r="L125" s="1">
        <v>0</v>
      </c>
      <c r="M125" s="1">
        <v>1</v>
      </c>
    </row>
    <row r="126" spans="1:13">
      <c r="A126" s="1">
        <v>125</v>
      </c>
      <c r="B126" s="1">
        <v>961299.04119999998</v>
      </c>
      <c r="C126" s="1">
        <v>1091666.0889321426</v>
      </c>
      <c r="D126" s="1">
        <f t="shared" si="1"/>
        <v>-130367.04773214262</v>
      </c>
      <c r="E126" s="1">
        <v>6</v>
      </c>
      <c r="F126" s="1">
        <v>24</v>
      </c>
      <c r="G126" s="1">
        <v>5</v>
      </c>
      <c r="H126" s="1">
        <v>2</v>
      </c>
      <c r="I126" s="1">
        <v>0</v>
      </c>
      <c r="J126" s="1">
        <v>1</v>
      </c>
      <c r="K126" s="1">
        <v>1</v>
      </c>
      <c r="L126" s="1">
        <v>0</v>
      </c>
      <c r="M126" s="1">
        <v>0</v>
      </c>
    </row>
    <row r="127" spans="1:13">
      <c r="A127" s="1">
        <v>126</v>
      </c>
      <c r="B127" s="1">
        <v>842397.4203</v>
      </c>
      <c r="C127" s="1">
        <v>791155.62103569787</v>
      </c>
      <c r="D127" s="1">
        <f t="shared" si="1"/>
        <v>51241.799264302128</v>
      </c>
      <c r="E127" s="1">
        <v>17</v>
      </c>
      <c r="F127" s="1">
        <v>13</v>
      </c>
      <c r="G127" s="1">
        <v>5</v>
      </c>
      <c r="H127" s="1">
        <v>1</v>
      </c>
      <c r="I127" s="1">
        <v>0</v>
      </c>
      <c r="J127" s="1">
        <v>1</v>
      </c>
      <c r="K127" s="1">
        <v>0</v>
      </c>
      <c r="L127" s="1">
        <v>0</v>
      </c>
      <c r="M127" s="1">
        <v>1</v>
      </c>
    </row>
    <row r="128" spans="1:13">
      <c r="A128" s="1">
        <v>127</v>
      </c>
      <c r="B128" s="1">
        <v>927374.62049999996</v>
      </c>
      <c r="C128" s="1">
        <v>984892.68758343509</v>
      </c>
      <c r="D128" s="1">
        <f t="shared" si="1"/>
        <v>-57518.067083435133</v>
      </c>
      <c r="E128" s="1">
        <v>17</v>
      </c>
      <c r="F128" s="1">
        <v>12</v>
      </c>
      <c r="G128" s="1">
        <v>6</v>
      </c>
      <c r="H128" s="1">
        <v>1</v>
      </c>
      <c r="I128" s="1">
        <v>0</v>
      </c>
      <c r="J128" s="1">
        <v>1</v>
      </c>
      <c r="K128" s="1">
        <v>1</v>
      </c>
      <c r="L128" s="1">
        <v>0</v>
      </c>
      <c r="M128" s="1">
        <v>0</v>
      </c>
    </row>
    <row r="129" spans="1:13">
      <c r="A129" s="1">
        <v>128</v>
      </c>
      <c r="B129" s="1">
        <v>907897.54440000001</v>
      </c>
      <c r="C129" s="1">
        <v>643628.45072974544</v>
      </c>
      <c r="D129" s="1">
        <f t="shared" si="1"/>
        <v>264269.09367025457</v>
      </c>
      <c r="E129" s="1">
        <v>12</v>
      </c>
      <c r="F129" s="1">
        <v>17</v>
      </c>
      <c r="G129" s="1">
        <v>6</v>
      </c>
      <c r="H129" s="1">
        <v>1</v>
      </c>
      <c r="I129" s="1">
        <v>0</v>
      </c>
      <c r="J129" s="1">
        <v>0</v>
      </c>
      <c r="K129" s="1">
        <v>0</v>
      </c>
      <c r="L129" s="1">
        <v>0</v>
      </c>
      <c r="M129" s="1">
        <v>0</v>
      </c>
    </row>
    <row r="130" spans="1:13">
      <c r="A130" s="1">
        <v>129</v>
      </c>
      <c r="B130" s="1">
        <v>1040619.7868999999</v>
      </c>
      <c r="C130" s="1">
        <v>1071906.201549127</v>
      </c>
      <c r="D130" s="1">
        <f t="shared" ref="D130:D193" si="2">B130-C130</f>
        <v>-31286.414649127051</v>
      </c>
      <c r="E130" s="1">
        <v>7</v>
      </c>
      <c r="F130" s="1">
        <v>23</v>
      </c>
      <c r="G130" s="1">
        <v>5</v>
      </c>
      <c r="H130" s="1">
        <v>2</v>
      </c>
      <c r="I130" s="1">
        <v>0</v>
      </c>
      <c r="J130" s="1">
        <v>1</v>
      </c>
      <c r="K130" s="1">
        <v>0</v>
      </c>
      <c r="L130" s="1">
        <v>0</v>
      </c>
      <c r="M130" s="1">
        <v>1</v>
      </c>
    </row>
    <row r="131" spans="1:13">
      <c r="A131" s="1">
        <v>130</v>
      </c>
      <c r="B131" s="1">
        <v>995574.74080000003</v>
      </c>
      <c r="C131" s="1">
        <v>721015.95611560403</v>
      </c>
      <c r="D131" s="1">
        <f t="shared" si="2"/>
        <v>274558.784684396</v>
      </c>
      <c r="E131" s="1">
        <v>11</v>
      </c>
      <c r="F131" s="1">
        <v>15</v>
      </c>
      <c r="G131" s="1">
        <v>9</v>
      </c>
      <c r="H131" s="1">
        <v>0</v>
      </c>
      <c r="I131" s="1">
        <v>1</v>
      </c>
      <c r="J131" s="1">
        <v>1</v>
      </c>
      <c r="K131" s="1">
        <v>0</v>
      </c>
      <c r="L131" s="1">
        <v>0</v>
      </c>
      <c r="M131" s="1">
        <v>0</v>
      </c>
    </row>
    <row r="132" spans="1:13">
      <c r="A132" s="1">
        <v>131</v>
      </c>
      <c r="B132" s="1">
        <v>920587.83649999998</v>
      </c>
      <c r="C132" s="1">
        <v>846481.50482508622</v>
      </c>
      <c r="D132" s="1">
        <f t="shared" si="2"/>
        <v>74106.331674913759</v>
      </c>
      <c r="E132" s="1">
        <v>16</v>
      </c>
      <c r="F132" s="1">
        <v>14</v>
      </c>
      <c r="G132" s="1">
        <v>5</v>
      </c>
      <c r="H132" s="1">
        <v>1</v>
      </c>
      <c r="I132" s="1">
        <v>1</v>
      </c>
      <c r="J132" s="1">
        <v>1</v>
      </c>
      <c r="K132" s="1">
        <v>0</v>
      </c>
      <c r="L132" s="1">
        <v>0</v>
      </c>
      <c r="M132" s="1">
        <v>1</v>
      </c>
    </row>
    <row r="133" spans="1:13">
      <c r="A133" s="1">
        <v>132</v>
      </c>
      <c r="B133" s="1">
        <v>975693.39260000002</v>
      </c>
      <c r="C133" s="1">
        <v>638814.82083787967</v>
      </c>
      <c r="D133" s="1">
        <f t="shared" si="2"/>
        <v>336878.57176212035</v>
      </c>
      <c r="E133" s="1">
        <v>8</v>
      </c>
      <c r="F133" s="1">
        <v>24</v>
      </c>
      <c r="G133" s="1">
        <v>3</v>
      </c>
      <c r="H133" s="1">
        <v>1</v>
      </c>
      <c r="I133" s="1">
        <v>0</v>
      </c>
      <c r="J133" s="1">
        <v>1</v>
      </c>
      <c r="K133" s="1">
        <v>1</v>
      </c>
      <c r="L133" s="1">
        <v>0</v>
      </c>
      <c r="M133" s="1">
        <v>1</v>
      </c>
    </row>
    <row r="134" spans="1:13">
      <c r="A134" s="1">
        <v>133</v>
      </c>
      <c r="B134" s="1">
        <v>883737.16689999995</v>
      </c>
      <c r="C134" s="1">
        <v>630778.74779828789</v>
      </c>
      <c r="D134" s="1">
        <f t="shared" si="2"/>
        <v>252958.41910171206</v>
      </c>
      <c r="E134" s="1">
        <v>21</v>
      </c>
      <c r="F134" s="1">
        <v>6</v>
      </c>
      <c r="G134" s="1">
        <v>8</v>
      </c>
      <c r="H134" s="1">
        <v>2</v>
      </c>
      <c r="I134" s="1">
        <v>0</v>
      </c>
      <c r="J134" s="1">
        <v>0</v>
      </c>
      <c r="K134" s="1">
        <v>0</v>
      </c>
      <c r="L134" s="1">
        <v>1</v>
      </c>
      <c r="M134" s="1">
        <v>1</v>
      </c>
    </row>
    <row r="135" spans="1:13">
      <c r="A135" s="1">
        <v>134</v>
      </c>
      <c r="B135" s="1">
        <v>912490.46900000004</v>
      </c>
      <c r="C135" s="1">
        <v>1213948.1798498333</v>
      </c>
      <c r="D135" s="1">
        <f t="shared" si="2"/>
        <v>-301457.71084983321</v>
      </c>
      <c r="E135" s="1">
        <v>14</v>
      </c>
      <c r="F135" s="1">
        <v>19</v>
      </c>
      <c r="G135" s="1">
        <v>2</v>
      </c>
      <c r="H135" s="1">
        <v>0</v>
      </c>
      <c r="I135" s="1">
        <v>0</v>
      </c>
      <c r="J135" s="1">
        <v>1</v>
      </c>
      <c r="K135" s="1">
        <v>1</v>
      </c>
      <c r="L135" s="1">
        <v>0</v>
      </c>
      <c r="M135" s="1">
        <v>0</v>
      </c>
    </row>
    <row r="136" spans="1:13">
      <c r="A136" s="1">
        <v>135</v>
      </c>
      <c r="B136" s="1">
        <v>849378.54169999994</v>
      </c>
      <c r="C136" s="1">
        <v>906479.20746871165</v>
      </c>
      <c r="D136" s="1">
        <f t="shared" si="2"/>
        <v>-57100.665768711711</v>
      </c>
      <c r="E136" s="1">
        <v>15</v>
      </c>
      <c r="F136" s="1">
        <v>16</v>
      </c>
      <c r="G136" s="1">
        <v>4</v>
      </c>
      <c r="H136" s="1">
        <v>2</v>
      </c>
      <c r="I136" s="1">
        <v>0</v>
      </c>
      <c r="J136" s="1">
        <v>0</v>
      </c>
      <c r="K136" s="1">
        <v>1</v>
      </c>
      <c r="L136" s="1">
        <v>0</v>
      </c>
      <c r="M136" s="1">
        <v>0</v>
      </c>
    </row>
    <row r="137" spans="1:13">
      <c r="A137" s="1">
        <v>136</v>
      </c>
      <c r="B137" s="1">
        <v>937200.27919999999</v>
      </c>
      <c r="C137" s="1">
        <v>695461.73245661531</v>
      </c>
      <c r="D137" s="1">
        <f t="shared" si="2"/>
        <v>241738.54674338468</v>
      </c>
      <c r="E137" s="1">
        <v>17</v>
      </c>
      <c r="F137" s="1">
        <v>14</v>
      </c>
      <c r="G137" s="1">
        <v>4</v>
      </c>
      <c r="H137" s="1">
        <v>0</v>
      </c>
      <c r="I137" s="1">
        <v>0</v>
      </c>
      <c r="J137" s="1">
        <v>0</v>
      </c>
      <c r="K137" s="1">
        <v>0</v>
      </c>
      <c r="L137" s="1">
        <v>0</v>
      </c>
      <c r="M137" s="1">
        <v>1</v>
      </c>
    </row>
    <row r="138" spans="1:13">
      <c r="A138" s="1">
        <v>137</v>
      </c>
      <c r="B138" s="1">
        <v>936161.83149999997</v>
      </c>
      <c r="C138" s="1">
        <v>771757.20405795344</v>
      </c>
      <c r="D138" s="1">
        <f t="shared" si="2"/>
        <v>164404.62744204653</v>
      </c>
      <c r="E138" s="1">
        <v>15</v>
      </c>
      <c r="F138" s="1">
        <v>13</v>
      </c>
      <c r="G138" s="1">
        <v>7</v>
      </c>
      <c r="H138" s="1">
        <v>0</v>
      </c>
      <c r="I138" s="1">
        <v>1</v>
      </c>
      <c r="J138" s="1">
        <v>0</v>
      </c>
      <c r="K138" s="1">
        <v>0</v>
      </c>
      <c r="L138" s="1">
        <v>0</v>
      </c>
      <c r="M138" s="1">
        <v>0</v>
      </c>
    </row>
    <row r="139" spans="1:13">
      <c r="A139" s="1">
        <v>138</v>
      </c>
      <c r="B139" s="1">
        <v>884675.12679999997</v>
      </c>
      <c r="C139" s="1">
        <v>430005.29947915161</v>
      </c>
      <c r="D139" s="1">
        <f t="shared" si="2"/>
        <v>454669.82732084836</v>
      </c>
      <c r="E139" s="1">
        <v>11</v>
      </c>
      <c r="F139" s="1">
        <v>18</v>
      </c>
      <c r="G139" s="1">
        <v>6</v>
      </c>
      <c r="H139" s="1">
        <v>0</v>
      </c>
      <c r="I139" s="1">
        <v>1</v>
      </c>
      <c r="J139" s="1">
        <v>0</v>
      </c>
      <c r="K139" s="1">
        <v>1</v>
      </c>
      <c r="L139" s="1">
        <v>0</v>
      </c>
      <c r="M139" s="1">
        <v>0</v>
      </c>
    </row>
    <row r="140" spans="1:13">
      <c r="A140" s="1">
        <v>139</v>
      </c>
      <c r="B140" s="1">
        <v>908021.8382</v>
      </c>
      <c r="C140" s="1">
        <v>868037.49451590504</v>
      </c>
      <c r="D140" s="1">
        <f t="shared" si="2"/>
        <v>39984.343684094958</v>
      </c>
      <c r="E140" s="1">
        <v>13</v>
      </c>
      <c r="F140" s="1">
        <v>18</v>
      </c>
      <c r="G140" s="1">
        <v>4</v>
      </c>
      <c r="H140" s="1">
        <v>0</v>
      </c>
      <c r="I140" s="1">
        <v>1</v>
      </c>
      <c r="J140" s="1">
        <v>1</v>
      </c>
      <c r="K140" s="1">
        <v>0</v>
      </c>
      <c r="L140" s="1">
        <v>0</v>
      </c>
      <c r="M140" s="1">
        <v>1</v>
      </c>
    </row>
    <row r="141" spans="1:13">
      <c r="A141" s="1">
        <v>140</v>
      </c>
      <c r="B141" s="1">
        <v>984109.16449999996</v>
      </c>
      <c r="C141" s="1">
        <v>692316.15990151616</v>
      </c>
      <c r="D141" s="1">
        <f t="shared" si="2"/>
        <v>291793.00459848379</v>
      </c>
      <c r="E141" s="1">
        <v>13</v>
      </c>
      <c r="F141" s="1">
        <v>14</v>
      </c>
      <c r="G141" s="1">
        <v>8</v>
      </c>
      <c r="H141" s="1">
        <v>2</v>
      </c>
      <c r="I141" s="1">
        <v>0</v>
      </c>
      <c r="J141" s="1">
        <v>0</v>
      </c>
      <c r="K141" s="1">
        <v>1</v>
      </c>
      <c r="L141" s="1">
        <v>0</v>
      </c>
      <c r="M141" s="1">
        <v>0</v>
      </c>
    </row>
    <row r="142" spans="1:13">
      <c r="A142" s="1">
        <v>141</v>
      </c>
      <c r="B142" s="1">
        <v>930817.19790000003</v>
      </c>
      <c r="C142" s="1">
        <v>887411.24486905104</v>
      </c>
      <c r="D142" s="1">
        <f t="shared" si="2"/>
        <v>43405.953030948993</v>
      </c>
      <c r="E142" s="1">
        <v>15</v>
      </c>
      <c r="F142" s="1">
        <v>18</v>
      </c>
      <c r="G142" s="1">
        <v>2</v>
      </c>
      <c r="H142" s="1">
        <v>2</v>
      </c>
      <c r="I142" s="1">
        <v>0</v>
      </c>
      <c r="J142" s="1">
        <v>0</v>
      </c>
      <c r="K142" s="1">
        <v>2</v>
      </c>
      <c r="L142" s="1">
        <v>0</v>
      </c>
      <c r="M142" s="1">
        <v>1</v>
      </c>
    </row>
    <row r="143" spans="1:13">
      <c r="A143" s="1">
        <v>142</v>
      </c>
      <c r="B143" s="1">
        <v>910560.67879999999</v>
      </c>
      <c r="C143" s="1">
        <v>639833.01799222804</v>
      </c>
      <c r="D143" s="1">
        <f t="shared" si="2"/>
        <v>270727.66080777196</v>
      </c>
      <c r="E143" s="1">
        <v>18</v>
      </c>
      <c r="F143" s="1">
        <v>10</v>
      </c>
      <c r="G143" s="1">
        <v>7</v>
      </c>
      <c r="H143" s="1">
        <v>0</v>
      </c>
      <c r="I143" s="1">
        <v>1</v>
      </c>
      <c r="J143" s="1">
        <v>2</v>
      </c>
      <c r="K143" s="1">
        <v>0</v>
      </c>
      <c r="L143" s="1">
        <v>0</v>
      </c>
      <c r="M143" s="1">
        <v>0</v>
      </c>
    </row>
    <row r="144" spans="1:13">
      <c r="A144" s="1">
        <v>143</v>
      </c>
      <c r="B144" s="1">
        <v>967134.3075</v>
      </c>
      <c r="C144" s="1">
        <v>934486.97517940681</v>
      </c>
      <c r="D144" s="1">
        <f t="shared" si="2"/>
        <v>32647.332320593181</v>
      </c>
      <c r="E144" s="1">
        <v>12</v>
      </c>
      <c r="F144" s="1">
        <v>18</v>
      </c>
      <c r="G144" s="1">
        <v>5</v>
      </c>
      <c r="H144" s="1">
        <v>2</v>
      </c>
      <c r="I144" s="1">
        <v>0</v>
      </c>
      <c r="J144" s="1">
        <v>1</v>
      </c>
      <c r="K144" s="1">
        <v>1</v>
      </c>
      <c r="L144" s="1">
        <v>0</v>
      </c>
      <c r="M144" s="1">
        <v>0</v>
      </c>
    </row>
    <row r="145" spans="1:13">
      <c r="A145" s="1">
        <v>144</v>
      </c>
      <c r="B145" s="1">
        <v>971897.34739999997</v>
      </c>
      <c r="C145" s="1">
        <v>746494.45816018467</v>
      </c>
      <c r="D145" s="1">
        <f t="shared" si="2"/>
        <v>225402.8892398153</v>
      </c>
      <c r="E145" s="1">
        <v>8</v>
      </c>
      <c r="F145" s="1">
        <v>22</v>
      </c>
      <c r="G145" s="1">
        <v>5</v>
      </c>
      <c r="H145" s="1">
        <v>2</v>
      </c>
      <c r="I145" s="1">
        <v>0</v>
      </c>
      <c r="J145" s="1">
        <v>0</v>
      </c>
      <c r="K145" s="1">
        <v>2</v>
      </c>
      <c r="L145" s="1">
        <v>0</v>
      </c>
      <c r="M145" s="1">
        <v>0</v>
      </c>
    </row>
    <row r="146" spans="1:13">
      <c r="A146" s="1">
        <v>145</v>
      </c>
      <c r="B146" s="1">
        <v>827507.06420000002</v>
      </c>
      <c r="C146" s="1">
        <v>904144.71389106114</v>
      </c>
      <c r="D146" s="1">
        <f t="shared" si="2"/>
        <v>-76637.649691061117</v>
      </c>
      <c r="E146" s="1">
        <v>6</v>
      </c>
      <c r="F146" s="1">
        <v>25</v>
      </c>
      <c r="G146" s="1">
        <v>4</v>
      </c>
      <c r="H146" s="1">
        <v>0</v>
      </c>
      <c r="I146" s="1">
        <v>1</v>
      </c>
      <c r="J146" s="1">
        <v>0</v>
      </c>
      <c r="K146" s="1">
        <v>0</v>
      </c>
      <c r="L146" s="1">
        <v>1</v>
      </c>
      <c r="M146" s="1">
        <v>0</v>
      </c>
    </row>
    <row r="147" spans="1:13">
      <c r="A147" s="1">
        <v>146</v>
      </c>
      <c r="B147" s="1">
        <v>1057737.8025</v>
      </c>
      <c r="C147" s="1">
        <v>2202116.362589349</v>
      </c>
      <c r="D147" s="1">
        <f t="shared" si="2"/>
        <v>-1144378.560089349</v>
      </c>
      <c r="E147" s="1">
        <v>7</v>
      </c>
      <c r="F147" s="1">
        <v>21</v>
      </c>
      <c r="G147" s="1">
        <v>7</v>
      </c>
      <c r="H147" s="1">
        <v>0</v>
      </c>
      <c r="I147" s="1">
        <v>1</v>
      </c>
      <c r="J147" s="1">
        <v>0</v>
      </c>
      <c r="K147" s="1">
        <v>2</v>
      </c>
      <c r="L147" s="1">
        <v>0</v>
      </c>
      <c r="M147" s="1">
        <v>0</v>
      </c>
    </row>
    <row r="148" spans="1:13">
      <c r="A148" s="1">
        <v>147</v>
      </c>
      <c r="B148" s="1">
        <v>1006584.6725</v>
      </c>
      <c r="C148" s="1">
        <v>1752411.6871216311</v>
      </c>
      <c r="D148" s="1">
        <f t="shared" si="2"/>
        <v>-745827.01462163113</v>
      </c>
      <c r="E148" s="1">
        <v>12</v>
      </c>
      <c r="F148" s="1">
        <v>18</v>
      </c>
      <c r="G148" s="1">
        <v>5</v>
      </c>
      <c r="H148" s="1">
        <v>1</v>
      </c>
      <c r="I148" s="1">
        <v>1</v>
      </c>
      <c r="J148" s="1">
        <v>1</v>
      </c>
      <c r="K148" s="1">
        <v>0</v>
      </c>
      <c r="L148" s="1">
        <v>0</v>
      </c>
      <c r="M148" s="1">
        <v>0</v>
      </c>
    </row>
    <row r="149" spans="1:13">
      <c r="A149" s="1">
        <v>148</v>
      </c>
      <c r="B149" s="1">
        <v>1026645.5714</v>
      </c>
      <c r="C149" s="1">
        <v>795178.26577229029</v>
      </c>
      <c r="D149" s="1">
        <f t="shared" si="2"/>
        <v>231467.30562770972</v>
      </c>
      <c r="E149" s="1">
        <v>7</v>
      </c>
      <c r="F149" s="1">
        <v>21</v>
      </c>
      <c r="G149" s="1">
        <v>7</v>
      </c>
      <c r="H149" s="1">
        <v>2</v>
      </c>
      <c r="I149" s="1">
        <v>0</v>
      </c>
      <c r="J149" s="1">
        <v>2</v>
      </c>
      <c r="K149" s="1">
        <v>0</v>
      </c>
      <c r="L149" s="1">
        <v>0</v>
      </c>
      <c r="M149" s="1">
        <v>0</v>
      </c>
    </row>
    <row r="150" spans="1:13">
      <c r="A150" s="1">
        <v>149</v>
      </c>
      <c r="B150" s="1">
        <v>919970.98580000002</v>
      </c>
      <c r="C150" s="1">
        <v>839053.98199690389</v>
      </c>
      <c r="D150" s="1">
        <f t="shared" si="2"/>
        <v>80917.00380309613</v>
      </c>
      <c r="E150" s="1">
        <v>9</v>
      </c>
      <c r="F150" s="1">
        <v>24</v>
      </c>
      <c r="G150" s="1">
        <v>2</v>
      </c>
      <c r="H150" s="1">
        <v>2</v>
      </c>
      <c r="I150" s="1">
        <v>0</v>
      </c>
      <c r="J150" s="1">
        <v>2</v>
      </c>
      <c r="K150" s="1">
        <v>0</v>
      </c>
      <c r="L150" s="1">
        <v>0</v>
      </c>
      <c r="M150" s="1">
        <v>0</v>
      </c>
    </row>
    <row r="151" spans="1:13">
      <c r="A151" s="1">
        <v>150</v>
      </c>
      <c r="B151" s="1">
        <v>848826.73019999999</v>
      </c>
      <c r="C151" s="1">
        <v>864419.98019895144</v>
      </c>
      <c r="D151" s="1">
        <f t="shared" si="2"/>
        <v>-15593.249998951447</v>
      </c>
      <c r="E151" s="1">
        <v>19</v>
      </c>
      <c r="F151" s="1">
        <v>13</v>
      </c>
      <c r="G151" s="1">
        <v>3</v>
      </c>
      <c r="H151" s="1">
        <v>1</v>
      </c>
      <c r="I151" s="1">
        <v>0</v>
      </c>
      <c r="J151" s="1">
        <v>0</v>
      </c>
      <c r="K151" s="1">
        <v>2</v>
      </c>
      <c r="L151" s="1">
        <v>0</v>
      </c>
      <c r="M151" s="1">
        <v>0</v>
      </c>
    </row>
    <row r="152" spans="1:13">
      <c r="A152" s="1">
        <v>151</v>
      </c>
      <c r="B152" s="1">
        <v>954184.29390000005</v>
      </c>
      <c r="C152" s="1">
        <v>927399.05028996582</v>
      </c>
      <c r="D152" s="1">
        <f t="shared" si="2"/>
        <v>26785.243610034231</v>
      </c>
      <c r="E152" s="1">
        <v>16</v>
      </c>
      <c r="F152" s="1">
        <v>12</v>
      </c>
      <c r="G152" s="1">
        <v>7</v>
      </c>
      <c r="H152" s="1">
        <v>1</v>
      </c>
      <c r="I152" s="1">
        <v>0</v>
      </c>
      <c r="J152" s="1">
        <v>0</v>
      </c>
      <c r="K152" s="1">
        <v>2</v>
      </c>
      <c r="L152" s="1">
        <v>0</v>
      </c>
      <c r="M152" s="1">
        <v>0</v>
      </c>
    </row>
    <row r="153" spans="1:13">
      <c r="A153" s="1">
        <v>152</v>
      </c>
      <c r="B153" s="1">
        <v>1006164.1404</v>
      </c>
      <c r="C153" s="1">
        <v>2487004.2712896024</v>
      </c>
      <c r="D153" s="1">
        <f t="shared" si="2"/>
        <v>-1480840.1308896025</v>
      </c>
      <c r="E153" s="1">
        <v>16</v>
      </c>
      <c r="F153" s="1">
        <v>16</v>
      </c>
      <c r="G153" s="1">
        <v>3</v>
      </c>
      <c r="H153" s="1">
        <v>1</v>
      </c>
      <c r="I153" s="1">
        <v>0</v>
      </c>
      <c r="J153" s="1">
        <v>0</v>
      </c>
      <c r="K153" s="1">
        <v>0</v>
      </c>
      <c r="L153" s="1">
        <v>0</v>
      </c>
      <c r="M153" s="1">
        <v>0</v>
      </c>
    </row>
    <row r="154" spans="1:13">
      <c r="A154" s="1">
        <v>153</v>
      </c>
      <c r="B154" s="1">
        <v>1135565.2002000001</v>
      </c>
      <c r="C154" s="1">
        <v>2070011.8788424884</v>
      </c>
      <c r="D154" s="1">
        <f t="shared" si="2"/>
        <v>-934446.67864248832</v>
      </c>
      <c r="E154" s="1">
        <v>7</v>
      </c>
      <c r="F154" s="1">
        <v>20</v>
      </c>
      <c r="G154" s="1">
        <v>8</v>
      </c>
      <c r="H154" s="1">
        <v>1</v>
      </c>
      <c r="I154" s="1">
        <v>0</v>
      </c>
      <c r="J154" s="1">
        <v>0</v>
      </c>
      <c r="K154" s="1">
        <v>1</v>
      </c>
      <c r="L154" s="1">
        <v>0</v>
      </c>
      <c r="M154" s="1">
        <v>0</v>
      </c>
    </row>
    <row r="155" spans="1:13">
      <c r="A155" s="1">
        <v>154</v>
      </c>
      <c r="B155" s="1">
        <v>1026294.84</v>
      </c>
      <c r="C155" s="1">
        <v>1349699.6818307496</v>
      </c>
      <c r="D155" s="1">
        <f t="shared" si="2"/>
        <v>-323404.84183074965</v>
      </c>
      <c r="E155" s="1">
        <v>6</v>
      </c>
      <c r="F155" s="1">
        <v>22</v>
      </c>
      <c r="G155" s="1">
        <v>7</v>
      </c>
      <c r="H155" s="1">
        <v>1</v>
      </c>
      <c r="I155" s="1">
        <v>0</v>
      </c>
      <c r="J155" s="1">
        <v>0</v>
      </c>
      <c r="K155" s="1">
        <v>1</v>
      </c>
      <c r="L155" s="1">
        <v>0</v>
      </c>
      <c r="M155" s="1">
        <v>0</v>
      </c>
    </row>
    <row r="156" spans="1:13">
      <c r="A156" s="1">
        <v>155</v>
      </c>
      <c r="B156" s="1">
        <v>881803.52220000001</v>
      </c>
      <c r="C156" s="1">
        <v>390574.21317488677</v>
      </c>
      <c r="D156" s="1">
        <f t="shared" si="2"/>
        <v>491229.30902511324</v>
      </c>
      <c r="E156" s="1">
        <v>20</v>
      </c>
      <c r="F156" s="1">
        <v>10</v>
      </c>
      <c r="G156" s="1">
        <v>5</v>
      </c>
      <c r="H156" s="1">
        <v>0</v>
      </c>
      <c r="I156" s="1">
        <v>1</v>
      </c>
      <c r="J156" s="1">
        <v>2</v>
      </c>
      <c r="K156" s="1">
        <v>0</v>
      </c>
      <c r="L156" s="1">
        <v>0</v>
      </c>
      <c r="M156" s="1">
        <v>0</v>
      </c>
    </row>
    <row r="157" spans="1:13">
      <c r="A157" s="1">
        <v>156</v>
      </c>
      <c r="B157" s="1">
        <v>974817.5625</v>
      </c>
      <c r="C157" s="1">
        <v>498550.56842302298</v>
      </c>
      <c r="D157" s="1">
        <f t="shared" si="2"/>
        <v>476266.99407697702</v>
      </c>
      <c r="E157" s="1">
        <v>8</v>
      </c>
      <c r="F157" s="1">
        <v>23</v>
      </c>
      <c r="G157" s="1">
        <v>4</v>
      </c>
      <c r="H157" s="1">
        <v>2</v>
      </c>
      <c r="I157" s="1">
        <v>0</v>
      </c>
      <c r="J157" s="1">
        <v>0</v>
      </c>
      <c r="K157" s="1">
        <v>0</v>
      </c>
      <c r="L157" s="1">
        <v>0</v>
      </c>
      <c r="M157" s="1">
        <v>0</v>
      </c>
    </row>
    <row r="158" spans="1:13">
      <c r="A158" s="1">
        <v>157</v>
      </c>
      <c r="B158" s="1">
        <v>866264.5246</v>
      </c>
      <c r="C158" s="1">
        <v>500957.44245427218</v>
      </c>
      <c r="D158" s="1">
        <f t="shared" si="2"/>
        <v>365307.08214572782</v>
      </c>
      <c r="E158" s="1">
        <v>19</v>
      </c>
      <c r="F158" s="1">
        <v>9</v>
      </c>
      <c r="G158" s="1">
        <v>7</v>
      </c>
      <c r="H158" s="1">
        <v>1</v>
      </c>
      <c r="I158" s="1">
        <v>1</v>
      </c>
      <c r="J158" s="1">
        <v>0</v>
      </c>
      <c r="K158" s="1">
        <v>0</v>
      </c>
      <c r="L158" s="1">
        <v>0</v>
      </c>
      <c r="M158" s="1">
        <v>0</v>
      </c>
    </row>
    <row r="159" spans="1:13">
      <c r="A159" s="1">
        <v>158</v>
      </c>
      <c r="B159" s="1">
        <v>963153.94709999999</v>
      </c>
      <c r="C159" s="1">
        <v>885446.73333690327</v>
      </c>
      <c r="D159" s="1">
        <f t="shared" si="2"/>
        <v>77707.213763096719</v>
      </c>
      <c r="E159" s="1">
        <v>12</v>
      </c>
      <c r="F159" s="1">
        <v>17</v>
      </c>
      <c r="G159" s="1">
        <v>6</v>
      </c>
      <c r="H159" s="1">
        <v>0</v>
      </c>
      <c r="I159" s="1">
        <v>0</v>
      </c>
      <c r="J159" s="1">
        <v>1</v>
      </c>
      <c r="K159" s="1">
        <v>1</v>
      </c>
      <c r="L159" s="1">
        <v>0</v>
      </c>
      <c r="M159" s="1">
        <v>0</v>
      </c>
    </row>
    <row r="160" spans="1:13">
      <c r="A160" s="1">
        <v>159</v>
      </c>
      <c r="B160" s="1">
        <v>1000941.2536000001</v>
      </c>
      <c r="C160" s="1">
        <v>909345.39220735047</v>
      </c>
      <c r="D160" s="1">
        <f t="shared" si="2"/>
        <v>91595.861392649589</v>
      </c>
      <c r="E160" s="1">
        <v>13</v>
      </c>
      <c r="F160" s="1">
        <v>16</v>
      </c>
      <c r="G160" s="1">
        <v>6</v>
      </c>
      <c r="H160" s="1">
        <v>2</v>
      </c>
      <c r="I160" s="1">
        <v>0</v>
      </c>
      <c r="J160" s="1">
        <v>0</v>
      </c>
      <c r="K160" s="1">
        <v>0</v>
      </c>
      <c r="L160" s="1">
        <v>0</v>
      </c>
      <c r="M160" s="1">
        <v>0</v>
      </c>
    </row>
    <row r="161" spans="1:13">
      <c r="A161" s="1">
        <v>160</v>
      </c>
      <c r="B161" s="1">
        <v>836024.16680000001</v>
      </c>
      <c r="C161" s="1">
        <v>703996.68577271875</v>
      </c>
      <c r="D161" s="1">
        <f t="shared" si="2"/>
        <v>132027.48102728126</v>
      </c>
      <c r="E161" s="1">
        <v>22</v>
      </c>
      <c r="F161" s="1">
        <v>8</v>
      </c>
      <c r="G161" s="1">
        <v>5</v>
      </c>
      <c r="H161" s="1">
        <v>1</v>
      </c>
      <c r="I161" s="1">
        <v>0</v>
      </c>
      <c r="J161" s="1">
        <v>0</v>
      </c>
      <c r="K161" s="1">
        <v>0</v>
      </c>
      <c r="L161" s="1">
        <v>0</v>
      </c>
      <c r="M161" s="1">
        <v>0</v>
      </c>
    </row>
    <row r="162" spans="1:13">
      <c r="A162" s="1">
        <v>161</v>
      </c>
      <c r="B162" s="1">
        <v>943207.78110000002</v>
      </c>
      <c r="C162" s="1">
        <v>434480.21177401277</v>
      </c>
      <c r="D162" s="1">
        <f t="shared" si="2"/>
        <v>508727.56932598725</v>
      </c>
      <c r="E162" s="1">
        <v>10</v>
      </c>
      <c r="F162" s="1">
        <v>19</v>
      </c>
      <c r="G162" s="1">
        <v>6</v>
      </c>
      <c r="H162" s="1">
        <v>0</v>
      </c>
      <c r="I162" s="1">
        <v>0</v>
      </c>
      <c r="J162" s="1">
        <v>0</v>
      </c>
      <c r="K162" s="1">
        <v>1</v>
      </c>
      <c r="L162" s="1">
        <v>0</v>
      </c>
      <c r="M162" s="1">
        <v>1</v>
      </c>
    </row>
    <row r="163" spans="1:13">
      <c r="A163" s="1">
        <v>162</v>
      </c>
      <c r="B163" s="1">
        <v>950706.55279999995</v>
      </c>
      <c r="C163" s="1">
        <v>594334.76424473594</v>
      </c>
      <c r="D163" s="1">
        <f t="shared" si="2"/>
        <v>356371.78855526401</v>
      </c>
      <c r="E163" s="1">
        <v>16</v>
      </c>
      <c r="F163" s="1">
        <v>13</v>
      </c>
      <c r="G163" s="1">
        <v>6</v>
      </c>
      <c r="H163" s="1">
        <v>0</v>
      </c>
      <c r="I163" s="1">
        <v>1</v>
      </c>
      <c r="J163" s="1">
        <v>0</v>
      </c>
      <c r="K163" s="1">
        <v>0</v>
      </c>
      <c r="L163" s="1">
        <v>0</v>
      </c>
      <c r="M163" s="1">
        <v>0</v>
      </c>
    </row>
    <row r="164" spans="1:13">
      <c r="A164" s="1">
        <v>163</v>
      </c>
      <c r="B164" s="1">
        <v>907292.71120000002</v>
      </c>
      <c r="C164" s="1">
        <v>736454.7774267249</v>
      </c>
      <c r="D164" s="1">
        <f t="shared" si="2"/>
        <v>170837.93377327512</v>
      </c>
      <c r="E164" s="1">
        <v>10</v>
      </c>
      <c r="F164" s="1">
        <v>17</v>
      </c>
      <c r="G164" s="1">
        <v>8</v>
      </c>
      <c r="H164" s="1">
        <v>1</v>
      </c>
      <c r="I164" s="1">
        <v>0</v>
      </c>
      <c r="J164" s="1">
        <v>0</v>
      </c>
      <c r="K164" s="1">
        <v>0</v>
      </c>
      <c r="L164" s="1">
        <v>0</v>
      </c>
      <c r="M164" s="1">
        <v>1</v>
      </c>
    </row>
    <row r="165" spans="1:13">
      <c r="A165" s="1">
        <v>164</v>
      </c>
      <c r="B165" s="1">
        <v>916974.2746</v>
      </c>
      <c r="C165" s="1">
        <v>855872.81167103187</v>
      </c>
      <c r="D165" s="1">
        <f t="shared" si="2"/>
        <v>61101.462928968132</v>
      </c>
      <c r="E165" s="1">
        <v>22</v>
      </c>
      <c r="F165" s="1">
        <v>7</v>
      </c>
      <c r="G165" s="1">
        <v>6</v>
      </c>
      <c r="H165" s="1">
        <v>2</v>
      </c>
      <c r="I165" s="1">
        <v>0</v>
      </c>
      <c r="J165" s="1">
        <v>0</v>
      </c>
      <c r="K165" s="1">
        <v>0</v>
      </c>
      <c r="L165" s="1">
        <v>0</v>
      </c>
      <c r="M165" s="1">
        <v>1</v>
      </c>
    </row>
    <row r="166" spans="1:13">
      <c r="A166" s="1">
        <v>165</v>
      </c>
      <c r="B166" s="1">
        <v>1015015.0488</v>
      </c>
      <c r="C166" s="1">
        <v>1205017.5530895737</v>
      </c>
      <c r="D166" s="1">
        <f t="shared" si="2"/>
        <v>-190002.50428957376</v>
      </c>
      <c r="E166" s="1">
        <v>12</v>
      </c>
      <c r="F166" s="1">
        <v>18</v>
      </c>
      <c r="G166" s="1">
        <v>5</v>
      </c>
      <c r="H166" s="1">
        <v>2</v>
      </c>
      <c r="I166" s="1">
        <v>0</v>
      </c>
      <c r="J166" s="1">
        <v>2</v>
      </c>
      <c r="K166" s="1">
        <v>0</v>
      </c>
      <c r="L166" s="1">
        <v>0</v>
      </c>
      <c r="M166" s="1">
        <v>1</v>
      </c>
    </row>
    <row r="167" spans="1:13">
      <c r="A167" s="1">
        <v>166</v>
      </c>
      <c r="B167" s="1">
        <v>1034900.0485</v>
      </c>
      <c r="C167" s="1">
        <v>1149966.5586101818</v>
      </c>
      <c r="D167" s="1">
        <f t="shared" si="2"/>
        <v>-115066.51011018176</v>
      </c>
      <c r="E167" s="1">
        <v>6</v>
      </c>
      <c r="F167" s="1">
        <v>23</v>
      </c>
      <c r="G167" s="1">
        <v>6</v>
      </c>
      <c r="H167" s="1">
        <v>0</v>
      </c>
      <c r="I167" s="1">
        <v>0</v>
      </c>
      <c r="J167" s="1">
        <v>0</v>
      </c>
      <c r="K167" s="1">
        <v>0</v>
      </c>
      <c r="L167" s="1">
        <v>0</v>
      </c>
      <c r="M167" s="1">
        <v>0</v>
      </c>
    </row>
    <row r="168" spans="1:13">
      <c r="A168" s="1">
        <v>167</v>
      </c>
      <c r="B168" s="1">
        <v>929010.49369999999</v>
      </c>
      <c r="C168" s="1">
        <v>747093.32208265807</v>
      </c>
      <c r="D168" s="1">
        <f t="shared" si="2"/>
        <v>181917.17161734193</v>
      </c>
      <c r="E168" s="1">
        <v>13</v>
      </c>
      <c r="F168" s="1">
        <v>18</v>
      </c>
      <c r="G168" s="1">
        <v>4</v>
      </c>
      <c r="H168" s="1">
        <v>2</v>
      </c>
      <c r="I168" s="1">
        <v>0</v>
      </c>
      <c r="J168" s="1">
        <v>2</v>
      </c>
      <c r="K168" s="1">
        <v>0</v>
      </c>
      <c r="L168" s="1">
        <v>0</v>
      </c>
      <c r="M168" s="1">
        <v>1</v>
      </c>
    </row>
    <row r="169" spans="1:13">
      <c r="A169" s="1">
        <v>168</v>
      </c>
      <c r="B169" s="1">
        <v>962310.11899999995</v>
      </c>
      <c r="C169" s="1">
        <v>625698.70265316532</v>
      </c>
      <c r="D169" s="1">
        <f t="shared" si="2"/>
        <v>336611.41634683462</v>
      </c>
      <c r="E169" s="1">
        <v>10</v>
      </c>
      <c r="F169" s="1">
        <v>18</v>
      </c>
      <c r="G169" s="1">
        <v>7</v>
      </c>
      <c r="H169" s="1">
        <v>0</v>
      </c>
      <c r="I169" s="1">
        <v>0</v>
      </c>
      <c r="J169" s="1">
        <v>1</v>
      </c>
      <c r="K169" s="1">
        <v>0</v>
      </c>
      <c r="L169" s="1">
        <v>0</v>
      </c>
      <c r="M169" s="1">
        <v>0</v>
      </c>
    </row>
    <row r="170" spans="1:13">
      <c r="A170" s="1">
        <v>169</v>
      </c>
      <c r="B170" s="1">
        <v>945636.54619999998</v>
      </c>
      <c r="C170" s="1">
        <v>899234.48021440941</v>
      </c>
      <c r="D170" s="1">
        <f t="shared" si="2"/>
        <v>46402.065985590569</v>
      </c>
      <c r="E170" s="1">
        <v>11</v>
      </c>
      <c r="F170" s="1">
        <v>18</v>
      </c>
      <c r="G170" s="1">
        <v>6</v>
      </c>
      <c r="H170" s="1">
        <v>0</v>
      </c>
      <c r="I170" s="1">
        <v>1</v>
      </c>
      <c r="J170" s="1">
        <v>1</v>
      </c>
      <c r="K170" s="1">
        <v>1</v>
      </c>
      <c r="L170" s="1">
        <v>0</v>
      </c>
      <c r="M170" s="1">
        <v>0</v>
      </c>
    </row>
    <row r="171" spans="1:13">
      <c r="A171" s="1">
        <v>170</v>
      </c>
      <c r="B171" s="1">
        <v>1006413.3885</v>
      </c>
      <c r="C171" s="1">
        <v>924230.55729459052</v>
      </c>
      <c r="D171" s="1">
        <f t="shared" si="2"/>
        <v>82182.831205409486</v>
      </c>
      <c r="E171" s="1">
        <v>4</v>
      </c>
      <c r="F171" s="1">
        <v>27</v>
      </c>
      <c r="G171" s="1">
        <v>4</v>
      </c>
      <c r="H171" s="1">
        <v>1</v>
      </c>
      <c r="I171" s="1">
        <v>0</v>
      </c>
      <c r="J171" s="1">
        <v>1</v>
      </c>
      <c r="K171" s="1">
        <v>0</v>
      </c>
      <c r="L171" s="1">
        <v>0</v>
      </c>
      <c r="M171" s="1">
        <v>0</v>
      </c>
    </row>
    <row r="172" spans="1:13">
      <c r="A172" s="1">
        <v>171</v>
      </c>
      <c r="B172" s="1">
        <v>926730.7807</v>
      </c>
      <c r="C172" s="1">
        <v>1543492.7369826504</v>
      </c>
      <c r="D172" s="1">
        <f t="shared" si="2"/>
        <v>-616761.95628265035</v>
      </c>
      <c r="E172" s="1">
        <v>23</v>
      </c>
      <c r="F172" s="1">
        <v>9</v>
      </c>
      <c r="G172" s="1">
        <v>3</v>
      </c>
      <c r="H172" s="1">
        <v>1</v>
      </c>
      <c r="I172" s="1">
        <v>0</v>
      </c>
      <c r="J172" s="1">
        <v>0</v>
      </c>
      <c r="K172" s="1">
        <v>0</v>
      </c>
      <c r="L172" s="1">
        <v>0</v>
      </c>
      <c r="M172" s="1">
        <v>0</v>
      </c>
    </row>
    <row r="173" spans="1:13">
      <c r="A173" s="1">
        <v>172</v>
      </c>
      <c r="B173" s="1">
        <v>884065.52289999998</v>
      </c>
      <c r="C173" s="1">
        <v>828502.62398617167</v>
      </c>
      <c r="D173" s="1">
        <f t="shared" si="2"/>
        <v>55562.898913828307</v>
      </c>
      <c r="E173" s="1">
        <v>11</v>
      </c>
      <c r="F173" s="1">
        <v>19</v>
      </c>
      <c r="G173" s="1">
        <v>5</v>
      </c>
      <c r="H173" s="1">
        <v>0</v>
      </c>
      <c r="I173" s="1">
        <v>0</v>
      </c>
      <c r="J173" s="1">
        <v>0</v>
      </c>
      <c r="K173" s="1">
        <v>1</v>
      </c>
      <c r="L173" s="1">
        <v>1</v>
      </c>
      <c r="M173" s="1">
        <v>0</v>
      </c>
    </row>
    <row r="174" spans="1:13">
      <c r="A174" s="1">
        <v>173</v>
      </c>
      <c r="B174" s="1">
        <v>933562.09230000002</v>
      </c>
      <c r="C174" s="1">
        <v>1099719.402552203</v>
      </c>
      <c r="D174" s="1">
        <f t="shared" si="2"/>
        <v>-166157.31025220302</v>
      </c>
      <c r="E174" s="1">
        <v>15</v>
      </c>
      <c r="F174" s="1">
        <v>16</v>
      </c>
      <c r="G174" s="1">
        <v>4</v>
      </c>
      <c r="H174" s="1">
        <v>0</v>
      </c>
      <c r="I174" s="1">
        <v>1</v>
      </c>
      <c r="J174" s="1">
        <v>0</v>
      </c>
      <c r="K174" s="1">
        <v>0</v>
      </c>
      <c r="L174" s="1">
        <v>0</v>
      </c>
      <c r="M174" s="1">
        <v>1</v>
      </c>
    </row>
    <row r="175" spans="1:13">
      <c r="A175" s="1">
        <v>174</v>
      </c>
      <c r="B175" s="1">
        <v>823337.22069999995</v>
      </c>
      <c r="C175" s="1">
        <v>974543.22909460741</v>
      </c>
      <c r="D175" s="1">
        <f t="shared" si="2"/>
        <v>-151206.00839460746</v>
      </c>
      <c r="E175" s="1">
        <v>20</v>
      </c>
      <c r="F175" s="1">
        <v>10</v>
      </c>
      <c r="G175" s="1">
        <v>5</v>
      </c>
      <c r="H175" s="1">
        <v>1</v>
      </c>
      <c r="I175" s="1">
        <v>0</v>
      </c>
      <c r="J175" s="1">
        <v>0</v>
      </c>
      <c r="K175" s="1">
        <v>1</v>
      </c>
      <c r="L175" s="1">
        <v>1</v>
      </c>
      <c r="M175" s="1">
        <v>0</v>
      </c>
    </row>
    <row r="176" spans="1:13">
      <c r="A176" s="1">
        <v>175</v>
      </c>
      <c r="B176" s="1">
        <v>976430.85199999996</v>
      </c>
      <c r="C176" s="1">
        <v>544778.88497682312</v>
      </c>
      <c r="D176" s="1">
        <f t="shared" si="2"/>
        <v>431651.96702317684</v>
      </c>
      <c r="E176" s="1">
        <v>6</v>
      </c>
      <c r="F176" s="1">
        <v>24</v>
      </c>
      <c r="G176" s="1">
        <v>5</v>
      </c>
      <c r="H176" s="1">
        <v>0</v>
      </c>
      <c r="I176" s="1">
        <v>0</v>
      </c>
      <c r="J176" s="1">
        <v>1</v>
      </c>
      <c r="K176" s="1">
        <v>1</v>
      </c>
      <c r="L176" s="1">
        <v>0</v>
      </c>
      <c r="M176" s="1">
        <v>0</v>
      </c>
    </row>
    <row r="177" spans="1:13">
      <c r="A177" s="1">
        <v>176</v>
      </c>
      <c r="B177" s="1">
        <v>1019027.6186</v>
      </c>
      <c r="C177" s="1">
        <v>1221814.0408757268</v>
      </c>
      <c r="D177" s="1">
        <f t="shared" si="2"/>
        <v>-202786.4222757268</v>
      </c>
      <c r="E177" s="1">
        <v>5</v>
      </c>
      <c r="F177" s="1">
        <v>23</v>
      </c>
      <c r="G177" s="1">
        <v>7</v>
      </c>
      <c r="H177" s="1">
        <v>1</v>
      </c>
      <c r="I177" s="1">
        <v>0</v>
      </c>
      <c r="J177" s="1">
        <v>0</v>
      </c>
      <c r="K177" s="1">
        <v>1</v>
      </c>
      <c r="L177" s="1">
        <v>0</v>
      </c>
      <c r="M177" s="1">
        <v>0</v>
      </c>
    </row>
    <row r="178" spans="1:13">
      <c r="A178" s="1">
        <v>177</v>
      </c>
      <c r="B178" s="1">
        <v>841316.83979999996</v>
      </c>
      <c r="C178" s="1">
        <v>741701.1716601412</v>
      </c>
      <c r="D178" s="1">
        <f t="shared" si="2"/>
        <v>99615.668139858753</v>
      </c>
      <c r="E178" s="1">
        <v>12</v>
      </c>
      <c r="F178" s="1">
        <v>19</v>
      </c>
      <c r="G178" s="1">
        <v>4</v>
      </c>
      <c r="H178" s="1">
        <v>1</v>
      </c>
      <c r="I178" s="1">
        <v>0</v>
      </c>
      <c r="J178" s="1">
        <v>1</v>
      </c>
      <c r="K178" s="1">
        <v>1</v>
      </c>
      <c r="L178" s="1">
        <v>0</v>
      </c>
      <c r="M178" s="1">
        <v>1</v>
      </c>
    </row>
    <row r="179" spans="1:13">
      <c r="A179" s="1">
        <v>178</v>
      </c>
      <c r="B179" s="1">
        <v>945769.47620000003</v>
      </c>
      <c r="C179" s="1">
        <v>769829.12616198114</v>
      </c>
      <c r="D179" s="1">
        <f t="shared" si="2"/>
        <v>175940.35003801889</v>
      </c>
      <c r="E179" s="1">
        <v>7</v>
      </c>
      <c r="F179" s="1">
        <v>21</v>
      </c>
      <c r="G179" s="1">
        <v>7</v>
      </c>
      <c r="H179" s="1">
        <v>0</v>
      </c>
      <c r="I179" s="1">
        <v>1</v>
      </c>
      <c r="J179" s="1">
        <v>0</v>
      </c>
      <c r="K179" s="1">
        <v>0</v>
      </c>
      <c r="L179" s="1">
        <v>0</v>
      </c>
      <c r="M179" s="1">
        <v>1</v>
      </c>
    </row>
    <row r="180" spans="1:13">
      <c r="A180" s="1">
        <v>179</v>
      </c>
      <c r="B180" s="1">
        <v>1072587.9646000001</v>
      </c>
      <c r="C180" s="1">
        <v>971691.9718483499</v>
      </c>
      <c r="D180" s="1">
        <f t="shared" si="2"/>
        <v>100895.99275165016</v>
      </c>
      <c r="E180" s="1">
        <v>6</v>
      </c>
      <c r="F180" s="1">
        <v>24</v>
      </c>
      <c r="G180" s="1">
        <v>5</v>
      </c>
      <c r="H180" s="1">
        <v>0</v>
      </c>
      <c r="I180" s="1">
        <v>1</v>
      </c>
      <c r="J180" s="1">
        <v>0</v>
      </c>
      <c r="K180" s="1">
        <v>0</v>
      </c>
      <c r="L180" s="1">
        <v>0</v>
      </c>
      <c r="M180" s="1">
        <v>0</v>
      </c>
    </row>
    <row r="181" spans="1:13">
      <c r="A181" s="1">
        <v>180</v>
      </c>
      <c r="B181" s="1">
        <v>1130054.581</v>
      </c>
      <c r="C181" s="1">
        <v>401805.80585627048</v>
      </c>
      <c r="D181" s="1">
        <f t="shared" si="2"/>
        <v>728248.77514372952</v>
      </c>
      <c r="E181" s="1">
        <v>8</v>
      </c>
      <c r="F181" s="1">
        <v>21</v>
      </c>
      <c r="G181" s="1">
        <v>6</v>
      </c>
      <c r="H181" s="1">
        <v>2</v>
      </c>
      <c r="I181" s="1">
        <v>0</v>
      </c>
      <c r="J181" s="1">
        <v>0</v>
      </c>
      <c r="K181" s="1">
        <v>0</v>
      </c>
      <c r="L181" s="1">
        <v>0</v>
      </c>
      <c r="M181" s="1">
        <v>1</v>
      </c>
    </row>
    <row r="182" spans="1:13">
      <c r="A182" s="1">
        <v>181</v>
      </c>
      <c r="B182" s="1">
        <v>895478.43570000003</v>
      </c>
      <c r="C182" s="1">
        <v>874794.49026072095</v>
      </c>
      <c r="D182" s="1">
        <f t="shared" si="2"/>
        <v>20683.945439279079</v>
      </c>
      <c r="E182" s="1">
        <v>10</v>
      </c>
      <c r="F182" s="1">
        <v>20</v>
      </c>
      <c r="G182" s="1">
        <v>5</v>
      </c>
      <c r="H182" s="1">
        <v>1</v>
      </c>
      <c r="I182" s="1">
        <v>0</v>
      </c>
      <c r="J182" s="1">
        <v>0</v>
      </c>
      <c r="K182" s="1">
        <v>1</v>
      </c>
      <c r="L182" s="1">
        <v>0</v>
      </c>
      <c r="M182" s="1">
        <v>1</v>
      </c>
    </row>
    <row r="183" spans="1:13">
      <c r="A183" s="1">
        <v>182</v>
      </c>
      <c r="B183" s="1">
        <v>903174.14439999999</v>
      </c>
      <c r="C183" s="1">
        <v>1079922.0496568026</v>
      </c>
      <c r="D183" s="1">
        <f t="shared" si="2"/>
        <v>-176747.90525680257</v>
      </c>
      <c r="E183" s="1">
        <v>10</v>
      </c>
      <c r="F183" s="1">
        <v>22</v>
      </c>
      <c r="G183" s="1">
        <v>3</v>
      </c>
      <c r="H183" s="1">
        <v>0</v>
      </c>
      <c r="I183" s="1">
        <v>0</v>
      </c>
      <c r="J183" s="1">
        <v>0</v>
      </c>
      <c r="K183" s="1">
        <v>1</v>
      </c>
      <c r="L183" s="1">
        <v>0</v>
      </c>
      <c r="M183" s="1">
        <v>0</v>
      </c>
    </row>
    <row r="184" spans="1:13">
      <c r="A184" s="1">
        <v>183</v>
      </c>
      <c r="B184" s="1">
        <v>857114.96569999994</v>
      </c>
      <c r="C184" s="1">
        <v>1217035.1763942349</v>
      </c>
      <c r="D184" s="1">
        <f t="shared" si="2"/>
        <v>-359920.21069423493</v>
      </c>
      <c r="E184" s="1">
        <v>11</v>
      </c>
      <c r="F184" s="1">
        <v>18</v>
      </c>
      <c r="G184" s="1">
        <v>6</v>
      </c>
      <c r="H184" s="1">
        <v>1</v>
      </c>
      <c r="I184" s="1">
        <v>1</v>
      </c>
      <c r="J184" s="1">
        <v>2</v>
      </c>
      <c r="K184" s="1">
        <v>0</v>
      </c>
      <c r="L184" s="1">
        <v>0</v>
      </c>
      <c r="M184" s="1">
        <v>1</v>
      </c>
    </row>
    <row r="185" spans="1:13">
      <c r="A185" s="1">
        <v>184</v>
      </c>
      <c r="B185" s="1">
        <v>970033.49809999997</v>
      </c>
      <c r="C185" s="1">
        <v>741220.33520620654</v>
      </c>
      <c r="D185" s="1">
        <f t="shared" si="2"/>
        <v>228813.16289379343</v>
      </c>
      <c r="E185" s="1">
        <v>10</v>
      </c>
      <c r="F185" s="1">
        <v>21</v>
      </c>
      <c r="G185" s="1">
        <v>4</v>
      </c>
      <c r="H185" s="1">
        <v>1</v>
      </c>
      <c r="I185" s="1">
        <v>0</v>
      </c>
      <c r="J185" s="1">
        <v>0</v>
      </c>
      <c r="K185" s="1">
        <v>0</v>
      </c>
      <c r="L185" s="1">
        <v>0</v>
      </c>
      <c r="M185" s="1">
        <v>0</v>
      </c>
    </row>
    <row r="186" spans="1:13">
      <c r="A186" s="1">
        <v>185</v>
      </c>
      <c r="B186" s="1">
        <v>1014343.3828</v>
      </c>
      <c r="C186" s="1">
        <v>1984549.6440466139</v>
      </c>
      <c r="D186" s="1">
        <f t="shared" si="2"/>
        <v>-970206.26124661393</v>
      </c>
      <c r="E186" s="1">
        <v>13</v>
      </c>
      <c r="F186" s="1">
        <v>16</v>
      </c>
      <c r="G186" s="1">
        <v>6</v>
      </c>
      <c r="H186" s="1">
        <v>2</v>
      </c>
      <c r="I186" s="1">
        <v>0</v>
      </c>
      <c r="J186" s="1">
        <v>0</v>
      </c>
      <c r="K186" s="1">
        <v>0</v>
      </c>
      <c r="L186" s="1">
        <v>0</v>
      </c>
      <c r="M186" s="1">
        <v>0</v>
      </c>
    </row>
    <row r="187" spans="1:13">
      <c r="A187" s="1">
        <v>186</v>
      </c>
      <c r="B187" s="1">
        <v>1040831.3843</v>
      </c>
      <c r="C187" s="1">
        <v>1279003.308281668</v>
      </c>
      <c r="D187" s="1">
        <f t="shared" si="2"/>
        <v>-238171.92398166796</v>
      </c>
      <c r="E187" s="1">
        <v>6</v>
      </c>
      <c r="F187" s="1">
        <v>23</v>
      </c>
      <c r="G187" s="1">
        <v>6</v>
      </c>
      <c r="H187" s="1">
        <v>1</v>
      </c>
      <c r="I187" s="1">
        <v>1</v>
      </c>
      <c r="J187" s="1">
        <v>0</v>
      </c>
      <c r="K187" s="1">
        <v>0</v>
      </c>
      <c r="L187" s="1">
        <v>1</v>
      </c>
      <c r="M187" s="1">
        <v>1</v>
      </c>
    </row>
    <row r="188" spans="1:13">
      <c r="A188" s="1">
        <v>187</v>
      </c>
      <c r="B188" s="1">
        <v>1010840.3866</v>
      </c>
      <c r="C188" s="1">
        <v>653484.34246661654</v>
      </c>
      <c r="D188" s="1">
        <f t="shared" si="2"/>
        <v>357356.04413338343</v>
      </c>
      <c r="E188" s="1">
        <v>11</v>
      </c>
      <c r="F188" s="1">
        <v>19</v>
      </c>
      <c r="G188" s="1">
        <v>5</v>
      </c>
      <c r="H188" s="1">
        <v>1</v>
      </c>
      <c r="I188" s="1">
        <v>1</v>
      </c>
      <c r="J188" s="1">
        <v>2</v>
      </c>
      <c r="K188" s="1">
        <v>0</v>
      </c>
      <c r="L188" s="1">
        <v>0</v>
      </c>
      <c r="M188" s="1">
        <v>0</v>
      </c>
    </row>
    <row r="189" spans="1:13">
      <c r="A189" s="1">
        <v>188</v>
      </c>
      <c r="B189" s="1">
        <v>899970.16370000003</v>
      </c>
      <c r="C189" s="1">
        <v>865327.13728004484</v>
      </c>
      <c r="D189" s="1">
        <f t="shared" si="2"/>
        <v>34643.026419955189</v>
      </c>
      <c r="E189" s="1">
        <v>16</v>
      </c>
      <c r="F189" s="1">
        <v>15</v>
      </c>
      <c r="G189" s="1">
        <v>4</v>
      </c>
      <c r="H189" s="1">
        <v>0</v>
      </c>
      <c r="I189" s="1">
        <v>0</v>
      </c>
      <c r="J189" s="1">
        <v>0</v>
      </c>
      <c r="K189" s="1">
        <v>2</v>
      </c>
      <c r="L189" s="1">
        <v>0</v>
      </c>
      <c r="M189" s="1">
        <v>0</v>
      </c>
    </row>
    <row r="190" spans="1:13">
      <c r="A190" s="1">
        <v>189</v>
      </c>
      <c r="B190" s="1">
        <v>967072.31030000001</v>
      </c>
      <c r="C190" s="1">
        <v>693859.40807639342</v>
      </c>
      <c r="D190" s="1">
        <f t="shared" si="2"/>
        <v>273212.90222360659</v>
      </c>
      <c r="E190" s="1">
        <v>8</v>
      </c>
      <c r="F190" s="1">
        <v>21</v>
      </c>
      <c r="G190" s="1">
        <v>6</v>
      </c>
      <c r="H190" s="1">
        <v>0</v>
      </c>
      <c r="I190" s="1">
        <v>0</v>
      </c>
      <c r="J190" s="1">
        <v>1</v>
      </c>
      <c r="K190" s="1">
        <v>1</v>
      </c>
      <c r="L190" s="1">
        <v>0</v>
      </c>
      <c r="M190" s="1">
        <v>0</v>
      </c>
    </row>
    <row r="191" spans="1:13">
      <c r="A191" s="1">
        <v>190</v>
      </c>
      <c r="B191" s="1">
        <v>938343.36120000004</v>
      </c>
      <c r="C191" s="1">
        <v>1001673.8397049835</v>
      </c>
      <c r="D191" s="1">
        <f t="shared" si="2"/>
        <v>-63330.478504983475</v>
      </c>
      <c r="E191" s="1">
        <v>20</v>
      </c>
      <c r="F191" s="1">
        <v>10</v>
      </c>
      <c r="G191" s="1">
        <v>5</v>
      </c>
      <c r="H191" s="1">
        <v>1</v>
      </c>
      <c r="I191" s="1">
        <v>0</v>
      </c>
      <c r="J191" s="1">
        <v>1</v>
      </c>
      <c r="K191" s="1">
        <v>0</v>
      </c>
      <c r="L191" s="1">
        <v>0</v>
      </c>
      <c r="M191" s="1">
        <v>0</v>
      </c>
    </row>
    <row r="192" spans="1:13">
      <c r="A192" s="1">
        <v>191</v>
      </c>
      <c r="B192" s="1">
        <v>944964.85990000004</v>
      </c>
      <c r="C192" s="1">
        <v>885186.82206956041</v>
      </c>
      <c r="D192" s="1">
        <f t="shared" si="2"/>
        <v>59778.037830439629</v>
      </c>
      <c r="E192" s="1">
        <v>10</v>
      </c>
      <c r="F192" s="1">
        <v>20</v>
      </c>
      <c r="G192" s="1">
        <v>5</v>
      </c>
      <c r="H192" s="1">
        <v>1</v>
      </c>
      <c r="I192" s="1">
        <v>0</v>
      </c>
      <c r="J192" s="1">
        <v>0</v>
      </c>
      <c r="K192" s="1">
        <v>1</v>
      </c>
      <c r="L192" s="1">
        <v>1</v>
      </c>
      <c r="M192" s="1">
        <v>0</v>
      </c>
    </row>
    <row r="193" spans="1:13">
      <c r="A193" s="1">
        <v>192</v>
      </c>
      <c r="B193" s="1">
        <v>951168.11739999999</v>
      </c>
      <c r="C193" s="1">
        <v>827126.43586320698</v>
      </c>
      <c r="D193" s="1">
        <f t="shared" si="2"/>
        <v>124041.68153679301</v>
      </c>
      <c r="E193" s="1">
        <v>13</v>
      </c>
      <c r="F193" s="1">
        <v>18</v>
      </c>
      <c r="G193" s="1">
        <v>4</v>
      </c>
      <c r="H193" s="1">
        <v>0</v>
      </c>
      <c r="I193" s="1">
        <v>0</v>
      </c>
      <c r="J193" s="1">
        <v>0</v>
      </c>
      <c r="K193" s="1">
        <v>0</v>
      </c>
      <c r="L193" s="1">
        <v>0</v>
      </c>
      <c r="M193" s="1">
        <v>0</v>
      </c>
    </row>
    <row r="194" spans="1:13">
      <c r="A194" s="1">
        <v>193</v>
      </c>
      <c r="B194" s="1">
        <v>1128440.9328000001</v>
      </c>
      <c r="C194" s="1">
        <v>689763.14718065562</v>
      </c>
      <c r="D194" s="1">
        <f t="shared" ref="D194:D257" si="3">B194-C194</f>
        <v>438677.78561934445</v>
      </c>
      <c r="E194" s="1">
        <v>6</v>
      </c>
      <c r="F194" s="1">
        <v>22</v>
      </c>
      <c r="G194" s="1">
        <v>7</v>
      </c>
      <c r="H194" s="1">
        <v>1</v>
      </c>
      <c r="I194" s="1">
        <v>0</v>
      </c>
      <c r="J194" s="1">
        <v>0</v>
      </c>
      <c r="K194" s="1">
        <v>2</v>
      </c>
      <c r="L194" s="1">
        <v>0</v>
      </c>
      <c r="M194" s="1">
        <v>1</v>
      </c>
    </row>
    <row r="195" spans="1:13">
      <c r="A195" s="1">
        <v>194</v>
      </c>
      <c r="B195" s="1">
        <v>838734.38249999995</v>
      </c>
      <c r="C195" s="1">
        <v>871689.34372694488</v>
      </c>
      <c r="D195" s="1">
        <f t="shared" si="3"/>
        <v>-32954.961226944928</v>
      </c>
      <c r="E195" s="1">
        <v>9</v>
      </c>
      <c r="F195" s="1">
        <v>20</v>
      </c>
      <c r="G195" s="1">
        <v>6</v>
      </c>
      <c r="H195" s="1">
        <v>0</v>
      </c>
      <c r="I195" s="1">
        <v>0</v>
      </c>
      <c r="J195" s="1">
        <v>1</v>
      </c>
      <c r="K195" s="1">
        <v>0</v>
      </c>
      <c r="L195" s="1">
        <v>0</v>
      </c>
      <c r="M195" s="1">
        <v>0</v>
      </c>
    </row>
    <row r="196" spans="1:13">
      <c r="A196" s="1">
        <v>195</v>
      </c>
      <c r="B196" s="1">
        <v>1061811.9948</v>
      </c>
      <c r="C196" s="1">
        <v>737820.9710753113</v>
      </c>
      <c r="D196" s="1">
        <f t="shared" si="3"/>
        <v>323991.02372468868</v>
      </c>
      <c r="E196" s="1">
        <v>3</v>
      </c>
      <c r="F196" s="1">
        <v>27</v>
      </c>
      <c r="G196" s="1">
        <v>5</v>
      </c>
      <c r="H196" s="1">
        <v>0</v>
      </c>
      <c r="I196" s="1">
        <v>0</v>
      </c>
      <c r="J196" s="1">
        <v>2</v>
      </c>
      <c r="K196" s="1">
        <v>0</v>
      </c>
      <c r="L196" s="1">
        <v>0</v>
      </c>
      <c r="M196" s="1">
        <v>0</v>
      </c>
    </row>
    <row r="197" spans="1:13">
      <c r="A197" s="1">
        <v>196</v>
      </c>
      <c r="B197" s="1">
        <v>782686.15540000005</v>
      </c>
      <c r="C197" s="1">
        <v>1348845.582197648</v>
      </c>
      <c r="D197" s="1">
        <f t="shared" si="3"/>
        <v>-566159.42679764796</v>
      </c>
      <c r="E197" s="1">
        <v>18</v>
      </c>
      <c r="F197" s="1">
        <v>12</v>
      </c>
      <c r="G197" s="1">
        <v>5</v>
      </c>
      <c r="H197" s="1">
        <v>0</v>
      </c>
      <c r="I197" s="1">
        <v>0</v>
      </c>
      <c r="J197" s="1">
        <v>1</v>
      </c>
      <c r="K197" s="1">
        <v>1</v>
      </c>
      <c r="L197" s="1">
        <v>0</v>
      </c>
      <c r="M197" s="1">
        <v>0</v>
      </c>
    </row>
    <row r="198" spans="1:13">
      <c r="A198" s="1">
        <v>197</v>
      </c>
      <c r="B198" s="1">
        <v>1006374.9436999999</v>
      </c>
      <c r="C198" s="1">
        <v>962507.42222501081</v>
      </c>
      <c r="D198" s="1">
        <f t="shared" si="3"/>
        <v>43867.521474989131</v>
      </c>
      <c r="E198" s="1">
        <v>6</v>
      </c>
      <c r="F198" s="1">
        <v>21</v>
      </c>
      <c r="G198" s="1">
        <v>8</v>
      </c>
      <c r="H198" s="1">
        <v>0</v>
      </c>
      <c r="I198" s="1">
        <v>0</v>
      </c>
      <c r="J198" s="1">
        <v>1</v>
      </c>
      <c r="K198" s="1">
        <v>1</v>
      </c>
      <c r="L198" s="1">
        <v>0</v>
      </c>
      <c r="M198" s="1">
        <v>0</v>
      </c>
    </row>
    <row r="199" spans="1:13">
      <c r="A199" s="1">
        <v>198</v>
      </c>
      <c r="B199" s="1">
        <v>1051662.0330000001</v>
      </c>
      <c r="C199" s="1">
        <v>1561639.1221548291</v>
      </c>
      <c r="D199" s="1">
        <f t="shared" si="3"/>
        <v>-509977.08915482904</v>
      </c>
      <c r="E199" s="1">
        <v>12</v>
      </c>
      <c r="F199" s="1">
        <v>19</v>
      </c>
      <c r="G199" s="1">
        <v>4</v>
      </c>
      <c r="H199" s="1">
        <v>0</v>
      </c>
      <c r="I199" s="1">
        <v>0</v>
      </c>
      <c r="J199" s="1">
        <v>0</v>
      </c>
      <c r="K199" s="1">
        <v>1</v>
      </c>
      <c r="L199" s="1">
        <v>0</v>
      </c>
      <c r="M199" s="1">
        <v>0</v>
      </c>
    </row>
    <row r="200" spans="1:13">
      <c r="A200" s="1">
        <v>199</v>
      </c>
      <c r="B200" s="1">
        <v>904352.18480000005</v>
      </c>
      <c r="C200" s="1">
        <v>544901.12812072807</v>
      </c>
      <c r="D200" s="1">
        <f t="shared" si="3"/>
        <v>359451.05667927198</v>
      </c>
      <c r="E200" s="1">
        <v>18</v>
      </c>
      <c r="F200" s="1">
        <v>16</v>
      </c>
      <c r="G200" s="1">
        <v>1</v>
      </c>
      <c r="H200" s="1">
        <v>1</v>
      </c>
      <c r="I200" s="1">
        <v>0</v>
      </c>
      <c r="J200" s="1">
        <v>0</v>
      </c>
      <c r="K200" s="1">
        <v>0</v>
      </c>
      <c r="L200" s="1">
        <v>0</v>
      </c>
      <c r="M200" s="1">
        <v>0</v>
      </c>
    </row>
    <row r="201" spans="1:13">
      <c r="A201" s="1">
        <v>200</v>
      </c>
      <c r="B201" s="1">
        <v>926016.72959999996</v>
      </c>
      <c r="C201" s="1">
        <v>774674.99283481122</v>
      </c>
      <c r="D201" s="1">
        <f t="shared" si="3"/>
        <v>151341.73676518875</v>
      </c>
      <c r="E201" s="1">
        <v>13</v>
      </c>
      <c r="F201" s="1">
        <v>13</v>
      </c>
      <c r="G201" s="1">
        <v>9</v>
      </c>
      <c r="H201" s="1">
        <v>2</v>
      </c>
      <c r="I201" s="1">
        <v>0</v>
      </c>
      <c r="J201" s="1">
        <v>0</v>
      </c>
      <c r="K201" s="1">
        <v>0</v>
      </c>
      <c r="L201" s="1">
        <v>0</v>
      </c>
      <c r="M201" s="1">
        <v>0</v>
      </c>
    </row>
    <row r="202" spans="1:13">
      <c r="A202" s="1">
        <v>201</v>
      </c>
      <c r="B202" s="1">
        <v>887506.3358</v>
      </c>
      <c r="C202" s="1">
        <v>664227.59917266946</v>
      </c>
      <c r="D202" s="1">
        <f t="shared" si="3"/>
        <v>223278.73662733054</v>
      </c>
      <c r="E202" s="1">
        <v>15</v>
      </c>
      <c r="F202" s="1">
        <v>16</v>
      </c>
      <c r="G202" s="1">
        <v>4</v>
      </c>
      <c r="H202" s="1">
        <v>2</v>
      </c>
      <c r="I202" s="1">
        <v>0</v>
      </c>
      <c r="J202" s="1">
        <v>1</v>
      </c>
      <c r="K202" s="1">
        <v>1</v>
      </c>
      <c r="L202" s="1">
        <v>0</v>
      </c>
      <c r="M202" s="1">
        <v>0</v>
      </c>
    </row>
    <row r="203" spans="1:13">
      <c r="A203" s="1">
        <v>202</v>
      </c>
      <c r="B203" s="1">
        <v>976579.67859999998</v>
      </c>
      <c r="C203" s="1">
        <v>3527351.8282248639</v>
      </c>
      <c r="D203" s="1">
        <f t="shared" si="3"/>
        <v>-2550772.1496248636</v>
      </c>
      <c r="E203" s="1">
        <v>16</v>
      </c>
      <c r="F203" s="1">
        <v>17</v>
      </c>
      <c r="G203" s="1">
        <v>2</v>
      </c>
      <c r="H203" s="1">
        <v>2</v>
      </c>
      <c r="I203" s="1">
        <v>0</v>
      </c>
      <c r="J203" s="1">
        <v>0</v>
      </c>
      <c r="K203" s="1">
        <v>1</v>
      </c>
      <c r="L203" s="1">
        <v>0</v>
      </c>
      <c r="M203" s="1">
        <v>0</v>
      </c>
    </row>
    <row r="204" spans="1:13">
      <c r="A204" s="1">
        <v>203</v>
      </c>
      <c r="B204" s="1">
        <v>956758.92779999995</v>
      </c>
      <c r="C204" s="1">
        <v>1763355.7996604904</v>
      </c>
      <c r="D204" s="1">
        <f t="shared" si="3"/>
        <v>-806596.87186049041</v>
      </c>
      <c r="E204" s="1">
        <v>13</v>
      </c>
      <c r="F204" s="1">
        <v>15</v>
      </c>
      <c r="G204" s="1">
        <v>7</v>
      </c>
      <c r="H204" s="1">
        <v>0</v>
      </c>
      <c r="I204" s="1">
        <v>0</v>
      </c>
      <c r="J204" s="1">
        <v>0</v>
      </c>
      <c r="K204" s="1">
        <v>2</v>
      </c>
      <c r="L204" s="1">
        <v>0</v>
      </c>
      <c r="M204" s="1">
        <v>0</v>
      </c>
    </row>
    <row r="205" spans="1:13">
      <c r="A205" s="1">
        <v>204</v>
      </c>
      <c r="B205" s="1">
        <v>915793.16769999999</v>
      </c>
      <c r="C205" s="1">
        <v>766883.91121996602</v>
      </c>
      <c r="D205" s="1">
        <f t="shared" si="3"/>
        <v>148909.25648003398</v>
      </c>
      <c r="E205" s="1">
        <v>13</v>
      </c>
      <c r="F205" s="1">
        <v>16</v>
      </c>
      <c r="G205" s="1">
        <v>6</v>
      </c>
      <c r="H205" s="1">
        <v>0</v>
      </c>
      <c r="I205" s="1">
        <v>0</v>
      </c>
      <c r="J205" s="1">
        <v>2</v>
      </c>
      <c r="K205" s="1">
        <v>0</v>
      </c>
      <c r="L205" s="1">
        <v>0</v>
      </c>
      <c r="M205" s="1">
        <v>1</v>
      </c>
    </row>
    <row r="206" spans="1:13">
      <c r="A206" s="1">
        <v>205</v>
      </c>
      <c r="B206" s="1">
        <v>921487.73840000003</v>
      </c>
      <c r="C206" s="1">
        <v>1053139.9535590711</v>
      </c>
      <c r="D206" s="1">
        <f t="shared" si="3"/>
        <v>-131652.21515907103</v>
      </c>
      <c r="E206" s="1">
        <v>11</v>
      </c>
      <c r="F206" s="1">
        <v>19</v>
      </c>
      <c r="G206" s="1">
        <v>5</v>
      </c>
      <c r="H206" s="1">
        <v>1</v>
      </c>
      <c r="I206" s="1">
        <v>0</v>
      </c>
      <c r="J206" s="1">
        <v>0</v>
      </c>
      <c r="K206" s="1">
        <v>0</v>
      </c>
      <c r="L206" s="1">
        <v>0</v>
      </c>
      <c r="M206" s="1">
        <v>0</v>
      </c>
    </row>
    <row r="207" spans="1:13">
      <c r="A207" s="1">
        <v>206</v>
      </c>
      <c r="B207" s="1">
        <v>999922.08869999996</v>
      </c>
      <c r="C207" s="1">
        <v>1397475.2600192146</v>
      </c>
      <c r="D207" s="1">
        <f t="shared" si="3"/>
        <v>-397553.17131921463</v>
      </c>
      <c r="E207" s="1">
        <v>8</v>
      </c>
      <c r="F207" s="1">
        <v>21</v>
      </c>
      <c r="G207" s="1">
        <v>6</v>
      </c>
      <c r="H207" s="1">
        <v>1</v>
      </c>
      <c r="I207" s="1">
        <v>0</v>
      </c>
      <c r="J207" s="1">
        <v>0</v>
      </c>
      <c r="K207" s="1">
        <v>2</v>
      </c>
      <c r="L207" s="1">
        <v>0</v>
      </c>
      <c r="M207" s="1">
        <v>0</v>
      </c>
    </row>
    <row r="208" spans="1:13">
      <c r="A208" s="1">
        <v>207</v>
      </c>
      <c r="B208" s="1">
        <v>918949.90040000004</v>
      </c>
      <c r="C208" s="1">
        <v>1197214.5895517764</v>
      </c>
      <c r="D208" s="1">
        <f t="shared" si="3"/>
        <v>-278264.68915177637</v>
      </c>
      <c r="E208" s="1">
        <v>9</v>
      </c>
      <c r="F208" s="1">
        <v>18</v>
      </c>
      <c r="G208" s="1">
        <v>8</v>
      </c>
      <c r="H208" s="1">
        <v>0</v>
      </c>
      <c r="I208" s="1">
        <v>2</v>
      </c>
      <c r="J208" s="1">
        <v>1</v>
      </c>
      <c r="K208" s="1">
        <v>1</v>
      </c>
      <c r="L208" s="1">
        <v>0</v>
      </c>
      <c r="M208" s="1">
        <v>0</v>
      </c>
    </row>
    <row r="209" spans="1:13">
      <c r="A209" s="1">
        <v>208</v>
      </c>
      <c r="B209" s="1">
        <v>828772.30110000004</v>
      </c>
      <c r="C209" s="1">
        <v>931317.06371712976</v>
      </c>
      <c r="D209" s="1">
        <f t="shared" si="3"/>
        <v>-102544.76261712972</v>
      </c>
      <c r="E209" s="1">
        <v>16</v>
      </c>
      <c r="F209" s="1">
        <v>14</v>
      </c>
      <c r="G209" s="1">
        <v>5</v>
      </c>
      <c r="H209" s="1">
        <v>1</v>
      </c>
      <c r="I209" s="1">
        <v>0</v>
      </c>
      <c r="J209" s="1">
        <v>1</v>
      </c>
      <c r="K209" s="1">
        <v>0</v>
      </c>
      <c r="L209" s="1">
        <v>0</v>
      </c>
      <c r="M209" s="1">
        <v>0</v>
      </c>
    </row>
    <row r="210" spans="1:13">
      <c r="A210" s="1">
        <v>209</v>
      </c>
      <c r="B210" s="1">
        <v>897737.54079999996</v>
      </c>
      <c r="C210" s="1">
        <v>847659.95949871128</v>
      </c>
      <c r="D210" s="1">
        <f t="shared" si="3"/>
        <v>50077.581301288679</v>
      </c>
      <c r="E210" s="1">
        <v>20</v>
      </c>
      <c r="F210" s="1">
        <v>9</v>
      </c>
      <c r="G210" s="1">
        <v>6</v>
      </c>
      <c r="H210" s="1">
        <v>1</v>
      </c>
      <c r="I210" s="1">
        <v>0</v>
      </c>
      <c r="J210" s="1">
        <v>1</v>
      </c>
      <c r="K210" s="1">
        <v>0</v>
      </c>
      <c r="L210" s="1">
        <v>0</v>
      </c>
      <c r="M210" s="1">
        <v>1</v>
      </c>
    </row>
    <row r="211" spans="1:13">
      <c r="A211" s="1">
        <v>210</v>
      </c>
      <c r="B211" s="1">
        <v>1008637.42</v>
      </c>
      <c r="C211" s="1">
        <v>660907.11901699402</v>
      </c>
      <c r="D211" s="1">
        <f t="shared" si="3"/>
        <v>347730.30098300602</v>
      </c>
      <c r="E211" s="1">
        <v>10</v>
      </c>
      <c r="F211" s="1">
        <v>19</v>
      </c>
      <c r="G211" s="1">
        <v>6</v>
      </c>
      <c r="H211" s="1">
        <v>0</v>
      </c>
      <c r="I211" s="1">
        <v>1</v>
      </c>
      <c r="J211" s="1">
        <v>0</v>
      </c>
      <c r="K211" s="1">
        <v>2</v>
      </c>
      <c r="L211" s="1">
        <v>0</v>
      </c>
      <c r="M211" s="1">
        <v>0</v>
      </c>
    </row>
    <row r="212" spans="1:13">
      <c r="A212" s="1">
        <v>211</v>
      </c>
      <c r="B212" s="1">
        <v>970085.20319999999</v>
      </c>
      <c r="C212" s="1">
        <v>866392.37744556007</v>
      </c>
      <c r="D212" s="1">
        <f t="shared" si="3"/>
        <v>103692.82575443992</v>
      </c>
      <c r="E212" s="1">
        <v>8</v>
      </c>
      <c r="F212" s="1">
        <v>20</v>
      </c>
      <c r="G212" s="1">
        <v>7</v>
      </c>
      <c r="H212" s="1">
        <v>2</v>
      </c>
      <c r="I212" s="1">
        <v>0</v>
      </c>
      <c r="J212" s="1">
        <v>0</v>
      </c>
      <c r="K212" s="1">
        <v>1</v>
      </c>
      <c r="L212" s="1">
        <v>0</v>
      </c>
      <c r="M212" s="1">
        <v>0</v>
      </c>
    </row>
    <row r="213" spans="1:13">
      <c r="A213" s="1">
        <v>212</v>
      </c>
      <c r="B213" s="1">
        <v>885717.86450000003</v>
      </c>
      <c r="C213" s="1">
        <v>1032601.5436481357</v>
      </c>
      <c r="D213" s="1">
        <f t="shared" si="3"/>
        <v>-146883.67914813571</v>
      </c>
      <c r="E213" s="1">
        <v>13</v>
      </c>
      <c r="F213" s="1">
        <v>17</v>
      </c>
      <c r="G213" s="1">
        <v>5</v>
      </c>
      <c r="H213" s="1">
        <v>2</v>
      </c>
      <c r="I213" s="1">
        <v>0</v>
      </c>
      <c r="J213" s="1">
        <v>2</v>
      </c>
      <c r="K213" s="1">
        <v>0</v>
      </c>
      <c r="L213" s="1">
        <v>0</v>
      </c>
      <c r="M213" s="1">
        <v>1</v>
      </c>
    </row>
    <row r="214" spans="1:13">
      <c r="A214" s="1">
        <v>213</v>
      </c>
      <c r="B214" s="1">
        <v>940648.66969999997</v>
      </c>
      <c r="C214" s="1">
        <v>930572.57126672089</v>
      </c>
      <c r="D214" s="1">
        <f t="shared" si="3"/>
        <v>10076.098433279083</v>
      </c>
      <c r="E214" s="1">
        <v>18</v>
      </c>
      <c r="F214" s="1">
        <v>12</v>
      </c>
      <c r="G214" s="1">
        <v>5</v>
      </c>
      <c r="H214" s="1">
        <v>1</v>
      </c>
      <c r="I214" s="1">
        <v>0</v>
      </c>
      <c r="J214" s="1">
        <v>1</v>
      </c>
      <c r="K214" s="1">
        <v>1</v>
      </c>
      <c r="L214" s="1">
        <v>0</v>
      </c>
      <c r="M214" s="1">
        <v>1</v>
      </c>
    </row>
    <row r="215" spans="1:13">
      <c r="A215" s="1">
        <v>214</v>
      </c>
      <c r="B215" s="1">
        <v>892971.79559999995</v>
      </c>
      <c r="C215" s="1">
        <v>629023.49315763591</v>
      </c>
      <c r="D215" s="1">
        <f t="shared" si="3"/>
        <v>263948.30244236405</v>
      </c>
      <c r="E215" s="1">
        <v>9</v>
      </c>
      <c r="F215" s="1">
        <v>23</v>
      </c>
      <c r="G215" s="1">
        <v>3</v>
      </c>
      <c r="H215" s="1">
        <v>1</v>
      </c>
      <c r="I215" s="1">
        <v>1</v>
      </c>
      <c r="J215" s="1">
        <v>0</v>
      </c>
      <c r="K215" s="1">
        <v>2</v>
      </c>
      <c r="L215" s="1">
        <v>0</v>
      </c>
      <c r="M215" s="1">
        <v>1</v>
      </c>
    </row>
    <row r="216" spans="1:13">
      <c r="A216" s="1">
        <v>215</v>
      </c>
      <c r="B216" s="1">
        <v>830170.87829999998</v>
      </c>
      <c r="C216" s="1">
        <v>589919.64878436329</v>
      </c>
      <c r="D216" s="1">
        <f t="shared" si="3"/>
        <v>240251.22951563669</v>
      </c>
      <c r="E216" s="1">
        <v>14</v>
      </c>
      <c r="F216" s="1">
        <v>15</v>
      </c>
      <c r="G216" s="1">
        <v>6</v>
      </c>
      <c r="H216" s="1">
        <v>1</v>
      </c>
      <c r="I216" s="1">
        <v>0</v>
      </c>
      <c r="J216" s="1">
        <v>0</v>
      </c>
      <c r="K216" s="1">
        <v>1</v>
      </c>
      <c r="L216" s="1">
        <v>0</v>
      </c>
      <c r="M216" s="1">
        <v>0</v>
      </c>
    </row>
    <row r="217" spans="1:13">
      <c r="A217" s="1">
        <v>216</v>
      </c>
      <c r="B217" s="1">
        <v>967504.20400000003</v>
      </c>
      <c r="C217" s="1">
        <v>799958.0312515687</v>
      </c>
      <c r="D217" s="1">
        <f t="shared" si="3"/>
        <v>167546.17274843133</v>
      </c>
      <c r="E217" s="1">
        <v>12</v>
      </c>
      <c r="F217" s="1">
        <v>15</v>
      </c>
      <c r="G217" s="1">
        <v>8</v>
      </c>
      <c r="H217" s="1">
        <v>0</v>
      </c>
      <c r="I217" s="1">
        <v>0</v>
      </c>
      <c r="J217" s="1">
        <v>0</v>
      </c>
      <c r="K217" s="1">
        <v>1</v>
      </c>
      <c r="L217" s="1">
        <v>0</v>
      </c>
      <c r="M217" s="1">
        <v>0</v>
      </c>
    </row>
    <row r="218" spans="1:13">
      <c r="A218" s="1">
        <v>217</v>
      </c>
      <c r="B218" s="1">
        <v>1061394.9580999999</v>
      </c>
      <c r="C218" s="1">
        <v>867326.39663737675</v>
      </c>
      <c r="D218" s="1">
        <f t="shared" si="3"/>
        <v>194068.56146262318</v>
      </c>
      <c r="E218" s="1">
        <v>8</v>
      </c>
      <c r="F218" s="1">
        <v>20</v>
      </c>
      <c r="G218" s="1">
        <v>7</v>
      </c>
      <c r="H218" s="1">
        <v>0</v>
      </c>
      <c r="I218" s="1">
        <v>0</v>
      </c>
      <c r="J218" s="1">
        <v>1</v>
      </c>
      <c r="K218" s="1">
        <v>0</v>
      </c>
      <c r="L218" s="1">
        <v>0</v>
      </c>
      <c r="M218" s="1">
        <v>0</v>
      </c>
    </row>
    <row r="219" spans="1:13">
      <c r="A219" s="1">
        <v>218</v>
      </c>
      <c r="B219" s="1">
        <v>980639.20510000002</v>
      </c>
      <c r="C219" s="1">
        <v>623224.01555925212</v>
      </c>
      <c r="D219" s="1">
        <f t="shared" si="3"/>
        <v>357415.1895407479</v>
      </c>
      <c r="E219" s="1">
        <v>13</v>
      </c>
      <c r="F219" s="1">
        <v>19</v>
      </c>
      <c r="G219" s="1">
        <v>3</v>
      </c>
      <c r="H219" s="1">
        <v>0</v>
      </c>
      <c r="I219" s="1">
        <v>0</v>
      </c>
      <c r="J219" s="1">
        <v>1</v>
      </c>
      <c r="K219" s="1">
        <v>0</v>
      </c>
      <c r="L219" s="1">
        <v>0</v>
      </c>
      <c r="M219" s="1">
        <v>1</v>
      </c>
    </row>
    <row r="220" spans="1:13">
      <c r="A220" s="1">
        <v>219</v>
      </c>
      <c r="B220" s="1">
        <v>897418.31590000005</v>
      </c>
      <c r="C220" s="1">
        <v>824320.0139499068</v>
      </c>
      <c r="D220" s="1">
        <f t="shared" si="3"/>
        <v>73098.301950093242</v>
      </c>
      <c r="E220" s="1">
        <v>16</v>
      </c>
      <c r="F220" s="1">
        <v>15</v>
      </c>
      <c r="G220" s="1">
        <v>4</v>
      </c>
      <c r="H220" s="1">
        <v>1</v>
      </c>
      <c r="I220" s="1">
        <v>0</v>
      </c>
      <c r="J220" s="1">
        <v>1</v>
      </c>
      <c r="K220" s="1">
        <v>1</v>
      </c>
      <c r="L220" s="1">
        <v>0</v>
      </c>
      <c r="M220" s="1">
        <v>0</v>
      </c>
    </row>
    <row r="221" spans="1:13">
      <c r="A221" s="1">
        <v>220</v>
      </c>
      <c r="B221" s="1">
        <v>919941.49820000003</v>
      </c>
      <c r="C221" s="1">
        <v>3694293.8008423825</v>
      </c>
      <c r="D221" s="1">
        <f t="shared" si="3"/>
        <v>-2774352.3026423827</v>
      </c>
      <c r="E221" s="1">
        <v>3</v>
      </c>
      <c r="F221" s="1">
        <v>27</v>
      </c>
      <c r="G221" s="1">
        <v>5</v>
      </c>
      <c r="H221" s="1">
        <v>0</v>
      </c>
      <c r="I221" s="1">
        <v>0</v>
      </c>
      <c r="J221" s="1">
        <v>0</v>
      </c>
      <c r="K221" s="1">
        <v>1</v>
      </c>
      <c r="L221" s="1">
        <v>0</v>
      </c>
      <c r="M221" s="1">
        <v>0</v>
      </c>
    </row>
    <row r="222" spans="1:13">
      <c r="A222" s="1">
        <v>221</v>
      </c>
      <c r="B222" s="1">
        <v>912399.51899999997</v>
      </c>
      <c r="C222" s="1">
        <v>1209724.954900119</v>
      </c>
      <c r="D222" s="1">
        <f t="shared" si="3"/>
        <v>-297325.43590011902</v>
      </c>
      <c r="E222" s="1">
        <v>18</v>
      </c>
      <c r="F222" s="1">
        <v>14</v>
      </c>
      <c r="G222" s="1">
        <v>3</v>
      </c>
      <c r="H222" s="1">
        <v>0</v>
      </c>
      <c r="I222" s="1">
        <v>0</v>
      </c>
      <c r="J222" s="1">
        <v>1</v>
      </c>
      <c r="K222" s="1">
        <v>1</v>
      </c>
      <c r="L222" s="1">
        <v>0</v>
      </c>
      <c r="M222" s="1">
        <v>0</v>
      </c>
    </row>
    <row r="223" spans="1:13">
      <c r="A223" s="1">
        <v>222</v>
      </c>
      <c r="B223" s="1">
        <v>865775.71649999998</v>
      </c>
      <c r="C223" s="1">
        <v>849234.08714486496</v>
      </c>
      <c r="D223" s="1">
        <f t="shared" si="3"/>
        <v>16541.629355135025</v>
      </c>
      <c r="E223" s="1">
        <v>14</v>
      </c>
      <c r="F223" s="1">
        <v>18</v>
      </c>
      <c r="G223" s="1">
        <v>3</v>
      </c>
      <c r="H223" s="1">
        <v>1</v>
      </c>
      <c r="I223" s="1">
        <v>1</v>
      </c>
      <c r="J223" s="1">
        <v>0</v>
      </c>
      <c r="K223" s="1">
        <v>1</v>
      </c>
      <c r="L223" s="1">
        <v>0</v>
      </c>
      <c r="M223" s="1">
        <v>0</v>
      </c>
    </row>
    <row r="224" spans="1:13">
      <c r="A224" s="1">
        <v>223</v>
      </c>
      <c r="B224" s="1">
        <v>851695.56359999999</v>
      </c>
      <c r="C224" s="1">
        <v>1763711.7341911809</v>
      </c>
      <c r="D224" s="1">
        <f t="shared" si="3"/>
        <v>-912016.17059118091</v>
      </c>
      <c r="E224" s="1">
        <v>12</v>
      </c>
      <c r="F224" s="1">
        <v>19</v>
      </c>
      <c r="G224" s="1">
        <v>4</v>
      </c>
      <c r="H224" s="1">
        <v>2</v>
      </c>
      <c r="I224" s="1">
        <v>0</v>
      </c>
      <c r="J224" s="1">
        <v>1</v>
      </c>
      <c r="K224" s="1">
        <v>1</v>
      </c>
      <c r="L224" s="1">
        <v>0</v>
      </c>
      <c r="M224" s="1">
        <v>1</v>
      </c>
    </row>
    <row r="225" spans="1:13">
      <c r="A225" s="1">
        <v>224</v>
      </c>
      <c r="B225" s="1">
        <v>962936.90330000001</v>
      </c>
      <c r="C225" s="1">
        <v>895483.96592555242</v>
      </c>
      <c r="D225" s="1">
        <f t="shared" si="3"/>
        <v>67452.937374447589</v>
      </c>
      <c r="E225" s="1">
        <v>11</v>
      </c>
      <c r="F225" s="1">
        <v>16</v>
      </c>
      <c r="G225" s="1">
        <v>8</v>
      </c>
      <c r="H225" s="1">
        <v>1</v>
      </c>
      <c r="I225" s="1">
        <v>0</v>
      </c>
      <c r="J225" s="1">
        <v>0</v>
      </c>
      <c r="K225" s="1">
        <v>0</v>
      </c>
      <c r="L225" s="1">
        <v>0</v>
      </c>
      <c r="M225" s="1">
        <v>0</v>
      </c>
    </row>
    <row r="226" spans="1:13">
      <c r="A226" s="1">
        <v>225</v>
      </c>
      <c r="B226" s="1">
        <v>1026867.61</v>
      </c>
      <c r="C226" s="1">
        <v>1069600.0823166659</v>
      </c>
      <c r="D226" s="1">
        <f t="shared" si="3"/>
        <v>-42732.472316665924</v>
      </c>
      <c r="E226" s="1">
        <v>10</v>
      </c>
      <c r="F226" s="1">
        <v>19</v>
      </c>
      <c r="G226" s="1">
        <v>6</v>
      </c>
      <c r="H226" s="1">
        <v>1</v>
      </c>
      <c r="I226" s="1">
        <v>0</v>
      </c>
      <c r="J226" s="1">
        <v>1</v>
      </c>
      <c r="K226" s="1">
        <v>1</v>
      </c>
      <c r="L226" s="1">
        <v>0</v>
      </c>
      <c r="M226" s="1">
        <v>0</v>
      </c>
    </row>
    <row r="227" spans="1:13">
      <c r="A227" s="1">
        <v>226</v>
      </c>
      <c r="B227" s="1">
        <v>938897.9584</v>
      </c>
      <c r="C227" s="1">
        <v>1511369.9197184728</v>
      </c>
      <c r="D227" s="1">
        <f t="shared" si="3"/>
        <v>-572471.96131847275</v>
      </c>
      <c r="E227" s="1">
        <v>12</v>
      </c>
      <c r="F227" s="1">
        <v>16</v>
      </c>
      <c r="G227" s="1">
        <v>7</v>
      </c>
      <c r="H227" s="1">
        <v>1</v>
      </c>
      <c r="I227" s="1">
        <v>0</v>
      </c>
      <c r="J227" s="1">
        <v>0</v>
      </c>
      <c r="K227" s="1">
        <v>1</v>
      </c>
      <c r="L227" s="1">
        <v>0</v>
      </c>
      <c r="M227" s="1">
        <v>1</v>
      </c>
    </row>
    <row r="228" spans="1:13">
      <c r="A228" s="1">
        <v>227</v>
      </c>
      <c r="B228" s="1">
        <v>970862.29859999998</v>
      </c>
      <c r="C228" s="1">
        <v>1475906.1464662042</v>
      </c>
      <c r="D228" s="1">
        <f t="shared" si="3"/>
        <v>-505043.84786620422</v>
      </c>
      <c r="E228" s="1">
        <v>14</v>
      </c>
      <c r="F228" s="1">
        <v>14</v>
      </c>
      <c r="G228" s="1">
        <v>7</v>
      </c>
      <c r="H228" s="1">
        <v>2</v>
      </c>
      <c r="I228" s="1">
        <v>0</v>
      </c>
      <c r="J228" s="1">
        <v>0</v>
      </c>
      <c r="K228" s="1">
        <v>1</v>
      </c>
      <c r="L228" s="1">
        <v>0</v>
      </c>
      <c r="M228" s="1">
        <v>0</v>
      </c>
    </row>
    <row r="229" spans="1:13">
      <c r="A229" s="1">
        <v>228</v>
      </c>
      <c r="B229" s="1">
        <v>895719.1139</v>
      </c>
      <c r="C229" s="1">
        <v>1114638.5451957111</v>
      </c>
      <c r="D229" s="1">
        <f t="shared" si="3"/>
        <v>-218919.43129571108</v>
      </c>
      <c r="E229" s="1">
        <v>13</v>
      </c>
      <c r="F229" s="1">
        <v>18</v>
      </c>
      <c r="G229" s="1">
        <v>4</v>
      </c>
      <c r="H229" s="1">
        <v>2</v>
      </c>
      <c r="I229" s="1">
        <v>0</v>
      </c>
      <c r="J229" s="1">
        <v>2</v>
      </c>
      <c r="K229" s="1">
        <v>0</v>
      </c>
      <c r="L229" s="1">
        <v>0</v>
      </c>
      <c r="M229" s="1">
        <v>0</v>
      </c>
    </row>
    <row r="230" spans="1:13">
      <c r="A230" s="1">
        <v>229</v>
      </c>
      <c r="B230" s="1">
        <v>1006196.4978</v>
      </c>
      <c r="C230" s="1">
        <v>734293.94074103411</v>
      </c>
      <c r="D230" s="1">
        <f t="shared" si="3"/>
        <v>271902.5570589659</v>
      </c>
      <c r="E230" s="1">
        <v>12</v>
      </c>
      <c r="F230" s="1">
        <v>16</v>
      </c>
      <c r="G230" s="1">
        <v>7</v>
      </c>
      <c r="H230" s="1">
        <v>1</v>
      </c>
      <c r="I230" s="1">
        <v>0</v>
      </c>
      <c r="J230" s="1">
        <v>0</v>
      </c>
      <c r="K230" s="1">
        <v>1</v>
      </c>
      <c r="L230" s="1">
        <v>0</v>
      </c>
      <c r="M230" s="1">
        <v>0</v>
      </c>
    </row>
    <row r="231" spans="1:13">
      <c r="A231" s="1">
        <v>230</v>
      </c>
      <c r="B231" s="1">
        <v>869433.48869999999</v>
      </c>
      <c r="C231" s="1">
        <v>710027.53490500129</v>
      </c>
      <c r="D231" s="1">
        <f t="shared" si="3"/>
        <v>159405.9537949987</v>
      </c>
      <c r="E231" s="1">
        <v>19</v>
      </c>
      <c r="F231" s="1">
        <v>13</v>
      </c>
      <c r="G231" s="1">
        <v>3</v>
      </c>
      <c r="H231" s="1">
        <v>0</v>
      </c>
      <c r="I231" s="1">
        <v>0</v>
      </c>
      <c r="J231" s="1">
        <v>1</v>
      </c>
      <c r="K231" s="1">
        <v>0</v>
      </c>
      <c r="L231" s="1">
        <v>0</v>
      </c>
      <c r="M231" s="1">
        <v>0</v>
      </c>
    </row>
    <row r="232" spans="1:13">
      <c r="A232" s="1">
        <v>231</v>
      </c>
      <c r="B232" s="1">
        <v>882888.33089999994</v>
      </c>
      <c r="C232" s="1">
        <v>1004030.2198967978</v>
      </c>
      <c r="D232" s="1">
        <f t="shared" si="3"/>
        <v>-121141.88899679785</v>
      </c>
      <c r="E232" s="1">
        <v>13</v>
      </c>
      <c r="F232" s="1">
        <v>18</v>
      </c>
      <c r="G232" s="1">
        <v>4</v>
      </c>
      <c r="H232" s="1">
        <v>0</v>
      </c>
      <c r="I232" s="1">
        <v>0</v>
      </c>
      <c r="J232" s="1">
        <v>0</v>
      </c>
      <c r="K232" s="1">
        <v>2</v>
      </c>
      <c r="L232" s="1">
        <v>0</v>
      </c>
      <c r="M232" s="1">
        <v>0</v>
      </c>
    </row>
    <row r="233" spans="1:13">
      <c r="A233" s="1">
        <v>232</v>
      </c>
      <c r="B233" s="1">
        <v>862650.04359999998</v>
      </c>
      <c r="C233" s="1">
        <v>1023795.9382091402</v>
      </c>
      <c r="D233" s="1">
        <f t="shared" si="3"/>
        <v>-161145.89460914023</v>
      </c>
      <c r="E233" s="1">
        <v>18</v>
      </c>
      <c r="F233" s="1">
        <v>16</v>
      </c>
      <c r="G233" s="1">
        <v>1</v>
      </c>
      <c r="H233" s="1">
        <v>2</v>
      </c>
      <c r="I233" s="1">
        <v>0</v>
      </c>
      <c r="J233" s="1">
        <v>0</v>
      </c>
      <c r="K233" s="1">
        <v>2</v>
      </c>
      <c r="L233" s="1">
        <v>0</v>
      </c>
      <c r="M233" s="1">
        <v>1</v>
      </c>
    </row>
    <row r="234" spans="1:13">
      <c r="A234" s="1">
        <v>233</v>
      </c>
      <c r="B234" s="1">
        <v>945268.02639999997</v>
      </c>
      <c r="C234" s="1">
        <v>1335363.5786355676</v>
      </c>
      <c r="D234" s="1">
        <f t="shared" si="3"/>
        <v>-390095.55223556759</v>
      </c>
      <c r="E234" s="1">
        <v>6</v>
      </c>
      <c r="F234" s="1">
        <v>23</v>
      </c>
      <c r="G234" s="1">
        <v>6</v>
      </c>
      <c r="H234" s="1">
        <v>1</v>
      </c>
      <c r="I234" s="1">
        <v>1</v>
      </c>
      <c r="J234" s="1">
        <v>0</v>
      </c>
      <c r="K234" s="1">
        <v>1</v>
      </c>
      <c r="L234" s="1">
        <v>1</v>
      </c>
      <c r="M234" s="1">
        <v>1</v>
      </c>
    </row>
    <row r="235" spans="1:13">
      <c r="A235" s="1">
        <v>234</v>
      </c>
      <c r="B235" s="1">
        <v>874179.03020000004</v>
      </c>
      <c r="C235" s="1">
        <v>1781033.772885917</v>
      </c>
      <c r="D235" s="1">
        <f t="shared" si="3"/>
        <v>-906854.74268591695</v>
      </c>
      <c r="E235" s="1">
        <v>14</v>
      </c>
      <c r="F235" s="1">
        <v>15</v>
      </c>
      <c r="G235" s="1">
        <v>6</v>
      </c>
      <c r="H235" s="1">
        <v>1</v>
      </c>
      <c r="I235" s="1">
        <v>0</v>
      </c>
      <c r="J235" s="1">
        <v>0</v>
      </c>
      <c r="K235" s="1">
        <v>0</v>
      </c>
      <c r="L235" s="1">
        <v>0</v>
      </c>
      <c r="M235" s="1">
        <v>0</v>
      </c>
    </row>
    <row r="236" spans="1:13">
      <c r="A236" s="1">
        <v>235</v>
      </c>
      <c r="B236" s="1">
        <v>990756.68460000004</v>
      </c>
      <c r="C236" s="1">
        <v>1168671.6521115494</v>
      </c>
      <c r="D236" s="1">
        <f t="shared" si="3"/>
        <v>-177914.96751154936</v>
      </c>
      <c r="E236" s="1">
        <v>10</v>
      </c>
      <c r="F236" s="1">
        <v>18</v>
      </c>
      <c r="G236" s="1">
        <v>7</v>
      </c>
      <c r="H236" s="1">
        <v>0</v>
      </c>
      <c r="I236" s="1">
        <v>1</v>
      </c>
      <c r="J236" s="1">
        <v>0</v>
      </c>
      <c r="K236" s="1">
        <v>0</v>
      </c>
      <c r="L236" s="1">
        <v>0</v>
      </c>
      <c r="M236" s="1">
        <v>0</v>
      </c>
    </row>
    <row r="237" spans="1:13">
      <c r="A237" s="1">
        <v>236</v>
      </c>
      <c r="B237" s="1">
        <v>897100.52139999997</v>
      </c>
      <c r="C237" s="1">
        <v>1285666.2286088429</v>
      </c>
      <c r="D237" s="1">
        <f t="shared" si="3"/>
        <v>-388565.70720884297</v>
      </c>
      <c r="E237" s="1">
        <v>12</v>
      </c>
      <c r="F237" s="1">
        <v>20</v>
      </c>
      <c r="G237" s="1">
        <v>3</v>
      </c>
      <c r="H237" s="1">
        <v>2</v>
      </c>
      <c r="I237" s="1">
        <v>0</v>
      </c>
      <c r="J237" s="1">
        <v>0</v>
      </c>
      <c r="K237" s="1">
        <v>2</v>
      </c>
      <c r="L237" s="1">
        <v>0</v>
      </c>
      <c r="M237" s="1">
        <v>0</v>
      </c>
    </row>
    <row r="238" spans="1:13">
      <c r="A238" s="1">
        <v>237</v>
      </c>
      <c r="B238" s="1">
        <v>913446.13049999997</v>
      </c>
      <c r="C238" s="1">
        <v>1006931.6503784283</v>
      </c>
      <c r="D238" s="1">
        <f t="shared" si="3"/>
        <v>-93485.519878428313</v>
      </c>
      <c r="E238" s="1">
        <v>13</v>
      </c>
      <c r="F238" s="1">
        <v>16</v>
      </c>
      <c r="G238" s="1">
        <v>6</v>
      </c>
      <c r="H238" s="1">
        <v>1</v>
      </c>
      <c r="I238" s="1">
        <v>0</v>
      </c>
      <c r="J238" s="1">
        <v>0</v>
      </c>
      <c r="K238" s="1">
        <v>0</v>
      </c>
      <c r="L238" s="1">
        <v>0</v>
      </c>
      <c r="M238" s="1">
        <v>0</v>
      </c>
    </row>
    <row r="239" spans="1:13">
      <c r="A239" s="1">
        <v>238</v>
      </c>
      <c r="B239" s="1">
        <v>983058.48210000002</v>
      </c>
      <c r="C239" s="1">
        <v>718296.22190994222</v>
      </c>
      <c r="D239" s="1">
        <f t="shared" si="3"/>
        <v>264762.2601900578</v>
      </c>
      <c r="E239" s="1">
        <v>11</v>
      </c>
      <c r="F239" s="1">
        <v>16</v>
      </c>
      <c r="G239" s="1">
        <v>8</v>
      </c>
      <c r="H239" s="1">
        <v>0</v>
      </c>
      <c r="I239" s="1">
        <v>0</v>
      </c>
      <c r="J239" s="1">
        <v>0</v>
      </c>
      <c r="K239" s="1">
        <v>0</v>
      </c>
      <c r="L239" s="1">
        <v>0</v>
      </c>
      <c r="M239" s="1">
        <v>0</v>
      </c>
    </row>
    <row r="240" spans="1:13">
      <c r="A240" s="1">
        <v>239</v>
      </c>
      <c r="B240" s="1">
        <v>886000.88020000001</v>
      </c>
      <c r="C240" s="1">
        <v>886887.13820346538</v>
      </c>
      <c r="D240" s="1">
        <f t="shared" si="3"/>
        <v>-886.25800346536562</v>
      </c>
      <c r="E240" s="1">
        <v>14</v>
      </c>
      <c r="F240" s="1">
        <v>20</v>
      </c>
      <c r="G240" s="1">
        <v>1</v>
      </c>
      <c r="H240" s="1">
        <v>1</v>
      </c>
      <c r="I240" s="1">
        <v>1</v>
      </c>
      <c r="J240" s="1">
        <v>0</v>
      </c>
      <c r="K240" s="1">
        <v>2</v>
      </c>
      <c r="L240" s="1">
        <v>0</v>
      </c>
      <c r="M240" s="1">
        <v>1</v>
      </c>
    </row>
    <row r="241" spans="1:13">
      <c r="A241" s="1">
        <v>240</v>
      </c>
      <c r="B241" s="1">
        <v>953360.50950000004</v>
      </c>
      <c r="C241" s="1">
        <v>1422527.6879947716</v>
      </c>
      <c r="D241" s="1">
        <f t="shared" si="3"/>
        <v>-469167.17849477159</v>
      </c>
      <c r="E241" s="1">
        <v>21</v>
      </c>
      <c r="F241" s="1">
        <v>9</v>
      </c>
      <c r="G241" s="1">
        <v>5</v>
      </c>
      <c r="H241" s="1">
        <v>0</v>
      </c>
      <c r="I241" s="1">
        <v>0</v>
      </c>
      <c r="J241" s="1">
        <v>0</v>
      </c>
      <c r="K241" s="1">
        <v>0</v>
      </c>
      <c r="L241" s="1">
        <v>0</v>
      </c>
      <c r="M241" s="1">
        <v>0</v>
      </c>
    </row>
    <row r="242" spans="1:13">
      <c r="A242" s="1">
        <v>241</v>
      </c>
      <c r="B242" s="1">
        <v>1077309.5837999999</v>
      </c>
      <c r="C242" s="1">
        <v>1469059.3722265484</v>
      </c>
      <c r="D242" s="1">
        <f t="shared" si="3"/>
        <v>-391749.78842654848</v>
      </c>
      <c r="E242" s="1">
        <v>9</v>
      </c>
      <c r="F242" s="1">
        <v>23</v>
      </c>
      <c r="G242" s="1">
        <v>3</v>
      </c>
      <c r="H242" s="1">
        <v>1</v>
      </c>
      <c r="I242" s="1">
        <v>0</v>
      </c>
      <c r="J242" s="1">
        <v>1</v>
      </c>
      <c r="K242" s="1">
        <v>0</v>
      </c>
      <c r="L242" s="1">
        <v>0</v>
      </c>
      <c r="M242" s="1">
        <v>0</v>
      </c>
    </row>
    <row r="243" spans="1:13">
      <c r="A243" s="1">
        <v>242</v>
      </c>
      <c r="B243" s="1">
        <v>949947.87639999995</v>
      </c>
      <c r="C243" s="1">
        <v>748661.37536915427</v>
      </c>
      <c r="D243" s="1">
        <f t="shared" si="3"/>
        <v>201286.50103084568</v>
      </c>
      <c r="E243" s="1">
        <v>15</v>
      </c>
      <c r="F243" s="1">
        <v>15</v>
      </c>
      <c r="G243" s="1">
        <v>5</v>
      </c>
      <c r="H243" s="1">
        <v>1</v>
      </c>
      <c r="I243" s="1">
        <v>0</v>
      </c>
      <c r="J243" s="1">
        <v>0</v>
      </c>
      <c r="K243" s="1">
        <v>1</v>
      </c>
      <c r="L243" s="1">
        <v>0</v>
      </c>
      <c r="M243" s="1">
        <v>1</v>
      </c>
    </row>
    <row r="244" spans="1:13">
      <c r="A244" s="1">
        <v>243</v>
      </c>
      <c r="B244" s="1">
        <v>894993.97690000001</v>
      </c>
      <c r="C244" s="1">
        <v>478836.06196815264</v>
      </c>
      <c r="D244" s="1">
        <f t="shared" si="3"/>
        <v>416157.91493184736</v>
      </c>
      <c r="E244" s="1">
        <v>19</v>
      </c>
      <c r="F244" s="1">
        <v>15</v>
      </c>
      <c r="G244" s="1">
        <v>1</v>
      </c>
      <c r="H244" s="1">
        <v>0</v>
      </c>
      <c r="I244" s="1">
        <v>0</v>
      </c>
      <c r="J244" s="1">
        <v>0</v>
      </c>
      <c r="K244" s="1">
        <v>1</v>
      </c>
      <c r="L244" s="1">
        <v>0</v>
      </c>
      <c r="M244" s="1">
        <v>0</v>
      </c>
    </row>
    <row r="245" spans="1:13">
      <c r="A245" s="1">
        <v>244</v>
      </c>
      <c r="B245" s="1">
        <v>921693.05530000001</v>
      </c>
      <c r="C245" s="1">
        <v>703129.44472548866</v>
      </c>
      <c r="D245" s="1">
        <f t="shared" si="3"/>
        <v>218563.61057451135</v>
      </c>
      <c r="E245" s="1">
        <v>15</v>
      </c>
      <c r="F245" s="1">
        <v>15</v>
      </c>
      <c r="G245" s="1">
        <v>5</v>
      </c>
      <c r="H245" s="1">
        <v>0</v>
      </c>
      <c r="I245" s="1">
        <v>0</v>
      </c>
      <c r="J245" s="1">
        <v>1</v>
      </c>
      <c r="K245" s="1">
        <v>0</v>
      </c>
      <c r="L245" s="1">
        <v>0</v>
      </c>
      <c r="M245" s="1">
        <v>1</v>
      </c>
    </row>
    <row r="246" spans="1:13">
      <c r="A246" s="1">
        <v>245</v>
      </c>
      <c r="B246" s="1">
        <v>839961.74959999998</v>
      </c>
      <c r="C246" s="1">
        <v>1012800.9500040332</v>
      </c>
      <c r="D246" s="1">
        <f t="shared" si="3"/>
        <v>-172839.20040403318</v>
      </c>
      <c r="E246" s="1">
        <v>9</v>
      </c>
      <c r="F246" s="1">
        <v>23</v>
      </c>
      <c r="G246" s="1">
        <v>3</v>
      </c>
      <c r="H246" s="1">
        <v>1</v>
      </c>
      <c r="I246" s="1">
        <v>0</v>
      </c>
      <c r="J246" s="1">
        <v>2</v>
      </c>
      <c r="K246" s="1">
        <v>0</v>
      </c>
      <c r="L246" s="1">
        <v>0</v>
      </c>
      <c r="M246" s="1">
        <v>0</v>
      </c>
    </row>
    <row r="247" spans="1:13">
      <c r="A247" s="1">
        <v>246</v>
      </c>
      <c r="B247" s="1">
        <v>872477.36439999996</v>
      </c>
      <c r="C247" s="1">
        <v>975444.66878135444</v>
      </c>
      <c r="D247" s="1">
        <f t="shared" si="3"/>
        <v>-102967.30438135448</v>
      </c>
      <c r="E247" s="1">
        <v>15</v>
      </c>
      <c r="F247" s="1">
        <v>15</v>
      </c>
      <c r="G247" s="1">
        <v>5</v>
      </c>
      <c r="H247" s="1">
        <v>1</v>
      </c>
      <c r="I247" s="1">
        <v>0</v>
      </c>
      <c r="J247" s="1">
        <v>0</v>
      </c>
      <c r="K247" s="1">
        <v>1</v>
      </c>
      <c r="L247" s="1">
        <v>1</v>
      </c>
      <c r="M247" s="1">
        <v>0</v>
      </c>
    </row>
    <row r="248" spans="1:13">
      <c r="A248" s="1">
        <v>247</v>
      </c>
      <c r="B248" s="1">
        <v>947059.54410000006</v>
      </c>
      <c r="C248" s="1">
        <v>544394.1071349025</v>
      </c>
      <c r="D248" s="1">
        <f t="shared" si="3"/>
        <v>402665.43696509756</v>
      </c>
      <c r="E248" s="1">
        <v>16</v>
      </c>
      <c r="F248" s="1">
        <v>16</v>
      </c>
      <c r="G248" s="1">
        <v>3</v>
      </c>
      <c r="H248" s="1">
        <v>1</v>
      </c>
      <c r="I248" s="1">
        <v>0</v>
      </c>
      <c r="J248" s="1">
        <v>0</v>
      </c>
      <c r="K248" s="1">
        <v>0</v>
      </c>
      <c r="L248" s="1">
        <v>0</v>
      </c>
      <c r="M248" s="1">
        <v>0</v>
      </c>
    </row>
    <row r="249" spans="1:13">
      <c r="A249" s="1">
        <v>248</v>
      </c>
      <c r="B249" s="1">
        <v>988176.39780000004</v>
      </c>
      <c r="C249" s="1">
        <v>1882091.0351474329</v>
      </c>
      <c r="D249" s="1">
        <f t="shared" si="3"/>
        <v>-893914.6373474329</v>
      </c>
      <c r="E249" s="1">
        <v>14</v>
      </c>
      <c r="F249" s="1">
        <v>17</v>
      </c>
      <c r="G249" s="1">
        <v>4</v>
      </c>
      <c r="H249" s="1">
        <v>2</v>
      </c>
      <c r="I249" s="1">
        <v>0</v>
      </c>
      <c r="J249" s="1">
        <v>0</v>
      </c>
      <c r="K249" s="1">
        <v>0</v>
      </c>
      <c r="L249" s="1">
        <v>0</v>
      </c>
      <c r="M249" s="1">
        <v>0</v>
      </c>
    </row>
    <row r="250" spans="1:13">
      <c r="A250" s="1">
        <v>249</v>
      </c>
      <c r="B250" s="1">
        <v>899073.75219999999</v>
      </c>
      <c r="C250" s="1">
        <v>696031.92139522254</v>
      </c>
      <c r="D250" s="1">
        <f t="shared" si="3"/>
        <v>203041.83080477745</v>
      </c>
      <c r="E250" s="1">
        <v>2</v>
      </c>
      <c r="F250" s="1">
        <v>30</v>
      </c>
      <c r="G250" s="1">
        <v>3</v>
      </c>
      <c r="H250" s="1">
        <v>0</v>
      </c>
      <c r="I250" s="1">
        <v>0</v>
      </c>
      <c r="J250" s="1">
        <v>1</v>
      </c>
      <c r="K250" s="1">
        <v>0</v>
      </c>
      <c r="L250" s="1">
        <v>0</v>
      </c>
      <c r="M250" s="1">
        <v>0</v>
      </c>
    </row>
    <row r="251" spans="1:13">
      <c r="A251" s="1">
        <v>250</v>
      </c>
      <c r="B251" s="1">
        <v>959664.15119999996</v>
      </c>
      <c r="C251" s="1">
        <v>837902.95437744551</v>
      </c>
      <c r="D251" s="1">
        <f t="shared" si="3"/>
        <v>121761.19682255446</v>
      </c>
      <c r="E251" s="1">
        <v>15</v>
      </c>
      <c r="F251" s="1">
        <v>15</v>
      </c>
      <c r="G251" s="1">
        <v>5</v>
      </c>
      <c r="H251" s="1">
        <v>2</v>
      </c>
      <c r="I251" s="1">
        <v>0</v>
      </c>
      <c r="J251" s="1">
        <v>0</v>
      </c>
      <c r="K251" s="1">
        <v>1</v>
      </c>
      <c r="L251" s="1">
        <v>0</v>
      </c>
      <c r="M251" s="1">
        <v>0</v>
      </c>
    </row>
    <row r="252" spans="1:13">
      <c r="A252" s="1">
        <v>251</v>
      </c>
      <c r="B252" s="1">
        <v>1029429.9666</v>
      </c>
      <c r="C252" s="1">
        <v>860396.8565433796</v>
      </c>
      <c r="D252" s="1">
        <f t="shared" si="3"/>
        <v>169033.11005662044</v>
      </c>
      <c r="E252" s="1">
        <v>18</v>
      </c>
      <c r="F252" s="1">
        <v>10</v>
      </c>
      <c r="G252" s="1">
        <v>7</v>
      </c>
      <c r="H252" s="1">
        <v>2</v>
      </c>
      <c r="I252" s="1">
        <v>0</v>
      </c>
      <c r="J252" s="1">
        <v>1</v>
      </c>
      <c r="K252" s="1">
        <v>1</v>
      </c>
      <c r="L252" s="1">
        <v>0</v>
      </c>
      <c r="M252" s="1">
        <v>1</v>
      </c>
    </row>
    <row r="253" spans="1:13">
      <c r="A253" s="1">
        <v>252</v>
      </c>
      <c r="B253" s="1">
        <v>843345.52560000005</v>
      </c>
      <c r="C253" s="1">
        <v>749665.53412091429</v>
      </c>
      <c r="D253" s="1">
        <f t="shared" si="3"/>
        <v>93679.991479085758</v>
      </c>
      <c r="E253" s="1">
        <v>5</v>
      </c>
      <c r="F253" s="1">
        <v>26</v>
      </c>
      <c r="G253" s="1">
        <v>4</v>
      </c>
      <c r="H253" s="1">
        <v>0</v>
      </c>
      <c r="I253" s="1">
        <v>0</v>
      </c>
      <c r="J253" s="1">
        <v>0</v>
      </c>
      <c r="K253" s="1">
        <v>0</v>
      </c>
      <c r="L253" s="1">
        <v>0</v>
      </c>
      <c r="M253" s="1">
        <v>1</v>
      </c>
    </row>
    <row r="254" spans="1:13">
      <c r="A254" s="1">
        <v>253</v>
      </c>
      <c r="B254" s="1">
        <v>882214.94389999995</v>
      </c>
      <c r="C254" s="1">
        <v>791541.4380129599</v>
      </c>
      <c r="D254" s="1">
        <f t="shared" si="3"/>
        <v>90673.505887040053</v>
      </c>
      <c r="E254" s="1">
        <v>13</v>
      </c>
      <c r="F254" s="1">
        <v>17</v>
      </c>
      <c r="G254" s="1">
        <v>5</v>
      </c>
      <c r="H254" s="1">
        <v>2</v>
      </c>
      <c r="I254" s="1">
        <v>0</v>
      </c>
      <c r="J254" s="1">
        <v>0</v>
      </c>
      <c r="K254" s="1">
        <v>0</v>
      </c>
      <c r="L254" s="1">
        <v>0</v>
      </c>
      <c r="M254" s="1">
        <v>0</v>
      </c>
    </row>
    <row r="255" spans="1:13">
      <c r="A255" s="1">
        <v>254</v>
      </c>
      <c r="B255" s="1">
        <v>899751.32369999995</v>
      </c>
      <c r="C255" s="1">
        <v>808317.54276687989</v>
      </c>
      <c r="D255" s="1">
        <f t="shared" si="3"/>
        <v>91433.780933120055</v>
      </c>
      <c r="E255" s="1">
        <v>12</v>
      </c>
      <c r="F255" s="1">
        <v>16</v>
      </c>
      <c r="G255" s="1">
        <v>7</v>
      </c>
      <c r="H255" s="1">
        <v>2</v>
      </c>
      <c r="I255" s="1">
        <v>0</v>
      </c>
      <c r="J255" s="1">
        <v>2</v>
      </c>
      <c r="K255" s="1">
        <v>0</v>
      </c>
      <c r="L255" s="1">
        <v>0</v>
      </c>
      <c r="M255" s="1">
        <v>1</v>
      </c>
    </row>
    <row r="256" spans="1:13">
      <c r="A256" s="1">
        <v>255</v>
      </c>
      <c r="B256" s="1">
        <v>1027539.3952</v>
      </c>
      <c r="C256" s="1">
        <v>1057469.2430268961</v>
      </c>
      <c r="D256" s="1">
        <f t="shared" si="3"/>
        <v>-29929.847826896119</v>
      </c>
      <c r="E256" s="1">
        <v>7</v>
      </c>
      <c r="F256" s="1">
        <v>21</v>
      </c>
      <c r="G256" s="1">
        <v>7</v>
      </c>
      <c r="H256" s="1">
        <v>1</v>
      </c>
      <c r="I256" s="1">
        <v>1</v>
      </c>
      <c r="J256" s="1">
        <v>0</v>
      </c>
      <c r="K256" s="1">
        <v>1</v>
      </c>
      <c r="L256" s="1">
        <v>1</v>
      </c>
      <c r="M256" s="1">
        <v>0</v>
      </c>
    </row>
    <row r="257" spans="1:13">
      <c r="A257" s="1">
        <v>256</v>
      </c>
      <c r="B257" s="1">
        <v>898724.81110000005</v>
      </c>
      <c r="C257" s="1">
        <v>435827.97950934747</v>
      </c>
      <c r="D257" s="1">
        <f t="shared" si="3"/>
        <v>462896.83159065258</v>
      </c>
      <c r="E257" s="1">
        <v>20</v>
      </c>
      <c r="F257" s="1">
        <v>12</v>
      </c>
      <c r="G257" s="1">
        <v>3</v>
      </c>
      <c r="H257" s="1">
        <v>1</v>
      </c>
      <c r="I257" s="1">
        <v>0</v>
      </c>
      <c r="J257" s="1">
        <v>0</v>
      </c>
      <c r="K257" s="1">
        <v>0</v>
      </c>
      <c r="L257" s="1">
        <v>0</v>
      </c>
      <c r="M257" s="1">
        <v>1</v>
      </c>
    </row>
    <row r="258" spans="1:13">
      <c r="A258" s="1">
        <v>257</v>
      </c>
      <c r="B258" s="1">
        <v>1016763.1243</v>
      </c>
      <c r="C258" s="1">
        <v>1176493.2928100086</v>
      </c>
      <c r="D258" s="1">
        <f t="shared" ref="D258:D321" si="4">B258-C258</f>
        <v>-159730.1685100086</v>
      </c>
      <c r="E258" s="1">
        <v>14</v>
      </c>
      <c r="F258" s="1">
        <v>12</v>
      </c>
      <c r="G258" s="1">
        <v>9</v>
      </c>
      <c r="H258" s="1">
        <v>0</v>
      </c>
      <c r="I258" s="1">
        <v>0</v>
      </c>
      <c r="J258" s="1">
        <v>1</v>
      </c>
      <c r="K258" s="1">
        <v>1</v>
      </c>
      <c r="L258" s="1">
        <v>0</v>
      </c>
      <c r="M258" s="1">
        <v>0</v>
      </c>
    </row>
    <row r="259" spans="1:13">
      <c r="A259" s="1">
        <v>258</v>
      </c>
      <c r="B259" s="1">
        <v>865208.94620000001</v>
      </c>
      <c r="C259" s="1">
        <v>1499487.1750306003</v>
      </c>
      <c r="D259" s="1">
        <f t="shared" si="4"/>
        <v>-634278.22883060027</v>
      </c>
      <c r="E259" s="1">
        <v>12</v>
      </c>
      <c r="F259" s="1">
        <v>20</v>
      </c>
      <c r="G259" s="1">
        <v>3</v>
      </c>
      <c r="H259" s="1">
        <v>1</v>
      </c>
      <c r="I259" s="1">
        <v>0</v>
      </c>
      <c r="J259" s="1">
        <v>0</v>
      </c>
      <c r="K259" s="1">
        <v>1</v>
      </c>
      <c r="L259" s="1">
        <v>0</v>
      </c>
      <c r="M259" s="1">
        <v>1</v>
      </c>
    </row>
    <row r="260" spans="1:13">
      <c r="A260" s="1">
        <v>259</v>
      </c>
      <c r="B260" s="1">
        <v>980440.43440000003</v>
      </c>
      <c r="C260" s="1">
        <v>1182458.6305967025</v>
      </c>
      <c r="D260" s="1">
        <f t="shared" si="4"/>
        <v>-202018.19619670243</v>
      </c>
      <c r="E260" s="1">
        <v>10</v>
      </c>
      <c r="F260" s="1">
        <v>21</v>
      </c>
      <c r="G260" s="1">
        <v>4</v>
      </c>
      <c r="H260" s="1">
        <v>1</v>
      </c>
      <c r="I260" s="1">
        <v>0</v>
      </c>
      <c r="J260" s="1">
        <v>0</v>
      </c>
      <c r="K260" s="1">
        <v>0</v>
      </c>
      <c r="L260" s="1">
        <v>1</v>
      </c>
      <c r="M260" s="1">
        <v>0</v>
      </c>
    </row>
    <row r="261" spans="1:13">
      <c r="A261" s="1">
        <v>260</v>
      </c>
      <c r="B261" s="1">
        <v>846627.14179999998</v>
      </c>
      <c r="C261" s="1">
        <v>593524.94513646793</v>
      </c>
      <c r="D261" s="1">
        <f t="shared" si="4"/>
        <v>253102.19666353206</v>
      </c>
      <c r="E261" s="1">
        <v>9</v>
      </c>
      <c r="F261" s="1">
        <v>20</v>
      </c>
      <c r="G261" s="1">
        <v>6</v>
      </c>
      <c r="H261" s="1">
        <v>1</v>
      </c>
      <c r="I261" s="1">
        <v>1</v>
      </c>
      <c r="J261" s="1">
        <v>1</v>
      </c>
      <c r="K261" s="1">
        <v>0</v>
      </c>
      <c r="L261" s="1">
        <v>0</v>
      </c>
      <c r="M261" s="1">
        <v>0</v>
      </c>
    </row>
    <row r="262" spans="1:13">
      <c r="A262" s="1">
        <v>261</v>
      </c>
      <c r="B262" s="1">
        <v>1018240.8135</v>
      </c>
      <c r="C262" s="1">
        <v>884850.84133734996</v>
      </c>
      <c r="D262" s="1">
        <f t="shared" si="4"/>
        <v>133389.97216265008</v>
      </c>
      <c r="E262" s="1">
        <v>11</v>
      </c>
      <c r="F262" s="1">
        <v>19</v>
      </c>
      <c r="G262" s="1">
        <v>5</v>
      </c>
      <c r="H262" s="1">
        <v>0</v>
      </c>
      <c r="I262" s="1">
        <v>0</v>
      </c>
      <c r="J262" s="1">
        <v>2</v>
      </c>
      <c r="K262" s="1">
        <v>0</v>
      </c>
      <c r="L262" s="1">
        <v>0</v>
      </c>
      <c r="M262" s="1">
        <v>0</v>
      </c>
    </row>
    <row r="263" spans="1:13">
      <c r="A263" s="1">
        <v>262</v>
      </c>
      <c r="B263" s="1">
        <v>848591.59089999995</v>
      </c>
      <c r="C263" s="1">
        <v>1069155.2387119369</v>
      </c>
      <c r="D263" s="1">
        <f t="shared" si="4"/>
        <v>-220563.64781193691</v>
      </c>
      <c r="E263" s="1">
        <v>12</v>
      </c>
      <c r="F263" s="1">
        <v>18</v>
      </c>
      <c r="G263" s="1">
        <v>5</v>
      </c>
      <c r="H263" s="1">
        <v>1</v>
      </c>
      <c r="I263" s="1">
        <v>1</v>
      </c>
      <c r="J263" s="1">
        <v>0</v>
      </c>
      <c r="K263" s="1">
        <v>2</v>
      </c>
      <c r="L263" s="1">
        <v>0</v>
      </c>
      <c r="M263" s="1">
        <v>1</v>
      </c>
    </row>
    <row r="264" spans="1:13">
      <c r="A264" s="1">
        <v>263</v>
      </c>
      <c r="B264" s="1">
        <v>974169.20019999996</v>
      </c>
      <c r="C264" s="1">
        <v>501989.53325218312</v>
      </c>
      <c r="D264" s="1">
        <f t="shared" si="4"/>
        <v>472179.66694781685</v>
      </c>
      <c r="E264" s="1">
        <v>19</v>
      </c>
      <c r="F264" s="1">
        <v>13</v>
      </c>
      <c r="G264" s="1">
        <v>3</v>
      </c>
      <c r="H264" s="1">
        <v>1</v>
      </c>
      <c r="I264" s="1">
        <v>0</v>
      </c>
      <c r="J264" s="1">
        <v>0</v>
      </c>
      <c r="K264" s="1">
        <v>0</v>
      </c>
      <c r="L264" s="1">
        <v>0</v>
      </c>
      <c r="M264" s="1">
        <v>0</v>
      </c>
    </row>
    <row r="265" spans="1:13">
      <c r="A265" s="1">
        <v>264</v>
      </c>
      <c r="B265" s="1">
        <v>1023159.269</v>
      </c>
      <c r="C265" s="1">
        <v>1400645.1563365131</v>
      </c>
      <c r="D265" s="1">
        <f t="shared" si="4"/>
        <v>-377485.88733651314</v>
      </c>
      <c r="E265" s="1">
        <v>7</v>
      </c>
      <c r="F265" s="1">
        <v>23</v>
      </c>
      <c r="G265" s="1">
        <v>5</v>
      </c>
      <c r="H265" s="1">
        <v>1</v>
      </c>
      <c r="I265" s="1">
        <v>0</v>
      </c>
      <c r="J265" s="1">
        <v>1</v>
      </c>
      <c r="K265" s="1">
        <v>0</v>
      </c>
      <c r="L265" s="1">
        <v>0</v>
      </c>
      <c r="M265" s="1">
        <v>0</v>
      </c>
    </row>
    <row r="266" spans="1:13">
      <c r="A266" s="1">
        <v>265</v>
      </c>
      <c r="B266" s="1">
        <v>992127.1483</v>
      </c>
      <c r="C266" s="1">
        <v>495226.28941572655</v>
      </c>
      <c r="D266" s="1">
        <f t="shared" si="4"/>
        <v>496900.85888427345</v>
      </c>
      <c r="E266" s="1">
        <v>14</v>
      </c>
      <c r="F266" s="1">
        <v>16</v>
      </c>
      <c r="G266" s="1">
        <v>5</v>
      </c>
      <c r="H266" s="1">
        <v>0</v>
      </c>
      <c r="I266" s="1">
        <v>0</v>
      </c>
      <c r="J266" s="1">
        <v>0</v>
      </c>
      <c r="K266" s="1">
        <v>2</v>
      </c>
      <c r="L266" s="1">
        <v>0</v>
      </c>
      <c r="M266" s="1">
        <v>0</v>
      </c>
    </row>
    <row r="267" spans="1:13">
      <c r="A267" s="1">
        <v>266</v>
      </c>
      <c r="B267" s="1">
        <v>871919.43969999999</v>
      </c>
      <c r="C267" s="1">
        <v>827241.30903601751</v>
      </c>
      <c r="D267" s="1">
        <f t="shared" si="4"/>
        <v>44678.130663982476</v>
      </c>
      <c r="E267" s="1">
        <v>16</v>
      </c>
      <c r="F267" s="1">
        <v>15</v>
      </c>
      <c r="G267" s="1">
        <v>4</v>
      </c>
      <c r="H267" s="1">
        <v>2</v>
      </c>
      <c r="I267" s="1">
        <v>0</v>
      </c>
      <c r="J267" s="1">
        <v>0</v>
      </c>
      <c r="K267" s="1">
        <v>2</v>
      </c>
      <c r="L267" s="1">
        <v>0</v>
      </c>
      <c r="M267" s="1">
        <v>0</v>
      </c>
    </row>
    <row r="268" spans="1:13">
      <c r="A268" s="1">
        <v>267</v>
      </c>
      <c r="B268" s="1">
        <v>1097407.1842</v>
      </c>
      <c r="C268" s="1">
        <v>603826.4343776711</v>
      </c>
      <c r="D268" s="1">
        <f t="shared" si="4"/>
        <v>493580.74982232891</v>
      </c>
      <c r="E268" s="1">
        <v>11</v>
      </c>
      <c r="F268" s="1">
        <v>18</v>
      </c>
      <c r="G268" s="1">
        <v>6</v>
      </c>
      <c r="H268" s="1">
        <v>2</v>
      </c>
      <c r="I268" s="1">
        <v>0</v>
      </c>
      <c r="J268" s="1">
        <v>0</v>
      </c>
      <c r="K268" s="1">
        <v>0</v>
      </c>
      <c r="L268" s="1">
        <v>1</v>
      </c>
      <c r="M268" s="1">
        <v>0</v>
      </c>
    </row>
    <row r="269" spans="1:13">
      <c r="A269" s="1">
        <v>268</v>
      </c>
      <c r="B269" s="1">
        <v>907156.45810000005</v>
      </c>
      <c r="C269" s="1">
        <v>814605.9860538455</v>
      </c>
      <c r="D269" s="1">
        <f t="shared" si="4"/>
        <v>92550.472046154551</v>
      </c>
      <c r="E269" s="1">
        <v>13</v>
      </c>
      <c r="F269" s="1">
        <v>16</v>
      </c>
      <c r="G269" s="1">
        <v>6</v>
      </c>
      <c r="H269" s="1">
        <v>1</v>
      </c>
      <c r="I269" s="1">
        <v>1</v>
      </c>
      <c r="J269" s="1">
        <v>0</v>
      </c>
      <c r="K269" s="1">
        <v>1</v>
      </c>
      <c r="L269" s="1">
        <v>0</v>
      </c>
      <c r="M269" s="1">
        <v>0</v>
      </c>
    </row>
    <row r="270" spans="1:13">
      <c r="A270" s="1">
        <v>269</v>
      </c>
      <c r="B270" s="1">
        <v>1040846.1067</v>
      </c>
      <c r="C270" s="1">
        <v>597200.61618440493</v>
      </c>
      <c r="D270" s="1">
        <f t="shared" si="4"/>
        <v>443645.49051559507</v>
      </c>
      <c r="E270" s="1">
        <v>4</v>
      </c>
      <c r="F270" s="1">
        <v>23</v>
      </c>
      <c r="G270" s="1">
        <v>8</v>
      </c>
      <c r="H270" s="1">
        <v>1</v>
      </c>
      <c r="I270" s="1">
        <v>0</v>
      </c>
      <c r="J270" s="1">
        <v>0</v>
      </c>
      <c r="K270" s="1">
        <v>1</v>
      </c>
      <c r="L270" s="1">
        <v>0</v>
      </c>
      <c r="M270" s="1">
        <v>0</v>
      </c>
    </row>
    <row r="271" spans="1:13">
      <c r="A271" s="1">
        <v>270</v>
      </c>
      <c r="B271" s="1">
        <v>910941.32979999995</v>
      </c>
      <c r="C271" s="1">
        <v>815668.83984458016</v>
      </c>
      <c r="D271" s="1">
        <f t="shared" si="4"/>
        <v>95272.489955419791</v>
      </c>
      <c r="E271" s="1">
        <v>11</v>
      </c>
      <c r="F271" s="1">
        <v>19</v>
      </c>
      <c r="G271" s="1">
        <v>5</v>
      </c>
      <c r="H271" s="1">
        <v>0</v>
      </c>
      <c r="I271" s="1">
        <v>0</v>
      </c>
      <c r="J271" s="1">
        <v>1</v>
      </c>
      <c r="K271" s="1">
        <v>1</v>
      </c>
      <c r="L271" s="1">
        <v>0</v>
      </c>
      <c r="M271" s="1">
        <v>0</v>
      </c>
    </row>
    <row r="272" spans="1:13">
      <c r="A272" s="1">
        <v>271</v>
      </c>
      <c r="B272" s="1">
        <v>878775.22849999997</v>
      </c>
      <c r="C272" s="1">
        <v>701624.6498853442</v>
      </c>
      <c r="D272" s="1">
        <f t="shared" si="4"/>
        <v>177150.57861465577</v>
      </c>
      <c r="E272" s="1">
        <v>12</v>
      </c>
      <c r="F272" s="1">
        <v>21</v>
      </c>
      <c r="G272" s="1">
        <v>2</v>
      </c>
      <c r="H272" s="1">
        <v>2</v>
      </c>
      <c r="I272" s="1">
        <v>0</v>
      </c>
      <c r="J272" s="1">
        <v>1</v>
      </c>
      <c r="K272" s="1">
        <v>0</v>
      </c>
      <c r="L272" s="1">
        <v>0</v>
      </c>
      <c r="M272" s="1">
        <v>0</v>
      </c>
    </row>
    <row r="273" spans="1:13">
      <c r="A273" s="1">
        <v>272</v>
      </c>
      <c r="B273" s="1">
        <v>912811.2966</v>
      </c>
      <c r="C273" s="1">
        <v>675341.26508079085</v>
      </c>
      <c r="D273" s="1">
        <f t="shared" si="4"/>
        <v>237470.03151920915</v>
      </c>
      <c r="E273" s="1">
        <v>16</v>
      </c>
      <c r="F273" s="1">
        <v>13</v>
      </c>
      <c r="G273" s="1">
        <v>6</v>
      </c>
      <c r="H273" s="1">
        <v>1</v>
      </c>
      <c r="I273" s="1">
        <v>1</v>
      </c>
      <c r="J273" s="1">
        <v>1</v>
      </c>
      <c r="K273" s="1">
        <v>1</v>
      </c>
      <c r="L273" s="1">
        <v>0</v>
      </c>
      <c r="M273" s="1">
        <v>0</v>
      </c>
    </row>
    <row r="274" spans="1:13">
      <c r="A274" s="1">
        <v>273</v>
      </c>
      <c r="B274" s="1">
        <v>907295.64080000005</v>
      </c>
      <c r="C274" s="1">
        <v>599783.97605361138</v>
      </c>
      <c r="D274" s="1">
        <f t="shared" si="4"/>
        <v>307511.66474638868</v>
      </c>
      <c r="E274" s="1">
        <v>10</v>
      </c>
      <c r="F274" s="1">
        <v>22</v>
      </c>
      <c r="G274" s="1">
        <v>3</v>
      </c>
      <c r="H274" s="1">
        <v>2</v>
      </c>
      <c r="I274" s="1">
        <v>0</v>
      </c>
      <c r="J274" s="1">
        <v>0</v>
      </c>
      <c r="K274" s="1">
        <v>1</v>
      </c>
      <c r="L274" s="1">
        <v>0</v>
      </c>
      <c r="M274" s="1">
        <v>0</v>
      </c>
    </row>
    <row r="275" spans="1:13">
      <c r="A275" s="1">
        <v>274</v>
      </c>
      <c r="B275" s="1">
        <v>913318.27350000001</v>
      </c>
      <c r="C275" s="1">
        <v>1276974.4428110523</v>
      </c>
      <c r="D275" s="1">
        <f t="shared" si="4"/>
        <v>-363656.1693110523</v>
      </c>
      <c r="E275" s="1">
        <v>17</v>
      </c>
      <c r="F275" s="1">
        <v>12</v>
      </c>
      <c r="G275" s="1">
        <v>6</v>
      </c>
      <c r="H275" s="1">
        <v>2</v>
      </c>
      <c r="I275" s="1">
        <v>0</v>
      </c>
      <c r="J275" s="1">
        <v>1</v>
      </c>
      <c r="K275" s="1">
        <v>1</v>
      </c>
      <c r="L275" s="1">
        <v>0</v>
      </c>
      <c r="M275" s="1">
        <v>0</v>
      </c>
    </row>
    <row r="276" spans="1:13">
      <c r="A276" s="1">
        <v>275</v>
      </c>
      <c r="B276" s="1">
        <v>1007621.3439</v>
      </c>
      <c r="C276" s="1">
        <v>721350.06698046532</v>
      </c>
      <c r="D276" s="1">
        <f t="shared" si="4"/>
        <v>286271.27691953466</v>
      </c>
      <c r="E276" s="1">
        <v>11</v>
      </c>
      <c r="F276" s="1">
        <v>19</v>
      </c>
      <c r="G276" s="1">
        <v>5</v>
      </c>
      <c r="H276" s="1">
        <v>1</v>
      </c>
      <c r="I276" s="1">
        <v>0</v>
      </c>
      <c r="J276" s="1">
        <v>1</v>
      </c>
      <c r="K276" s="1">
        <v>0</v>
      </c>
      <c r="L276" s="1">
        <v>0</v>
      </c>
      <c r="M276" s="1">
        <v>1</v>
      </c>
    </row>
    <row r="277" spans="1:13">
      <c r="A277" s="1">
        <v>276</v>
      </c>
      <c r="B277" s="1">
        <v>878096.57510000002</v>
      </c>
      <c r="C277" s="1">
        <v>837750.50212543551</v>
      </c>
      <c r="D277" s="1">
        <f t="shared" si="4"/>
        <v>40346.072974564508</v>
      </c>
      <c r="E277" s="1">
        <v>15</v>
      </c>
      <c r="F277" s="1">
        <v>14</v>
      </c>
      <c r="G277" s="1">
        <v>6</v>
      </c>
      <c r="H277" s="1">
        <v>1</v>
      </c>
      <c r="I277" s="1">
        <v>1</v>
      </c>
      <c r="J277" s="1">
        <v>0</v>
      </c>
      <c r="K277" s="1">
        <v>0</v>
      </c>
      <c r="L277" s="1">
        <v>0</v>
      </c>
      <c r="M277" s="1">
        <v>0</v>
      </c>
    </row>
    <row r="278" spans="1:13">
      <c r="A278" s="1">
        <v>277</v>
      </c>
      <c r="B278" s="1">
        <v>917119.75349999999</v>
      </c>
      <c r="C278" s="1">
        <v>828192.05531878956</v>
      </c>
      <c r="D278" s="1">
        <f t="shared" si="4"/>
        <v>88927.698181210435</v>
      </c>
      <c r="E278" s="1">
        <v>8</v>
      </c>
      <c r="F278" s="1">
        <v>23</v>
      </c>
      <c r="G278" s="1">
        <v>4</v>
      </c>
      <c r="H278" s="1">
        <v>1</v>
      </c>
      <c r="I278" s="1">
        <v>0</v>
      </c>
      <c r="J278" s="1">
        <v>0</v>
      </c>
      <c r="K278" s="1">
        <v>1</v>
      </c>
      <c r="L278" s="1">
        <v>0</v>
      </c>
      <c r="M278" s="1">
        <v>1</v>
      </c>
    </row>
    <row r="279" spans="1:13">
      <c r="A279" s="1">
        <v>278</v>
      </c>
      <c r="B279" s="1">
        <v>900139.22349999996</v>
      </c>
      <c r="C279" s="1">
        <v>881053.23842110066</v>
      </c>
      <c r="D279" s="1">
        <f t="shared" si="4"/>
        <v>19085.985078899306</v>
      </c>
      <c r="E279" s="1">
        <v>13</v>
      </c>
      <c r="F279" s="1">
        <v>16</v>
      </c>
      <c r="G279" s="1">
        <v>6</v>
      </c>
      <c r="H279" s="1">
        <v>1</v>
      </c>
      <c r="I279" s="1">
        <v>0</v>
      </c>
      <c r="J279" s="1">
        <v>1</v>
      </c>
      <c r="K279" s="1">
        <v>0</v>
      </c>
      <c r="L279" s="1">
        <v>0</v>
      </c>
      <c r="M279" s="1">
        <v>1</v>
      </c>
    </row>
    <row r="280" spans="1:13">
      <c r="A280" s="1">
        <v>279</v>
      </c>
      <c r="B280" s="1">
        <v>972991.58140000002</v>
      </c>
      <c r="C280" s="1">
        <v>693293.60346616886</v>
      </c>
      <c r="D280" s="1">
        <f t="shared" si="4"/>
        <v>279697.97793383116</v>
      </c>
      <c r="E280" s="1">
        <v>15</v>
      </c>
      <c r="F280" s="1">
        <v>14</v>
      </c>
      <c r="G280" s="1">
        <v>6</v>
      </c>
      <c r="H280" s="1">
        <v>0</v>
      </c>
      <c r="I280" s="1">
        <v>0</v>
      </c>
      <c r="J280" s="1">
        <v>1</v>
      </c>
      <c r="K280" s="1">
        <v>1</v>
      </c>
      <c r="L280" s="1">
        <v>0</v>
      </c>
      <c r="M280" s="1">
        <v>1</v>
      </c>
    </row>
    <row r="281" spans="1:13">
      <c r="A281" s="1">
        <v>280</v>
      </c>
      <c r="B281" s="1">
        <v>896229.20880000002</v>
      </c>
      <c r="C281" s="1">
        <v>684295.28333458316</v>
      </c>
      <c r="D281" s="1">
        <f t="shared" si="4"/>
        <v>211933.92546541686</v>
      </c>
      <c r="E281" s="1">
        <v>17</v>
      </c>
      <c r="F281" s="1">
        <v>16</v>
      </c>
      <c r="G281" s="1">
        <v>2</v>
      </c>
      <c r="H281" s="1">
        <v>0</v>
      </c>
      <c r="I281" s="1">
        <v>0</v>
      </c>
      <c r="J281" s="1">
        <v>2</v>
      </c>
      <c r="K281" s="1">
        <v>0</v>
      </c>
      <c r="L281" s="1">
        <v>0</v>
      </c>
      <c r="M281" s="1">
        <v>1</v>
      </c>
    </row>
    <row r="282" spans="1:13">
      <c r="A282" s="1">
        <v>281</v>
      </c>
      <c r="B282" s="1">
        <v>813547.87239999999</v>
      </c>
      <c r="C282" s="1">
        <v>615140.9007397478</v>
      </c>
      <c r="D282" s="1">
        <f t="shared" si="4"/>
        <v>198406.97166025219</v>
      </c>
      <c r="E282" s="1">
        <v>16</v>
      </c>
      <c r="F282" s="1">
        <v>14</v>
      </c>
      <c r="G282" s="1">
        <v>5</v>
      </c>
      <c r="H282" s="1">
        <v>0</v>
      </c>
      <c r="I282" s="1">
        <v>1</v>
      </c>
      <c r="J282" s="1">
        <v>1</v>
      </c>
      <c r="K282" s="1">
        <v>0</v>
      </c>
      <c r="L282" s="1">
        <v>0</v>
      </c>
      <c r="M282" s="1">
        <v>1</v>
      </c>
    </row>
    <row r="283" spans="1:13">
      <c r="A283" s="1">
        <v>282</v>
      </c>
      <c r="B283" s="1">
        <v>894334.95889999997</v>
      </c>
      <c r="C283" s="1">
        <v>730277.70761414827</v>
      </c>
      <c r="D283" s="1">
        <f t="shared" si="4"/>
        <v>164057.2512858517</v>
      </c>
      <c r="E283" s="1">
        <v>12</v>
      </c>
      <c r="F283" s="1">
        <v>20</v>
      </c>
      <c r="G283" s="1">
        <v>3</v>
      </c>
      <c r="H283" s="1">
        <v>2</v>
      </c>
      <c r="I283" s="1">
        <v>0</v>
      </c>
      <c r="J283" s="1">
        <v>1</v>
      </c>
      <c r="K283" s="1">
        <v>0</v>
      </c>
      <c r="L283" s="1">
        <v>0</v>
      </c>
      <c r="M283" s="1">
        <v>0</v>
      </c>
    </row>
    <row r="284" spans="1:13">
      <c r="A284" s="1">
        <v>283</v>
      </c>
      <c r="B284" s="1">
        <v>957610.99950000003</v>
      </c>
      <c r="C284" s="1">
        <v>794276.49553635134</v>
      </c>
      <c r="D284" s="1">
        <f t="shared" si="4"/>
        <v>163334.50396364869</v>
      </c>
      <c r="E284" s="1">
        <v>10</v>
      </c>
      <c r="F284" s="1">
        <v>18</v>
      </c>
      <c r="G284" s="1">
        <v>7</v>
      </c>
      <c r="H284" s="1">
        <v>0</v>
      </c>
      <c r="I284" s="1">
        <v>0</v>
      </c>
      <c r="J284" s="1">
        <v>0</v>
      </c>
      <c r="K284" s="1">
        <v>2</v>
      </c>
      <c r="L284" s="1">
        <v>0</v>
      </c>
      <c r="M284" s="1">
        <v>0</v>
      </c>
    </row>
    <row r="285" spans="1:13">
      <c r="A285" s="1">
        <v>284</v>
      </c>
      <c r="B285" s="1">
        <v>931892.88540000003</v>
      </c>
      <c r="C285" s="1">
        <v>825456.43180942419</v>
      </c>
      <c r="D285" s="1">
        <f t="shared" si="4"/>
        <v>106436.45359057584</v>
      </c>
      <c r="E285" s="1">
        <v>12</v>
      </c>
      <c r="F285" s="1">
        <v>17</v>
      </c>
      <c r="G285" s="1">
        <v>6</v>
      </c>
      <c r="H285" s="1">
        <v>2</v>
      </c>
      <c r="I285" s="1">
        <v>0</v>
      </c>
      <c r="J285" s="1">
        <v>0</v>
      </c>
      <c r="K285" s="1">
        <v>0</v>
      </c>
      <c r="L285" s="1">
        <v>0</v>
      </c>
      <c r="M285" s="1">
        <v>1</v>
      </c>
    </row>
    <row r="286" spans="1:13">
      <c r="A286" s="1">
        <v>285</v>
      </c>
      <c r="B286" s="1">
        <v>978882.48149999999</v>
      </c>
      <c r="C286" s="1">
        <v>1267436.592843425</v>
      </c>
      <c r="D286" s="1">
        <f t="shared" si="4"/>
        <v>-288554.111343425</v>
      </c>
      <c r="E286" s="1">
        <v>11</v>
      </c>
      <c r="F286" s="1">
        <v>18</v>
      </c>
      <c r="G286" s="1">
        <v>6</v>
      </c>
      <c r="H286" s="1">
        <v>0</v>
      </c>
      <c r="I286" s="1">
        <v>1</v>
      </c>
      <c r="J286" s="1">
        <v>0</v>
      </c>
      <c r="K286" s="1">
        <v>1</v>
      </c>
      <c r="L286" s="1">
        <v>1</v>
      </c>
      <c r="M286" s="1">
        <v>0</v>
      </c>
    </row>
    <row r="287" spans="1:13">
      <c r="A287" s="1">
        <v>286</v>
      </c>
      <c r="B287" s="1">
        <v>877818.18740000005</v>
      </c>
      <c r="C287" s="1">
        <v>859360.85962392983</v>
      </c>
      <c r="D287" s="1">
        <f t="shared" si="4"/>
        <v>18457.327776070219</v>
      </c>
      <c r="E287" s="1">
        <v>18</v>
      </c>
      <c r="F287" s="1">
        <v>14</v>
      </c>
      <c r="G287" s="1">
        <v>3</v>
      </c>
      <c r="H287" s="1">
        <v>2</v>
      </c>
      <c r="I287" s="1">
        <v>0</v>
      </c>
      <c r="J287" s="1">
        <v>1</v>
      </c>
      <c r="K287" s="1">
        <v>1</v>
      </c>
      <c r="L287" s="1">
        <v>0</v>
      </c>
      <c r="M287" s="1">
        <v>0</v>
      </c>
    </row>
    <row r="288" spans="1:13">
      <c r="A288" s="1">
        <v>287</v>
      </c>
      <c r="B288" s="1">
        <v>955526.54169999994</v>
      </c>
      <c r="C288" s="1">
        <v>830879.13119120977</v>
      </c>
      <c r="D288" s="1">
        <f t="shared" si="4"/>
        <v>124647.41050879017</v>
      </c>
      <c r="E288" s="1">
        <v>12</v>
      </c>
      <c r="F288" s="1">
        <v>20</v>
      </c>
      <c r="G288" s="1">
        <v>3</v>
      </c>
      <c r="H288" s="1">
        <v>0</v>
      </c>
      <c r="I288" s="1">
        <v>0</v>
      </c>
      <c r="J288" s="1">
        <v>0</v>
      </c>
      <c r="K288" s="1">
        <v>1</v>
      </c>
      <c r="L288" s="1">
        <v>0</v>
      </c>
      <c r="M288" s="1">
        <v>0</v>
      </c>
    </row>
    <row r="289" spans="1:13">
      <c r="A289" s="1">
        <v>288</v>
      </c>
      <c r="B289" s="1">
        <v>880190.723</v>
      </c>
      <c r="C289" s="1">
        <v>947155.30562149512</v>
      </c>
      <c r="D289" s="1">
        <f t="shared" si="4"/>
        <v>-66964.582621495123</v>
      </c>
      <c r="E289" s="1">
        <v>5</v>
      </c>
      <c r="F289" s="1">
        <v>25</v>
      </c>
      <c r="G289" s="1">
        <v>5</v>
      </c>
      <c r="H289" s="1">
        <v>1</v>
      </c>
      <c r="I289" s="1">
        <v>0</v>
      </c>
      <c r="J289" s="1">
        <v>0</v>
      </c>
      <c r="K289" s="1">
        <v>1</v>
      </c>
      <c r="L289" s="1">
        <v>0</v>
      </c>
      <c r="M289" s="1">
        <v>0</v>
      </c>
    </row>
    <row r="290" spans="1:13">
      <c r="A290" s="1">
        <v>289</v>
      </c>
      <c r="B290" s="1">
        <v>1012906.3678</v>
      </c>
      <c r="C290" s="1">
        <v>734778.33548968274</v>
      </c>
      <c r="D290" s="1">
        <f t="shared" si="4"/>
        <v>278128.03231031727</v>
      </c>
      <c r="E290" s="1">
        <v>10</v>
      </c>
      <c r="F290" s="1">
        <v>19</v>
      </c>
      <c r="G290" s="1">
        <v>6</v>
      </c>
      <c r="H290" s="1">
        <v>0</v>
      </c>
      <c r="I290" s="1">
        <v>1</v>
      </c>
      <c r="J290" s="1">
        <v>0</v>
      </c>
      <c r="K290" s="1">
        <v>1</v>
      </c>
      <c r="L290" s="1">
        <v>0</v>
      </c>
      <c r="M290" s="1">
        <v>0</v>
      </c>
    </row>
    <row r="291" spans="1:13">
      <c r="A291" s="1">
        <v>290</v>
      </c>
      <c r="B291" s="1">
        <v>980692.21779999998</v>
      </c>
      <c r="C291" s="1">
        <v>1058988.9800107912</v>
      </c>
      <c r="D291" s="1">
        <f t="shared" si="4"/>
        <v>-78296.762210791232</v>
      </c>
      <c r="E291" s="1">
        <v>13</v>
      </c>
      <c r="F291" s="1">
        <v>15</v>
      </c>
      <c r="G291" s="1">
        <v>7</v>
      </c>
      <c r="H291" s="1">
        <v>1</v>
      </c>
      <c r="I291" s="1">
        <v>0</v>
      </c>
      <c r="J291" s="1">
        <v>2</v>
      </c>
      <c r="K291" s="1">
        <v>0</v>
      </c>
      <c r="L291" s="1">
        <v>0</v>
      </c>
      <c r="M291" s="1">
        <v>1</v>
      </c>
    </row>
    <row r="292" spans="1:13">
      <c r="A292" s="1">
        <v>291</v>
      </c>
      <c r="B292" s="1">
        <v>886335.34</v>
      </c>
      <c r="C292" s="1">
        <v>935038.64449912717</v>
      </c>
      <c r="D292" s="1">
        <f t="shared" si="4"/>
        <v>-48703.304499127204</v>
      </c>
      <c r="E292" s="1">
        <v>13</v>
      </c>
      <c r="F292" s="1">
        <v>15</v>
      </c>
      <c r="G292" s="1">
        <v>7</v>
      </c>
      <c r="H292" s="1">
        <v>0</v>
      </c>
      <c r="I292" s="1">
        <v>0</v>
      </c>
      <c r="J292" s="1">
        <v>0</v>
      </c>
      <c r="K292" s="1">
        <v>1</v>
      </c>
      <c r="L292" s="1">
        <v>1</v>
      </c>
      <c r="M292" s="1">
        <v>0</v>
      </c>
    </row>
    <row r="293" spans="1:13">
      <c r="A293" s="1">
        <v>292</v>
      </c>
      <c r="B293" s="1">
        <v>930495.41509999998</v>
      </c>
      <c r="C293" s="1">
        <v>658696.42855251872</v>
      </c>
      <c r="D293" s="1">
        <f t="shared" si="4"/>
        <v>271798.98654748127</v>
      </c>
      <c r="E293" s="1">
        <v>18</v>
      </c>
      <c r="F293" s="1">
        <v>10</v>
      </c>
      <c r="G293" s="1">
        <v>7</v>
      </c>
      <c r="H293" s="1">
        <v>2</v>
      </c>
      <c r="I293" s="1">
        <v>0</v>
      </c>
      <c r="J293" s="1">
        <v>1</v>
      </c>
      <c r="K293" s="1">
        <v>1</v>
      </c>
      <c r="L293" s="1">
        <v>0</v>
      </c>
      <c r="M293" s="1">
        <v>0</v>
      </c>
    </row>
    <row r="294" spans="1:13">
      <c r="A294" s="1">
        <v>293</v>
      </c>
      <c r="B294" s="1">
        <v>907589.65040000004</v>
      </c>
      <c r="C294" s="1">
        <v>809641.97764328192</v>
      </c>
      <c r="D294" s="1">
        <f t="shared" si="4"/>
        <v>97947.672756718122</v>
      </c>
      <c r="E294" s="1">
        <v>16</v>
      </c>
      <c r="F294" s="1">
        <v>14</v>
      </c>
      <c r="G294" s="1">
        <v>5</v>
      </c>
      <c r="H294" s="1">
        <v>0</v>
      </c>
      <c r="I294" s="1">
        <v>0</v>
      </c>
      <c r="J294" s="1">
        <v>1</v>
      </c>
      <c r="K294" s="1">
        <v>1</v>
      </c>
      <c r="L294" s="1">
        <v>0</v>
      </c>
      <c r="M294" s="1">
        <v>0</v>
      </c>
    </row>
    <row r="295" spans="1:13">
      <c r="A295" s="1">
        <v>294</v>
      </c>
      <c r="B295" s="1">
        <v>929648.57750000001</v>
      </c>
      <c r="C295" s="1">
        <v>907803.05194088898</v>
      </c>
      <c r="D295" s="1">
        <f t="shared" si="4"/>
        <v>21845.525559111033</v>
      </c>
      <c r="E295" s="1">
        <v>15</v>
      </c>
      <c r="F295" s="1">
        <v>16</v>
      </c>
      <c r="G295" s="1">
        <v>4</v>
      </c>
      <c r="H295" s="1">
        <v>2</v>
      </c>
      <c r="I295" s="1">
        <v>0</v>
      </c>
      <c r="J295" s="1">
        <v>2</v>
      </c>
      <c r="K295" s="1">
        <v>0</v>
      </c>
      <c r="L295" s="1">
        <v>0</v>
      </c>
      <c r="M295" s="1">
        <v>0</v>
      </c>
    </row>
    <row r="296" spans="1:13">
      <c r="A296" s="1">
        <v>295</v>
      </c>
      <c r="B296" s="1">
        <v>980265.11219999997</v>
      </c>
      <c r="C296" s="1">
        <v>882982.15308186924</v>
      </c>
      <c r="D296" s="1">
        <f t="shared" si="4"/>
        <v>97282.959118130733</v>
      </c>
      <c r="E296" s="1">
        <v>12</v>
      </c>
      <c r="F296" s="1">
        <v>15</v>
      </c>
      <c r="G296" s="1">
        <v>8</v>
      </c>
      <c r="H296" s="1">
        <v>0</v>
      </c>
      <c r="I296" s="1">
        <v>0</v>
      </c>
      <c r="J296" s="1">
        <v>0</v>
      </c>
      <c r="K296" s="1">
        <v>0</v>
      </c>
      <c r="L296" s="1">
        <v>0</v>
      </c>
      <c r="M296" s="1">
        <v>1</v>
      </c>
    </row>
    <row r="297" spans="1:13">
      <c r="A297" s="1">
        <v>296</v>
      </c>
      <c r="B297" s="1">
        <v>931017.88549999997</v>
      </c>
      <c r="C297" s="1">
        <v>819030.47135873232</v>
      </c>
      <c r="D297" s="1">
        <f t="shared" si="4"/>
        <v>111987.41414126765</v>
      </c>
      <c r="E297" s="1">
        <v>15</v>
      </c>
      <c r="F297" s="1">
        <v>15</v>
      </c>
      <c r="G297" s="1">
        <v>5</v>
      </c>
      <c r="H297" s="1">
        <v>1</v>
      </c>
      <c r="I297" s="1">
        <v>0</v>
      </c>
      <c r="J297" s="1">
        <v>0</v>
      </c>
      <c r="K297" s="1">
        <v>0</v>
      </c>
      <c r="L297" s="1">
        <v>0</v>
      </c>
      <c r="M297" s="1">
        <v>0</v>
      </c>
    </row>
    <row r="298" spans="1:13">
      <c r="A298" s="1">
        <v>297</v>
      </c>
      <c r="B298" s="1">
        <v>906468.13069999998</v>
      </c>
      <c r="C298" s="1">
        <v>800508.41338778799</v>
      </c>
      <c r="D298" s="1">
        <f t="shared" si="4"/>
        <v>105959.71731221199</v>
      </c>
      <c r="E298" s="1">
        <v>14</v>
      </c>
      <c r="F298" s="1">
        <v>17</v>
      </c>
      <c r="G298" s="1">
        <v>4</v>
      </c>
      <c r="H298" s="1">
        <v>0</v>
      </c>
      <c r="I298" s="1">
        <v>0</v>
      </c>
      <c r="J298" s="1">
        <v>1</v>
      </c>
      <c r="K298" s="1">
        <v>0</v>
      </c>
      <c r="L298" s="1">
        <v>0</v>
      </c>
      <c r="M298" s="1">
        <v>0</v>
      </c>
    </row>
    <row r="299" spans="1:13">
      <c r="A299" s="1">
        <v>298</v>
      </c>
      <c r="B299" s="1">
        <v>1149408.3282000001</v>
      </c>
      <c r="C299" s="1">
        <v>517182.75041811483</v>
      </c>
      <c r="D299" s="1">
        <f t="shared" si="4"/>
        <v>632225.57778188528</v>
      </c>
      <c r="E299" s="1">
        <v>4</v>
      </c>
      <c r="F299" s="1">
        <v>25</v>
      </c>
      <c r="G299" s="1">
        <v>6</v>
      </c>
      <c r="H299" s="1">
        <v>1</v>
      </c>
      <c r="I299" s="1">
        <v>0</v>
      </c>
      <c r="J299" s="1">
        <v>1</v>
      </c>
      <c r="K299" s="1">
        <v>0</v>
      </c>
      <c r="L299" s="1">
        <v>0</v>
      </c>
      <c r="M299" s="1">
        <v>0</v>
      </c>
    </row>
    <row r="300" spans="1:13">
      <c r="A300" s="1">
        <v>299</v>
      </c>
      <c r="B300" s="1">
        <v>905131.26410000003</v>
      </c>
      <c r="C300" s="1">
        <v>2675027.2088090568</v>
      </c>
      <c r="D300" s="1">
        <f t="shared" si="4"/>
        <v>-1769895.9447090568</v>
      </c>
      <c r="E300" s="1">
        <v>12</v>
      </c>
      <c r="F300" s="1">
        <v>15</v>
      </c>
      <c r="G300" s="1">
        <v>8</v>
      </c>
      <c r="H300" s="1">
        <v>1</v>
      </c>
      <c r="I300" s="1">
        <v>0</v>
      </c>
      <c r="J300" s="1">
        <v>0</v>
      </c>
      <c r="K300" s="1">
        <v>0</v>
      </c>
      <c r="L300" s="1">
        <v>0</v>
      </c>
      <c r="M300" s="1">
        <v>1</v>
      </c>
    </row>
    <row r="301" spans="1:13">
      <c r="A301" s="1">
        <v>300</v>
      </c>
      <c r="B301" s="1">
        <v>944976.02560000005</v>
      </c>
      <c r="C301" s="1">
        <v>1067580.9389818076</v>
      </c>
      <c r="D301" s="1">
        <f t="shared" si="4"/>
        <v>-122604.91338180751</v>
      </c>
      <c r="E301" s="1">
        <v>13</v>
      </c>
      <c r="F301" s="1">
        <v>14</v>
      </c>
      <c r="G301" s="1">
        <v>8</v>
      </c>
      <c r="H301" s="1">
        <v>0</v>
      </c>
      <c r="I301" s="1">
        <v>0</v>
      </c>
      <c r="J301" s="1">
        <v>0</v>
      </c>
      <c r="K301" s="1">
        <v>0</v>
      </c>
      <c r="L301" s="1">
        <v>0</v>
      </c>
      <c r="M301" s="1">
        <v>0</v>
      </c>
    </row>
    <row r="302" spans="1:13">
      <c r="A302" s="1">
        <v>301</v>
      </c>
      <c r="B302" s="1">
        <v>1086457.7635999999</v>
      </c>
      <c r="C302" s="1">
        <v>804645.85860487749</v>
      </c>
      <c r="D302" s="1">
        <f t="shared" si="4"/>
        <v>281811.90499512246</v>
      </c>
      <c r="E302" s="1">
        <v>12</v>
      </c>
      <c r="F302" s="1">
        <v>19</v>
      </c>
      <c r="G302" s="1">
        <v>4</v>
      </c>
      <c r="H302" s="1">
        <v>2</v>
      </c>
      <c r="I302" s="1">
        <v>0</v>
      </c>
      <c r="J302" s="1">
        <v>0</v>
      </c>
      <c r="K302" s="1">
        <v>0</v>
      </c>
      <c r="L302" s="1">
        <v>0</v>
      </c>
      <c r="M302" s="1">
        <v>1</v>
      </c>
    </row>
    <row r="303" spans="1:13">
      <c r="A303" s="1">
        <v>302</v>
      </c>
      <c r="B303" s="1">
        <v>978488.29650000005</v>
      </c>
      <c r="C303" s="1">
        <v>820562.32478782581</v>
      </c>
      <c r="D303" s="1">
        <f t="shared" si="4"/>
        <v>157925.97171217424</v>
      </c>
      <c r="E303" s="1">
        <v>18</v>
      </c>
      <c r="F303" s="1">
        <v>12</v>
      </c>
      <c r="G303" s="1">
        <v>5</v>
      </c>
      <c r="H303" s="1">
        <v>1</v>
      </c>
      <c r="I303" s="1">
        <v>0</v>
      </c>
      <c r="J303" s="1">
        <v>1</v>
      </c>
      <c r="K303" s="1">
        <v>1</v>
      </c>
      <c r="L303" s="1">
        <v>0</v>
      </c>
      <c r="M303" s="1">
        <v>1</v>
      </c>
    </row>
    <row r="304" spans="1:13">
      <c r="A304" s="1">
        <v>303</v>
      </c>
      <c r="B304" s="1">
        <v>880015.32799999998</v>
      </c>
      <c r="C304" s="1">
        <v>1046051.8755348746</v>
      </c>
      <c r="D304" s="1">
        <f t="shared" si="4"/>
        <v>-166036.54753487464</v>
      </c>
      <c r="E304" s="1">
        <v>22</v>
      </c>
      <c r="F304" s="1">
        <v>10</v>
      </c>
      <c r="G304" s="1">
        <v>3</v>
      </c>
      <c r="H304" s="1">
        <v>0</v>
      </c>
      <c r="I304" s="1">
        <v>0</v>
      </c>
      <c r="J304" s="1">
        <v>0</v>
      </c>
      <c r="K304" s="1">
        <v>1</v>
      </c>
      <c r="L304" s="1">
        <v>0</v>
      </c>
      <c r="M304" s="1">
        <v>0</v>
      </c>
    </row>
    <row r="305" spans="1:13">
      <c r="A305" s="1">
        <v>304</v>
      </c>
      <c r="B305" s="1">
        <v>929829.45279999997</v>
      </c>
      <c r="C305" s="1">
        <v>976788.48102088785</v>
      </c>
      <c r="D305" s="1">
        <f t="shared" si="4"/>
        <v>-46959.028220887878</v>
      </c>
      <c r="E305" s="1">
        <v>14</v>
      </c>
      <c r="F305" s="1">
        <v>16</v>
      </c>
      <c r="G305" s="1">
        <v>5</v>
      </c>
      <c r="H305" s="1">
        <v>1</v>
      </c>
      <c r="I305" s="1">
        <v>0</v>
      </c>
      <c r="J305" s="1">
        <v>0</v>
      </c>
      <c r="K305" s="1">
        <v>0</v>
      </c>
      <c r="L305" s="1">
        <v>0</v>
      </c>
      <c r="M305" s="1">
        <v>0</v>
      </c>
    </row>
    <row r="306" spans="1:13">
      <c r="A306" s="1">
        <v>305</v>
      </c>
      <c r="B306" s="1">
        <v>836488.60120000003</v>
      </c>
      <c r="C306" s="1">
        <v>1089245.0623428938</v>
      </c>
      <c r="D306" s="1">
        <f t="shared" si="4"/>
        <v>-252756.46114289376</v>
      </c>
      <c r="E306" s="1">
        <v>11</v>
      </c>
      <c r="F306" s="1">
        <v>17</v>
      </c>
      <c r="G306" s="1">
        <v>7</v>
      </c>
      <c r="H306" s="1">
        <v>1</v>
      </c>
      <c r="I306" s="1">
        <v>0</v>
      </c>
      <c r="J306" s="1">
        <v>0</v>
      </c>
      <c r="K306" s="1">
        <v>0</v>
      </c>
      <c r="L306" s="1">
        <v>1</v>
      </c>
      <c r="M306" s="1">
        <v>0</v>
      </c>
    </row>
    <row r="307" spans="1:13">
      <c r="A307" s="1">
        <v>306</v>
      </c>
      <c r="B307" s="1">
        <v>875193.52670000005</v>
      </c>
      <c r="C307" s="1">
        <v>941047.43050325383</v>
      </c>
      <c r="D307" s="1">
        <f t="shared" si="4"/>
        <v>-65853.903803253779</v>
      </c>
      <c r="E307" s="1">
        <v>17</v>
      </c>
      <c r="F307" s="1">
        <v>10</v>
      </c>
      <c r="G307" s="1">
        <v>8</v>
      </c>
      <c r="H307" s="1">
        <v>1</v>
      </c>
      <c r="I307" s="1">
        <v>0</v>
      </c>
      <c r="J307" s="1">
        <v>0</v>
      </c>
      <c r="K307" s="1">
        <v>0</v>
      </c>
      <c r="L307" s="1">
        <v>0</v>
      </c>
      <c r="M307" s="1">
        <v>0</v>
      </c>
    </row>
    <row r="308" spans="1:13">
      <c r="A308" s="1">
        <v>307</v>
      </c>
      <c r="B308" s="1">
        <v>921398.59100000001</v>
      </c>
      <c r="C308" s="1">
        <v>717919.24631220556</v>
      </c>
      <c r="D308" s="1">
        <f t="shared" si="4"/>
        <v>203479.34468779445</v>
      </c>
      <c r="E308" s="1">
        <v>5</v>
      </c>
      <c r="F308" s="1">
        <v>22</v>
      </c>
      <c r="G308" s="1">
        <v>8</v>
      </c>
      <c r="H308" s="1">
        <v>0</v>
      </c>
      <c r="I308" s="1">
        <v>0</v>
      </c>
      <c r="J308" s="1">
        <v>1</v>
      </c>
      <c r="K308" s="1">
        <v>0</v>
      </c>
      <c r="L308" s="1">
        <v>0</v>
      </c>
      <c r="M308" s="1">
        <v>0</v>
      </c>
    </row>
    <row r="309" spans="1:13">
      <c r="A309" s="1">
        <v>308</v>
      </c>
      <c r="B309" s="1">
        <v>911759.01859999995</v>
      </c>
      <c r="C309" s="1">
        <v>615032.62725997553</v>
      </c>
      <c r="D309" s="1">
        <f t="shared" si="4"/>
        <v>296726.39134002442</v>
      </c>
      <c r="E309" s="1">
        <v>10</v>
      </c>
      <c r="F309" s="1">
        <v>21</v>
      </c>
      <c r="G309" s="1">
        <v>4</v>
      </c>
      <c r="H309" s="1">
        <v>1</v>
      </c>
      <c r="I309" s="1">
        <v>0</v>
      </c>
      <c r="J309" s="1">
        <v>1</v>
      </c>
      <c r="K309" s="1">
        <v>0</v>
      </c>
      <c r="L309" s="1">
        <v>0</v>
      </c>
      <c r="M309" s="1">
        <v>1</v>
      </c>
    </row>
    <row r="310" spans="1:13">
      <c r="A310" s="1">
        <v>309</v>
      </c>
      <c r="B310" s="1">
        <v>945553.59499999997</v>
      </c>
      <c r="C310" s="1">
        <v>929651.54964804137</v>
      </c>
      <c r="D310" s="1">
        <f t="shared" si="4"/>
        <v>15902.045351958601</v>
      </c>
      <c r="E310" s="1">
        <v>16</v>
      </c>
      <c r="F310" s="1">
        <v>15</v>
      </c>
      <c r="G310" s="1">
        <v>4</v>
      </c>
      <c r="H310" s="1">
        <v>0</v>
      </c>
      <c r="I310" s="1">
        <v>0</v>
      </c>
      <c r="J310" s="1">
        <v>2</v>
      </c>
      <c r="K310" s="1">
        <v>0</v>
      </c>
      <c r="L310" s="1">
        <v>0</v>
      </c>
      <c r="M310" s="1">
        <v>1</v>
      </c>
    </row>
    <row r="311" spans="1:13">
      <c r="A311" s="1">
        <v>310</v>
      </c>
      <c r="B311" s="1">
        <v>927758.22089999996</v>
      </c>
      <c r="C311" s="1">
        <v>890212.26238331175</v>
      </c>
      <c r="D311" s="1">
        <f t="shared" si="4"/>
        <v>37545.958516688203</v>
      </c>
      <c r="E311" s="1">
        <v>6</v>
      </c>
      <c r="F311" s="1">
        <v>22</v>
      </c>
      <c r="G311" s="1">
        <v>7</v>
      </c>
      <c r="H311" s="1">
        <v>2</v>
      </c>
      <c r="I311" s="1">
        <v>0</v>
      </c>
      <c r="J311" s="1">
        <v>0</v>
      </c>
      <c r="K311" s="1">
        <v>0</v>
      </c>
      <c r="L311" s="1">
        <v>0</v>
      </c>
      <c r="M311" s="1">
        <v>0</v>
      </c>
    </row>
    <row r="312" spans="1:13">
      <c r="A312" s="1">
        <v>311</v>
      </c>
      <c r="B312" s="1">
        <v>931689.39670000004</v>
      </c>
      <c r="C312" s="1">
        <v>667702.33471899759</v>
      </c>
      <c r="D312" s="1">
        <f t="shared" si="4"/>
        <v>263987.06198100245</v>
      </c>
      <c r="E312" s="1">
        <v>16</v>
      </c>
      <c r="F312" s="1">
        <v>14</v>
      </c>
      <c r="G312" s="1">
        <v>5</v>
      </c>
      <c r="H312" s="1">
        <v>0</v>
      </c>
      <c r="I312" s="1">
        <v>0</v>
      </c>
      <c r="J312" s="1">
        <v>0</v>
      </c>
      <c r="K312" s="1">
        <v>0</v>
      </c>
      <c r="L312" s="1">
        <v>0</v>
      </c>
      <c r="M312" s="1">
        <v>0</v>
      </c>
    </row>
    <row r="313" spans="1:13">
      <c r="A313" s="1">
        <v>312</v>
      </c>
      <c r="B313" s="1">
        <v>934549.14989999996</v>
      </c>
      <c r="C313" s="1">
        <v>1041179.5747542222</v>
      </c>
      <c r="D313" s="1">
        <f t="shared" si="4"/>
        <v>-106630.42485422222</v>
      </c>
      <c r="E313" s="1">
        <v>6</v>
      </c>
      <c r="F313" s="1">
        <v>25</v>
      </c>
      <c r="G313" s="1">
        <v>4</v>
      </c>
      <c r="H313" s="1">
        <v>2</v>
      </c>
      <c r="I313" s="1">
        <v>0</v>
      </c>
      <c r="J313" s="1">
        <v>1</v>
      </c>
      <c r="K313" s="1">
        <v>0</v>
      </c>
      <c r="L313" s="1">
        <v>0</v>
      </c>
      <c r="M313" s="1">
        <v>0</v>
      </c>
    </row>
    <row r="314" spans="1:13">
      <c r="A314" s="1">
        <v>313</v>
      </c>
      <c r="B314" s="1">
        <v>962767.53049999999</v>
      </c>
      <c r="C314" s="1">
        <v>566494.90626150521</v>
      </c>
      <c r="D314" s="1">
        <f t="shared" si="4"/>
        <v>396272.62423849478</v>
      </c>
      <c r="E314" s="1">
        <v>10</v>
      </c>
      <c r="F314" s="1">
        <v>20</v>
      </c>
      <c r="G314" s="1">
        <v>5</v>
      </c>
      <c r="H314" s="1">
        <v>2</v>
      </c>
      <c r="I314" s="1">
        <v>0</v>
      </c>
      <c r="J314" s="1">
        <v>1</v>
      </c>
      <c r="K314" s="1">
        <v>1</v>
      </c>
      <c r="L314" s="1">
        <v>0</v>
      </c>
      <c r="M314" s="1">
        <v>0</v>
      </c>
    </row>
    <row r="315" spans="1:13">
      <c r="A315" s="1">
        <v>314</v>
      </c>
      <c r="B315" s="1">
        <v>936473.53249999997</v>
      </c>
      <c r="C315" s="1">
        <v>832774.89030837058</v>
      </c>
      <c r="D315" s="1">
        <f t="shared" si="4"/>
        <v>103698.64219162939</v>
      </c>
      <c r="E315" s="1">
        <v>14</v>
      </c>
      <c r="F315" s="1">
        <v>15</v>
      </c>
      <c r="G315" s="1">
        <v>6</v>
      </c>
      <c r="H315" s="1">
        <v>0</v>
      </c>
      <c r="I315" s="1">
        <v>0</v>
      </c>
      <c r="J315" s="1">
        <v>0</v>
      </c>
      <c r="K315" s="1">
        <v>0</v>
      </c>
      <c r="L315" s="1">
        <v>0</v>
      </c>
      <c r="M315" s="1">
        <v>0</v>
      </c>
    </row>
    <row r="316" spans="1:13">
      <c r="A316" s="1">
        <v>315</v>
      </c>
      <c r="B316" s="1">
        <v>971665.33970000001</v>
      </c>
      <c r="C316" s="1">
        <v>604326.95223324199</v>
      </c>
      <c r="D316" s="1">
        <f t="shared" si="4"/>
        <v>367338.38746675802</v>
      </c>
      <c r="E316" s="1">
        <v>9</v>
      </c>
      <c r="F316" s="1">
        <v>20</v>
      </c>
      <c r="G316" s="1">
        <v>6</v>
      </c>
      <c r="H316" s="1">
        <v>2</v>
      </c>
      <c r="I316" s="1">
        <v>0</v>
      </c>
      <c r="J316" s="1">
        <v>0</v>
      </c>
      <c r="K316" s="1">
        <v>2</v>
      </c>
      <c r="L316" s="1">
        <v>0</v>
      </c>
      <c r="M316" s="1">
        <v>0</v>
      </c>
    </row>
    <row r="317" spans="1:13">
      <c r="A317" s="1">
        <v>316</v>
      </c>
      <c r="B317" s="1">
        <v>935632.98160000006</v>
      </c>
      <c r="C317" s="1">
        <v>770340.08182732249</v>
      </c>
      <c r="D317" s="1">
        <f t="shared" si="4"/>
        <v>165292.89977267757</v>
      </c>
      <c r="E317" s="1">
        <v>15</v>
      </c>
      <c r="F317" s="1">
        <v>14</v>
      </c>
      <c r="G317" s="1">
        <v>6</v>
      </c>
      <c r="H317" s="1">
        <v>1</v>
      </c>
      <c r="I317" s="1">
        <v>0</v>
      </c>
      <c r="J317" s="1">
        <v>1</v>
      </c>
      <c r="K317" s="1">
        <v>1</v>
      </c>
      <c r="L317" s="1">
        <v>0</v>
      </c>
      <c r="M317" s="1">
        <v>0</v>
      </c>
    </row>
    <row r="318" spans="1:13">
      <c r="A318" s="1">
        <v>317</v>
      </c>
      <c r="B318" s="1">
        <v>829589.91200000001</v>
      </c>
      <c r="C318" s="1">
        <v>1651417.7874336189</v>
      </c>
      <c r="D318" s="1">
        <f t="shared" si="4"/>
        <v>-821827.8754336189</v>
      </c>
      <c r="E318" s="1">
        <v>17</v>
      </c>
      <c r="F318" s="1">
        <v>12</v>
      </c>
      <c r="G318" s="1">
        <v>6</v>
      </c>
      <c r="H318" s="1">
        <v>0</v>
      </c>
      <c r="I318" s="1">
        <v>1</v>
      </c>
      <c r="J318" s="1">
        <v>1</v>
      </c>
      <c r="K318" s="1">
        <v>0</v>
      </c>
      <c r="L318" s="1">
        <v>0</v>
      </c>
      <c r="M318" s="1">
        <v>0</v>
      </c>
    </row>
    <row r="319" spans="1:13">
      <c r="A319" s="1">
        <v>318</v>
      </c>
      <c r="B319" s="1">
        <v>929110.98450000002</v>
      </c>
      <c r="C319" s="1">
        <v>881771.50578765559</v>
      </c>
      <c r="D319" s="1">
        <f t="shared" si="4"/>
        <v>47339.478712344426</v>
      </c>
      <c r="E319" s="1">
        <v>10</v>
      </c>
      <c r="F319" s="1">
        <v>22</v>
      </c>
      <c r="G319" s="1">
        <v>3</v>
      </c>
      <c r="H319" s="1">
        <v>0</v>
      </c>
      <c r="I319" s="1">
        <v>0</v>
      </c>
      <c r="J319" s="1">
        <v>1</v>
      </c>
      <c r="K319" s="1">
        <v>1</v>
      </c>
      <c r="L319" s="1">
        <v>0</v>
      </c>
      <c r="M319" s="1">
        <v>0</v>
      </c>
    </row>
    <row r="320" spans="1:13">
      <c r="A320" s="1">
        <v>319</v>
      </c>
      <c r="B320" s="1">
        <v>898731.37990000006</v>
      </c>
      <c r="C320" s="1">
        <v>442227.5022597278</v>
      </c>
      <c r="D320" s="1">
        <f t="shared" si="4"/>
        <v>456503.87764027226</v>
      </c>
      <c r="E320" s="1">
        <v>13</v>
      </c>
      <c r="F320" s="1">
        <v>17</v>
      </c>
      <c r="G320" s="1">
        <v>5</v>
      </c>
      <c r="H320" s="1">
        <v>2</v>
      </c>
      <c r="I320" s="1">
        <v>0</v>
      </c>
      <c r="J320" s="1">
        <v>0</v>
      </c>
      <c r="K320" s="1">
        <v>0</v>
      </c>
      <c r="L320" s="1">
        <v>0</v>
      </c>
      <c r="M320" s="1">
        <v>0</v>
      </c>
    </row>
    <row r="321" spans="1:13">
      <c r="A321" s="1">
        <v>320</v>
      </c>
      <c r="B321" s="1">
        <v>887350.72239999997</v>
      </c>
      <c r="C321" s="1">
        <v>1143940.8755693133</v>
      </c>
      <c r="D321" s="1">
        <f t="shared" si="4"/>
        <v>-256590.15316931333</v>
      </c>
      <c r="E321" s="1">
        <v>17</v>
      </c>
      <c r="F321" s="1">
        <v>15</v>
      </c>
      <c r="G321" s="1">
        <v>3</v>
      </c>
      <c r="H321" s="1">
        <v>1</v>
      </c>
      <c r="I321" s="1">
        <v>1</v>
      </c>
      <c r="J321" s="1">
        <v>2</v>
      </c>
      <c r="K321" s="1">
        <v>0</v>
      </c>
      <c r="L321" s="1">
        <v>0</v>
      </c>
      <c r="M321" s="1">
        <v>1</v>
      </c>
    </row>
    <row r="322" spans="1:13">
      <c r="A322" s="1">
        <v>321</v>
      </c>
      <c r="B322" s="1">
        <v>1015471.2848</v>
      </c>
      <c r="C322" s="1">
        <v>1381295.7793830368</v>
      </c>
      <c r="D322" s="1">
        <f t="shared" ref="D322:D385" si="5">B322-C322</f>
        <v>-365824.49458303675</v>
      </c>
      <c r="E322" s="1">
        <v>15</v>
      </c>
      <c r="F322" s="1">
        <v>16</v>
      </c>
      <c r="G322" s="1">
        <v>4</v>
      </c>
      <c r="H322" s="1">
        <v>2</v>
      </c>
      <c r="I322" s="1">
        <v>0</v>
      </c>
      <c r="J322" s="1">
        <v>2</v>
      </c>
      <c r="K322" s="1">
        <v>0</v>
      </c>
      <c r="L322" s="1">
        <v>0</v>
      </c>
      <c r="M322" s="1">
        <v>0</v>
      </c>
    </row>
    <row r="323" spans="1:13">
      <c r="A323" s="1">
        <v>322</v>
      </c>
      <c r="B323" s="1">
        <v>1176357.3317</v>
      </c>
      <c r="C323" s="1">
        <v>665004.78415267565</v>
      </c>
      <c r="D323" s="1">
        <f t="shared" si="5"/>
        <v>511352.54754732433</v>
      </c>
      <c r="E323" s="1">
        <v>3</v>
      </c>
      <c r="F323" s="1">
        <v>24</v>
      </c>
      <c r="G323" s="1">
        <v>8</v>
      </c>
      <c r="H323" s="1">
        <v>0</v>
      </c>
      <c r="I323" s="1">
        <v>2</v>
      </c>
      <c r="J323" s="1">
        <v>1</v>
      </c>
      <c r="K323" s="1">
        <v>0</v>
      </c>
      <c r="L323" s="1">
        <v>1</v>
      </c>
      <c r="M323" s="1">
        <v>0</v>
      </c>
    </row>
    <row r="324" spans="1:13">
      <c r="A324" s="1">
        <v>323</v>
      </c>
      <c r="B324" s="1">
        <v>1087105.1041000001</v>
      </c>
      <c r="C324" s="1">
        <v>905565.06379283383</v>
      </c>
      <c r="D324" s="1">
        <f t="shared" si="5"/>
        <v>181540.04030716629</v>
      </c>
      <c r="E324" s="1">
        <v>12</v>
      </c>
      <c r="F324" s="1">
        <v>15</v>
      </c>
      <c r="G324" s="1">
        <v>8</v>
      </c>
      <c r="H324" s="1">
        <v>1</v>
      </c>
      <c r="I324" s="1">
        <v>0</v>
      </c>
      <c r="J324" s="1">
        <v>1</v>
      </c>
      <c r="K324" s="1">
        <v>1</v>
      </c>
      <c r="L324" s="1">
        <v>0</v>
      </c>
      <c r="M324" s="1">
        <v>0</v>
      </c>
    </row>
    <row r="325" spans="1:13">
      <c r="A325" s="1">
        <v>324</v>
      </c>
      <c r="B325" s="1">
        <v>883362.70330000005</v>
      </c>
      <c r="C325" s="1">
        <v>932883.19173337612</v>
      </c>
      <c r="D325" s="1">
        <f t="shared" si="5"/>
        <v>-49520.488433376071</v>
      </c>
      <c r="E325" s="1">
        <v>6</v>
      </c>
      <c r="F325" s="1">
        <v>23</v>
      </c>
      <c r="G325" s="1">
        <v>6</v>
      </c>
      <c r="H325" s="1">
        <v>1</v>
      </c>
      <c r="I325" s="1">
        <v>0</v>
      </c>
      <c r="J325" s="1">
        <v>1</v>
      </c>
      <c r="K325" s="1">
        <v>1</v>
      </c>
      <c r="L325" s="1">
        <v>0</v>
      </c>
      <c r="M325" s="1">
        <v>0</v>
      </c>
    </row>
    <row r="326" spans="1:13">
      <c r="A326" s="1">
        <v>325</v>
      </c>
      <c r="B326" s="1">
        <v>900792.20030000003</v>
      </c>
      <c r="C326" s="1">
        <v>804955.79340521339</v>
      </c>
      <c r="D326" s="1">
        <f t="shared" si="5"/>
        <v>95836.406894786633</v>
      </c>
      <c r="E326" s="1">
        <v>12</v>
      </c>
      <c r="F326" s="1">
        <v>17</v>
      </c>
      <c r="G326" s="1">
        <v>6</v>
      </c>
      <c r="H326" s="1">
        <v>0</v>
      </c>
      <c r="I326" s="1">
        <v>1</v>
      </c>
      <c r="J326" s="1">
        <v>1</v>
      </c>
      <c r="K326" s="1">
        <v>0</v>
      </c>
      <c r="L326" s="1">
        <v>0</v>
      </c>
      <c r="M326" s="1">
        <v>1</v>
      </c>
    </row>
    <row r="327" spans="1:13">
      <c r="A327" s="1">
        <v>326</v>
      </c>
      <c r="B327" s="1">
        <v>960794.67310000001</v>
      </c>
      <c r="C327" s="1">
        <v>672297.79124697542</v>
      </c>
      <c r="D327" s="1">
        <f t="shared" si="5"/>
        <v>288496.88185302459</v>
      </c>
      <c r="E327" s="1">
        <v>15</v>
      </c>
      <c r="F327" s="1">
        <v>16</v>
      </c>
      <c r="G327" s="1">
        <v>4</v>
      </c>
      <c r="H327" s="1">
        <v>0</v>
      </c>
      <c r="I327" s="1">
        <v>0</v>
      </c>
      <c r="J327" s="1">
        <v>0</v>
      </c>
      <c r="K327" s="1">
        <v>0</v>
      </c>
      <c r="L327" s="1">
        <v>0</v>
      </c>
      <c r="M327" s="1">
        <v>1</v>
      </c>
    </row>
    <row r="328" spans="1:13">
      <c r="A328" s="1">
        <v>327</v>
      </c>
      <c r="B328" s="1">
        <v>918035.10519999999</v>
      </c>
      <c r="C328" s="1">
        <v>1342622.8419729974</v>
      </c>
      <c r="D328" s="1">
        <f t="shared" si="5"/>
        <v>-424587.73677299742</v>
      </c>
      <c r="E328" s="1">
        <v>8</v>
      </c>
      <c r="F328" s="1">
        <v>20</v>
      </c>
      <c r="G328" s="1">
        <v>7</v>
      </c>
      <c r="H328" s="1">
        <v>0</v>
      </c>
      <c r="I328" s="1">
        <v>0</v>
      </c>
      <c r="J328" s="1">
        <v>0</v>
      </c>
      <c r="K328" s="1">
        <v>1</v>
      </c>
      <c r="L328" s="1">
        <v>0</v>
      </c>
      <c r="M328" s="1">
        <v>0</v>
      </c>
    </row>
    <row r="329" spans="1:13">
      <c r="A329" s="1">
        <v>328</v>
      </c>
      <c r="B329" s="1">
        <v>956086.80940000003</v>
      </c>
      <c r="C329" s="1">
        <v>801910.64984050533</v>
      </c>
      <c r="D329" s="1">
        <f t="shared" si="5"/>
        <v>154176.1595594947</v>
      </c>
      <c r="E329" s="1">
        <v>17</v>
      </c>
      <c r="F329" s="1">
        <v>13</v>
      </c>
      <c r="G329" s="1">
        <v>5</v>
      </c>
      <c r="H329" s="1">
        <v>0</v>
      </c>
      <c r="I329" s="1">
        <v>1</v>
      </c>
      <c r="J329" s="1">
        <v>0</v>
      </c>
      <c r="K329" s="1">
        <v>1</v>
      </c>
      <c r="L329" s="1">
        <v>0</v>
      </c>
      <c r="M329" s="1">
        <v>1</v>
      </c>
    </row>
    <row r="330" spans="1:13">
      <c r="A330" s="1">
        <v>329</v>
      </c>
      <c r="B330" s="1">
        <v>910849.83889999997</v>
      </c>
      <c r="C330" s="1">
        <v>822817.34382977115</v>
      </c>
      <c r="D330" s="1">
        <f t="shared" si="5"/>
        <v>88032.495070228819</v>
      </c>
      <c r="E330" s="1">
        <v>15</v>
      </c>
      <c r="F330" s="1">
        <v>15</v>
      </c>
      <c r="G330" s="1">
        <v>5</v>
      </c>
      <c r="H330" s="1">
        <v>0</v>
      </c>
      <c r="I330" s="1">
        <v>1</v>
      </c>
      <c r="J330" s="1">
        <v>1</v>
      </c>
      <c r="K330" s="1">
        <v>0</v>
      </c>
      <c r="L330" s="1">
        <v>0</v>
      </c>
      <c r="M330" s="1">
        <v>0</v>
      </c>
    </row>
    <row r="331" spans="1:13">
      <c r="A331" s="1">
        <v>330</v>
      </c>
      <c r="B331" s="1">
        <v>865552.049</v>
      </c>
      <c r="C331" s="1">
        <v>863697.24144595256</v>
      </c>
      <c r="D331" s="1">
        <f t="shared" si="5"/>
        <v>1854.8075540474383</v>
      </c>
      <c r="E331" s="1">
        <v>18</v>
      </c>
      <c r="F331" s="1">
        <v>11</v>
      </c>
      <c r="G331" s="1">
        <v>6</v>
      </c>
      <c r="H331" s="1">
        <v>1</v>
      </c>
      <c r="I331" s="1">
        <v>0</v>
      </c>
      <c r="J331" s="1">
        <v>1</v>
      </c>
      <c r="K331" s="1">
        <v>1</v>
      </c>
      <c r="L331" s="1">
        <v>0</v>
      </c>
      <c r="M331" s="1">
        <v>0</v>
      </c>
    </row>
    <row r="332" spans="1:13">
      <c r="A332" s="1">
        <v>331</v>
      </c>
      <c r="B332" s="1">
        <v>906895.95440000005</v>
      </c>
      <c r="C332" s="1">
        <v>1170057.3867415036</v>
      </c>
      <c r="D332" s="1">
        <f t="shared" si="5"/>
        <v>-263161.43234150356</v>
      </c>
      <c r="E332" s="1">
        <v>20</v>
      </c>
      <c r="F332" s="1">
        <v>10</v>
      </c>
      <c r="G332" s="1">
        <v>5</v>
      </c>
      <c r="H332" s="1">
        <v>0</v>
      </c>
      <c r="I332" s="1">
        <v>0</v>
      </c>
      <c r="J332" s="1">
        <v>0</v>
      </c>
      <c r="K332" s="1">
        <v>0</v>
      </c>
      <c r="L332" s="1">
        <v>0</v>
      </c>
      <c r="M332" s="1">
        <v>0</v>
      </c>
    </row>
    <row r="333" spans="1:13">
      <c r="A333" s="1">
        <v>332</v>
      </c>
      <c r="B333" s="1">
        <v>1025671.2708000001</v>
      </c>
      <c r="C333" s="1">
        <v>760933.81292346166</v>
      </c>
      <c r="D333" s="1">
        <f t="shared" si="5"/>
        <v>264737.45787653839</v>
      </c>
      <c r="E333" s="1">
        <v>10</v>
      </c>
      <c r="F333" s="1">
        <v>14</v>
      </c>
      <c r="G333" s="1">
        <v>11</v>
      </c>
      <c r="H333" s="1">
        <v>1</v>
      </c>
      <c r="I333" s="1">
        <v>0</v>
      </c>
      <c r="J333" s="1">
        <v>2</v>
      </c>
      <c r="K333" s="1">
        <v>0</v>
      </c>
      <c r="L333" s="1">
        <v>0</v>
      </c>
      <c r="M333" s="1">
        <v>1</v>
      </c>
    </row>
    <row r="334" spans="1:13">
      <c r="A334" s="1">
        <v>333</v>
      </c>
      <c r="B334" s="1">
        <v>1009249.018</v>
      </c>
      <c r="C334" s="1">
        <v>969780.64624712849</v>
      </c>
      <c r="D334" s="1">
        <f t="shared" si="5"/>
        <v>39468.37175287155</v>
      </c>
      <c r="E334" s="1">
        <v>10</v>
      </c>
      <c r="F334" s="1">
        <v>20</v>
      </c>
      <c r="G334" s="1">
        <v>5</v>
      </c>
      <c r="H334" s="1">
        <v>0</v>
      </c>
      <c r="I334" s="1">
        <v>0</v>
      </c>
      <c r="J334" s="1">
        <v>1</v>
      </c>
      <c r="K334" s="1">
        <v>0</v>
      </c>
      <c r="L334" s="1">
        <v>0</v>
      </c>
      <c r="M334" s="1">
        <v>0</v>
      </c>
    </row>
    <row r="335" spans="1:13">
      <c r="A335" s="1">
        <v>334</v>
      </c>
      <c r="B335" s="1">
        <v>1010275.598</v>
      </c>
      <c r="C335" s="1">
        <v>609649.78876343253</v>
      </c>
      <c r="D335" s="1">
        <f t="shared" si="5"/>
        <v>400625.80923656747</v>
      </c>
      <c r="E335" s="1">
        <v>9</v>
      </c>
      <c r="F335" s="1">
        <v>19</v>
      </c>
      <c r="G335" s="1">
        <v>7</v>
      </c>
      <c r="H335" s="1">
        <v>2</v>
      </c>
      <c r="I335" s="1">
        <v>0</v>
      </c>
      <c r="J335" s="1">
        <v>1</v>
      </c>
      <c r="K335" s="1">
        <v>0</v>
      </c>
      <c r="L335" s="1">
        <v>0</v>
      </c>
      <c r="M335" s="1">
        <v>0</v>
      </c>
    </row>
    <row r="336" spans="1:13">
      <c r="A336" s="1">
        <v>335</v>
      </c>
      <c r="B336" s="1">
        <v>918173.65289999999</v>
      </c>
      <c r="C336" s="1">
        <v>881081.75595982326</v>
      </c>
      <c r="D336" s="1">
        <f t="shared" si="5"/>
        <v>37091.896940176724</v>
      </c>
      <c r="E336" s="1">
        <v>14</v>
      </c>
      <c r="F336" s="1">
        <v>16</v>
      </c>
      <c r="G336" s="1">
        <v>5</v>
      </c>
      <c r="H336" s="1">
        <v>2</v>
      </c>
      <c r="I336" s="1">
        <v>0</v>
      </c>
      <c r="J336" s="1">
        <v>0</v>
      </c>
      <c r="K336" s="1">
        <v>1</v>
      </c>
      <c r="L336" s="1">
        <v>0</v>
      </c>
      <c r="M336" s="1">
        <v>0</v>
      </c>
    </row>
    <row r="337" spans="1:13">
      <c r="A337" s="1">
        <v>336</v>
      </c>
      <c r="B337" s="1">
        <v>1015192.7781</v>
      </c>
      <c r="C337" s="1">
        <v>1207929.2559825173</v>
      </c>
      <c r="D337" s="1">
        <f t="shared" si="5"/>
        <v>-192736.47788251727</v>
      </c>
      <c r="E337" s="1">
        <v>10</v>
      </c>
      <c r="F337" s="1">
        <v>19</v>
      </c>
      <c r="G337" s="1">
        <v>6</v>
      </c>
      <c r="H337" s="1">
        <v>2</v>
      </c>
      <c r="I337" s="1">
        <v>0</v>
      </c>
      <c r="J337" s="1">
        <v>0</v>
      </c>
      <c r="K337" s="1">
        <v>1</v>
      </c>
      <c r="L337" s="1">
        <v>0</v>
      </c>
      <c r="M337" s="1">
        <v>0</v>
      </c>
    </row>
    <row r="338" spans="1:13">
      <c r="A338" s="1">
        <v>337</v>
      </c>
      <c r="B338" s="1">
        <v>951212.29169999994</v>
      </c>
      <c r="C338" s="1">
        <v>638128.15333965723</v>
      </c>
      <c r="D338" s="1">
        <f t="shared" si="5"/>
        <v>313084.13836034271</v>
      </c>
      <c r="E338" s="1">
        <v>15</v>
      </c>
      <c r="F338" s="1">
        <v>14</v>
      </c>
      <c r="G338" s="1">
        <v>6</v>
      </c>
      <c r="H338" s="1">
        <v>1</v>
      </c>
      <c r="I338" s="1">
        <v>0</v>
      </c>
      <c r="J338" s="1">
        <v>0</v>
      </c>
      <c r="K338" s="1">
        <v>0</v>
      </c>
      <c r="L338" s="1">
        <v>0</v>
      </c>
      <c r="M338" s="1">
        <v>0</v>
      </c>
    </row>
    <row r="339" spans="1:13">
      <c r="A339" s="1">
        <v>338</v>
      </c>
      <c r="B339" s="1">
        <v>1005683.2397</v>
      </c>
      <c r="C339" s="1">
        <v>839055.49244250671</v>
      </c>
      <c r="D339" s="1">
        <f t="shared" si="5"/>
        <v>166627.74725749332</v>
      </c>
      <c r="E339" s="1">
        <v>9</v>
      </c>
      <c r="F339" s="1">
        <v>17</v>
      </c>
      <c r="G339" s="1">
        <v>9</v>
      </c>
      <c r="H339" s="1">
        <v>0</v>
      </c>
      <c r="I339" s="1">
        <v>0</v>
      </c>
      <c r="J339" s="1">
        <v>1</v>
      </c>
      <c r="K339" s="1">
        <v>1</v>
      </c>
      <c r="L339" s="1">
        <v>0</v>
      </c>
      <c r="M339" s="1">
        <v>0</v>
      </c>
    </row>
    <row r="340" spans="1:13">
      <c r="A340" s="1">
        <v>339</v>
      </c>
      <c r="B340" s="1">
        <v>901913.92209999997</v>
      </c>
      <c r="C340" s="1">
        <v>725945.32236002013</v>
      </c>
      <c r="D340" s="1">
        <f t="shared" si="5"/>
        <v>175968.59973997984</v>
      </c>
      <c r="E340" s="1">
        <v>11</v>
      </c>
      <c r="F340" s="1">
        <v>20</v>
      </c>
      <c r="G340" s="1">
        <v>4</v>
      </c>
      <c r="H340" s="1">
        <v>0</v>
      </c>
      <c r="I340" s="1">
        <v>0</v>
      </c>
      <c r="J340" s="1">
        <v>0</v>
      </c>
      <c r="K340" s="1">
        <v>2</v>
      </c>
      <c r="L340" s="1">
        <v>0</v>
      </c>
      <c r="M340" s="1">
        <v>1</v>
      </c>
    </row>
    <row r="341" spans="1:13">
      <c r="A341" s="1">
        <v>340</v>
      </c>
      <c r="B341" s="1">
        <v>936981.86080000002</v>
      </c>
      <c r="C341" s="1">
        <v>874135.77982892084</v>
      </c>
      <c r="D341" s="1">
        <f t="shared" si="5"/>
        <v>62846.08097107918</v>
      </c>
      <c r="E341" s="1">
        <v>15</v>
      </c>
      <c r="F341" s="1">
        <v>14</v>
      </c>
      <c r="G341" s="1">
        <v>6</v>
      </c>
      <c r="H341" s="1">
        <v>0</v>
      </c>
      <c r="I341" s="1">
        <v>0</v>
      </c>
      <c r="J341" s="1">
        <v>0</v>
      </c>
      <c r="K341" s="1">
        <v>0</v>
      </c>
      <c r="L341" s="1">
        <v>0</v>
      </c>
      <c r="M341" s="1">
        <v>1</v>
      </c>
    </row>
    <row r="342" spans="1:13">
      <c r="A342" s="1">
        <v>341</v>
      </c>
      <c r="B342" s="1">
        <v>1044009.4688</v>
      </c>
      <c r="C342" s="1">
        <v>738263.18620778574</v>
      </c>
      <c r="D342" s="1">
        <f t="shared" si="5"/>
        <v>305746.28259221429</v>
      </c>
      <c r="E342" s="1">
        <v>12</v>
      </c>
      <c r="F342" s="1">
        <v>17</v>
      </c>
      <c r="G342" s="1">
        <v>6</v>
      </c>
      <c r="H342" s="1">
        <v>1</v>
      </c>
      <c r="I342" s="1">
        <v>0</v>
      </c>
      <c r="J342" s="1">
        <v>0</v>
      </c>
      <c r="K342" s="1">
        <v>1</v>
      </c>
      <c r="L342" s="1">
        <v>1</v>
      </c>
      <c r="M342" s="1">
        <v>1</v>
      </c>
    </row>
    <row r="343" spans="1:13">
      <c r="A343" s="1">
        <v>342</v>
      </c>
      <c r="B343" s="1">
        <v>950612.56689999998</v>
      </c>
      <c r="C343" s="1">
        <v>857789.50402328628</v>
      </c>
      <c r="D343" s="1">
        <f t="shared" si="5"/>
        <v>92823.062876713695</v>
      </c>
      <c r="E343" s="1">
        <v>16</v>
      </c>
      <c r="F343" s="1">
        <v>15</v>
      </c>
      <c r="G343" s="1">
        <v>4</v>
      </c>
      <c r="H343" s="1">
        <v>2</v>
      </c>
      <c r="I343" s="1">
        <v>0</v>
      </c>
      <c r="J343" s="1">
        <v>1</v>
      </c>
      <c r="K343" s="1">
        <v>1</v>
      </c>
      <c r="L343" s="1">
        <v>0</v>
      </c>
      <c r="M343" s="1">
        <v>0</v>
      </c>
    </row>
    <row r="344" spans="1:13">
      <c r="A344" s="1">
        <v>343</v>
      </c>
      <c r="B344" s="1">
        <v>895919.29150000005</v>
      </c>
      <c r="C344" s="1">
        <v>632149.44644578907</v>
      </c>
      <c r="D344" s="1">
        <f t="shared" si="5"/>
        <v>263769.84505421098</v>
      </c>
      <c r="E344" s="1">
        <v>11</v>
      </c>
      <c r="F344" s="1">
        <v>20</v>
      </c>
      <c r="G344" s="1">
        <v>4</v>
      </c>
      <c r="H344" s="1">
        <v>2</v>
      </c>
      <c r="I344" s="1">
        <v>0</v>
      </c>
      <c r="J344" s="1">
        <v>0</v>
      </c>
      <c r="K344" s="1">
        <v>1</v>
      </c>
      <c r="L344" s="1">
        <v>0</v>
      </c>
      <c r="M344" s="1">
        <v>1</v>
      </c>
    </row>
    <row r="345" spans="1:13">
      <c r="A345" s="1">
        <v>344</v>
      </c>
      <c r="B345" s="1">
        <v>965526.35129999998</v>
      </c>
      <c r="C345" s="1">
        <v>1006951.9337818662</v>
      </c>
      <c r="D345" s="1">
        <f t="shared" si="5"/>
        <v>-41425.582481866237</v>
      </c>
      <c r="E345" s="1">
        <v>7</v>
      </c>
      <c r="F345" s="1">
        <v>19</v>
      </c>
      <c r="G345" s="1">
        <v>9</v>
      </c>
      <c r="H345" s="1">
        <v>1</v>
      </c>
      <c r="I345" s="1">
        <v>0</v>
      </c>
      <c r="J345" s="1">
        <v>0</v>
      </c>
      <c r="K345" s="1">
        <v>0</v>
      </c>
      <c r="L345" s="1">
        <v>0</v>
      </c>
      <c r="M345" s="1">
        <v>0</v>
      </c>
    </row>
    <row r="346" spans="1:13">
      <c r="A346" s="1">
        <v>345</v>
      </c>
      <c r="B346" s="1">
        <v>1039259.1277</v>
      </c>
      <c r="C346" s="1">
        <v>1569838.83987772</v>
      </c>
      <c r="D346" s="1">
        <f t="shared" si="5"/>
        <v>-530579.71217772004</v>
      </c>
      <c r="E346" s="1">
        <v>8</v>
      </c>
      <c r="F346" s="1">
        <v>22</v>
      </c>
      <c r="G346" s="1">
        <v>5</v>
      </c>
      <c r="H346" s="1">
        <v>1</v>
      </c>
      <c r="I346" s="1">
        <v>0</v>
      </c>
      <c r="J346" s="1">
        <v>0</v>
      </c>
      <c r="K346" s="1">
        <v>0</v>
      </c>
      <c r="L346" s="1">
        <v>0</v>
      </c>
      <c r="M346" s="1">
        <v>0</v>
      </c>
    </row>
    <row r="347" spans="1:13">
      <c r="A347" s="1">
        <v>346</v>
      </c>
      <c r="B347" s="1">
        <v>892266.59239999996</v>
      </c>
      <c r="C347" s="1">
        <v>782604.93785851018</v>
      </c>
      <c r="D347" s="1">
        <f t="shared" si="5"/>
        <v>109661.65454148978</v>
      </c>
      <c r="E347" s="1">
        <v>9</v>
      </c>
      <c r="F347" s="1">
        <v>24</v>
      </c>
      <c r="G347" s="1">
        <v>2</v>
      </c>
      <c r="H347" s="1">
        <v>1</v>
      </c>
      <c r="I347" s="1">
        <v>0</v>
      </c>
      <c r="J347" s="1">
        <v>0</v>
      </c>
      <c r="K347" s="1">
        <v>2</v>
      </c>
      <c r="L347" s="1">
        <v>0</v>
      </c>
      <c r="M347" s="1">
        <v>0</v>
      </c>
    </row>
    <row r="348" spans="1:13">
      <c r="A348" s="1">
        <v>347</v>
      </c>
      <c r="B348" s="1">
        <v>1046554.8293</v>
      </c>
      <c r="C348" s="1">
        <v>2623153.7948409384</v>
      </c>
      <c r="D348" s="1">
        <f t="shared" si="5"/>
        <v>-1576598.9655409385</v>
      </c>
      <c r="E348" s="1">
        <v>7</v>
      </c>
      <c r="F348" s="1">
        <v>22</v>
      </c>
      <c r="G348" s="1">
        <v>6</v>
      </c>
      <c r="H348" s="1">
        <v>0</v>
      </c>
      <c r="I348" s="1">
        <v>1</v>
      </c>
      <c r="J348" s="1">
        <v>1</v>
      </c>
      <c r="K348" s="1">
        <v>1</v>
      </c>
      <c r="L348" s="1">
        <v>0</v>
      </c>
      <c r="M348" s="1">
        <v>1</v>
      </c>
    </row>
    <row r="349" spans="1:13">
      <c r="A349" s="1">
        <v>348</v>
      </c>
      <c r="B349" s="1">
        <v>986697.28009999997</v>
      </c>
      <c r="C349" s="1">
        <v>906315.71127296146</v>
      </c>
      <c r="D349" s="1">
        <f t="shared" si="5"/>
        <v>80381.568827038514</v>
      </c>
      <c r="E349" s="1">
        <v>7</v>
      </c>
      <c r="F349" s="1">
        <v>22</v>
      </c>
      <c r="G349" s="1">
        <v>6</v>
      </c>
      <c r="H349" s="1">
        <v>2</v>
      </c>
      <c r="I349" s="1">
        <v>0</v>
      </c>
      <c r="J349" s="1">
        <v>0</v>
      </c>
      <c r="K349" s="1">
        <v>0</v>
      </c>
      <c r="L349" s="1">
        <v>0</v>
      </c>
      <c r="M349" s="1">
        <v>0</v>
      </c>
    </row>
    <row r="350" spans="1:13">
      <c r="A350" s="1">
        <v>349</v>
      </c>
      <c r="B350" s="1">
        <v>804662.9621</v>
      </c>
      <c r="C350" s="1">
        <v>673033.26198414585</v>
      </c>
      <c r="D350" s="1">
        <f t="shared" si="5"/>
        <v>131629.70011585415</v>
      </c>
      <c r="E350" s="1">
        <v>22</v>
      </c>
      <c r="F350" s="1">
        <v>10</v>
      </c>
      <c r="G350" s="1">
        <v>3</v>
      </c>
      <c r="H350" s="1">
        <v>2</v>
      </c>
      <c r="I350" s="1">
        <v>0</v>
      </c>
      <c r="J350" s="1">
        <v>0</v>
      </c>
      <c r="K350" s="1">
        <v>0</v>
      </c>
      <c r="L350" s="1">
        <v>0</v>
      </c>
      <c r="M350" s="1">
        <v>0</v>
      </c>
    </row>
    <row r="351" spans="1:13">
      <c r="A351" s="1">
        <v>350</v>
      </c>
      <c r="B351" s="1">
        <v>928260.22050000005</v>
      </c>
      <c r="C351" s="1">
        <v>596909.46494925499</v>
      </c>
      <c r="D351" s="1">
        <f t="shared" si="5"/>
        <v>331350.75555074506</v>
      </c>
      <c r="E351" s="1">
        <v>13</v>
      </c>
      <c r="F351" s="1">
        <v>19</v>
      </c>
      <c r="G351" s="1">
        <v>3</v>
      </c>
      <c r="H351" s="1">
        <v>0</v>
      </c>
      <c r="I351" s="1">
        <v>1</v>
      </c>
      <c r="J351" s="1">
        <v>0</v>
      </c>
      <c r="K351" s="1">
        <v>0</v>
      </c>
      <c r="L351" s="1">
        <v>0</v>
      </c>
      <c r="M351" s="1">
        <v>0</v>
      </c>
    </row>
    <row r="352" spans="1:13">
      <c r="A352" s="1">
        <v>351</v>
      </c>
      <c r="B352" s="1">
        <v>1056545.2267</v>
      </c>
      <c r="C352" s="1">
        <v>711091.69171320146</v>
      </c>
      <c r="D352" s="1">
        <f t="shared" si="5"/>
        <v>345453.53498679854</v>
      </c>
      <c r="E352" s="1">
        <v>6</v>
      </c>
      <c r="F352" s="1">
        <v>20</v>
      </c>
      <c r="G352" s="1">
        <v>9</v>
      </c>
      <c r="H352" s="1">
        <v>0</v>
      </c>
      <c r="I352" s="1">
        <v>0</v>
      </c>
      <c r="J352" s="1">
        <v>0</v>
      </c>
      <c r="K352" s="1">
        <v>0</v>
      </c>
      <c r="L352" s="1">
        <v>1</v>
      </c>
      <c r="M352" s="1">
        <v>0</v>
      </c>
    </row>
    <row r="353" spans="1:13">
      <c r="A353" s="1">
        <v>352</v>
      </c>
      <c r="B353" s="1">
        <v>913860.70039999997</v>
      </c>
      <c r="C353" s="1">
        <v>1236168.7553553577</v>
      </c>
      <c r="D353" s="1">
        <f t="shared" si="5"/>
        <v>-322308.05495535769</v>
      </c>
      <c r="E353" s="1">
        <v>11</v>
      </c>
      <c r="F353" s="1">
        <v>20</v>
      </c>
      <c r="G353" s="1">
        <v>4</v>
      </c>
      <c r="H353" s="1">
        <v>1</v>
      </c>
      <c r="I353" s="1">
        <v>0</v>
      </c>
      <c r="J353" s="1">
        <v>2</v>
      </c>
      <c r="K353" s="1">
        <v>0</v>
      </c>
      <c r="L353" s="1">
        <v>0</v>
      </c>
      <c r="M353" s="1">
        <v>0</v>
      </c>
    </row>
    <row r="354" spans="1:13">
      <c r="A354" s="1">
        <v>353</v>
      </c>
      <c r="B354" s="1">
        <v>917968.1226</v>
      </c>
      <c r="C354" s="1">
        <v>640491.65387532045</v>
      </c>
      <c r="D354" s="1">
        <f t="shared" si="5"/>
        <v>277476.46872467955</v>
      </c>
      <c r="E354" s="1">
        <v>12</v>
      </c>
      <c r="F354" s="1">
        <v>20</v>
      </c>
      <c r="G354" s="1">
        <v>3</v>
      </c>
      <c r="H354" s="1">
        <v>0</v>
      </c>
      <c r="I354" s="1">
        <v>0</v>
      </c>
      <c r="J354" s="1">
        <v>1</v>
      </c>
      <c r="K354" s="1">
        <v>1</v>
      </c>
      <c r="L354" s="1">
        <v>0</v>
      </c>
      <c r="M354" s="1">
        <v>0</v>
      </c>
    </row>
    <row r="355" spans="1:13">
      <c r="A355" s="1">
        <v>354</v>
      </c>
      <c r="B355" s="1">
        <v>900381.58660000004</v>
      </c>
      <c r="C355" s="1">
        <v>774894.90514203615</v>
      </c>
      <c r="D355" s="1">
        <f t="shared" si="5"/>
        <v>125486.68145796389</v>
      </c>
      <c r="E355" s="1">
        <v>14</v>
      </c>
      <c r="F355" s="1">
        <v>15</v>
      </c>
      <c r="G355" s="1">
        <v>6</v>
      </c>
      <c r="H355" s="1">
        <v>1</v>
      </c>
      <c r="I355" s="1">
        <v>0</v>
      </c>
      <c r="J355" s="1">
        <v>0</v>
      </c>
      <c r="K355" s="1">
        <v>2</v>
      </c>
      <c r="L355" s="1">
        <v>0</v>
      </c>
      <c r="M355" s="1">
        <v>0</v>
      </c>
    </row>
    <row r="356" spans="1:13">
      <c r="A356" s="1">
        <v>355</v>
      </c>
      <c r="B356" s="1">
        <v>1052322.4539000001</v>
      </c>
      <c r="C356" s="1">
        <v>961839.1244169916</v>
      </c>
      <c r="D356" s="1">
        <f t="shared" si="5"/>
        <v>90483.329483008478</v>
      </c>
      <c r="E356" s="1">
        <v>11</v>
      </c>
      <c r="F356" s="1">
        <v>17</v>
      </c>
      <c r="G356" s="1">
        <v>7</v>
      </c>
      <c r="H356" s="1">
        <v>2</v>
      </c>
      <c r="I356" s="1">
        <v>0</v>
      </c>
      <c r="J356" s="1">
        <v>1</v>
      </c>
      <c r="K356" s="1">
        <v>1</v>
      </c>
      <c r="L356" s="1">
        <v>0</v>
      </c>
      <c r="M356" s="1">
        <v>1</v>
      </c>
    </row>
    <row r="357" spans="1:13">
      <c r="A357" s="1">
        <v>356</v>
      </c>
      <c r="B357" s="1">
        <v>939296.22699999996</v>
      </c>
      <c r="C357" s="1">
        <v>819124.51895577402</v>
      </c>
      <c r="D357" s="1">
        <f t="shared" si="5"/>
        <v>120171.70804422593</v>
      </c>
      <c r="E357" s="1">
        <v>10</v>
      </c>
      <c r="F357" s="1">
        <v>21</v>
      </c>
      <c r="G357" s="1">
        <v>4</v>
      </c>
      <c r="H357" s="1">
        <v>1</v>
      </c>
      <c r="I357" s="1">
        <v>0</v>
      </c>
      <c r="J357" s="1">
        <v>0</v>
      </c>
      <c r="K357" s="1">
        <v>0</v>
      </c>
      <c r="L357" s="1">
        <v>1</v>
      </c>
      <c r="M357" s="1">
        <v>0</v>
      </c>
    </row>
    <row r="358" spans="1:13">
      <c r="A358" s="1">
        <v>357</v>
      </c>
      <c r="B358" s="1">
        <v>961984.09569999995</v>
      </c>
      <c r="C358" s="1">
        <v>404821.0375264975</v>
      </c>
      <c r="D358" s="1">
        <f t="shared" si="5"/>
        <v>557163.05817350245</v>
      </c>
      <c r="E358" s="1">
        <v>11</v>
      </c>
      <c r="F358" s="1">
        <v>19</v>
      </c>
      <c r="G358" s="1">
        <v>5</v>
      </c>
      <c r="H358" s="1">
        <v>0</v>
      </c>
      <c r="I358" s="1">
        <v>0</v>
      </c>
      <c r="J358" s="1">
        <v>2</v>
      </c>
      <c r="K358" s="1">
        <v>0</v>
      </c>
      <c r="L358" s="1">
        <v>0</v>
      </c>
      <c r="M358" s="1">
        <v>0</v>
      </c>
    </row>
    <row r="359" spans="1:13">
      <c r="A359" s="1">
        <v>358</v>
      </c>
      <c r="B359" s="1">
        <v>981079.91229999997</v>
      </c>
      <c r="C359" s="1">
        <v>1397204.2796285879</v>
      </c>
      <c r="D359" s="1">
        <f t="shared" si="5"/>
        <v>-416124.36732858792</v>
      </c>
      <c r="E359" s="1">
        <v>14</v>
      </c>
      <c r="F359" s="1">
        <v>19</v>
      </c>
      <c r="G359" s="1">
        <v>2</v>
      </c>
      <c r="H359" s="1">
        <v>0</v>
      </c>
      <c r="I359" s="1">
        <v>0</v>
      </c>
      <c r="J359" s="1">
        <v>1</v>
      </c>
      <c r="K359" s="1">
        <v>0</v>
      </c>
      <c r="L359" s="1">
        <v>1</v>
      </c>
      <c r="M359" s="1">
        <v>0</v>
      </c>
    </row>
    <row r="360" spans="1:13">
      <c r="A360" s="1">
        <v>359</v>
      </c>
      <c r="B360" s="1">
        <v>958084.34759999998</v>
      </c>
      <c r="C360" s="1">
        <v>808187.36522358994</v>
      </c>
      <c r="D360" s="1">
        <f t="shared" si="5"/>
        <v>149896.98237641004</v>
      </c>
      <c r="E360" s="1">
        <v>12</v>
      </c>
      <c r="F360" s="1">
        <v>20</v>
      </c>
      <c r="G360" s="1">
        <v>3</v>
      </c>
      <c r="H360" s="1">
        <v>1</v>
      </c>
      <c r="I360" s="1">
        <v>0</v>
      </c>
      <c r="J360" s="1">
        <v>0</v>
      </c>
      <c r="K360" s="1">
        <v>1</v>
      </c>
      <c r="L360" s="1">
        <v>1</v>
      </c>
      <c r="M360" s="1">
        <v>0</v>
      </c>
    </row>
    <row r="361" spans="1:13">
      <c r="A361" s="1">
        <v>360</v>
      </c>
      <c r="B361" s="1">
        <v>848969.45349999995</v>
      </c>
      <c r="C361" s="1">
        <v>964210.88252997387</v>
      </c>
      <c r="D361" s="1">
        <f t="shared" si="5"/>
        <v>-115241.42902997392</v>
      </c>
      <c r="E361" s="1">
        <v>16</v>
      </c>
      <c r="F361" s="1">
        <v>14</v>
      </c>
      <c r="G361" s="1">
        <v>5</v>
      </c>
      <c r="H361" s="1">
        <v>1</v>
      </c>
      <c r="I361" s="1">
        <v>0</v>
      </c>
      <c r="J361" s="1">
        <v>2</v>
      </c>
      <c r="K361" s="1">
        <v>0</v>
      </c>
      <c r="L361" s="1">
        <v>0</v>
      </c>
      <c r="M361" s="1">
        <v>0</v>
      </c>
    </row>
    <row r="362" spans="1:13">
      <c r="A362" s="1">
        <v>361</v>
      </c>
      <c r="B362" s="1">
        <v>849008.68200000003</v>
      </c>
      <c r="C362" s="1">
        <v>874328.20156368741</v>
      </c>
      <c r="D362" s="1">
        <f t="shared" si="5"/>
        <v>-25319.519563687383</v>
      </c>
      <c r="E362" s="1">
        <v>21</v>
      </c>
      <c r="F362" s="1">
        <v>10</v>
      </c>
      <c r="G362" s="1">
        <v>4</v>
      </c>
      <c r="H362" s="1">
        <v>2</v>
      </c>
      <c r="I362" s="1">
        <v>0</v>
      </c>
      <c r="J362" s="1">
        <v>2</v>
      </c>
      <c r="K362" s="1">
        <v>0</v>
      </c>
      <c r="L362" s="1">
        <v>0</v>
      </c>
      <c r="M362" s="1">
        <v>0</v>
      </c>
    </row>
    <row r="363" spans="1:13">
      <c r="A363" s="1">
        <v>362</v>
      </c>
      <c r="B363" s="1">
        <v>916790.7291</v>
      </c>
      <c r="C363" s="1">
        <v>615298.56148028397</v>
      </c>
      <c r="D363" s="1">
        <f t="shared" si="5"/>
        <v>301492.16761971603</v>
      </c>
      <c r="E363" s="1">
        <v>7</v>
      </c>
      <c r="F363" s="1">
        <v>23</v>
      </c>
      <c r="G363" s="1">
        <v>5</v>
      </c>
      <c r="H363" s="1">
        <v>0</v>
      </c>
      <c r="I363" s="1">
        <v>0</v>
      </c>
      <c r="J363" s="1">
        <v>0</v>
      </c>
      <c r="K363" s="1">
        <v>0</v>
      </c>
      <c r="L363" s="1">
        <v>0</v>
      </c>
      <c r="M363" s="1">
        <v>0</v>
      </c>
    </row>
    <row r="364" spans="1:13">
      <c r="A364" s="1">
        <v>363</v>
      </c>
      <c r="B364" s="1">
        <v>882568.85679999995</v>
      </c>
      <c r="C364" s="1">
        <v>639675.79162767786</v>
      </c>
      <c r="D364" s="1">
        <f t="shared" si="5"/>
        <v>242893.06517232209</v>
      </c>
      <c r="E364" s="1">
        <v>9</v>
      </c>
      <c r="F364" s="1">
        <v>17</v>
      </c>
      <c r="G364" s="1">
        <v>9</v>
      </c>
      <c r="H364" s="1">
        <v>2</v>
      </c>
      <c r="I364" s="1">
        <v>0</v>
      </c>
      <c r="J364" s="1">
        <v>0</v>
      </c>
      <c r="K364" s="1">
        <v>0</v>
      </c>
      <c r="L364" s="1">
        <v>0</v>
      </c>
      <c r="M364" s="1">
        <v>0</v>
      </c>
    </row>
    <row r="365" spans="1:13">
      <c r="A365" s="1">
        <v>364</v>
      </c>
      <c r="B365" s="1">
        <v>1012156.0341</v>
      </c>
      <c r="C365" s="1">
        <v>1247209.4856558591</v>
      </c>
      <c r="D365" s="1">
        <f t="shared" si="5"/>
        <v>-235053.45155585906</v>
      </c>
      <c r="E365" s="1">
        <v>7</v>
      </c>
      <c r="F365" s="1">
        <v>24</v>
      </c>
      <c r="G365" s="1">
        <v>4</v>
      </c>
      <c r="H365" s="1">
        <v>2</v>
      </c>
      <c r="I365" s="1">
        <v>0</v>
      </c>
      <c r="J365" s="1">
        <v>0</v>
      </c>
      <c r="K365" s="1">
        <v>1</v>
      </c>
      <c r="L365" s="1">
        <v>1</v>
      </c>
      <c r="M365" s="1">
        <v>0</v>
      </c>
    </row>
    <row r="366" spans="1:13">
      <c r="A366" s="1">
        <v>365</v>
      </c>
      <c r="B366" s="1">
        <v>912380.10259999998</v>
      </c>
      <c r="C366" s="1">
        <v>994873.28175316716</v>
      </c>
      <c r="D366" s="1">
        <f t="shared" si="5"/>
        <v>-82493.179153167177</v>
      </c>
      <c r="E366" s="1">
        <v>18</v>
      </c>
      <c r="F366" s="1">
        <v>11</v>
      </c>
      <c r="G366" s="1">
        <v>6</v>
      </c>
      <c r="H366" s="1">
        <v>1</v>
      </c>
      <c r="I366" s="1">
        <v>0</v>
      </c>
      <c r="J366" s="1">
        <v>1</v>
      </c>
      <c r="K366" s="1">
        <v>0</v>
      </c>
      <c r="L366" s="1">
        <v>0</v>
      </c>
      <c r="M366" s="1">
        <v>0</v>
      </c>
    </row>
    <row r="367" spans="1:13">
      <c r="A367" s="1">
        <v>366</v>
      </c>
      <c r="B367" s="1">
        <v>913912.39650000003</v>
      </c>
      <c r="C367" s="1">
        <v>1877245.7784539098</v>
      </c>
      <c r="D367" s="1">
        <f t="shared" si="5"/>
        <v>-963333.38195390976</v>
      </c>
      <c r="E367" s="1">
        <v>9</v>
      </c>
      <c r="F367" s="1">
        <v>19</v>
      </c>
      <c r="G367" s="1">
        <v>7</v>
      </c>
      <c r="H367" s="1">
        <v>1</v>
      </c>
      <c r="I367" s="1">
        <v>0</v>
      </c>
      <c r="J367" s="1">
        <v>0</v>
      </c>
      <c r="K367" s="1">
        <v>0</v>
      </c>
      <c r="L367" s="1">
        <v>0</v>
      </c>
      <c r="M367" s="1">
        <v>1</v>
      </c>
    </row>
    <row r="368" spans="1:13">
      <c r="A368" s="1">
        <v>367</v>
      </c>
      <c r="B368" s="1">
        <v>1000079.8703</v>
      </c>
      <c r="C368" s="1">
        <v>740722.03183367581</v>
      </c>
      <c r="D368" s="1">
        <f t="shared" si="5"/>
        <v>259357.83846632414</v>
      </c>
      <c r="E368" s="1">
        <v>13</v>
      </c>
      <c r="F368" s="1">
        <v>18</v>
      </c>
      <c r="G368" s="1">
        <v>4</v>
      </c>
      <c r="H368" s="1">
        <v>0</v>
      </c>
      <c r="I368" s="1">
        <v>0</v>
      </c>
      <c r="J368" s="1">
        <v>1</v>
      </c>
      <c r="K368" s="1">
        <v>0</v>
      </c>
      <c r="L368" s="1">
        <v>1</v>
      </c>
      <c r="M368" s="1">
        <v>0</v>
      </c>
    </row>
    <row r="369" spans="1:13">
      <c r="A369" s="1">
        <v>368</v>
      </c>
      <c r="B369" s="1">
        <v>899094.10640000005</v>
      </c>
      <c r="C369" s="1">
        <v>750957.74663215154</v>
      </c>
      <c r="D369" s="1">
        <f t="shared" si="5"/>
        <v>148136.35976784851</v>
      </c>
      <c r="E369" s="1">
        <v>12</v>
      </c>
      <c r="F369" s="1">
        <v>18</v>
      </c>
      <c r="G369" s="1">
        <v>5</v>
      </c>
      <c r="H369" s="1">
        <v>1</v>
      </c>
      <c r="I369" s="1">
        <v>0</v>
      </c>
      <c r="J369" s="1">
        <v>0</v>
      </c>
      <c r="K369" s="1">
        <v>1</v>
      </c>
      <c r="L369" s="1">
        <v>0</v>
      </c>
      <c r="M369" s="1">
        <v>0</v>
      </c>
    </row>
    <row r="370" spans="1:13">
      <c r="A370" s="1">
        <v>369</v>
      </c>
      <c r="B370" s="1">
        <v>890935.07570000004</v>
      </c>
      <c r="C370" s="1">
        <v>742025.64754444442</v>
      </c>
      <c r="D370" s="1">
        <f t="shared" si="5"/>
        <v>148909.42815555562</v>
      </c>
      <c r="E370" s="1">
        <v>17</v>
      </c>
      <c r="F370" s="1">
        <v>10</v>
      </c>
      <c r="G370" s="1">
        <v>8</v>
      </c>
      <c r="H370" s="1">
        <v>1</v>
      </c>
      <c r="I370" s="1">
        <v>0</v>
      </c>
      <c r="J370" s="1">
        <v>1</v>
      </c>
      <c r="K370" s="1">
        <v>1</v>
      </c>
      <c r="L370" s="1">
        <v>0</v>
      </c>
      <c r="M370" s="1">
        <v>0</v>
      </c>
    </row>
    <row r="371" spans="1:13">
      <c r="A371" s="1">
        <v>370</v>
      </c>
      <c r="B371" s="1">
        <v>938232.03509999998</v>
      </c>
      <c r="C371" s="1">
        <v>885103.46463021194</v>
      </c>
      <c r="D371" s="1">
        <f t="shared" si="5"/>
        <v>53128.570469788043</v>
      </c>
      <c r="E371" s="1">
        <v>12</v>
      </c>
      <c r="F371" s="1">
        <v>19</v>
      </c>
      <c r="G371" s="1">
        <v>4</v>
      </c>
      <c r="H371" s="1">
        <v>1</v>
      </c>
      <c r="I371" s="1">
        <v>1</v>
      </c>
      <c r="J371" s="1">
        <v>0</v>
      </c>
      <c r="K371" s="1">
        <v>1</v>
      </c>
      <c r="L371" s="1">
        <v>0</v>
      </c>
      <c r="M371" s="1">
        <v>0</v>
      </c>
    </row>
    <row r="372" spans="1:13">
      <c r="A372" s="1">
        <v>371</v>
      </c>
      <c r="B372" s="1">
        <v>1005828.5018</v>
      </c>
      <c r="C372" s="1">
        <v>941961.41656359006</v>
      </c>
      <c r="D372" s="1">
        <f t="shared" si="5"/>
        <v>63867.085236409912</v>
      </c>
      <c r="E372" s="1">
        <v>14</v>
      </c>
      <c r="F372" s="1">
        <v>15</v>
      </c>
      <c r="G372" s="1">
        <v>6</v>
      </c>
      <c r="H372" s="1">
        <v>0</v>
      </c>
      <c r="I372" s="1">
        <v>1</v>
      </c>
      <c r="J372" s="1">
        <v>0</v>
      </c>
      <c r="K372" s="1">
        <v>0</v>
      </c>
      <c r="L372" s="1">
        <v>0</v>
      </c>
      <c r="M372" s="1">
        <v>0</v>
      </c>
    </row>
    <row r="373" spans="1:13">
      <c r="A373" s="1">
        <v>372</v>
      </c>
      <c r="B373" s="1">
        <v>962690.37820000004</v>
      </c>
      <c r="C373" s="1">
        <v>824355.88432810234</v>
      </c>
      <c r="D373" s="1">
        <f t="shared" si="5"/>
        <v>138334.49387189769</v>
      </c>
      <c r="E373" s="1">
        <v>11</v>
      </c>
      <c r="F373" s="1">
        <v>16</v>
      </c>
      <c r="G373" s="1">
        <v>8</v>
      </c>
      <c r="H373" s="1">
        <v>1</v>
      </c>
      <c r="I373" s="1">
        <v>0</v>
      </c>
      <c r="J373" s="1">
        <v>1</v>
      </c>
      <c r="K373" s="1">
        <v>0</v>
      </c>
      <c r="L373" s="1">
        <v>1</v>
      </c>
      <c r="M373" s="1">
        <v>1</v>
      </c>
    </row>
    <row r="374" spans="1:13">
      <c r="A374" s="1">
        <v>373</v>
      </c>
      <c r="B374" s="1">
        <v>859851.22860000003</v>
      </c>
      <c r="C374" s="1">
        <v>472685.9481952301</v>
      </c>
      <c r="D374" s="1">
        <f t="shared" si="5"/>
        <v>387165.28040476993</v>
      </c>
      <c r="E374" s="1">
        <v>14</v>
      </c>
      <c r="F374" s="1">
        <v>18</v>
      </c>
      <c r="G374" s="1">
        <v>3</v>
      </c>
      <c r="H374" s="1">
        <v>0</v>
      </c>
      <c r="I374" s="1">
        <v>0</v>
      </c>
      <c r="J374" s="1">
        <v>0</v>
      </c>
      <c r="K374" s="1">
        <v>1</v>
      </c>
      <c r="L374" s="1">
        <v>0</v>
      </c>
      <c r="M374" s="1">
        <v>0</v>
      </c>
    </row>
    <row r="375" spans="1:13">
      <c r="A375" s="1">
        <v>374</v>
      </c>
      <c r="B375" s="1">
        <v>866351.04399999999</v>
      </c>
      <c r="C375" s="1">
        <v>889667.39436338388</v>
      </c>
      <c r="D375" s="1">
        <f t="shared" si="5"/>
        <v>-23316.350363383885</v>
      </c>
      <c r="E375" s="1">
        <v>4</v>
      </c>
      <c r="F375" s="1">
        <v>27</v>
      </c>
      <c r="G375" s="1">
        <v>4</v>
      </c>
      <c r="H375" s="1">
        <v>2</v>
      </c>
      <c r="I375" s="1">
        <v>0</v>
      </c>
      <c r="J375" s="1">
        <v>2</v>
      </c>
      <c r="K375" s="1">
        <v>0</v>
      </c>
      <c r="L375" s="1">
        <v>0</v>
      </c>
      <c r="M375" s="1">
        <v>0</v>
      </c>
    </row>
    <row r="376" spans="1:13">
      <c r="A376" s="1">
        <v>375</v>
      </c>
      <c r="B376" s="1">
        <v>967267.00679999997</v>
      </c>
      <c r="C376" s="1">
        <v>609237.09683892701</v>
      </c>
      <c r="D376" s="1">
        <f t="shared" si="5"/>
        <v>358029.90996107296</v>
      </c>
      <c r="E376" s="1">
        <v>9</v>
      </c>
      <c r="F376" s="1">
        <v>20</v>
      </c>
      <c r="G376" s="1">
        <v>6</v>
      </c>
      <c r="H376" s="1">
        <v>0</v>
      </c>
      <c r="I376" s="1">
        <v>0</v>
      </c>
      <c r="J376" s="1">
        <v>0</v>
      </c>
      <c r="K376" s="1">
        <v>2</v>
      </c>
      <c r="L376" s="1">
        <v>0</v>
      </c>
      <c r="M376" s="1">
        <v>0</v>
      </c>
    </row>
    <row r="377" spans="1:13">
      <c r="A377" s="1">
        <v>376</v>
      </c>
      <c r="B377" s="1">
        <v>876879.64560000005</v>
      </c>
      <c r="C377" s="1">
        <v>883293.33599250577</v>
      </c>
      <c r="D377" s="1">
        <f t="shared" si="5"/>
        <v>-6413.6903925057268</v>
      </c>
      <c r="E377" s="1">
        <v>13</v>
      </c>
      <c r="F377" s="1">
        <v>19</v>
      </c>
      <c r="G377" s="1">
        <v>3</v>
      </c>
      <c r="H377" s="1">
        <v>1</v>
      </c>
      <c r="I377" s="1">
        <v>0</v>
      </c>
      <c r="J377" s="1">
        <v>0</v>
      </c>
      <c r="K377" s="1">
        <v>0</v>
      </c>
      <c r="L377" s="1">
        <v>0</v>
      </c>
      <c r="M377" s="1">
        <v>0</v>
      </c>
    </row>
    <row r="378" spans="1:13">
      <c r="A378" s="1">
        <v>377</v>
      </c>
      <c r="B378" s="1">
        <v>939864.22389999998</v>
      </c>
      <c r="C378" s="1">
        <v>3598270.4325124961</v>
      </c>
      <c r="D378" s="1">
        <f t="shared" si="5"/>
        <v>-2658406.208612496</v>
      </c>
      <c r="E378" s="1">
        <v>6</v>
      </c>
      <c r="F378" s="1">
        <v>24</v>
      </c>
      <c r="G378" s="1">
        <v>5</v>
      </c>
      <c r="H378" s="1">
        <v>1</v>
      </c>
      <c r="I378" s="1">
        <v>0</v>
      </c>
      <c r="J378" s="1">
        <v>1</v>
      </c>
      <c r="K378" s="1">
        <v>0</v>
      </c>
      <c r="L378" s="1">
        <v>0</v>
      </c>
      <c r="M378" s="1">
        <v>1</v>
      </c>
    </row>
    <row r="379" spans="1:13">
      <c r="A379" s="1">
        <v>378</v>
      </c>
      <c r="B379" s="1">
        <v>1006308.5992000001</v>
      </c>
      <c r="C379" s="1">
        <v>798341.90214344196</v>
      </c>
      <c r="D379" s="1">
        <f t="shared" si="5"/>
        <v>207966.6970565581</v>
      </c>
      <c r="E379" s="1">
        <v>4</v>
      </c>
      <c r="F379" s="1">
        <v>25</v>
      </c>
      <c r="G379" s="1">
        <v>6</v>
      </c>
      <c r="H379" s="1">
        <v>0</v>
      </c>
      <c r="I379" s="1">
        <v>0</v>
      </c>
      <c r="J379" s="1">
        <v>0</v>
      </c>
      <c r="K379" s="1">
        <v>0</v>
      </c>
      <c r="L379" s="1">
        <v>0</v>
      </c>
      <c r="M379" s="1">
        <v>1</v>
      </c>
    </row>
    <row r="380" spans="1:13">
      <c r="A380" s="1">
        <v>379</v>
      </c>
      <c r="B380" s="1">
        <v>962946.29260000004</v>
      </c>
      <c r="C380" s="1">
        <v>714299.93993186951</v>
      </c>
      <c r="D380" s="1">
        <f t="shared" si="5"/>
        <v>248646.35266813054</v>
      </c>
      <c r="E380" s="1">
        <v>5</v>
      </c>
      <c r="F380" s="1">
        <v>27</v>
      </c>
      <c r="G380" s="1">
        <v>3</v>
      </c>
      <c r="H380" s="1">
        <v>2</v>
      </c>
      <c r="I380" s="1">
        <v>0</v>
      </c>
      <c r="J380" s="1">
        <v>0</v>
      </c>
      <c r="K380" s="1">
        <v>1</v>
      </c>
      <c r="L380" s="1">
        <v>0</v>
      </c>
      <c r="M380" s="1">
        <v>0</v>
      </c>
    </row>
    <row r="381" spans="1:13">
      <c r="A381" s="1">
        <v>380</v>
      </c>
      <c r="B381" s="1">
        <v>943697.52910000004</v>
      </c>
      <c r="C381" s="1">
        <v>778551.23027833737</v>
      </c>
      <c r="D381" s="1">
        <f t="shared" si="5"/>
        <v>165146.29882166267</v>
      </c>
      <c r="E381" s="1">
        <v>16</v>
      </c>
      <c r="F381" s="1">
        <v>15</v>
      </c>
      <c r="G381" s="1">
        <v>4</v>
      </c>
      <c r="H381" s="1">
        <v>0</v>
      </c>
      <c r="I381" s="1">
        <v>0</v>
      </c>
      <c r="J381" s="1">
        <v>1</v>
      </c>
      <c r="K381" s="1">
        <v>1</v>
      </c>
      <c r="L381" s="1">
        <v>0</v>
      </c>
      <c r="M381" s="1">
        <v>0</v>
      </c>
    </row>
    <row r="382" spans="1:13">
      <c r="A382" s="1">
        <v>381</v>
      </c>
      <c r="B382" s="1">
        <v>887905.99930000002</v>
      </c>
      <c r="C382" s="1">
        <v>895494.28441060544</v>
      </c>
      <c r="D382" s="1">
        <f t="shared" si="5"/>
        <v>-7588.285110605415</v>
      </c>
      <c r="E382" s="1">
        <v>16</v>
      </c>
      <c r="F382" s="1">
        <v>12</v>
      </c>
      <c r="G382" s="1">
        <v>7</v>
      </c>
      <c r="H382" s="1">
        <v>2</v>
      </c>
      <c r="I382" s="1">
        <v>0</v>
      </c>
      <c r="J382" s="1">
        <v>1</v>
      </c>
      <c r="K382" s="1">
        <v>1</v>
      </c>
      <c r="L382" s="1">
        <v>0</v>
      </c>
      <c r="M382" s="1">
        <v>0</v>
      </c>
    </row>
    <row r="383" spans="1:13">
      <c r="A383" s="1">
        <v>382</v>
      </c>
      <c r="B383" s="1">
        <v>961952.13340000005</v>
      </c>
      <c r="C383" s="1">
        <v>1157920.7105695708</v>
      </c>
      <c r="D383" s="1">
        <f t="shared" si="5"/>
        <v>-195968.57716957072</v>
      </c>
      <c r="E383" s="1">
        <v>9</v>
      </c>
      <c r="F383" s="1">
        <v>23</v>
      </c>
      <c r="G383" s="1">
        <v>3</v>
      </c>
      <c r="H383" s="1">
        <v>2</v>
      </c>
      <c r="I383" s="1">
        <v>0</v>
      </c>
      <c r="J383" s="1">
        <v>0</v>
      </c>
      <c r="K383" s="1">
        <v>2</v>
      </c>
      <c r="L383" s="1">
        <v>0</v>
      </c>
      <c r="M383" s="1">
        <v>0</v>
      </c>
    </row>
    <row r="384" spans="1:13">
      <c r="A384" s="1">
        <v>383</v>
      </c>
      <c r="B384" s="1">
        <v>1055953.4040000001</v>
      </c>
      <c r="C384" s="1">
        <v>958047.1888178431</v>
      </c>
      <c r="D384" s="1">
        <f t="shared" si="5"/>
        <v>97906.215182157001</v>
      </c>
      <c r="E384" s="1">
        <v>7</v>
      </c>
      <c r="F384" s="1">
        <v>21</v>
      </c>
      <c r="G384" s="1">
        <v>7</v>
      </c>
      <c r="H384" s="1">
        <v>1</v>
      </c>
      <c r="I384" s="1">
        <v>0</v>
      </c>
      <c r="J384" s="1">
        <v>1</v>
      </c>
      <c r="K384" s="1">
        <v>0</v>
      </c>
      <c r="L384" s="1">
        <v>1</v>
      </c>
      <c r="M384" s="1">
        <v>0</v>
      </c>
    </row>
    <row r="385" spans="1:13">
      <c r="A385" s="1">
        <v>384</v>
      </c>
      <c r="B385" s="1">
        <v>927700.43940000003</v>
      </c>
      <c r="C385" s="1">
        <v>1768723.2547958405</v>
      </c>
      <c r="D385" s="1">
        <f t="shared" si="5"/>
        <v>-841022.81539584044</v>
      </c>
      <c r="E385" s="1">
        <v>13</v>
      </c>
      <c r="F385" s="1">
        <v>16</v>
      </c>
      <c r="G385" s="1">
        <v>6</v>
      </c>
      <c r="H385" s="1">
        <v>1</v>
      </c>
      <c r="I385" s="1">
        <v>0</v>
      </c>
      <c r="J385" s="1">
        <v>1</v>
      </c>
      <c r="K385" s="1">
        <v>0</v>
      </c>
      <c r="L385" s="1">
        <v>0</v>
      </c>
      <c r="M385" s="1">
        <v>1</v>
      </c>
    </row>
    <row r="386" spans="1:13">
      <c r="A386" s="1">
        <v>385</v>
      </c>
      <c r="B386" s="1">
        <v>886870.25069999998</v>
      </c>
      <c r="C386" s="1">
        <v>736027.8456801651</v>
      </c>
      <c r="D386" s="1">
        <f t="shared" ref="D386:D449" si="6">B386-C386</f>
        <v>150842.40501983487</v>
      </c>
      <c r="E386" s="1">
        <v>22</v>
      </c>
      <c r="F386" s="1">
        <v>10</v>
      </c>
      <c r="G386" s="1">
        <v>3</v>
      </c>
      <c r="H386" s="1">
        <v>2</v>
      </c>
      <c r="I386" s="1">
        <v>0</v>
      </c>
      <c r="J386" s="1">
        <v>2</v>
      </c>
      <c r="K386" s="1">
        <v>0</v>
      </c>
      <c r="L386" s="1">
        <v>0</v>
      </c>
      <c r="M386" s="1">
        <v>0</v>
      </c>
    </row>
    <row r="387" spans="1:13">
      <c r="A387" s="1">
        <v>386</v>
      </c>
      <c r="B387" s="1">
        <v>915458.47530000005</v>
      </c>
      <c r="C387" s="1">
        <v>813820.99289571762</v>
      </c>
      <c r="D387" s="1">
        <f t="shared" si="6"/>
        <v>101637.48240428243</v>
      </c>
      <c r="E387" s="1">
        <v>15</v>
      </c>
      <c r="F387" s="1">
        <v>14</v>
      </c>
      <c r="G387" s="1">
        <v>6</v>
      </c>
      <c r="H387" s="1">
        <v>1</v>
      </c>
      <c r="I387" s="1">
        <v>0</v>
      </c>
      <c r="J387" s="1">
        <v>0</v>
      </c>
      <c r="K387" s="1">
        <v>1</v>
      </c>
      <c r="L387" s="1">
        <v>1</v>
      </c>
      <c r="M387" s="1">
        <v>0</v>
      </c>
    </row>
    <row r="388" spans="1:13">
      <c r="A388" s="1">
        <v>387</v>
      </c>
      <c r="B388" s="1">
        <v>909736.69530000002</v>
      </c>
      <c r="C388" s="1">
        <v>812969.37400575296</v>
      </c>
      <c r="D388" s="1">
        <f t="shared" si="6"/>
        <v>96767.321294247056</v>
      </c>
      <c r="E388" s="1">
        <v>9</v>
      </c>
      <c r="F388" s="1">
        <v>21</v>
      </c>
      <c r="G388" s="1">
        <v>5</v>
      </c>
      <c r="H388" s="1">
        <v>1</v>
      </c>
      <c r="I388" s="1">
        <v>0</v>
      </c>
      <c r="J388" s="1">
        <v>0</v>
      </c>
      <c r="K388" s="1">
        <v>1</v>
      </c>
      <c r="L388" s="1">
        <v>0</v>
      </c>
      <c r="M388" s="1">
        <v>0</v>
      </c>
    </row>
    <row r="389" spans="1:13">
      <c r="A389" s="1">
        <v>388</v>
      </c>
      <c r="B389" s="1">
        <v>897832.07169999997</v>
      </c>
      <c r="C389" s="1">
        <v>660083.45590823551</v>
      </c>
      <c r="D389" s="1">
        <f t="shared" si="6"/>
        <v>237748.61579176446</v>
      </c>
      <c r="E389" s="1">
        <v>11</v>
      </c>
      <c r="F389" s="1">
        <v>18</v>
      </c>
      <c r="G389" s="1">
        <v>6</v>
      </c>
      <c r="H389" s="1">
        <v>0</v>
      </c>
      <c r="I389" s="1">
        <v>0</v>
      </c>
      <c r="J389" s="1">
        <v>1</v>
      </c>
      <c r="K389" s="1">
        <v>1</v>
      </c>
      <c r="L389" s="1">
        <v>0</v>
      </c>
      <c r="M389" s="1">
        <v>1</v>
      </c>
    </row>
    <row r="390" spans="1:13">
      <c r="A390" s="1">
        <v>389</v>
      </c>
      <c r="B390" s="1">
        <v>915568.60459999996</v>
      </c>
      <c r="C390" s="1">
        <v>760384.39991804631</v>
      </c>
      <c r="D390" s="1">
        <f t="shared" si="6"/>
        <v>155184.20468195365</v>
      </c>
      <c r="E390" s="1">
        <v>12</v>
      </c>
      <c r="F390" s="1">
        <v>19</v>
      </c>
      <c r="G390" s="1">
        <v>4</v>
      </c>
      <c r="H390" s="1">
        <v>1</v>
      </c>
      <c r="I390" s="1">
        <v>0</v>
      </c>
      <c r="J390" s="1">
        <v>1</v>
      </c>
      <c r="K390" s="1">
        <v>0</v>
      </c>
      <c r="L390" s="1">
        <v>0</v>
      </c>
      <c r="M390" s="1">
        <v>1</v>
      </c>
    </row>
    <row r="391" spans="1:13">
      <c r="A391" s="1">
        <v>390</v>
      </c>
      <c r="B391" s="1">
        <v>974218.47779999999</v>
      </c>
      <c r="C391" s="1">
        <v>1167788.9205641532</v>
      </c>
      <c r="D391" s="1">
        <f t="shared" si="6"/>
        <v>-193570.44276415324</v>
      </c>
      <c r="E391" s="1">
        <v>14</v>
      </c>
      <c r="F391" s="1">
        <v>16</v>
      </c>
      <c r="G391" s="1">
        <v>5</v>
      </c>
      <c r="H391" s="1">
        <v>0</v>
      </c>
      <c r="I391" s="1">
        <v>1</v>
      </c>
      <c r="J391" s="1">
        <v>1</v>
      </c>
      <c r="K391" s="1">
        <v>1</v>
      </c>
      <c r="L391" s="1">
        <v>0</v>
      </c>
      <c r="M391" s="1">
        <v>1</v>
      </c>
    </row>
    <row r="392" spans="1:13">
      <c r="A392" s="1">
        <v>391</v>
      </c>
      <c r="B392" s="1">
        <v>1015952.5518</v>
      </c>
      <c r="C392" s="1">
        <v>1245770.6408669194</v>
      </c>
      <c r="D392" s="1">
        <f t="shared" si="6"/>
        <v>-229818.08906691941</v>
      </c>
      <c r="E392" s="1">
        <v>11</v>
      </c>
      <c r="F392" s="1">
        <v>20</v>
      </c>
      <c r="G392" s="1">
        <v>4</v>
      </c>
      <c r="H392" s="1">
        <v>1</v>
      </c>
      <c r="I392" s="1">
        <v>0</v>
      </c>
      <c r="J392" s="1">
        <v>0</v>
      </c>
      <c r="K392" s="1">
        <v>2</v>
      </c>
      <c r="L392" s="1">
        <v>0</v>
      </c>
      <c r="M392" s="1">
        <v>0</v>
      </c>
    </row>
    <row r="393" spans="1:13">
      <c r="A393" s="1">
        <v>392</v>
      </c>
      <c r="B393" s="1">
        <v>868293.88419999997</v>
      </c>
      <c r="C393" s="1">
        <v>942703.93621972168</v>
      </c>
      <c r="D393" s="1">
        <f t="shared" si="6"/>
        <v>-74410.052019721712</v>
      </c>
      <c r="E393" s="1">
        <v>16</v>
      </c>
      <c r="F393" s="1">
        <v>16</v>
      </c>
      <c r="G393" s="1">
        <v>3</v>
      </c>
      <c r="H393" s="1">
        <v>1</v>
      </c>
      <c r="I393" s="1">
        <v>1</v>
      </c>
      <c r="J393" s="1">
        <v>1</v>
      </c>
      <c r="K393" s="1">
        <v>1</v>
      </c>
      <c r="L393" s="1">
        <v>0</v>
      </c>
      <c r="M393" s="1">
        <v>0</v>
      </c>
    </row>
    <row r="394" spans="1:13">
      <c r="A394" s="1">
        <v>393</v>
      </c>
      <c r="B394" s="1">
        <v>1105470.9661000001</v>
      </c>
      <c r="C394" s="1">
        <v>1901989.3072461248</v>
      </c>
      <c r="D394" s="1">
        <f t="shared" si="6"/>
        <v>-796518.34114612476</v>
      </c>
      <c r="E394" s="1">
        <v>9</v>
      </c>
      <c r="F394" s="1">
        <v>19</v>
      </c>
      <c r="G394" s="1">
        <v>7</v>
      </c>
      <c r="H394" s="1">
        <v>0</v>
      </c>
      <c r="I394" s="1">
        <v>2</v>
      </c>
      <c r="J394" s="1">
        <v>2</v>
      </c>
      <c r="K394" s="1">
        <v>0</v>
      </c>
      <c r="L394" s="1">
        <v>0</v>
      </c>
      <c r="M394" s="1">
        <v>0</v>
      </c>
    </row>
    <row r="395" spans="1:13">
      <c r="A395" s="1">
        <v>394</v>
      </c>
      <c r="B395" s="1">
        <v>1022023.6204</v>
      </c>
      <c r="C395" s="1">
        <v>656354.3520614109</v>
      </c>
      <c r="D395" s="1">
        <f t="shared" si="6"/>
        <v>365669.26833858911</v>
      </c>
      <c r="E395" s="1">
        <v>9</v>
      </c>
      <c r="F395" s="1">
        <v>21</v>
      </c>
      <c r="G395" s="1">
        <v>5</v>
      </c>
      <c r="H395" s="1">
        <v>2</v>
      </c>
      <c r="I395" s="1">
        <v>0</v>
      </c>
      <c r="J395" s="1">
        <v>0</v>
      </c>
      <c r="K395" s="1">
        <v>0</v>
      </c>
      <c r="L395" s="1">
        <v>0</v>
      </c>
      <c r="M395" s="1">
        <v>0</v>
      </c>
    </row>
    <row r="396" spans="1:13">
      <c r="A396" s="1">
        <v>395</v>
      </c>
      <c r="B396" s="1">
        <v>975125.22719999996</v>
      </c>
      <c r="C396" s="1">
        <v>681306.32827045361</v>
      </c>
      <c r="D396" s="1">
        <f t="shared" si="6"/>
        <v>293818.89892954635</v>
      </c>
      <c r="E396" s="1">
        <v>13</v>
      </c>
      <c r="F396" s="1">
        <v>19</v>
      </c>
      <c r="G396" s="1">
        <v>3</v>
      </c>
      <c r="H396" s="1">
        <v>2</v>
      </c>
      <c r="I396" s="1">
        <v>0</v>
      </c>
      <c r="J396" s="1">
        <v>0</v>
      </c>
      <c r="K396" s="1">
        <v>0</v>
      </c>
      <c r="L396" s="1">
        <v>0</v>
      </c>
      <c r="M396" s="1">
        <v>0</v>
      </c>
    </row>
    <row r="397" spans="1:13">
      <c r="A397" s="1">
        <v>396</v>
      </c>
      <c r="B397" s="1">
        <v>946832.5625</v>
      </c>
      <c r="C397" s="1">
        <v>1449245.7032551495</v>
      </c>
      <c r="D397" s="1">
        <f t="shared" si="6"/>
        <v>-502413.14075514954</v>
      </c>
      <c r="E397" s="1">
        <v>11</v>
      </c>
      <c r="F397" s="1">
        <v>22</v>
      </c>
      <c r="G397" s="1">
        <v>2</v>
      </c>
      <c r="H397" s="1">
        <v>0</v>
      </c>
      <c r="I397" s="1">
        <v>0</v>
      </c>
      <c r="J397" s="1">
        <v>0</v>
      </c>
      <c r="K397" s="1">
        <v>0</v>
      </c>
      <c r="L397" s="1">
        <v>0</v>
      </c>
      <c r="M397" s="1">
        <v>0</v>
      </c>
    </row>
    <row r="398" spans="1:13">
      <c r="A398" s="1">
        <v>397</v>
      </c>
      <c r="B398" s="1">
        <v>819620.02960000001</v>
      </c>
      <c r="C398" s="1">
        <v>763503.70708665275</v>
      </c>
      <c r="D398" s="1">
        <f t="shared" si="6"/>
        <v>56116.322513347259</v>
      </c>
      <c r="E398" s="1">
        <v>21</v>
      </c>
      <c r="F398" s="1">
        <v>10</v>
      </c>
      <c r="G398" s="1">
        <v>4</v>
      </c>
      <c r="H398" s="1">
        <v>1</v>
      </c>
      <c r="I398" s="1">
        <v>0</v>
      </c>
      <c r="J398" s="1">
        <v>0</v>
      </c>
      <c r="K398" s="1">
        <v>1</v>
      </c>
      <c r="L398" s="1">
        <v>0</v>
      </c>
      <c r="M398" s="1">
        <v>1</v>
      </c>
    </row>
    <row r="399" spans="1:13">
      <c r="A399" s="1">
        <v>398</v>
      </c>
      <c r="B399" s="1">
        <v>988826.23190000001</v>
      </c>
      <c r="C399" s="1">
        <v>694440.27649131906</v>
      </c>
      <c r="D399" s="1">
        <f t="shared" si="6"/>
        <v>294385.95540868095</v>
      </c>
      <c r="E399" s="1">
        <v>17</v>
      </c>
      <c r="F399" s="1">
        <v>15</v>
      </c>
      <c r="G399" s="1">
        <v>3</v>
      </c>
      <c r="H399" s="1">
        <v>2</v>
      </c>
      <c r="I399" s="1">
        <v>0</v>
      </c>
      <c r="J399" s="1">
        <v>0</v>
      </c>
      <c r="K399" s="1">
        <v>0</v>
      </c>
      <c r="L399" s="1">
        <v>0</v>
      </c>
      <c r="M399" s="1">
        <v>0</v>
      </c>
    </row>
    <row r="400" spans="1:13">
      <c r="A400" s="1">
        <v>399</v>
      </c>
      <c r="B400" s="1">
        <v>913266.26060000004</v>
      </c>
      <c r="C400" s="1">
        <v>588969.05235260644</v>
      </c>
      <c r="D400" s="1">
        <f t="shared" si="6"/>
        <v>324297.2082473936</v>
      </c>
      <c r="E400" s="1">
        <v>14</v>
      </c>
      <c r="F400" s="1">
        <v>20</v>
      </c>
      <c r="G400" s="1">
        <v>1</v>
      </c>
      <c r="H400" s="1">
        <v>1</v>
      </c>
      <c r="I400" s="1">
        <v>0</v>
      </c>
      <c r="J400" s="1">
        <v>0</v>
      </c>
      <c r="K400" s="1">
        <v>0</v>
      </c>
      <c r="L400" s="1">
        <v>0</v>
      </c>
      <c r="M400" s="1">
        <v>0</v>
      </c>
    </row>
    <row r="401" spans="1:13">
      <c r="A401" s="1">
        <v>400</v>
      </c>
      <c r="B401" s="1">
        <v>1014558.7876</v>
      </c>
      <c r="C401" s="1">
        <v>699429.75250483339</v>
      </c>
      <c r="D401" s="1">
        <f t="shared" si="6"/>
        <v>315129.03509516665</v>
      </c>
      <c r="E401" s="1">
        <v>9</v>
      </c>
      <c r="F401" s="1">
        <v>20</v>
      </c>
      <c r="G401" s="1">
        <v>6</v>
      </c>
      <c r="H401" s="1">
        <v>1</v>
      </c>
      <c r="I401" s="1">
        <v>1</v>
      </c>
      <c r="J401" s="1">
        <v>0</v>
      </c>
      <c r="K401" s="1">
        <v>0</v>
      </c>
      <c r="L401" s="1">
        <v>0</v>
      </c>
      <c r="M401" s="1">
        <v>0</v>
      </c>
    </row>
    <row r="402" spans="1:13">
      <c r="A402" s="1">
        <v>401</v>
      </c>
      <c r="B402" s="1">
        <v>932214.84959999996</v>
      </c>
      <c r="C402" s="1">
        <v>702112.25640450709</v>
      </c>
      <c r="D402" s="1">
        <f t="shared" si="6"/>
        <v>230102.59319549287</v>
      </c>
      <c r="E402" s="1">
        <v>19</v>
      </c>
      <c r="F402" s="1">
        <v>12</v>
      </c>
      <c r="G402" s="1">
        <v>4</v>
      </c>
      <c r="H402" s="1">
        <v>0</v>
      </c>
      <c r="I402" s="1">
        <v>0</v>
      </c>
      <c r="J402" s="1">
        <v>1</v>
      </c>
      <c r="K402" s="1">
        <v>1</v>
      </c>
      <c r="L402" s="1">
        <v>0</v>
      </c>
      <c r="M402" s="1">
        <v>1</v>
      </c>
    </row>
    <row r="403" spans="1:13">
      <c r="A403" s="1">
        <v>402</v>
      </c>
      <c r="B403" s="1">
        <v>941916.3321</v>
      </c>
      <c r="C403" s="1">
        <v>880185.21983828105</v>
      </c>
      <c r="D403" s="1">
        <f t="shared" si="6"/>
        <v>61731.112261718954</v>
      </c>
      <c r="E403" s="1">
        <v>6</v>
      </c>
      <c r="F403" s="1">
        <v>24</v>
      </c>
      <c r="G403" s="1">
        <v>5</v>
      </c>
      <c r="H403" s="1">
        <v>0</v>
      </c>
      <c r="I403" s="1">
        <v>0</v>
      </c>
      <c r="J403" s="1">
        <v>1</v>
      </c>
      <c r="K403" s="1">
        <v>1</v>
      </c>
      <c r="L403" s="1">
        <v>0</v>
      </c>
      <c r="M403" s="1">
        <v>0</v>
      </c>
    </row>
    <row r="404" spans="1:13">
      <c r="A404" s="1">
        <v>403</v>
      </c>
      <c r="B404" s="1">
        <v>793442.94050000003</v>
      </c>
      <c r="C404" s="1">
        <v>1018066.0568624245</v>
      </c>
      <c r="D404" s="1">
        <f t="shared" si="6"/>
        <v>-224623.11636242445</v>
      </c>
      <c r="E404" s="1">
        <v>19</v>
      </c>
      <c r="F404" s="1">
        <v>13</v>
      </c>
      <c r="G404" s="1">
        <v>3</v>
      </c>
      <c r="H404" s="1">
        <v>0</v>
      </c>
      <c r="I404" s="1">
        <v>0</v>
      </c>
      <c r="J404" s="1">
        <v>0</v>
      </c>
      <c r="K404" s="1">
        <v>1</v>
      </c>
      <c r="L404" s="1">
        <v>0</v>
      </c>
      <c r="M404" s="1">
        <v>0</v>
      </c>
    </row>
    <row r="405" spans="1:13">
      <c r="A405" s="1">
        <v>404</v>
      </c>
      <c r="B405" s="1">
        <v>842572.78020000004</v>
      </c>
      <c r="C405" s="1">
        <v>502341.66755272984</v>
      </c>
      <c r="D405" s="1">
        <f t="shared" si="6"/>
        <v>340231.1126472702</v>
      </c>
      <c r="E405" s="1">
        <v>15</v>
      </c>
      <c r="F405" s="1">
        <v>14</v>
      </c>
      <c r="G405" s="1">
        <v>6</v>
      </c>
      <c r="H405" s="1">
        <v>1</v>
      </c>
      <c r="I405" s="1">
        <v>0</v>
      </c>
      <c r="J405" s="1">
        <v>1</v>
      </c>
      <c r="K405" s="1">
        <v>1</v>
      </c>
      <c r="L405" s="1">
        <v>0</v>
      </c>
      <c r="M405" s="1">
        <v>0</v>
      </c>
    </row>
    <row r="406" spans="1:13">
      <c r="A406" s="1">
        <v>405</v>
      </c>
      <c r="B406" s="1">
        <v>901921.23239999998</v>
      </c>
      <c r="C406" s="1">
        <v>743798.94594885153</v>
      </c>
      <c r="D406" s="1">
        <f t="shared" si="6"/>
        <v>158122.28645114845</v>
      </c>
      <c r="E406" s="1">
        <v>19</v>
      </c>
      <c r="F406" s="1">
        <v>13</v>
      </c>
      <c r="G406" s="1">
        <v>3</v>
      </c>
      <c r="H406" s="1">
        <v>1</v>
      </c>
      <c r="I406" s="1">
        <v>0</v>
      </c>
      <c r="J406" s="1">
        <v>0</v>
      </c>
      <c r="K406" s="1">
        <v>1</v>
      </c>
      <c r="L406" s="1">
        <v>1</v>
      </c>
      <c r="M406" s="1">
        <v>0</v>
      </c>
    </row>
    <row r="407" spans="1:13">
      <c r="A407" s="1">
        <v>406</v>
      </c>
      <c r="B407" s="1">
        <v>959644.26859999995</v>
      </c>
      <c r="C407" s="1">
        <v>649279.70640368573</v>
      </c>
      <c r="D407" s="1">
        <f t="shared" si="6"/>
        <v>310364.56219631422</v>
      </c>
      <c r="E407" s="1">
        <v>13</v>
      </c>
      <c r="F407" s="1">
        <v>15</v>
      </c>
      <c r="G407" s="1">
        <v>7</v>
      </c>
      <c r="H407" s="1">
        <v>0</v>
      </c>
      <c r="I407" s="1">
        <v>0</v>
      </c>
      <c r="J407" s="1">
        <v>0</v>
      </c>
      <c r="K407" s="1">
        <v>2</v>
      </c>
      <c r="L407" s="1">
        <v>0</v>
      </c>
      <c r="M407" s="1">
        <v>1</v>
      </c>
    </row>
    <row r="408" spans="1:13">
      <c r="A408" s="1">
        <v>407</v>
      </c>
      <c r="B408" s="1">
        <v>899119.48089999997</v>
      </c>
      <c r="C408" s="1">
        <v>736690.31885850464</v>
      </c>
      <c r="D408" s="1">
        <f t="shared" si="6"/>
        <v>162429.16204149532</v>
      </c>
      <c r="E408" s="1">
        <v>16</v>
      </c>
      <c r="F408" s="1">
        <v>13</v>
      </c>
      <c r="G408" s="1">
        <v>6</v>
      </c>
      <c r="H408" s="1">
        <v>2</v>
      </c>
      <c r="I408" s="1">
        <v>0</v>
      </c>
      <c r="J408" s="1">
        <v>1</v>
      </c>
      <c r="K408" s="1">
        <v>1</v>
      </c>
      <c r="L408" s="1">
        <v>0</v>
      </c>
      <c r="M408" s="1">
        <v>0</v>
      </c>
    </row>
    <row r="409" spans="1:13">
      <c r="A409" s="1">
        <v>408</v>
      </c>
      <c r="B409" s="1">
        <v>879506.24540000001</v>
      </c>
      <c r="C409" s="1">
        <v>632888.20348386571</v>
      </c>
      <c r="D409" s="1">
        <f t="shared" si="6"/>
        <v>246618.0419161343</v>
      </c>
      <c r="E409" s="1">
        <v>14</v>
      </c>
      <c r="F409" s="1">
        <v>15</v>
      </c>
      <c r="G409" s="1">
        <v>6</v>
      </c>
      <c r="H409" s="1">
        <v>1</v>
      </c>
      <c r="I409" s="1">
        <v>0</v>
      </c>
      <c r="J409" s="1">
        <v>0</v>
      </c>
      <c r="K409" s="1">
        <v>1</v>
      </c>
      <c r="L409" s="1">
        <v>0</v>
      </c>
      <c r="M409" s="1">
        <v>0</v>
      </c>
    </row>
    <row r="410" spans="1:13">
      <c r="A410" s="1">
        <v>409</v>
      </c>
      <c r="B410" s="1">
        <v>937247.78060000006</v>
      </c>
      <c r="C410" s="1">
        <v>1263407.5538858089</v>
      </c>
      <c r="D410" s="1">
        <f t="shared" si="6"/>
        <v>-326159.77328580886</v>
      </c>
      <c r="E410" s="1">
        <v>9</v>
      </c>
      <c r="F410" s="1">
        <v>21</v>
      </c>
      <c r="G410" s="1">
        <v>5</v>
      </c>
      <c r="H410" s="1">
        <v>0</v>
      </c>
      <c r="I410" s="1">
        <v>0</v>
      </c>
      <c r="J410" s="1">
        <v>0</v>
      </c>
      <c r="K410" s="1">
        <v>0</v>
      </c>
      <c r="L410" s="1">
        <v>1</v>
      </c>
      <c r="M410" s="1">
        <v>0</v>
      </c>
    </row>
    <row r="411" spans="1:13">
      <c r="A411" s="1">
        <v>410</v>
      </c>
      <c r="B411" s="1">
        <v>1060189.3400000001</v>
      </c>
      <c r="C411" s="1">
        <v>916410.00444416492</v>
      </c>
      <c r="D411" s="1">
        <f t="shared" si="6"/>
        <v>143779.33555583516</v>
      </c>
      <c r="E411" s="1">
        <v>8</v>
      </c>
      <c r="F411" s="1">
        <v>19</v>
      </c>
      <c r="G411" s="1">
        <v>8</v>
      </c>
      <c r="H411" s="1">
        <v>2</v>
      </c>
      <c r="I411" s="1">
        <v>0</v>
      </c>
      <c r="J411" s="1">
        <v>0</v>
      </c>
      <c r="K411" s="1">
        <v>1</v>
      </c>
      <c r="L411" s="1">
        <v>0</v>
      </c>
      <c r="M411" s="1">
        <v>0</v>
      </c>
    </row>
    <row r="412" spans="1:13">
      <c r="A412" s="1">
        <v>411</v>
      </c>
      <c r="B412" s="1">
        <v>827779.87419999996</v>
      </c>
      <c r="C412" s="1">
        <v>907849.0800903074</v>
      </c>
      <c r="D412" s="1">
        <f t="shared" si="6"/>
        <v>-80069.205890307436</v>
      </c>
      <c r="E412" s="1">
        <v>13</v>
      </c>
      <c r="F412" s="1">
        <v>17</v>
      </c>
      <c r="G412" s="1">
        <v>5</v>
      </c>
      <c r="H412" s="1">
        <v>1</v>
      </c>
      <c r="I412" s="1">
        <v>1</v>
      </c>
      <c r="J412" s="1">
        <v>1</v>
      </c>
      <c r="K412" s="1">
        <v>1</v>
      </c>
      <c r="L412" s="1">
        <v>0</v>
      </c>
      <c r="M412" s="1">
        <v>0</v>
      </c>
    </row>
    <row r="413" spans="1:13">
      <c r="A413" s="1">
        <v>412</v>
      </c>
      <c r="B413" s="1">
        <v>945088.83409999998</v>
      </c>
      <c r="C413" s="1">
        <v>595061.77763450926</v>
      </c>
      <c r="D413" s="1">
        <f t="shared" si="6"/>
        <v>350027.05646549072</v>
      </c>
      <c r="E413" s="1">
        <v>17</v>
      </c>
      <c r="F413" s="1">
        <v>13</v>
      </c>
      <c r="G413" s="1">
        <v>5</v>
      </c>
      <c r="H413" s="1">
        <v>0</v>
      </c>
      <c r="I413" s="1">
        <v>0</v>
      </c>
      <c r="J413" s="1">
        <v>0</v>
      </c>
      <c r="K413" s="1">
        <v>1</v>
      </c>
      <c r="L413" s="1">
        <v>0</v>
      </c>
      <c r="M413" s="1">
        <v>0</v>
      </c>
    </row>
    <row r="414" spans="1:13">
      <c r="A414" s="1">
        <v>413</v>
      </c>
      <c r="B414" s="1">
        <v>1026849.8478</v>
      </c>
      <c r="C414" s="1">
        <v>491423.49444826937</v>
      </c>
      <c r="D414" s="1">
        <f t="shared" si="6"/>
        <v>535426.35335173062</v>
      </c>
      <c r="E414" s="1">
        <v>10</v>
      </c>
      <c r="F414" s="1">
        <v>18</v>
      </c>
      <c r="G414" s="1">
        <v>7</v>
      </c>
      <c r="H414" s="1">
        <v>1</v>
      </c>
      <c r="I414" s="1">
        <v>0</v>
      </c>
      <c r="J414" s="1">
        <v>0</v>
      </c>
      <c r="K414" s="1">
        <v>0</v>
      </c>
      <c r="L414" s="1">
        <v>0</v>
      </c>
      <c r="M414" s="1">
        <v>0</v>
      </c>
    </row>
    <row r="415" spans="1:13">
      <c r="A415" s="1">
        <v>414</v>
      </c>
      <c r="B415" s="1">
        <v>990244.30570000003</v>
      </c>
      <c r="C415" s="1">
        <v>1053208.0326666511</v>
      </c>
      <c r="D415" s="1">
        <f t="shared" si="6"/>
        <v>-62963.72696665104</v>
      </c>
      <c r="E415" s="1">
        <v>11</v>
      </c>
      <c r="F415" s="1">
        <v>19</v>
      </c>
      <c r="G415" s="1">
        <v>5</v>
      </c>
      <c r="H415" s="1">
        <v>0</v>
      </c>
      <c r="I415" s="1">
        <v>0</v>
      </c>
      <c r="J415" s="1">
        <v>2</v>
      </c>
      <c r="K415" s="1">
        <v>0</v>
      </c>
      <c r="L415" s="1">
        <v>0</v>
      </c>
      <c r="M415" s="1">
        <v>0</v>
      </c>
    </row>
    <row r="416" spans="1:13">
      <c r="A416" s="1">
        <v>415</v>
      </c>
      <c r="B416" s="1">
        <v>927278.04269999999</v>
      </c>
      <c r="C416" s="1">
        <v>798309.59457075584</v>
      </c>
      <c r="D416" s="1">
        <f t="shared" si="6"/>
        <v>128968.44812924415</v>
      </c>
      <c r="E416" s="1">
        <v>9</v>
      </c>
      <c r="F416" s="1">
        <v>19</v>
      </c>
      <c r="G416" s="1">
        <v>7</v>
      </c>
      <c r="H416" s="1">
        <v>0</v>
      </c>
      <c r="I416" s="1">
        <v>0</v>
      </c>
      <c r="J416" s="1">
        <v>0</v>
      </c>
      <c r="K416" s="1">
        <v>1</v>
      </c>
      <c r="L416" s="1">
        <v>0</v>
      </c>
      <c r="M416" s="1">
        <v>1</v>
      </c>
    </row>
    <row r="417" spans="1:13">
      <c r="A417" s="1">
        <v>416</v>
      </c>
      <c r="B417" s="1">
        <v>922053.11710000003</v>
      </c>
      <c r="C417" s="1">
        <v>807593.09528972069</v>
      </c>
      <c r="D417" s="1">
        <f t="shared" si="6"/>
        <v>114460.02181027934</v>
      </c>
      <c r="E417" s="1">
        <v>11</v>
      </c>
      <c r="F417" s="1">
        <v>18</v>
      </c>
      <c r="G417" s="1">
        <v>6</v>
      </c>
      <c r="H417" s="1">
        <v>1</v>
      </c>
      <c r="I417" s="1">
        <v>0</v>
      </c>
      <c r="J417" s="1">
        <v>2</v>
      </c>
      <c r="K417" s="1">
        <v>0</v>
      </c>
      <c r="L417" s="1">
        <v>0</v>
      </c>
      <c r="M417" s="1">
        <v>0</v>
      </c>
    </row>
    <row r="418" spans="1:13">
      <c r="A418" s="1">
        <v>417</v>
      </c>
      <c r="B418" s="1">
        <v>968955.78399999999</v>
      </c>
      <c r="C418" s="1">
        <v>480484.43287787365</v>
      </c>
      <c r="D418" s="1">
        <f t="shared" si="6"/>
        <v>488471.35112212633</v>
      </c>
      <c r="E418" s="1">
        <v>16</v>
      </c>
      <c r="F418" s="1">
        <v>14</v>
      </c>
      <c r="G418" s="1">
        <v>5</v>
      </c>
      <c r="H418" s="1">
        <v>0</v>
      </c>
      <c r="I418" s="1">
        <v>0</v>
      </c>
      <c r="J418" s="1">
        <v>0</v>
      </c>
      <c r="K418" s="1">
        <v>1</v>
      </c>
      <c r="L418" s="1">
        <v>0</v>
      </c>
      <c r="M418" s="1">
        <v>0</v>
      </c>
    </row>
    <row r="419" spans="1:13">
      <c r="A419" s="1">
        <v>418</v>
      </c>
      <c r="B419" s="1">
        <v>1005816.4454</v>
      </c>
      <c r="C419" s="1">
        <v>847608.26600000565</v>
      </c>
      <c r="D419" s="1">
        <f t="shared" si="6"/>
        <v>158208.17939999432</v>
      </c>
      <c r="E419" s="1">
        <v>6</v>
      </c>
      <c r="F419" s="1">
        <v>26</v>
      </c>
      <c r="G419" s="1">
        <v>3</v>
      </c>
      <c r="H419" s="1">
        <v>1</v>
      </c>
      <c r="I419" s="1">
        <v>0</v>
      </c>
      <c r="J419" s="1">
        <v>1</v>
      </c>
      <c r="K419" s="1">
        <v>0</v>
      </c>
      <c r="L419" s="1">
        <v>0</v>
      </c>
      <c r="M419" s="1">
        <v>1</v>
      </c>
    </row>
    <row r="420" spans="1:13">
      <c r="A420" s="1">
        <v>419</v>
      </c>
      <c r="B420" s="1">
        <v>894342.00190000003</v>
      </c>
      <c r="C420" s="1">
        <v>643739.61037577235</v>
      </c>
      <c r="D420" s="1">
        <f t="shared" si="6"/>
        <v>250602.39152422769</v>
      </c>
      <c r="E420" s="1">
        <v>15</v>
      </c>
      <c r="F420" s="1">
        <v>13</v>
      </c>
      <c r="G420" s="1">
        <v>7</v>
      </c>
      <c r="H420" s="1">
        <v>1</v>
      </c>
      <c r="I420" s="1">
        <v>0</v>
      </c>
      <c r="J420" s="1">
        <v>0</v>
      </c>
      <c r="K420" s="1">
        <v>0</v>
      </c>
      <c r="L420" s="1">
        <v>0</v>
      </c>
      <c r="M420" s="1">
        <v>0</v>
      </c>
    </row>
    <row r="421" spans="1:13">
      <c r="A421" s="1">
        <v>420</v>
      </c>
      <c r="B421" s="1">
        <v>873322.02969999996</v>
      </c>
      <c r="C421" s="1">
        <v>921156.90498577233</v>
      </c>
      <c r="D421" s="1">
        <f t="shared" si="6"/>
        <v>-47834.875285772374</v>
      </c>
      <c r="E421" s="1">
        <v>18</v>
      </c>
      <c r="F421" s="1">
        <v>11</v>
      </c>
      <c r="G421" s="1">
        <v>6</v>
      </c>
      <c r="H421" s="1">
        <v>1</v>
      </c>
      <c r="I421" s="1">
        <v>0</v>
      </c>
      <c r="J421" s="1">
        <v>1</v>
      </c>
      <c r="K421" s="1">
        <v>0</v>
      </c>
      <c r="L421" s="1">
        <v>0</v>
      </c>
      <c r="M421" s="1">
        <v>0</v>
      </c>
    </row>
    <row r="422" spans="1:13">
      <c r="A422" s="1">
        <v>421</v>
      </c>
      <c r="B422" s="1">
        <v>1044441.5531</v>
      </c>
      <c r="C422" s="1">
        <v>672337.42257713154</v>
      </c>
      <c r="D422" s="1">
        <f t="shared" si="6"/>
        <v>372104.13052286848</v>
      </c>
      <c r="E422" s="1">
        <v>2</v>
      </c>
      <c r="F422" s="1">
        <v>30</v>
      </c>
      <c r="G422" s="1">
        <v>3</v>
      </c>
      <c r="H422" s="1">
        <v>0</v>
      </c>
      <c r="I422" s="1">
        <v>0</v>
      </c>
      <c r="J422" s="1">
        <v>0</v>
      </c>
      <c r="K422" s="1">
        <v>1</v>
      </c>
      <c r="L422" s="1">
        <v>0</v>
      </c>
      <c r="M422" s="1">
        <v>0</v>
      </c>
    </row>
    <row r="423" spans="1:13">
      <c r="A423" s="1">
        <v>422</v>
      </c>
      <c r="B423" s="1">
        <v>1043060.3915</v>
      </c>
      <c r="C423" s="1">
        <v>813293.4011535868</v>
      </c>
      <c r="D423" s="1">
        <f t="shared" si="6"/>
        <v>229766.99034641322</v>
      </c>
      <c r="E423" s="1">
        <v>13</v>
      </c>
      <c r="F423" s="1">
        <v>19</v>
      </c>
      <c r="G423" s="1">
        <v>3</v>
      </c>
      <c r="H423" s="1">
        <v>2</v>
      </c>
      <c r="I423" s="1">
        <v>0</v>
      </c>
      <c r="J423" s="1">
        <v>1</v>
      </c>
      <c r="K423" s="1">
        <v>0</v>
      </c>
      <c r="L423" s="1">
        <v>0</v>
      </c>
      <c r="M423" s="1">
        <v>1</v>
      </c>
    </row>
    <row r="424" spans="1:13">
      <c r="A424" s="1">
        <v>423</v>
      </c>
      <c r="B424" s="1">
        <v>933482.81</v>
      </c>
      <c r="C424" s="1">
        <v>672369.95907984069</v>
      </c>
      <c r="D424" s="1">
        <f t="shared" si="6"/>
        <v>261112.85092015937</v>
      </c>
      <c r="E424" s="1">
        <v>13</v>
      </c>
      <c r="F424" s="1">
        <v>14</v>
      </c>
      <c r="G424" s="1">
        <v>8</v>
      </c>
      <c r="H424" s="1">
        <v>0</v>
      </c>
      <c r="I424" s="1">
        <v>0</v>
      </c>
      <c r="J424" s="1">
        <v>0</v>
      </c>
      <c r="K424" s="1">
        <v>0</v>
      </c>
      <c r="L424" s="1">
        <v>0</v>
      </c>
      <c r="M424" s="1">
        <v>0</v>
      </c>
    </row>
    <row r="425" spans="1:13">
      <c r="A425" s="1">
        <v>424</v>
      </c>
      <c r="B425" s="1">
        <v>1007910.9434</v>
      </c>
      <c r="C425" s="1">
        <v>861497.29423246731</v>
      </c>
      <c r="D425" s="1">
        <f t="shared" si="6"/>
        <v>146413.64916753268</v>
      </c>
      <c r="E425" s="1">
        <v>11</v>
      </c>
      <c r="F425" s="1">
        <v>17</v>
      </c>
      <c r="G425" s="1">
        <v>7</v>
      </c>
      <c r="H425" s="1">
        <v>1</v>
      </c>
      <c r="I425" s="1">
        <v>1</v>
      </c>
      <c r="J425" s="1">
        <v>0</v>
      </c>
      <c r="K425" s="1">
        <v>1</v>
      </c>
      <c r="L425" s="1">
        <v>0</v>
      </c>
      <c r="M425" s="1">
        <v>1</v>
      </c>
    </row>
    <row r="426" spans="1:13">
      <c r="A426" s="1">
        <v>425</v>
      </c>
      <c r="B426" s="1">
        <v>895872.32310000004</v>
      </c>
      <c r="C426" s="1">
        <v>1479139.6908250507</v>
      </c>
      <c r="D426" s="1">
        <f t="shared" si="6"/>
        <v>-583267.36772505066</v>
      </c>
      <c r="E426" s="1">
        <v>14</v>
      </c>
      <c r="F426" s="1">
        <v>17</v>
      </c>
      <c r="G426" s="1">
        <v>4</v>
      </c>
      <c r="H426" s="1">
        <v>2</v>
      </c>
      <c r="I426" s="1">
        <v>0</v>
      </c>
      <c r="J426" s="1">
        <v>0</v>
      </c>
      <c r="K426" s="1">
        <v>2</v>
      </c>
      <c r="L426" s="1">
        <v>0</v>
      </c>
      <c r="M426" s="1">
        <v>0</v>
      </c>
    </row>
    <row r="427" spans="1:13">
      <c r="A427" s="1">
        <v>426</v>
      </c>
      <c r="B427" s="1">
        <v>939275.73450000002</v>
      </c>
      <c r="C427" s="1">
        <v>807570.90842791961</v>
      </c>
      <c r="D427" s="1">
        <f t="shared" si="6"/>
        <v>131704.82607208041</v>
      </c>
      <c r="E427" s="1">
        <v>15</v>
      </c>
      <c r="F427" s="1">
        <v>15</v>
      </c>
      <c r="G427" s="1">
        <v>5</v>
      </c>
      <c r="H427" s="1">
        <v>2</v>
      </c>
      <c r="I427" s="1">
        <v>0</v>
      </c>
      <c r="J427" s="1">
        <v>0</v>
      </c>
      <c r="K427" s="1">
        <v>1</v>
      </c>
      <c r="L427" s="1">
        <v>0</v>
      </c>
      <c r="M427" s="1">
        <v>0</v>
      </c>
    </row>
    <row r="428" spans="1:13">
      <c r="A428" s="1">
        <v>427</v>
      </c>
      <c r="B428" s="1">
        <v>1116822.3149999999</v>
      </c>
      <c r="C428" s="1">
        <v>1482272.6407172093</v>
      </c>
      <c r="D428" s="1">
        <f t="shared" si="6"/>
        <v>-365450.32571720937</v>
      </c>
      <c r="E428" s="1">
        <v>7</v>
      </c>
      <c r="F428" s="1">
        <v>21</v>
      </c>
      <c r="G428" s="1">
        <v>7</v>
      </c>
      <c r="H428" s="1">
        <v>1</v>
      </c>
      <c r="I428" s="1">
        <v>0</v>
      </c>
      <c r="J428" s="1">
        <v>0</v>
      </c>
      <c r="K428" s="1">
        <v>1</v>
      </c>
      <c r="L428" s="1">
        <v>0</v>
      </c>
      <c r="M428" s="1">
        <v>1</v>
      </c>
    </row>
    <row r="429" spans="1:13">
      <c r="A429" s="1">
        <v>428</v>
      </c>
      <c r="B429" s="1">
        <v>879631.90590000001</v>
      </c>
      <c r="C429" s="1">
        <v>479266.66077219346</v>
      </c>
      <c r="D429" s="1">
        <f t="shared" si="6"/>
        <v>400365.24512780656</v>
      </c>
      <c r="E429" s="1">
        <v>14</v>
      </c>
      <c r="F429" s="1">
        <v>17</v>
      </c>
      <c r="G429" s="1">
        <v>4</v>
      </c>
      <c r="H429" s="1">
        <v>1</v>
      </c>
      <c r="I429" s="1">
        <v>0</v>
      </c>
      <c r="J429" s="1">
        <v>0</v>
      </c>
      <c r="K429" s="1">
        <v>1</v>
      </c>
      <c r="L429" s="1">
        <v>0</v>
      </c>
      <c r="M429" s="1">
        <v>0</v>
      </c>
    </row>
    <row r="430" spans="1:13">
      <c r="A430" s="1">
        <v>429</v>
      </c>
      <c r="B430" s="1">
        <v>931409.81839999999</v>
      </c>
      <c r="C430" s="1">
        <v>1100535.8419735129</v>
      </c>
      <c r="D430" s="1">
        <f t="shared" si="6"/>
        <v>-169126.02357351291</v>
      </c>
      <c r="E430" s="1">
        <v>12</v>
      </c>
      <c r="F430" s="1">
        <v>16</v>
      </c>
      <c r="G430" s="1">
        <v>7</v>
      </c>
      <c r="H430" s="1">
        <v>0</v>
      </c>
      <c r="I430" s="1">
        <v>0</v>
      </c>
      <c r="J430" s="1">
        <v>0</v>
      </c>
      <c r="K430" s="1">
        <v>1</v>
      </c>
      <c r="L430" s="1">
        <v>0</v>
      </c>
      <c r="M430" s="1">
        <v>0</v>
      </c>
    </row>
    <row r="431" spans="1:13">
      <c r="A431" s="1">
        <v>430</v>
      </c>
      <c r="B431" s="1">
        <v>907121.86329999997</v>
      </c>
      <c r="C431" s="1">
        <v>1084570.3013606756</v>
      </c>
      <c r="D431" s="1">
        <f t="shared" si="6"/>
        <v>-177448.43806067563</v>
      </c>
      <c r="E431" s="1">
        <v>16</v>
      </c>
      <c r="F431" s="1">
        <v>12</v>
      </c>
      <c r="G431" s="1">
        <v>7</v>
      </c>
      <c r="H431" s="1">
        <v>2</v>
      </c>
      <c r="I431" s="1">
        <v>0</v>
      </c>
      <c r="J431" s="1">
        <v>1</v>
      </c>
      <c r="K431" s="1">
        <v>1</v>
      </c>
      <c r="L431" s="1">
        <v>0</v>
      </c>
      <c r="M431" s="1">
        <v>1</v>
      </c>
    </row>
    <row r="432" spans="1:13">
      <c r="A432" s="1">
        <v>431</v>
      </c>
      <c r="B432" s="1">
        <v>910549.85290000006</v>
      </c>
      <c r="C432" s="1">
        <v>959792.03443344519</v>
      </c>
      <c r="D432" s="1">
        <f t="shared" si="6"/>
        <v>-49242.181533445138</v>
      </c>
      <c r="E432" s="1">
        <v>11</v>
      </c>
      <c r="F432" s="1">
        <v>20</v>
      </c>
      <c r="G432" s="1">
        <v>4</v>
      </c>
      <c r="H432" s="1">
        <v>2</v>
      </c>
      <c r="I432" s="1">
        <v>0</v>
      </c>
      <c r="J432" s="1">
        <v>2</v>
      </c>
      <c r="K432" s="1">
        <v>0</v>
      </c>
      <c r="L432" s="1">
        <v>0</v>
      </c>
      <c r="M432" s="1">
        <v>0</v>
      </c>
    </row>
    <row r="433" spans="1:13">
      <c r="A433" s="1">
        <v>432</v>
      </c>
      <c r="B433" s="1">
        <v>867658.76139999996</v>
      </c>
      <c r="C433" s="1">
        <v>940689.12031706632</v>
      </c>
      <c r="D433" s="1">
        <f t="shared" si="6"/>
        <v>-73030.358917066362</v>
      </c>
      <c r="E433" s="1">
        <v>12</v>
      </c>
      <c r="F433" s="1">
        <v>16</v>
      </c>
      <c r="G433" s="1">
        <v>7</v>
      </c>
      <c r="H433" s="1">
        <v>0</v>
      </c>
      <c r="I433" s="1">
        <v>0</v>
      </c>
      <c r="J433" s="1">
        <v>1</v>
      </c>
      <c r="K433" s="1">
        <v>1</v>
      </c>
      <c r="L433" s="1">
        <v>0</v>
      </c>
      <c r="M433" s="1">
        <v>0</v>
      </c>
    </row>
    <row r="434" spans="1:13">
      <c r="A434" s="1">
        <v>433</v>
      </c>
      <c r="B434" s="1">
        <v>897427.43480000005</v>
      </c>
      <c r="C434" s="1">
        <v>1235683.3627484334</v>
      </c>
      <c r="D434" s="1">
        <f t="shared" si="6"/>
        <v>-338255.92794843332</v>
      </c>
      <c r="E434" s="1">
        <v>15</v>
      </c>
      <c r="F434" s="1">
        <v>16</v>
      </c>
      <c r="G434" s="1">
        <v>4</v>
      </c>
      <c r="H434" s="1">
        <v>1</v>
      </c>
      <c r="I434" s="1">
        <v>0</v>
      </c>
      <c r="J434" s="1">
        <v>0</v>
      </c>
      <c r="K434" s="1">
        <v>0</v>
      </c>
      <c r="L434" s="1">
        <v>0</v>
      </c>
      <c r="M434" s="1">
        <v>0</v>
      </c>
    </row>
    <row r="435" spans="1:13">
      <c r="A435" s="1">
        <v>434</v>
      </c>
      <c r="B435" s="1">
        <v>1029402.2769000001</v>
      </c>
      <c r="C435" s="1">
        <v>1011188.3320778079</v>
      </c>
      <c r="D435" s="1">
        <f t="shared" si="6"/>
        <v>18213.944822192192</v>
      </c>
      <c r="E435" s="1">
        <v>7</v>
      </c>
      <c r="F435" s="1">
        <v>23</v>
      </c>
      <c r="G435" s="1">
        <v>5</v>
      </c>
      <c r="H435" s="1">
        <v>2</v>
      </c>
      <c r="I435" s="1">
        <v>0</v>
      </c>
      <c r="J435" s="1">
        <v>2</v>
      </c>
      <c r="K435" s="1">
        <v>0</v>
      </c>
      <c r="L435" s="1">
        <v>0</v>
      </c>
      <c r="M435" s="1">
        <v>1</v>
      </c>
    </row>
    <row r="436" spans="1:13">
      <c r="A436" s="1">
        <v>435</v>
      </c>
      <c r="B436" s="1">
        <v>999944.15870000003</v>
      </c>
      <c r="C436" s="1">
        <v>868684.00717133959</v>
      </c>
      <c r="D436" s="1">
        <f t="shared" si="6"/>
        <v>131260.15152866044</v>
      </c>
      <c r="E436" s="1">
        <v>10</v>
      </c>
      <c r="F436" s="1">
        <v>19</v>
      </c>
      <c r="G436" s="1">
        <v>6</v>
      </c>
      <c r="H436" s="1">
        <v>1</v>
      </c>
      <c r="I436" s="1">
        <v>0</v>
      </c>
      <c r="J436" s="1">
        <v>1</v>
      </c>
      <c r="K436" s="1">
        <v>0</v>
      </c>
      <c r="L436" s="1">
        <v>0</v>
      </c>
      <c r="M436" s="1">
        <v>0</v>
      </c>
    </row>
    <row r="437" spans="1:13">
      <c r="A437" s="1">
        <v>436</v>
      </c>
      <c r="B437" s="1">
        <v>1031375.4739</v>
      </c>
      <c r="C437" s="1">
        <v>1144448.8730662342</v>
      </c>
      <c r="D437" s="1">
        <f t="shared" si="6"/>
        <v>-113073.39916623419</v>
      </c>
      <c r="E437" s="1">
        <v>15</v>
      </c>
      <c r="F437" s="1">
        <v>16</v>
      </c>
      <c r="G437" s="1">
        <v>4</v>
      </c>
      <c r="H437" s="1">
        <v>0</v>
      </c>
      <c r="I437" s="1">
        <v>0</v>
      </c>
      <c r="J437" s="1">
        <v>1</v>
      </c>
      <c r="K437" s="1">
        <v>1</v>
      </c>
      <c r="L437" s="1">
        <v>0</v>
      </c>
      <c r="M437" s="1">
        <v>0</v>
      </c>
    </row>
    <row r="438" spans="1:13">
      <c r="A438" s="1">
        <v>437</v>
      </c>
      <c r="B438" s="1">
        <v>942968.38549999997</v>
      </c>
      <c r="C438" s="1">
        <v>514352.50805665692</v>
      </c>
      <c r="D438" s="1">
        <f t="shared" si="6"/>
        <v>428615.87744334305</v>
      </c>
      <c r="E438" s="1">
        <v>11</v>
      </c>
      <c r="F438" s="1">
        <v>19</v>
      </c>
      <c r="G438" s="1">
        <v>5</v>
      </c>
      <c r="H438" s="1">
        <v>0</v>
      </c>
      <c r="I438" s="1">
        <v>0</v>
      </c>
      <c r="J438" s="1">
        <v>1</v>
      </c>
      <c r="K438" s="1">
        <v>0</v>
      </c>
      <c r="L438" s="1">
        <v>0</v>
      </c>
      <c r="M438" s="1">
        <v>0</v>
      </c>
    </row>
    <row r="439" spans="1:13">
      <c r="A439" s="1">
        <v>438</v>
      </c>
      <c r="B439" s="1">
        <v>894238.57490000001</v>
      </c>
      <c r="C439" s="1">
        <v>738861.44080480246</v>
      </c>
      <c r="D439" s="1">
        <f t="shared" si="6"/>
        <v>155377.13409519754</v>
      </c>
      <c r="E439" s="1">
        <v>15</v>
      </c>
      <c r="F439" s="1">
        <v>18</v>
      </c>
      <c r="G439" s="1">
        <v>2</v>
      </c>
      <c r="H439" s="1">
        <v>0</v>
      </c>
      <c r="I439" s="1">
        <v>0</v>
      </c>
      <c r="J439" s="1">
        <v>1</v>
      </c>
      <c r="K439" s="1">
        <v>1</v>
      </c>
      <c r="L439" s="1">
        <v>0</v>
      </c>
      <c r="M439" s="1">
        <v>0</v>
      </c>
    </row>
    <row r="440" spans="1:13">
      <c r="A440" s="1">
        <v>439</v>
      </c>
      <c r="B440" s="1">
        <v>1019210.2283</v>
      </c>
      <c r="C440" s="1">
        <v>789306.81804614817</v>
      </c>
      <c r="D440" s="1">
        <f t="shared" si="6"/>
        <v>229903.41025385179</v>
      </c>
      <c r="E440" s="1">
        <v>12</v>
      </c>
      <c r="F440" s="1">
        <v>15</v>
      </c>
      <c r="G440" s="1">
        <v>8</v>
      </c>
      <c r="H440" s="1">
        <v>1</v>
      </c>
      <c r="I440" s="1">
        <v>0</v>
      </c>
      <c r="J440" s="1">
        <v>0</v>
      </c>
      <c r="K440" s="1">
        <v>0</v>
      </c>
      <c r="L440" s="1">
        <v>0</v>
      </c>
      <c r="M440" s="1">
        <v>0</v>
      </c>
    </row>
    <row r="441" spans="1:13">
      <c r="A441" s="1">
        <v>440</v>
      </c>
      <c r="B441" s="1">
        <v>973274.48300000001</v>
      </c>
      <c r="C441" s="1">
        <v>1069755.0523482708</v>
      </c>
      <c r="D441" s="1">
        <f t="shared" si="6"/>
        <v>-96480.569348270772</v>
      </c>
      <c r="E441" s="1">
        <v>9</v>
      </c>
      <c r="F441" s="1">
        <v>18</v>
      </c>
      <c r="G441" s="1">
        <v>8</v>
      </c>
      <c r="H441" s="1">
        <v>2</v>
      </c>
      <c r="I441" s="1">
        <v>0</v>
      </c>
      <c r="J441" s="1">
        <v>1</v>
      </c>
      <c r="K441" s="1">
        <v>1</v>
      </c>
      <c r="L441" s="1">
        <v>0</v>
      </c>
      <c r="M441" s="1">
        <v>0</v>
      </c>
    </row>
    <row r="442" spans="1:13">
      <c r="A442" s="1">
        <v>441</v>
      </c>
      <c r="B442" s="1">
        <v>883099.12800000003</v>
      </c>
      <c r="C442" s="1">
        <v>1469438.2121602122</v>
      </c>
      <c r="D442" s="1">
        <f t="shared" si="6"/>
        <v>-586339.08416021219</v>
      </c>
      <c r="E442" s="1">
        <v>17</v>
      </c>
      <c r="F442" s="1">
        <v>12</v>
      </c>
      <c r="G442" s="1">
        <v>6</v>
      </c>
      <c r="H442" s="1">
        <v>0</v>
      </c>
      <c r="I442" s="1">
        <v>0</v>
      </c>
      <c r="J442" s="1">
        <v>1</v>
      </c>
      <c r="K442" s="1">
        <v>0</v>
      </c>
      <c r="L442" s="1">
        <v>0</v>
      </c>
      <c r="M442" s="1">
        <v>0</v>
      </c>
    </row>
    <row r="443" spans="1:13">
      <c r="A443" s="1">
        <v>442</v>
      </c>
      <c r="B443" s="1">
        <v>1033517.9307</v>
      </c>
      <c r="C443" s="1">
        <v>626840.02808732016</v>
      </c>
      <c r="D443" s="1">
        <f t="shared" si="6"/>
        <v>406677.90261267987</v>
      </c>
      <c r="E443" s="1">
        <v>13</v>
      </c>
      <c r="F443" s="1">
        <v>19</v>
      </c>
      <c r="G443" s="1">
        <v>3</v>
      </c>
      <c r="H443" s="1">
        <v>0</v>
      </c>
      <c r="I443" s="1">
        <v>0</v>
      </c>
      <c r="J443" s="1">
        <v>1</v>
      </c>
      <c r="K443" s="1">
        <v>0</v>
      </c>
      <c r="L443" s="1">
        <v>0</v>
      </c>
      <c r="M443" s="1">
        <v>1</v>
      </c>
    </row>
    <row r="444" spans="1:13">
      <c r="A444" s="1">
        <v>443</v>
      </c>
      <c r="B444" s="1">
        <v>874855.39359999995</v>
      </c>
      <c r="C444" s="1">
        <v>741251.55829964927</v>
      </c>
      <c r="D444" s="1">
        <f t="shared" si="6"/>
        <v>133603.83530035068</v>
      </c>
      <c r="E444" s="1">
        <v>23</v>
      </c>
      <c r="F444" s="1">
        <v>6</v>
      </c>
      <c r="G444" s="1">
        <v>6</v>
      </c>
      <c r="H444" s="1">
        <v>0</v>
      </c>
      <c r="I444" s="1">
        <v>0</v>
      </c>
      <c r="J444" s="1">
        <v>0</v>
      </c>
      <c r="K444" s="1">
        <v>1</v>
      </c>
      <c r="L444" s="1">
        <v>0</v>
      </c>
      <c r="M444" s="1">
        <v>0</v>
      </c>
    </row>
    <row r="445" spans="1:13">
      <c r="A445" s="1">
        <v>444</v>
      </c>
      <c r="B445" s="1">
        <v>1041255.4952</v>
      </c>
      <c r="C445" s="1">
        <v>698168.00687715074</v>
      </c>
      <c r="D445" s="1">
        <f t="shared" si="6"/>
        <v>343087.48832284927</v>
      </c>
      <c r="E445" s="1">
        <v>14</v>
      </c>
      <c r="F445" s="1">
        <v>17</v>
      </c>
      <c r="G445" s="1">
        <v>4</v>
      </c>
      <c r="H445" s="1">
        <v>1</v>
      </c>
      <c r="I445" s="1">
        <v>1</v>
      </c>
      <c r="J445" s="1">
        <v>1</v>
      </c>
      <c r="K445" s="1">
        <v>1</v>
      </c>
      <c r="L445" s="1">
        <v>0</v>
      </c>
      <c r="M445" s="1">
        <v>0</v>
      </c>
    </row>
    <row r="446" spans="1:13">
      <c r="A446" s="1">
        <v>445</v>
      </c>
      <c r="B446" s="1">
        <v>1011171.5961</v>
      </c>
      <c r="C446" s="1">
        <v>823700.82092493679</v>
      </c>
      <c r="D446" s="1">
        <f t="shared" si="6"/>
        <v>187470.77517506317</v>
      </c>
      <c r="E446" s="1">
        <v>10</v>
      </c>
      <c r="F446" s="1">
        <v>18</v>
      </c>
      <c r="G446" s="1">
        <v>7</v>
      </c>
      <c r="H446" s="1">
        <v>1</v>
      </c>
      <c r="I446" s="1">
        <v>0</v>
      </c>
      <c r="J446" s="1">
        <v>1</v>
      </c>
      <c r="K446" s="1">
        <v>1</v>
      </c>
      <c r="L446" s="1">
        <v>0</v>
      </c>
      <c r="M446" s="1">
        <v>1</v>
      </c>
    </row>
    <row r="447" spans="1:13">
      <c r="A447" s="1">
        <v>446</v>
      </c>
      <c r="B447" s="1">
        <v>902656.01119999995</v>
      </c>
      <c r="C447" s="1">
        <v>758566.03425759973</v>
      </c>
      <c r="D447" s="1">
        <f t="shared" si="6"/>
        <v>144089.97694240022</v>
      </c>
      <c r="E447" s="1">
        <v>16</v>
      </c>
      <c r="F447" s="1">
        <v>17</v>
      </c>
      <c r="G447" s="1">
        <v>2</v>
      </c>
      <c r="H447" s="1">
        <v>0</v>
      </c>
      <c r="I447" s="1">
        <v>0</v>
      </c>
      <c r="J447" s="1">
        <v>0</v>
      </c>
      <c r="K447" s="1">
        <v>1</v>
      </c>
      <c r="L447" s="1">
        <v>0</v>
      </c>
      <c r="M447" s="1">
        <v>0</v>
      </c>
    </row>
    <row r="448" spans="1:13">
      <c r="A448" s="1">
        <v>447</v>
      </c>
      <c r="B448" s="1">
        <v>894483.09140000003</v>
      </c>
      <c r="C448" s="1">
        <v>797425.58598551387</v>
      </c>
      <c r="D448" s="1">
        <f t="shared" si="6"/>
        <v>97057.505414486164</v>
      </c>
      <c r="E448" s="1">
        <v>15</v>
      </c>
      <c r="F448" s="1">
        <v>11</v>
      </c>
      <c r="G448" s="1">
        <v>9</v>
      </c>
      <c r="H448" s="1">
        <v>0</v>
      </c>
      <c r="I448" s="1">
        <v>0</v>
      </c>
      <c r="J448" s="1">
        <v>1</v>
      </c>
      <c r="K448" s="1">
        <v>0</v>
      </c>
      <c r="L448" s="1">
        <v>1</v>
      </c>
      <c r="M448" s="1">
        <v>0</v>
      </c>
    </row>
    <row r="449" spans="1:13">
      <c r="A449" s="1">
        <v>448</v>
      </c>
      <c r="B449" s="1">
        <v>935076.69319999998</v>
      </c>
      <c r="C449" s="1">
        <v>699481.51815276116</v>
      </c>
      <c r="D449" s="1">
        <f t="shared" si="6"/>
        <v>235595.17504723882</v>
      </c>
      <c r="E449" s="1">
        <v>11</v>
      </c>
      <c r="F449" s="1">
        <v>19</v>
      </c>
      <c r="G449" s="1">
        <v>5</v>
      </c>
      <c r="H449" s="1">
        <v>0</v>
      </c>
      <c r="I449" s="1">
        <v>0</v>
      </c>
      <c r="J449" s="1">
        <v>0</v>
      </c>
      <c r="K449" s="1">
        <v>1</v>
      </c>
      <c r="L449" s="1">
        <v>0</v>
      </c>
      <c r="M449" s="1">
        <v>0</v>
      </c>
    </row>
    <row r="450" spans="1:13">
      <c r="A450" s="1">
        <v>449</v>
      </c>
      <c r="B450" s="1">
        <v>872881.32949999999</v>
      </c>
      <c r="C450" s="1">
        <v>861871.65008256969</v>
      </c>
      <c r="D450" s="1">
        <f t="shared" ref="D450:D513" si="7">B450-C450</f>
        <v>11009.679417430307</v>
      </c>
      <c r="E450" s="1">
        <v>28</v>
      </c>
      <c r="F450" s="1">
        <v>5</v>
      </c>
      <c r="G450" s="1">
        <v>2</v>
      </c>
      <c r="H450" s="1">
        <v>0</v>
      </c>
      <c r="I450" s="1">
        <v>0</v>
      </c>
      <c r="J450" s="1">
        <v>0</v>
      </c>
      <c r="K450" s="1">
        <v>0</v>
      </c>
      <c r="L450" s="1">
        <v>0</v>
      </c>
      <c r="M450" s="1">
        <v>1</v>
      </c>
    </row>
    <row r="451" spans="1:13">
      <c r="A451" s="1">
        <v>450</v>
      </c>
      <c r="B451" s="1">
        <v>1069556.1595000001</v>
      </c>
      <c r="C451" s="1">
        <v>637548.80759956117</v>
      </c>
      <c r="D451" s="1">
        <f t="shared" si="7"/>
        <v>432007.35190043889</v>
      </c>
      <c r="E451" s="1">
        <v>11</v>
      </c>
      <c r="F451" s="1">
        <v>20</v>
      </c>
      <c r="G451" s="1">
        <v>4</v>
      </c>
      <c r="H451" s="1">
        <v>2</v>
      </c>
      <c r="I451" s="1">
        <v>0</v>
      </c>
      <c r="J451" s="1">
        <v>0</v>
      </c>
      <c r="K451" s="1">
        <v>0</v>
      </c>
      <c r="L451" s="1">
        <v>1</v>
      </c>
      <c r="M451" s="1">
        <v>1</v>
      </c>
    </row>
    <row r="452" spans="1:13">
      <c r="A452" s="1">
        <v>451</v>
      </c>
      <c r="B452" s="1">
        <v>958107.56050000002</v>
      </c>
      <c r="C452" s="1">
        <v>850260.28100774845</v>
      </c>
      <c r="D452" s="1">
        <f t="shared" si="7"/>
        <v>107847.27949225157</v>
      </c>
      <c r="E452" s="1">
        <v>9</v>
      </c>
      <c r="F452" s="1">
        <v>18</v>
      </c>
      <c r="G452" s="1">
        <v>8</v>
      </c>
      <c r="H452" s="1">
        <v>1</v>
      </c>
      <c r="I452" s="1">
        <v>0</v>
      </c>
      <c r="J452" s="1">
        <v>1</v>
      </c>
      <c r="K452" s="1">
        <v>0</v>
      </c>
      <c r="L452" s="1">
        <v>0</v>
      </c>
      <c r="M452" s="1">
        <v>0</v>
      </c>
    </row>
    <row r="453" spans="1:13">
      <c r="A453" s="1">
        <v>452</v>
      </c>
      <c r="B453" s="1">
        <v>942809.29410000006</v>
      </c>
      <c r="C453" s="1">
        <v>748495.28239719023</v>
      </c>
      <c r="D453" s="1">
        <f t="shared" si="7"/>
        <v>194314.01170280983</v>
      </c>
      <c r="E453" s="1">
        <v>13</v>
      </c>
      <c r="F453" s="1">
        <v>17</v>
      </c>
      <c r="G453" s="1">
        <v>5</v>
      </c>
      <c r="H453" s="1">
        <v>0</v>
      </c>
      <c r="I453" s="1">
        <v>0</v>
      </c>
      <c r="J453" s="1">
        <v>1</v>
      </c>
      <c r="K453" s="1">
        <v>1</v>
      </c>
      <c r="L453" s="1">
        <v>0</v>
      </c>
      <c r="M453" s="1">
        <v>0</v>
      </c>
    </row>
    <row r="454" spans="1:13">
      <c r="A454" s="1">
        <v>453</v>
      </c>
      <c r="B454" s="1">
        <v>989978.42460000003</v>
      </c>
      <c r="C454" s="1">
        <v>1080400.2453503362</v>
      </c>
      <c r="D454" s="1">
        <f t="shared" si="7"/>
        <v>-90421.820750336163</v>
      </c>
      <c r="E454" s="1">
        <v>13</v>
      </c>
      <c r="F454" s="1">
        <v>15</v>
      </c>
      <c r="G454" s="1">
        <v>7</v>
      </c>
      <c r="H454" s="1">
        <v>1</v>
      </c>
      <c r="I454" s="1">
        <v>1</v>
      </c>
      <c r="J454" s="1">
        <v>0</v>
      </c>
      <c r="K454" s="1">
        <v>1</v>
      </c>
      <c r="L454" s="1">
        <v>0</v>
      </c>
      <c r="M454" s="1">
        <v>1</v>
      </c>
    </row>
    <row r="455" spans="1:13">
      <c r="A455" s="1">
        <v>454</v>
      </c>
      <c r="B455" s="1">
        <v>876055.0808</v>
      </c>
      <c r="C455" s="1">
        <v>879634.53529657691</v>
      </c>
      <c r="D455" s="1">
        <f t="shared" si="7"/>
        <v>-3579.4544965769164</v>
      </c>
      <c r="E455" s="1">
        <v>8</v>
      </c>
      <c r="F455" s="1">
        <v>21</v>
      </c>
      <c r="G455" s="1">
        <v>6</v>
      </c>
      <c r="H455" s="1">
        <v>1</v>
      </c>
      <c r="I455" s="1">
        <v>1</v>
      </c>
      <c r="J455" s="1">
        <v>1</v>
      </c>
      <c r="K455" s="1">
        <v>1</v>
      </c>
      <c r="L455" s="1">
        <v>0</v>
      </c>
      <c r="M455" s="1">
        <v>0</v>
      </c>
    </row>
    <row r="456" spans="1:13">
      <c r="A456" s="1">
        <v>455</v>
      </c>
      <c r="B456" s="1">
        <v>849605.72309999994</v>
      </c>
      <c r="C456" s="1">
        <v>1065506.8386178741</v>
      </c>
      <c r="D456" s="1">
        <f t="shared" si="7"/>
        <v>-215901.11551787413</v>
      </c>
      <c r="E456" s="1">
        <v>19</v>
      </c>
      <c r="F456" s="1">
        <v>13</v>
      </c>
      <c r="G456" s="1">
        <v>3</v>
      </c>
      <c r="H456" s="1">
        <v>1</v>
      </c>
      <c r="I456" s="1">
        <v>0</v>
      </c>
      <c r="J456" s="1">
        <v>1</v>
      </c>
      <c r="K456" s="1">
        <v>1</v>
      </c>
      <c r="L456" s="1">
        <v>0</v>
      </c>
      <c r="M456" s="1">
        <v>1</v>
      </c>
    </row>
    <row r="457" spans="1:13">
      <c r="A457" s="1">
        <v>456</v>
      </c>
      <c r="B457" s="1">
        <v>1051974.3817</v>
      </c>
      <c r="C457" s="1">
        <v>1498866.0701466904</v>
      </c>
      <c r="D457" s="1">
        <f t="shared" si="7"/>
        <v>-446891.68844669033</v>
      </c>
      <c r="E457" s="1">
        <v>5</v>
      </c>
      <c r="F457" s="1">
        <v>25</v>
      </c>
      <c r="G457" s="1">
        <v>5</v>
      </c>
      <c r="H457" s="1">
        <v>2</v>
      </c>
      <c r="I457" s="1">
        <v>0</v>
      </c>
      <c r="J457" s="1">
        <v>2</v>
      </c>
      <c r="K457" s="1">
        <v>0</v>
      </c>
      <c r="L457" s="1">
        <v>0</v>
      </c>
      <c r="M457" s="1">
        <v>0</v>
      </c>
    </row>
    <row r="458" spans="1:13">
      <c r="A458" s="1">
        <v>457</v>
      </c>
      <c r="B458" s="1">
        <v>966594.35490000003</v>
      </c>
      <c r="C458" s="1">
        <v>676863.02307450131</v>
      </c>
      <c r="D458" s="1">
        <f t="shared" si="7"/>
        <v>289731.33182549872</v>
      </c>
      <c r="E458" s="1">
        <v>16</v>
      </c>
      <c r="F458" s="1">
        <v>13</v>
      </c>
      <c r="G458" s="1">
        <v>6</v>
      </c>
      <c r="H458" s="1">
        <v>2</v>
      </c>
      <c r="I458" s="1">
        <v>0</v>
      </c>
      <c r="J458" s="1">
        <v>2</v>
      </c>
      <c r="K458" s="1">
        <v>0</v>
      </c>
      <c r="L458" s="1">
        <v>0</v>
      </c>
      <c r="M458" s="1">
        <v>0</v>
      </c>
    </row>
    <row r="459" spans="1:13">
      <c r="A459" s="1">
        <v>458</v>
      </c>
      <c r="B459" s="1">
        <v>970471.68480000005</v>
      </c>
      <c r="C459" s="1">
        <v>713317.28652625682</v>
      </c>
      <c r="D459" s="1">
        <f t="shared" si="7"/>
        <v>257154.39827374322</v>
      </c>
      <c r="E459" s="1">
        <v>16</v>
      </c>
      <c r="F459" s="1">
        <v>13</v>
      </c>
      <c r="G459" s="1">
        <v>6</v>
      </c>
      <c r="H459" s="1">
        <v>1</v>
      </c>
      <c r="I459" s="1">
        <v>0</v>
      </c>
      <c r="J459" s="1">
        <v>0</v>
      </c>
      <c r="K459" s="1">
        <v>1</v>
      </c>
      <c r="L459" s="1">
        <v>1</v>
      </c>
      <c r="M459" s="1">
        <v>0</v>
      </c>
    </row>
    <row r="460" spans="1:13">
      <c r="A460" s="1">
        <v>459</v>
      </c>
      <c r="B460" s="1">
        <v>944457.42249999999</v>
      </c>
      <c r="C460" s="1">
        <v>1006149.0844827079</v>
      </c>
      <c r="D460" s="1">
        <f t="shared" si="7"/>
        <v>-61691.661982707912</v>
      </c>
      <c r="E460" s="1">
        <v>2</v>
      </c>
      <c r="F460" s="1">
        <v>28</v>
      </c>
      <c r="G460" s="1">
        <v>5</v>
      </c>
      <c r="H460" s="1">
        <v>1</v>
      </c>
      <c r="I460" s="1">
        <v>0</v>
      </c>
      <c r="J460" s="1">
        <v>1</v>
      </c>
      <c r="K460" s="1">
        <v>0</v>
      </c>
      <c r="L460" s="1">
        <v>0</v>
      </c>
      <c r="M460" s="1">
        <v>0</v>
      </c>
    </row>
    <row r="461" spans="1:13">
      <c r="A461" s="1">
        <v>460</v>
      </c>
      <c r="B461" s="1">
        <v>1006549.3129</v>
      </c>
      <c r="C461" s="1">
        <v>1235788.6579446206</v>
      </c>
      <c r="D461" s="1">
        <f t="shared" si="7"/>
        <v>-229239.34504462057</v>
      </c>
      <c r="E461" s="1">
        <v>14</v>
      </c>
      <c r="F461" s="1">
        <v>18</v>
      </c>
      <c r="G461" s="1">
        <v>3</v>
      </c>
      <c r="H461" s="1">
        <v>1</v>
      </c>
      <c r="I461" s="1">
        <v>0</v>
      </c>
      <c r="J461" s="1">
        <v>0</v>
      </c>
      <c r="K461" s="1">
        <v>0</v>
      </c>
      <c r="L461" s="1">
        <v>1</v>
      </c>
      <c r="M461" s="1">
        <v>0</v>
      </c>
    </row>
    <row r="462" spans="1:13">
      <c r="A462" s="1">
        <v>461</v>
      </c>
      <c r="B462" s="1">
        <v>857192.64179999998</v>
      </c>
      <c r="C462" s="1">
        <v>756369.77693362115</v>
      </c>
      <c r="D462" s="1">
        <f t="shared" si="7"/>
        <v>100822.86486637883</v>
      </c>
      <c r="E462" s="1">
        <v>15</v>
      </c>
      <c r="F462" s="1">
        <v>14</v>
      </c>
      <c r="G462" s="1">
        <v>6</v>
      </c>
      <c r="H462" s="1">
        <v>2</v>
      </c>
      <c r="I462" s="1">
        <v>0</v>
      </c>
      <c r="J462" s="1">
        <v>1</v>
      </c>
      <c r="K462" s="1">
        <v>0</v>
      </c>
      <c r="L462" s="1">
        <v>0</v>
      </c>
      <c r="M462" s="1">
        <v>0</v>
      </c>
    </row>
    <row r="463" spans="1:13">
      <c r="A463" s="1">
        <v>462</v>
      </c>
      <c r="B463" s="1">
        <v>870401.38679999998</v>
      </c>
      <c r="C463" s="1">
        <v>733212.42375020706</v>
      </c>
      <c r="D463" s="1">
        <f t="shared" si="7"/>
        <v>137188.96304979292</v>
      </c>
      <c r="E463" s="1">
        <v>16</v>
      </c>
      <c r="F463" s="1">
        <v>15</v>
      </c>
      <c r="G463" s="1">
        <v>4</v>
      </c>
      <c r="H463" s="1">
        <v>1</v>
      </c>
      <c r="I463" s="1">
        <v>0</v>
      </c>
      <c r="J463" s="1">
        <v>0</v>
      </c>
      <c r="K463" s="1">
        <v>0</v>
      </c>
      <c r="L463" s="1">
        <v>0</v>
      </c>
      <c r="M463" s="1">
        <v>0</v>
      </c>
    </row>
    <row r="464" spans="1:13">
      <c r="A464" s="1">
        <v>463</v>
      </c>
      <c r="B464" s="1">
        <v>945597.34019999998</v>
      </c>
      <c r="C464" s="1">
        <v>637518.01165399852</v>
      </c>
      <c r="D464" s="1">
        <f t="shared" si="7"/>
        <v>308079.32854600146</v>
      </c>
      <c r="E464" s="1">
        <v>18</v>
      </c>
      <c r="F464" s="1">
        <v>13</v>
      </c>
      <c r="G464" s="1">
        <v>4</v>
      </c>
      <c r="H464" s="1">
        <v>0</v>
      </c>
      <c r="I464" s="1">
        <v>0</v>
      </c>
      <c r="J464" s="1">
        <v>1</v>
      </c>
      <c r="K464" s="1">
        <v>1</v>
      </c>
      <c r="L464" s="1">
        <v>0</v>
      </c>
      <c r="M464" s="1">
        <v>0</v>
      </c>
    </row>
    <row r="465" spans="1:13">
      <c r="A465" s="1">
        <v>464</v>
      </c>
      <c r="B465" s="1">
        <v>910512.3689</v>
      </c>
      <c r="C465" s="1">
        <v>722464.15412274445</v>
      </c>
      <c r="D465" s="1">
        <f t="shared" si="7"/>
        <v>188048.21477725555</v>
      </c>
      <c r="E465" s="1">
        <v>6</v>
      </c>
      <c r="F465" s="1">
        <v>22</v>
      </c>
      <c r="G465" s="1">
        <v>7</v>
      </c>
      <c r="H465" s="1">
        <v>1</v>
      </c>
      <c r="I465" s="1">
        <v>0</v>
      </c>
      <c r="J465" s="1">
        <v>1</v>
      </c>
      <c r="K465" s="1">
        <v>0</v>
      </c>
      <c r="L465" s="1">
        <v>0</v>
      </c>
      <c r="M465" s="1">
        <v>0</v>
      </c>
    </row>
    <row r="466" spans="1:13">
      <c r="A466" s="1">
        <v>465</v>
      </c>
      <c r="B466" s="1">
        <v>944294.35239999997</v>
      </c>
      <c r="C466" s="1">
        <v>1028112.1432149686</v>
      </c>
      <c r="D466" s="1">
        <f t="shared" si="7"/>
        <v>-83817.790814968641</v>
      </c>
      <c r="E466" s="1">
        <v>8</v>
      </c>
      <c r="F466" s="1">
        <v>19</v>
      </c>
      <c r="G466" s="1">
        <v>8</v>
      </c>
      <c r="H466" s="1">
        <v>1</v>
      </c>
      <c r="I466" s="1">
        <v>0</v>
      </c>
      <c r="J466" s="1">
        <v>0</v>
      </c>
      <c r="K466" s="1">
        <v>1</v>
      </c>
      <c r="L466" s="1">
        <v>0</v>
      </c>
      <c r="M466" s="1">
        <v>0</v>
      </c>
    </row>
    <row r="467" spans="1:13">
      <c r="A467" s="1">
        <v>466</v>
      </c>
      <c r="B467" s="1">
        <v>883679.89729999995</v>
      </c>
      <c r="C467" s="1">
        <v>1209427.1163981713</v>
      </c>
      <c r="D467" s="1">
        <f t="shared" si="7"/>
        <v>-325747.21909817134</v>
      </c>
      <c r="E467" s="1">
        <v>12</v>
      </c>
      <c r="F467" s="1">
        <v>19</v>
      </c>
      <c r="G467" s="1">
        <v>4</v>
      </c>
      <c r="H467" s="1">
        <v>1</v>
      </c>
      <c r="I467" s="1">
        <v>1</v>
      </c>
      <c r="J467" s="1">
        <v>0</v>
      </c>
      <c r="K467" s="1">
        <v>1</v>
      </c>
      <c r="L467" s="1">
        <v>0</v>
      </c>
      <c r="M467" s="1">
        <v>0</v>
      </c>
    </row>
    <row r="468" spans="1:13">
      <c r="A468" s="1">
        <v>467</v>
      </c>
      <c r="B468" s="1">
        <v>913259.74399999995</v>
      </c>
      <c r="C468" s="1">
        <v>813746.77162843314</v>
      </c>
      <c r="D468" s="1">
        <f t="shared" si="7"/>
        <v>99512.972371566808</v>
      </c>
      <c r="E468" s="1">
        <v>15</v>
      </c>
      <c r="F468" s="1">
        <v>16</v>
      </c>
      <c r="G468" s="1">
        <v>4</v>
      </c>
      <c r="H468" s="1">
        <v>0</v>
      </c>
      <c r="I468" s="1">
        <v>1</v>
      </c>
      <c r="J468" s="1">
        <v>0</v>
      </c>
      <c r="K468" s="1">
        <v>1</v>
      </c>
      <c r="L468" s="1">
        <v>0</v>
      </c>
      <c r="M468" s="1">
        <v>0</v>
      </c>
    </row>
    <row r="469" spans="1:13">
      <c r="A469" s="1">
        <v>468</v>
      </c>
      <c r="B469" s="1">
        <v>953244.59490000003</v>
      </c>
      <c r="C469" s="1">
        <v>583322.644635014</v>
      </c>
      <c r="D469" s="1">
        <f t="shared" si="7"/>
        <v>369921.95026498602</v>
      </c>
      <c r="E469" s="1">
        <v>18</v>
      </c>
      <c r="F469" s="1">
        <v>10</v>
      </c>
      <c r="G469" s="1">
        <v>7</v>
      </c>
      <c r="H469" s="1">
        <v>0</v>
      </c>
      <c r="I469" s="1">
        <v>1</v>
      </c>
      <c r="J469" s="1">
        <v>0</v>
      </c>
      <c r="K469" s="1">
        <v>0</v>
      </c>
      <c r="L469" s="1">
        <v>0</v>
      </c>
      <c r="M469" s="1">
        <v>0</v>
      </c>
    </row>
    <row r="470" spans="1:13">
      <c r="A470" s="1">
        <v>469</v>
      </c>
      <c r="B470" s="1">
        <v>908697.46889999998</v>
      </c>
      <c r="C470" s="1">
        <v>531589.97686138202</v>
      </c>
      <c r="D470" s="1">
        <f t="shared" si="7"/>
        <v>377107.49203861796</v>
      </c>
      <c r="E470" s="1">
        <v>14</v>
      </c>
      <c r="F470" s="1">
        <v>16</v>
      </c>
      <c r="G470" s="1">
        <v>5</v>
      </c>
      <c r="H470" s="1">
        <v>0</v>
      </c>
      <c r="I470" s="1">
        <v>0</v>
      </c>
      <c r="J470" s="1">
        <v>0</v>
      </c>
      <c r="K470" s="1">
        <v>1</v>
      </c>
      <c r="L470" s="1">
        <v>1</v>
      </c>
      <c r="M470" s="1">
        <v>0</v>
      </c>
    </row>
    <row r="471" spans="1:13">
      <c r="A471" s="1">
        <v>470</v>
      </c>
      <c r="B471" s="1">
        <v>872923.51890000002</v>
      </c>
      <c r="C471" s="1">
        <v>3027403.0993501935</v>
      </c>
      <c r="D471" s="1">
        <f t="shared" si="7"/>
        <v>-2154479.5804501935</v>
      </c>
      <c r="E471" s="1">
        <v>9</v>
      </c>
      <c r="F471" s="1">
        <v>22</v>
      </c>
      <c r="G471" s="1">
        <v>4</v>
      </c>
      <c r="H471" s="1">
        <v>0</v>
      </c>
      <c r="I471" s="1">
        <v>0</v>
      </c>
      <c r="J471" s="1">
        <v>1</v>
      </c>
      <c r="K471" s="1">
        <v>1</v>
      </c>
      <c r="L471" s="1">
        <v>0</v>
      </c>
      <c r="M471" s="1">
        <v>0</v>
      </c>
    </row>
    <row r="472" spans="1:13">
      <c r="A472" s="1">
        <v>471</v>
      </c>
      <c r="B472" s="1">
        <v>974382.54799999995</v>
      </c>
      <c r="C472" s="1">
        <v>680778.00996155606</v>
      </c>
      <c r="D472" s="1">
        <f t="shared" si="7"/>
        <v>293604.53803844389</v>
      </c>
      <c r="E472" s="1">
        <v>16</v>
      </c>
      <c r="F472" s="1">
        <v>12</v>
      </c>
      <c r="G472" s="1">
        <v>7</v>
      </c>
      <c r="H472" s="1">
        <v>2</v>
      </c>
      <c r="I472" s="1">
        <v>0</v>
      </c>
      <c r="J472" s="1">
        <v>1</v>
      </c>
      <c r="K472" s="1">
        <v>1</v>
      </c>
      <c r="L472" s="1">
        <v>0</v>
      </c>
      <c r="M472" s="1">
        <v>0</v>
      </c>
    </row>
    <row r="473" spans="1:13">
      <c r="A473" s="1">
        <v>472</v>
      </c>
      <c r="B473" s="1">
        <v>865574.73569999996</v>
      </c>
      <c r="C473" s="1">
        <v>868552.39047984465</v>
      </c>
      <c r="D473" s="1">
        <f t="shared" si="7"/>
        <v>-2977.6547798446845</v>
      </c>
      <c r="E473" s="1">
        <v>17</v>
      </c>
      <c r="F473" s="1">
        <v>12</v>
      </c>
      <c r="G473" s="1">
        <v>6</v>
      </c>
      <c r="H473" s="1">
        <v>2</v>
      </c>
      <c r="I473" s="1">
        <v>0</v>
      </c>
      <c r="J473" s="1">
        <v>1</v>
      </c>
      <c r="K473" s="1">
        <v>1</v>
      </c>
      <c r="L473" s="1">
        <v>0</v>
      </c>
      <c r="M473" s="1">
        <v>1</v>
      </c>
    </row>
    <row r="474" spans="1:13">
      <c r="A474" s="1">
        <v>473</v>
      </c>
      <c r="B474" s="1">
        <v>966299.7132</v>
      </c>
      <c r="C474" s="1">
        <v>645024.80484881147</v>
      </c>
      <c r="D474" s="1">
        <f t="shared" si="7"/>
        <v>321274.90835118853</v>
      </c>
      <c r="E474" s="1">
        <v>11</v>
      </c>
      <c r="F474" s="1">
        <v>17</v>
      </c>
      <c r="G474" s="1">
        <v>7</v>
      </c>
      <c r="H474" s="1">
        <v>2</v>
      </c>
      <c r="I474" s="1">
        <v>0</v>
      </c>
      <c r="J474" s="1">
        <v>0</v>
      </c>
      <c r="K474" s="1">
        <v>2</v>
      </c>
      <c r="L474" s="1">
        <v>0</v>
      </c>
      <c r="M474" s="1">
        <v>0</v>
      </c>
    </row>
    <row r="475" spans="1:13">
      <c r="A475" s="1">
        <v>474</v>
      </c>
      <c r="B475" s="1">
        <v>949649.15269999998</v>
      </c>
      <c r="C475" s="1">
        <v>1291813.0938948747</v>
      </c>
      <c r="D475" s="1">
        <f t="shared" si="7"/>
        <v>-342163.9411948747</v>
      </c>
      <c r="E475" s="1">
        <v>19</v>
      </c>
      <c r="F475" s="1">
        <v>12</v>
      </c>
      <c r="G475" s="1">
        <v>4</v>
      </c>
      <c r="H475" s="1">
        <v>0</v>
      </c>
      <c r="I475" s="1">
        <v>1</v>
      </c>
      <c r="J475" s="1">
        <v>0</v>
      </c>
      <c r="K475" s="1">
        <v>1</v>
      </c>
      <c r="L475" s="1">
        <v>0</v>
      </c>
      <c r="M475" s="1">
        <v>1</v>
      </c>
    </row>
    <row r="476" spans="1:13">
      <c r="A476" s="1">
        <v>475</v>
      </c>
      <c r="B476" s="1">
        <v>876251.23329999996</v>
      </c>
      <c r="C476" s="1">
        <v>1098712.4844985125</v>
      </c>
      <c r="D476" s="1">
        <f t="shared" si="7"/>
        <v>-222461.2511985125</v>
      </c>
      <c r="E476" s="1">
        <v>23</v>
      </c>
      <c r="F476" s="1">
        <v>8</v>
      </c>
      <c r="G476" s="1">
        <v>4</v>
      </c>
      <c r="H476" s="1">
        <v>1</v>
      </c>
      <c r="I476" s="1">
        <v>1</v>
      </c>
      <c r="J476" s="1">
        <v>2</v>
      </c>
      <c r="K476" s="1">
        <v>0</v>
      </c>
      <c r="L476" s="1">
        <v>0</v>
      </c>
      <c r="M476" s="1">
        <v>0</v>
      </c>
    </row>
    <row r="477" spans="1:13">
      <c r="A477" s="1">
        <v>476</v>
      </c>
      <c r="B477" s="1">
        <v>987741.98510000005</v>
      </c>
      <c r="C477" s="1">
        <v>1099264.9693743677</v>
      </c>
      <c r="D477" s="1">
        <f t="shared" si="7"/>
        <v>-111522.98427436769</v>
      </c>
      <c r="E477" s="1">
        <v>12</v>
      </c>
      <c r="F477" s="1">
        <v>19</v>
      </c>
      <c r="G477" s="1">
        <v>4</v>
      </c>
      <c r="H477" s="1">
        <v>2</v>
      </c>
      <c r="I477" s="1">
        <v>0</v>
      </c>
      <c r="J477" s="1">
        <v>1</v>
      </c>
      <c r="K477" s="1">
        <v>0</v>
      </c>
      <c r="L477" s="1">
        <v>0</v>
      </c>
      <c r="M477" s="1">
        <v>1</v>
      </c>
    </row>
    <row r="478" spans="1:13">
      <c r="A478" s="1">
        <v>477</v>
      </c>
      <c r="B478" s="1">
        <v>867063.74679999996</v>
      </c>
      <c r="C478" s="1">
        <v>1659863.906272118</v>
      </c>
      <c r="D478" s="1">
        <f t="shared" si="7"/>
        <v>-792800.15947211802</v>
      </c>
      <c r="E478" s="1">
        <v>17</v>
      </c>
      <c r="F478" s="1">
        <v>10</v>
      </c>
      <c r="G478" s="1">
        <v>8</v>
      </c>
      <c r="H478" s="1">
        <v>0</v>
      </c>
      <c r="I478" s="1">
        <v>1</v>
      </c>
      <c r="J478" s="1">
        <v>0</v>
      </c>
      <c r="K478" s="1">
        <v>0</v>
      </c>
      <c r="L478" s="1">
        <v>0</v>
      </c>
      <c r="M478" s="1">
        <v>1</v>
      </c>
    </row>
    <row r="479" spans="1:13">
      <c r="A479" s="1">
        <v>478</v>
      </c>
      <c r="B479" s="1">
        <v>863269.64919999999</v>
      </c>
      <c r="C479" s="1">
        <v>641899.12122855335</v>
      </c>
      <c r="D479" s="1">
        <f t="shared" si="7"/>
        <v>221370.52797144663</v>
      </c>
      <c r="E479" s="1">
        <v>16</v>
      </c>
      <c r="F479" s="1">
        <v>15</v>
      </c>
      <c r="G479" s="1">
        <v>4</v>
      </c>
      <c r="H479" s="1">
        <v>0</v>
      </c>
      <c r="I479" s="1">
        <v>0</v>
      </c>
      <c r="J479" s="1">
        <v>1</v>
      </c>
      <c r="K479" s="1">
        <v>0</v>
      </c>
      <c r="L479" s="1">
        <v>1</v>
      </c>
      <c r="M479" s="1">
        <v>1</v>
      </c>
    </row>
    <row r="480" spans="1:13">
      <c r="A480" s="1">
        <v>479</v>
      </c>
      <c r="B480" s="1">
        <v>911454.68949999998</v>
      </c>
      <c r="C480" s="1">
        <v>1234628.0879566814</v>
      </c>
      <c r="D480" s="1">
        <f t="shared" si="7"/>
        <v>-323173.3984566814</v>
      </c>
      <c r="E480" s="1">
        <v>8</v>
      </c>
      <c r="F480" s="1">
        <v>21</v>
      </c>
      <c r="G480" s="1">
        <v>6</v>
      </c>
      <c r="H480" s="1">
        <v>0</v>
      </c>
      <c r="I480" s="1">
        <v>0</v>
      </c>
      <c r="J480" s="1">
        <v>0</v>
      </c>
      <c r="K480" s="1">
        <v>0</v>
      </c>
      <c r="L480" s="1">
        <v>0</v>
      </c>
      <c r="M480" s="1">
        <v>0</v>
      </c>
    </row>
    <row r="481" spans="1:13">
      <c r="A481" s="1">
        <v>480</v>
      </c>
      <c r="B481" s="1">
        <v>868472.32790000003</v>
      </c>
      <c r="C481" s="1">
        <v>687400.75320381706</v>
      </c>
      <c r="D481" s="1">
        <f t="shared" si="7"/>
        <v>181071.57469618297</v>
      </c>
      <c r="E481" s="1">
        <v>17</v>
      </c>
      <c r="F481" s="1">
        <v>14</v>
      </c>
      <c r="G481" s="1">
        <v>4</v>
      </c>
      <c r="H481" s="1">
        <v>1</v>
      </c>
      <c r="I481" s="1">
        <v>0</v>
      </c>
      <c r="J481" s="1">
        <v>0</v>
      </c>
      <c r="K481" s="1">
        <v>1</v>
      </c>
      <c r="L481" s="1">
        <v>0</v>
      </c>
      <c r="M481" s="1">
        <v>0</v>
      </c>
    </row>
    <row r="482" spans="1:13">
      <c r="A482" s="1">
        <v>481</v>
      </c>
      <c r="B482" s="1">
        <v>880894.19010000001</v>
      </c>
      <c r="C482" s="1">
        <v>668214.92455606756</v>
      </c>
      <c r="D482" s="1">
        <f t="shared" si="7"/>
        <v>212679.26554393244</v>
      </c>
      <c r="E482" s="1">
        <v>7</v>
      </c>
      <c r="F482" s="1">
        <v>24</v>
      </c>
      <c r="G482" s="1">
        <v>4</v>
      </c>
      <c r="H482" s="1">
        <v>0</v>
      </c>
      <c r="I482" s="1">
        <v>0</v>
      </c>
      <c r="J482" s="1">
        <v>0</v>
      </c>
      <c r="K482" s="1">
        <v>0</v>
      </c>
      <c r="L482" s="1">
        <v>0</v>
      </c>
      <c r="M482" s="1">
        <v>0</v>
      </c>
    </row>
    <row r="483" spans="1:13">
      <c r="A483" s="1">
        <v>482</v>
      </c>
      <c r="B483" s="1">
        <v>987637.38280000002</v>
      </c>
      <c r="C483" s="1">
        <v>776104.69494737824</v>
      </c>
      <c r="D483" s="1">
        <f t="shared" si="7"/>
        <v>211532.68785262178</v>
      </c>
      <c r="E483" s="1">
        <v>14</v>
      </c>
      <c r="F483" s="1">
        <v>15</v>
      </c>
      <c r="G483" s="1">
        <v>6</v>
      </c>
      <c r="H483" s="1">
        <v>1</v>
      </c>
      <c r="I483" s="1">
        <v>0</v>
      </c>
      <c r="J483" s="1">
        <v>0</v>
      </c>
      <c r="K483" s="1">
        <v>0</v>
      </c>
      <c r="L483" s="1">
        <v>1</v>
      </c>
      <c r="M483" s="1">
        <v>0</v>
      </c>
    </row>
    <row r="484" spans="1:13">
      <c r="A484" s="1">
        <v>483</v>
      </c>
      <c r="B484" s="1">
        <v>1009263.1048</v>
      </c>
      <c r="C484" s="1">
        <v>920779.42882649018</v>
      </c>
      <c r="D484" s="1">
        <f t="shared" si="7"/>
        <v>88483.675973509788</v>
      </c>
      <c r="E484" s="1">
        <v>15</v>
      </c>
      <c r="F484" s="1">
        <v>17</v>
      </c>
      <c r="G484" s="1">
        <v>3</v>
      </c>
      <c r="H484" s="1">
        <v>1</v>
      </c>
      <c r="I484" s="1">
        <v>0</v>
      </c>
      <c r="J484" s="1">
        <v>0</v>
      </c>
      <c r="K484" s="1">
        <v>1</v>
      </c>
      <c r="L484" s="1">
        <v>0</v>
      </c>
      <c r="M484" s="1">
        <v>0</v>
      </c>
    </row>
    <row r="485" spans="1:13">
      <c r="A485" s="1">
        <v>484</v>
      </c>
      <c r="B485" s="1">
        <v>972298.2156</v>
      </c>
      <c r="C485" s="1">
        <v>835180.28669217683</v>
      </c>
      <c r="D485" s="1">
        <f t="shared" si="7"/>
        <v>137117.92890782317</v>
      </c>
      <c r="E485" s="1">
        <v>12</v>
      </c>
      <c r="F485" s="1">
        <v>17</v>
      </c>
      <c r="G485" s="1">
        <v>6</v>
      </c>
      <c r="H485" s="1">
        <v>2</v>
      </c>
      <c r="I485" s="1">
        <v>0</v>
      </c>
      <c r="J485" s="1">
        <v>0</v>
      </c>
      <c r="K485" s="1">
        <v>1</v>
      </c>
      <c r="L485" s="1">
        <v>1</v>
      </c>
      <c r="M485" s="1">
        <v>0</v>
      </c>
    </row>
    <row r="486" spans="1:13">
      <c r="A486" s="1">
        <v>485</v>
      </c>
      <c r="B486" s="1">
        <v>932119.88</v>
      </c>
      <c r="C486" s="1">
        <v>706998.61220344692</v>
      </c>
      <c r="D486" s="1">
        <f t="shared" si="7"/>
        <v>225121.26779655309</v>
      </c>
      <c r="E486" s="1">
        <v>20</v>
      </c>
      <c r="F486" s="1">
        <v>10</v>
      </c>
      <c r="G486" s="1">
        <v>5</v>
      </c>
      <c r="H486" s="1">
        <v>1</v>
      </c>
      <c r="I486" s="1">
        <v>0</v>
      </c>
      <c r="J486" s="1">
        <v>0</v>
      </c>
      <c r="K486" s="1">
        <v>2</v>
      </c>
      <c r="L486" s="1">
        <v>0</v>
      </c>
      <c r="M486" s="1">
        <v>1</v>
      </c>
    </row>
    <row r="487" spans="1:13">
      <c r="A487" s="1">
        <v>486</v>
      </c>
      <c r="B487" s="1">
        <v>882536.87490000005</v>
      </c>
      <c r="C487" s="1">
        <v>1189591.3842430054</v>
      </c>
      <c r="D487" s="1">
        <f t="shared" si="7"/>
        <v>-307054.50934300537</v>
      </c>
      <c r="E487" s="1">
        <v>15</v>
      </c>
      <c r="F487" s="1">
        <v>13</v>
      </c>
      <c r="G487" s="1">
        <v>7</v>
      </c>
      <c r="H487" s="1">
        <v>0</v>
      </c>
      <c r="I487" s="1">
        <v>0</v>
      </c>
      <c r="J487" s="1">
        <v>1</v>
      </c>
      <c r="K487" s="1">
        <v>0</v>
      </c>
      <c r="L487" s="1">
        <v>0</v>
      </c>
      <c r="M487" s="1">
        <v>0</v>
      </c>
    </row>
    <row r="488" spans="1:13">
      <c r="A488" s="1">
        <v>487</v>
      </c>
      <c r="B488" s="1">
        <v>921746.23880000005</v>
      </c>
      <c r="C488" s="1">
        <v>782790.53589463746</v>
      </c>
      <c r="D488" s="1">
        <f t="shared" si="7"/>
        <v>138955.70290536259</v>
      </c>
      <c r="E488" s="1">
        <v>8</v>
      </c>
      <c r="F488" s="1">
        <v>20</v>
      </c>
      <c r="G488" s="1">
        <v>7</v>
      </c>
      <c r="H488" s="1">
        <v>2</v>
      </c>
      <c r="I488" s="1">
        <v>0</v>
      </c>
      <c r="J488" s="1">
        <v>0</v>
      </c>
      <c r="K488" s="1">
        <v>1</v>
      </c>
      <c r="L488" s="1">
        <v>0</v>
      </c>
      <c r="M488" s="1">
        <v>1</v>
      </c>
    </row>
    <row r="489" spans="1:13">
      <c r="A489" s="1">
        <v>488</v>
      </c>
      <c r="B489" s="1">
        <v>961798.4719</v>
      </c>
      <c r="C489" s="1">
        <v>906806.51492682344</v>
      </c>
      <c r="D489" s="1">
        <f t="shared" si="7"/>
        <v>54991.956973176566</v>
      </c>
      <c r="E489" s="1">
        <v>16</v>
      </c>
      <c r="F489" s="1">
        <v>14</v>
      </c>
      <c r="G489" s="1">
        <v>5</v>
      </c>
      <c r="H489" s="1">
        <v>1</v>
      </c>
      <c r="I489" s="1">
        <v>0</v>
      </c>
      <c r="J489" s="1">
        <v>1</v>
      </c>
      <c r="K489" s="1">
        <v>0</v>
      </c>
      <c r="L489" s="1">
        <v>0</v>
      </c>
      <c r="M489" s="1">
        <v>1</v>
      </c>
    </row>
    <row r="490" spans="1:13">
      <c r="A490" s="1">
        <v>489</v>
      </c>
      <c r="B490" s="1">
        <v>927960.64639999997</v>
      </c>
      <c r="C490" s="1">
        <v>788069.82358053396</v>
      </c>
      <c r="D490" s="1">
        <f t="shared" si="7"/>
        <v>139890.822819466</v>
      </c>
      <c r="E490" s="1">
        <v>15</v>
      </c>
      <c r="F490" s="1">
        <v>16</v>
      </c>
      <c r="G490" s="1">
        <v>4</v>
      </c>
      <c r="H490" s="1">
        <v>1</v>
      </c>
      <c r="I490" s="1">
        <v>0</v>
      </c>
      <c r="J490" s="1">
        <v>0</v>
      </c>
      <c r="K490" s="1">
        <v>0</v>
      </c>
      <c r="L490" s="1">
        <v>0</v>
      </c>
      <c r="M490" s="1">
        <v>0</v>
      </c>
    </row>
    <row r="491" spans="1:13">
      <c r="A491" s="1">
        <v>490</v>
      </c>
      <c r="B491" s="1">
        <v>918347.16130000004</v>
      </c>
      <c r="C491" s="1">
        <v>958199.55024631124</v>
      </c>
      <c r="D491" s="1">
        <f t="shared" si="7"/>
        <v>-39852.388946311199</v>
      </c>
      <c r="E491" s="1">
        <v>20</v>
      </c>
      <c r="F491" s="1">
        <v>11</v>
      </c>
      <c r="G491" s="1">
        <v>4</v>
      </c>
      <c r="H491" s="1">
        <v>2</v>
      </c>
      <c r="I491" s="1">
        <v>0</v>
      </c>
      <c r="J491" s="1">
        <v>1</v>
      </c>
      <c r="K491" s="1">
        <v>1</v>
      </c>
      <c r="L491" s="1">
        <v>0</v>
      </c>
      <c r="M491" s="1">
        <v>1</v>
      </c>
    </row>
    <row r="492" spans="1:13">
      <c r="A492" s="1">
        <v>491</v>
      </c>
      <c r="B492" s="1">
        <v>901532.53599999996</v>
      </c>
      <c r="C492" s="1">
        <v>519058.33486732468</v>
      </c>
      <c r="D492" s="1">
        <f t="shared" si="7"/>
        <v>382474.20113267528</v>
      </c>
      <c r="E492" s="1">
        <v>18</v>
      </c>
      <c r="F492" s="1">
        <v>12</v>
      </c>
      <c r="G492" s="1">
        <v>5</v>
      </c>
      <c r="H492" s="1">
        <v>0</v>
      </c>
      <c r="I492" s="1">
        <v>0</v>
      </c>
      <c r="J492" s="1">
        <v>2</v>
      </c>
      <c r="K492" s="1">
        <v>0</v>
      </c>
      <c r="L492" s="1">
        <v>0</v>
      </c>
      <c r="M492" s="1">
        <v>0</v>
      </c>
    </row>
    <row r="493" spans="1:13">
      <c r="A493" s="1">
        <v>492</v>
      </c>
      <c r="B493" s="1">
        <v>853272.33050000004</v>
      </c>
      <c r="C493" s="1">
        <v>950560.33974720107</v>
      </c>
      <c r="D493" s="1">
        <f t="shared" si="7"/>
        <v>-97288.009247201029</v>
      </c>
      <c r="E493" s="1">
        <v>19</v>
      </c>
      <c r="F493" s="1">
        <v>11</v>
      </c>
      <c r="G493" s="1">
        <v>5</v>
      </c>
      <c r="H493" s="1">
        <v>1</v>
      </c>
      <c r="I493" s="1">
        <v>0</v>
      </c>
      <c r="J493" s="1">
        <v>0</v>
      </c>
      <c r="K493" s="1">
        <v>1</v>
      </c>
      <c r="L493" s="1">
        <v>0</v>
      </c>
      <c r="M493" s="1">
        <v>1</v>
      </c>
    </row>
    <row r="494" spans="1:13">
      <c r="A494" s="1">
        <v>493</v>
      </c>
      <c r="B494" s="1">
        <v>973164.17079999996</v>
      </c>
      <c r="C494" s="1">
        <v>575316.37239814457</v>
      </c>
      <c r="D494" s="1">
        <f t="shared" si="7"/>
        <v>397847.7984018554</v>
      </c>
      <c r="E494" s="1">
        <v>11</v>
      </c>
      <c r="F494" s="1">
        <v>18</v>
      </c>
      <c r="G494" s="1">
        <v>6</v>
      </c>
      <c r="H494" s="1">
        <v>0</v>
      </c>
      <c r="I494" s="1">
        <v>0</v>
      </c>
      <c r="J494" s="1">
        <v>1</v>
      </c>
      <c r="K494" s="1">
        <v>0</v>
      </c>
      <c r="L494" s="1">
        <v>0</v>
      </c>
      <c r="M494" s="1">
        <v>0</v>
      </c>
    </row>
    <row r="495" spans="1:13">
      <c r="A495" s="1">
        <v>494</v>
      </c>
      <c r="B495" s="1">
        <v>1020905.8033</v>
      </c>
      <c r="C495" s="1">
        <v>1217946.6791546482</v>
      </c>
      <c r="D495" s="1">
        <f t="shared" si="7"/>
        <v>-197040.87585464818</v>
      </c>
      <c r="E495" s="1">
        <v>12</v>
      </c>
      <c r="F495" s="1">
        <v>18</v>
      </c>
      <c r="G495" s="1">
        <v>5</v>
      </c>
      <c r="H495" s="1">
        <v>1</v>
      </c>
      <c r="I495" s="1">
        <v>1</v>
      </c>
      <c r="J495" s="1">
        <v>1</v>
      </c>
      <c r="K495" s="1">
        <v>0</v>
      </c>
      <c r="L495" s="1">
        <v>0</v>
      </c>
      <c r="M495" s="1">
        <v>0</v>
      </c>
    </row>
    <row r="496" spans="1:13">
      <c r="A496" s="1">
        <v>495</v>
      </c>
      <c r="B496" s="1">
        <v>848962.44799999997</v>
      </c>
      <c r="C496" s="1">
        <v>1618443.3970990516</v>
      </c>
      <c r="D496" s="1">
        <f t="shared" si="7"/>
        <v>-769480.94909905165</v>
      </c>
      <c r="E496" s="1">
        <v>9</v>
      </c>
      <c r="F496" s="1">
        <v>22</v>
      </c>
      <c r="G496" s="1">
        <v>4</v>
      </c>
      <c r="H496" s="1">
        <v>2</v>
      </c>
      <c r="I496" s="1">
        <v>0</v>
      </c>
      <c r="J496" s="1">
        <v>0</v>
      </c>
      <c r="K496" s="1">
        <v>1</v>
      </c>
      <c r="L496" s="1">
        <v>1</v>
      </c>
      <c r="M496" s="1">
        <v>1</v>
      </c>
    </row>
    <row r="497" spans="1:13">
      <c r="A497" s="1">
        <v>496</v>
      </c>
      <c r="B497" s="1">
        <v>890141.31090000004</v>
      </c>
      <c r="C497" s="1">
        <v>727895.81982916337</v>
      </c>
      <c r="D497" s="1">
        <f t="shared" si="7"/>
        <v>162245.49107083667</v>
      </c>
      <c r="E497" s="1">
        <v>10</v>
      </c>
      <c r="F497" s="1">
        <v>20</v>
      </c>
      <c r="G497" s="1">
        <v>5</v>
      </c>
      <c r="H497" s="1">
        <v>2</v>
      </c>
      <c r="I497" s="1">
        <v>0</v>
      </c>
      <c r="J497" s="1">
        <v>0</v>
      </c>
      <c r="K497" s="1">
        <v>2</v>
      </c>
      <c r="L497" s="1">
        <v>0</v>
      </c>
      <c r="M497" s="1">
        <v>0</v>
      </c>
    </row>
    <row r="498" spans="1:13">
      <c r="A498" s="1">
        <v>497</v>
      </c>
      <c r="B498" s="1">
        <v>1020847.0472</v>
      </c>
      <c r="C498" s="1">
        <v>945953.84316860978</v>
      </c>
      <c r="D498" s="1">
        <f t="shared" si="7"/>
        <v>74893.204031390254</v>
      </c>
      <c r="E498" s="1">
        <v>10</v>
      </c>
      <c r="F498" s="1">
        <v>20</v>
      </c>
      <c r="G498" s="1">
        <v>5</v>
      </c>
      <c r="H498" s="1">
        <v>0</v>
      </c>
      <c r="I498" s="1">
        <v>0</v>
      </c>
      <c r="J498" s="1">
        <v>0</v>
      </c>
      <c r="K498" s="1">
        <v>1</v>
      </c>
      <c r="L498" s="1">
        <v>0</v>
      </c>
      <c r="M498" s="1">
        <v>0</v>
      </c>
    </row>
    <row r="499" spans="1:13">
      <c r="A499" s="1">
        <v>498</v>
      </c>
      <c r="B499" s="1">
        <v>908501.61640000006</v>
      </c>
      <c r="C499" s="1">
        <v>695023.13218314259</v>
      </c>
      <c r="D499" s="1">
        <f t="shared" si="7"/>
        <v>213478.48421685747</v>
      </c>
      <c r="E499" s="1">
        <v>13</v>
      </c>
      <c r="F499" s="1">
        <v>14</v>
      </c>
      <c r="G499" s="1">
        <v>8</v>
      </c>
      <c r="H499" s="1">
        <v>0</v>
      </c>
      <c r="I499" s="1">
        <v>0</v>
      </c>
      <c r="J499" s="1">
        <v>0</v>
      </c>
      <c r="K499" s="1">
        <v>1</v>
      </c>
      <c r="L499" s="1">
        <v>1</v>
      </c>
      <c r="M499" s="1">
        <v>0</v>
      </c>
    </row>
    <row r="500" spans="1:13">
      <c r="A500" s="1">
        <v>499</v>
      </c>
      <c r="B500" s="1">
        <v>927324.86739999999</v>
      </c>
      <c r="C500" s="1">
        <v>742889.20585396583</v>
      </c>
      <c r="D500" s="1">
        <f t="shared" si="7"/>
        <v>184435.66154603416</v>
      </c>
      <c r="E500" s="1">
        <v>11</v>
      </c>
      <c r="F500" s="1">
        <v>20</v>
      </c>
      <c r="G500" s="1">
        <v>4</v>
      </c>
      <c r="H500" s="1">
        <v>2</v>
      </c>
      <c r="I500" s="1">
        <v>0</v>
      </c>
      <c r="J500" s="1">
        <v>1</v>
      </c>
      <c r="K500" s="1">
        <v>1</v>
      </c>
      <c r="L500" s="1">
        <v>0</v>
      </c>
      <c r="M500" s="1">
        <v>0</v>
      </c>
    </row>
    <row r="501" spans="1:13">
      <c r="A501" s="1">
        <v>500</v>
      </c>
      <c r="B501" s="1">
        <v>987801.64879999997</v>
      </c>
      <c r="C501" s="1">
        <v>1156995.3377783587</v>
      </c>
      <c r="D501" s="1">
        <f t="shared" si="7"/>
        <v>-169193.68897835875</v>
      </c>
      <c r="E501" s="1">
        <v>11</v>
      </c>
      <c r="F501" s="1">
        <v>19</v>
      </c>
      <c r="G501" s="1">
        <v>5</v>
      </c>
      <c r="H501" s="1">
        <v>1</v>
      </c>
      <c r="I501" s="1">
        <v>1</v>
      </c>
      <c r="J501" s="1">
        <v>1</v>
      </c>
      <c r="K501" s="1">
        <v>1</v>
      </c>
      <c r="L501" s="1">
        <v>0</v>
      </c>
      <c r="M501" s="1">
        <v>1</v>
      </c>
    </row>
    <row r="502" spans="1:13">
      <c r="A502" s="1">
        <v>501</v>
      </c>
      <c r="B502" s="1">
        <v>1040595.8811</v>
      </c>
      <c r="C502" s="1">
        <v>1087117.869243768</v>
      </c>
      <c r="D502" s="1">
        <f t="shared" si="7"/>
        <v>-46521.988143768045</v>
      </c>
      <c r="E502" s="1">
        <v>7</v>
      </c>
      <c r="F502" s="1">
        <v>20</v>
      </c>
      <c r="G502" s="1">
        <v>8</v>
      </c>
      <c r="H502" s="1">
        <v>2</v>
      </c>
      <c r="I502" s="1">
        <v>0</v>
      </c>
      <c r="J502" s="1">
        <v>0</v>
      </c>
      <c r="K502" s="1">
        <v>1</v>
      </c>
      <c r="L502" s="1">
        <v>0</v>
      </c>
      <c r="M502" s="1">
        <v>0</v>
      </c>
    </row>
    <row r="503" spans="1:13">
      <c r="A503" s="1">
        <v>502</v>
      </c>
      <c r="B503" s="1">
        <v>926376.51410000003</v>
      </c>
      <c r="C503" s="1">
        <v>654942.63089584117</v>
      </c>
      <c r="D503" s="1">
        <f t="shared" si="7"/>
        <v>271433.88320415886</v>
      </c>
      <c r="E503" s="1">
        <v>17</v>
      </c>
      <c r="F503" s="1">
        <v>12</v>
      </c>
      <c r="G503" s="1">
        <v>6</v>
      </c>
      <c r="H503" s="1">
        <v>0</v>
      </c>
      <c r="I503" s="1">
        <v>0</v>
      </c>
      <c r="J503" s="1">
        <v>0</v>
      </c>
      <c r="K503" s="1">
        <v>0</v>
      </c>
      <c r="L503" s="1">
        <v>0</v>
      </c>
      <c r="M503" s="1">
        <v>0</v>
      </c>
    </row>
    <row r="504" spans="1:13">
      <c r="A504" s="1">
        <v>503</v>
      </c>
      <c r="B504" s="1">
        <v>1095420.719</v>
      </c>
      <c r="C504" s="1">
        <v>1151718.0142071629</v>
      </c>
      <c r="D504" s="1">
        <f t="shared" si="7"/>
        <v>-56297.295207162853</v>
      </c>
      <c r="E504" s="1">
        <v>10</v>
      </c>
      <c r="F504" s="1">
        <v>18</v>
      </c>
      <c r="G504" s="1">
        <v>7</v>
      </c>
      <c r="H504" s="1">
        <v>1</v>
      </c>
      <c r="I504" s="1">
        <v>0</v>
      </c>
      <c r="J504" s="1">
        <v>0</v>
      </c>
      <c r="K504" s="1">
        <v>1</v>
      </c>
      <c r="L504" s="1">
        <v>0</v>
      </c>
      <c r="M504" s="1">
        <v>0</v>
      </c>
    </row>
    <row r="505" spans="1:13">
      <c r="A505" s="1">
        <v>504</v>
      </c>
      <c r="B505" s="1">
        <v>965765.7</v>
      </c>
      <c r="C505" s="1">
        <v>566478.77835924306</v>
      </c>
      <c r="D505" s="1">
        <f t="shared" si="7"/>
        <v>399286.92164075689</v>
      </c>
      <c r="E505" s="1">
        <v>12</v>
      </c>
      <c r="F505" s="1">
        <v>19</v>
      </c>
      <c r="G505" s="1">
        <v>4</v>
      </c>
      <c r="H505" s="1">
        <v>0</v>
      </c>
      <c r="I505" s="1">
        <v>0</v>
      </c>
      <c r="J505" s="1">
        <v>1</v>
      </c>
      <c r="K505" s="1">
        <v>1</v>
      </c>
      <c r="L505" s="1">
        <v>0</v>
      </c>
      <c r="M505" s="1">
        <v>1</v>
      </c>
    </row>
    <row r="506" spans="1:13">
      <c r="A506" s="1">
        <v>505</v>
      </c>
      <c r="B506" s="1">
        <v>937682.91680000001</v>
      </c>
      <c r="C506" s="1">
        <v>759639.992706944</v>
      </c>
      <c r="D506" s="1">
        <f t="shared" si="7"/>
        <v>178042.924093056</v>
      </c>
      <c r="E506" s="1">
        <v>13</v>
      </c>
      <c r="F506" s="1">
        <v>14</v>
      </c>
      <c r="G506" s="1">
        <v>8</v>
      </c>
      <c r="H506" s="1">
        <v>2</v>
      </c>
      <c r="I506" s="1">
        <v>0</v>
      </c>
      <c r="J506" s="1">
        <v>1</v>
      </c>
      <c r="K506" s="1">
        <v>1</v>
      </c>
      <c r="L506" s="1">
        <v>0</v>
      </c>
      <c r="M506" s="1">
        <v>1</v>
      </c>
    </row>
    <row r="507" spans="1:13">
      <c r="A507" s="1">
        <v>506</v>
      </c>
      <c r="B507" s="1">
        <v>983800.44799999997</v>
      </c>
      <c r="C507" s="1">
        <v>752213.64287524566</v>
      </c>
      <c r="D507" s="1">
        <f t="shared" si="7"/>
        <v>231586.80512475432</v>
      </c>
      <c r="E507" s="1">
        <v>12</v>
      </c>
      <c r="F507" s="1">
        <v>16</v>
      </c>
      <c r="G507" s="1">
        <v>7</v>
      </c>
      <c r="H507" s="1">
        <v>0</v>
      </c>
      <c r="I507" s="1">
        <v>0</v>
      </c>
      <c r="J507" s="1">
        <v>1</v>
      </c>
      <c r="K507" s="1">
        <v>0</v>
      </c>
      <c r="L507" s="1">
        <v>0</v>
      </c>
      <c r="M507" s="1">
        <v>0</v>
      </c>
    </row>
    <row r="508" spans="1:13">
      <c r="A508" s="1">
        <v>507</v>
      </c>
      <c r="B508" s="1">
        <v>835748.55740000005</v>
      </c>
      <c r="C508" s="1">
        <v>1029038.3278804296</v>
      </c>
      <c r="D508" s="1">
        <f t="shared" si="7"/>
        <v>-193289.77048042952</v>
      </c>
      <c r="E508" s="1">
        <v>19</v>
      </c>
      <c r="F508" s="1">
        <v>11</v>
      </c>
      <c r="G508" s="1">
        <v>5</v>
      </c>
      <c r="H508" s="1">
        <v>2</v>
      </c>
      <c r="I508" s="1">
        <v>0</v>
      </c>
      <c r="J508" s="1">
        <v>2</v>
      </c>
      <c r="K508" s="1">
        <v>0</v>
      </c>
      <c r="L508" s="1">
        <v>0</v>
      </c>
      <c r="M508" s="1">
        <v>0</v>
      </c>
    </row>
    <row r="509" spans="1:13">
      <c r="A509" s="1">
        <v>508</v>
      </c>
      <c r="B509" s="1">
        <v>878932.30260000005</v>
      </c>
      <c r="C509" s="1">
        <v>766374.53889100254</v>
      </c>
      <c r="D509" s="1">
        <f t="shared" si="7"/>
        <v>112557.76370899752</v>
      </c>
      <c r="E509" s="1">
        <v>15</v>
      </c>
      <c r="F509" s="1">
        <v>13</v>
      </c>
      <c r="G509" s="1">
        <v>7</v>
      </c>
      <c r="H509" s="1">
        <v>1</v>
      </c>
      <c r="I509" s="1">
        <v>0</v>
      </c>
      <c r="J509" s="1">
        <v>0</v>
      </c>
      <c r="K509" s="1">
        <v>2</v>
      </c>
      <c r="L509" s="1">
        <v>0</v>
      </c>
      <c r="M509" s="1">
        <v>1</v>
      </c>
    </row>
    <row r="510" spans="1:13">
      <c r="A510" s="1">
        <v>509</v>
      </c>
      <c r="B510" s="1">
        <v>955848.53390000004</v>
      </c>
      <c r="C510" s="1">
        <v>867431.71539383719</v>
      </c>
      <c r="D510" s="1">
        <f t="shared" si="7"/>
        <v>88416.818506162846</v>
      </c>
      <c r="E510" s="1">
        <v>7</v>
      </c>
      <c r="F510" s="1">
        <v>23</v>
      </c>
      <c r="G510" s="1">
        <v>5</v>
      </c>
      <c r="H510" s="1">
        <v>0</v>
      </c>
      <c r="I510" s="1">
        <v>1</v>
      </c>
      <c r="J510" s="1">
        <v>2</v>
      </c>
      <c r="K510" s="1">
        <v>0</v>
      </c>
      <c r="L510" s="1">
        <v>0</v>
      </c>
      <c r="M510" s="1">
        <v>1</v>
      </c>
    </row>
    <row r="511" spans="1:13">
      <c r="A511" s="1">
        <v>510</v>
      </c>
      <c r="B511" s="1">
        <v>1027091.3656</v>
      </c>
      <c r="C511" s="1">
        <v>977689.31138766895</v>
      </c>
      <c r="D511" s="1">
        <f t="shared" si="7"/>
        <v>49402.054212331073</v>
      </c>
      <c r="E511" s="1">
        <v>6</v>
      </c>
      <c r="F511" s="1">
        <v>23</v>
      </c>
      <c r="G511" s="1">
        <v>6</v>
      </c>
      <c r="H511" s="1">
        <v>0</v>
      </c>
      <c r="I511" s="1">
        <v>0</v>
      </c>
      <c r="J511" s="1">
        <v>2</v>
      </c>
      <c r="K511" s="1">
        <v>0</v>
      </c>
      <c r="L511" s="1">
        <v>0</v>
      </c>
      <c r="M511" s="1">
        <v>1</v>
      </c>
    </row>
    <row r="512" spans="1:13">
      <c r="A512" s="1">
        <v>511</v>
      </c>
      <c r="B512" s="1">
        <v>942719.62659999996</v>
      </c>
      <c r="C512" s="1">
        <v>872680.90876407747</v>
      </c>
      <c r="D512" s="1">
        <f t="shared" si="7"/>
        <v>70038.717835922493</v>
      </c>
      <c r="E512" s="1">
        <v>15</v>
      </c>
      <c r="F512" s="1">
        <v>13</v>
      </c>
      <c r="G512" s="1">
        <v>7</v>
      </c>
      <c r="H512" s="1">
        <v>1</v>
      </c>
      <c r="I512" s="1">
        <v>0</v>
      </c>
      <c r="J512" s="1">
        <v>0</v>
      </c>
      <c r="K512" s="1">
        <v>0</v>
      </c>
      <c r="L512" s="1">
        <v>0</v>
      </c>
      <c r="M512" s="1">
        <v>0</v>
      </c>
    </row>
    <row r="513" spans="1:13">
      <c r="A513" s="1">
        <v>512</v>
      </c>
      <c r="B513" s="1">
        <v>867964.2487</v>
      </c>
      <c r="C513" s="1">
        <v>1064186.4962053383</v>
      </c>
      <c r="D513" s="1">
        <f t="shared" si="7"/>
        <v>-196222.24750533828</v>
      </c>
      <c r="E513" s="1">
        <v>15</v>
      </c>
      <c r="F513" s="1">
        <v>14</v>
      </c>
      <c r="G513" s="1">
        <v>6</v>
      </c>
      <c r="H513" s="1">
        <v>1</v>
      </c>
      <c r="I513" s="1">
        <v>0</v>
      </c>
      <c r="J513" s="1">
        <v>0</v>
      </c>
      <c r="K513" s="1">
        <v>2</v>
      </c>
      <c r="L513" s="1">
        <v>0</v>
      </c>
      <c r="M513" s="1">
        <v>1</v>
      </c>
    </row>
    <row r="514" spans="1:13">
      <c r="A514" s="1">
        <v>513</v>
      </c>
      <c r="B514" s="1">
        <v>909864.09230000002</v>
      </c>
      <c r="C514" s="1">
        <v>759844.76494668378</v>
      </c>
      <c r="D514" s="1">
        <f t="shared" ref="D514:D577" si="8">B514-C514</f>
        <v>150019.32735331624</v>
      </c>
      <c r="E514" s="1">
        <v>15</v>
      </c>
      <c r="F514" s="1">
        <v>18</v>
      </c>
      <c r="G514" s="1">
        <v>2</v>
      </c>
      <c r="H514" s="1">
        <v>0</v>
      </c>
      <c r="I514" s="1">
        <v>0</v>
      </c>
      <c r="J514" s="1">
        <v>1</v>
      </c>
      <c r="K514" s="1">
        <v>0</v>
      </c>
      <c r="L514" s="1">
        <v>0</v>
      </c>
      <c r="M514" s="1">
        <v>0</v>
      </c>
    </row>
    <row r="515" spans="1:13">
      <c r="A515" s="1">
        <v>514</v>
      </c>
      <c r="B515" s="1">
        <v>859168.03619999997</v>
      </c>
      <c r="C515" s="1">
        <v>1791674.6479967735</v>
      </c>
      <c r="D515" s="1">
        <f t="shared" si="8"/>
        <v>-932506.6117967735</v>
      </c>
      <c r="E515" s="1">
        <v>14</v>
      </c>
      <c r="F515" s="1">
        <v>15</v>
      </c>
      <c r="G515" s="1">
        <v>6</v>
      </c>
      <c r="H515" s="1">
        <v>0</v>
      </c>
      <c r="I515" s="1">
        <v>1</v>
      </c>
      <c r="J515" s="1">
        <v>0</v>
      </c>
      <c r="K515" s="1">
        <v>2</v>
      </c>
      <c r="L515" s="1">
        <v>0</v>
      </c>
      <c r="M515" s="1">
        <v>0</v>
      </c>
    </row>
    <row r="516" spans="1:13">
      <c r="A516" s="1">
        <v>515</v>
      </c>
      <c r="B516" s="1">
        <v>989678.4155</v>
      </c>
      <c r="C516" s="1">
        <v>977404.581740906</v>
      </c>
      <c r="D516" s="1">
        <f t="shared" si="8"/>
        <v>12273.833759094006</v>
      </c>
      <c r="E516" s="1">
        <v>10</v>
      </c>
      <c r="F516" s="1">
        <v>19</v>
      </c>
      <c r="G516" s="1">
        <v>6</v>
      </c>
      <c r="H516" s="1">
        <v>1</v>
      </c>
      <c r="I516" s="1">
        <v>0</v>
      </c>
      <c r="J516" s="1">
        <v>1</v>
      </c>
      <c r="K516" s="1">
        <v>0</v>
      </c>
      <c r="L516" s="1">
        <v>0</v>
      </c>
      <c r="M516" s="1">
        <v>0</v>
      </c>
    </row>
    <row r="517" spans="1:13">
      <c r="A517" s="1">
        <v>516</v>
      </c>
      <c r="B517" s="1">
        <v>1026881.2355</v>
      </c>
      <c r="C517" s="1">
        <v>1092351.1616715649</v>
      </c>
      <c r="D517" s="1">
        <f t="shared" si="8"/>
        <v>-65469.926171564963</v>
      </c>
      <c r="E517" s="1">
        <v>10</v>
      </c>
      <c r="F517" s="1">
        <v>20</v>
      </c>
      <c r="G517" s="1">
        <v>5</v>
      </c>
      <c r="H517" s="1">
        <v>1</v>
      </c>
      <c r="I517" s="1">
        <v>0</v>
      </c>
      <c r="J517" s="1">
        <v>2</v>
      </c>
      <c r="K517" s="1">
        <v>0</v>
      </c>
      <c r="L517" s="1">
        <v>0</v>
      </c>
      <c r="M517" s="1">
        <v>0</v>
      </c>
    </row>
    <row r="518" spans="1:13">
      <c r="A518" s="1">
        <v>517</v>
      </c>
      <c r="B518" s="1">
        <v>950450.09340000001</v>
      </c>
      <c r="C518" s="1">
        <v>641501.8911510458</v>
      </c>
      <c r="D518" s="1">
        <f t="shared" si="8"/>
        <v>308948.20224895421</v>
      </c>
      <c r="E518" s="1">
        <v>12</v>
      </c>
      <c r="F518" s="1">
        <v>19</v>
      </c>
      <c r="G518" s="1">
        <v>4</v>
      </c>
      <c r="H518" s="1">
        <v>0</v>
      </c>
      <c r="I518" s="1">
        <v>0</v>
      </c>
      <c r="J518" s="1">
        <v>1</v>
      </c>
      <c r="K518" s="1">
        <v>0</v>
      </c>
      <c r="L518" s="1">
        <v>0</v>
      </c>
      <c r="M518" s="1">
        <v>0</v>
      </c>
    </row>
    <row r="519" spans="1:13">
      <c r="A519" s="1">
        <v>518</v>
      </c>
      <c r="B519" s="1">
        <v>971474.87479999999</v>
      </c>
      <c r="C519" s="1">
        <v>772170.25352904806</v>
      </c>
      <c r="D519" s="1">
        <f t="shared" si="8"/>
        <v>199304.62127095193</v>
      </c>
      <c r="E519" s="1">
        <v>15</v>
      </c>
      <c r="F519" s="1">
        <v>15</v>
      </c>
      <c r="G519" s="1">
        <v>5</v>
      </c>
      <c r="H519" s="1">
        <v>1</v>
      </c>
      <c r="I519" s="1">
        <v>1</v>
      </c>
      <c r="J519" s="1">
        <v>0</v>
      </c>
      <c r="K519" s="1">
        <v>0</v>
      </c>
      <c r="L519" s="1">
        <v>0</v>
      </c>
      <c r="M519" s="1">
        <v>0</v>
      </c>
    </row>
    <row r="520" spans="1:13">
      <c r="A520" s="1">
        <v>519</v>
      </c>
      <c r="B520" s="1">
        <v>938970.74659999995</v>
      </c>
      <c r="C520" s="1">
        <v>974196.65628642763</v>
      </c>
      <c r="D520" s="1">
        <f t="shared" si="8"/>
        <v>-35225.90968642768</v>
      </c>
      <c r="E520" s="1">
        <v>13</v>
      </c>
      <c r="F520" s="1">
        <v>16</v>
      </c>
      <c r="G520" s="1">
        <v>6</v>
      </c>
      <c r="H520" s="1">
        <v>2</v>
      </c>
      <c r="I520" s="1">
        <v>0</v>
      </c>
      <c r="J520" s="1">
        <v>1</v>
      </c>
      <c r="K520" s="1">
        <v>1</v>
      </c>
      <c r="L520" s="1">
        <v>0</v>
      </c>
      <c r="M520" s="1">
        <v>0</v>
      </c>
    </row>
    <row r="521" spans="1:13">
      <c r="A521" s="1">
        <v>520</v>
      </c>
      <c r="B521" s="1">
        <v>883163.19810000004</v>
      </c>
      <c r="C521" s="1">
        <v>875413.06255022064</v>
      </c>
      <c r="D521" s="1">
        <f t="shared" si="8"/>
        <v>7750.1355497793993</v>
      </c>
      <c r="E521" s="1">
        <v>15</v>
      </c>
      <c r="F521" s="1">
        <v>14</v>
      </c>
      <c r="G521" s="1">
        <v>6</v>
      </c>
      <c r="H521" s="1">
        <v>0</v>
      </c>
      <c r="I521" s="1">
        <v>0</v>
      </c>
      <c r="J521" s="1">
        <v>0</v>
      </c>
      <c r="K521" s="1">
        <v>2</v>
      </c>
      <c r="L521" s="1">
        <v>0</v>
      </c>
      <c r="M521" s="1">
        <v>0</v>
      </c>
    </row>
    <row r="522" spans="1:13">
      <c r="A522" s="1">
        <v>521</v>
      </c>
      <c r="B522" s="1">
        <v>870750.45730000001</v>
      </c>
      <c r="C522" s="1">
        <v>866387.16039029858</v>
      </c>
      <c r="D522" s="1">
        <f t="shared" si="8"/>
        <v>4363.2969097014284</v>
      </c>
      <c r="E522" s="1">
        <v>15</v>
      </c>
      <c r="F522" s="1">
        <v>18</v>
      </c>
      <c r="G522" s="1">
        <v>2</v>
      </c>
      <c r="H522" s="1">
        <v>1</v>
      </c>
      <c r="I522" s="1">
        <v>0</v>
      </c>
      <c r="J522" s="1">
        <v>2</v>
      </c>
      <c r="K522" s="1">
        <v>0</v>
      </c>
      <c r="L522" s="1">
        <v>0</v>
      </c>
      <c r="M522" s="1">
        <v>0</v>
      </c>
    </row>
    <row r="523" spans="1:13">
      <c r="A523" s="1">
        <v>522</v>
      </c>
      <c r="B523" s="1">
        <v>967345.86959999998</v>
      </c>
      <c r="C523" s="1">
        <v>785678.74760333868</v>
      </c>
      <c r="D523" s="1">
        <f t="shared" si="8"/>
        <v>181667.1219966613</v>
      </c>
      <c r="E523" s="1">
        <v>9</v>
      </c>
      <c r="F523" s="1">
        <v>22</v>
      </c>
      <c r="G523" s="1">
        <v>4</v>
      </c>
      <c r="H523" s="1">
        <v>1</v>
      </c>
      <c r="I523" s="1">
        <v>1</v>
      </c>
      <c r="J523" s="1">
        <v>0</v>
      </c>
      <c r="K523" s="1">
        <v>1</v>
      </c>
      <c r="L523" s="1">
        <v>1</v>
      </c>
      <c r="M523" s="1">
        <v>0</v>
      </c>
    </row>
    <row r="524" spans="1:13">
      <c r="A524" s="1">
        <v>523</v>
      </c>
      <c r="B524" s="1">
        <v>910606.75699999998</v>
      </c>
      <c r="C524" s="1">
        <v>936996.43632786907</v>
      </c>
      <c r="D524" s="1">
        <f t="shared" si="8"/>
        <v>-26389.679327869089</v>
      </c>
      <c r="E524" s="1">
        <v>18</v>
      </c>
      <c r="F524" s="1">
        <v>12</v>
      </c>
      <c r="G524" s="1">
        <v>5</v>
      </c>
      <c r="H524" s="1">
        <v>0</v>
      </c>
      <c r="I524" s="1">
        <v>0</v>
      </c>
      <c r="J524" s="1">
        <v>1</v>
      </c>
      <c r="K524" s="1">
        <v>1</v>
      </c>
      <c r="L524" s="1">
        <v>0</v>
      </c>
      <c r="M524" s="1">
        <v>1</v>
      </c>
    </row>
    <row r="525" spans="1:13">
      <c r="A525" s="1">
        <v>524</v>
      </c>
      <c r="B525" s="1">
        <v>876890.24380000005</v>
      </c>
      <c r="C525" s="1">
        <v>792426.07887206739</v>
      </c>
      <c r="D525" s="1">
        <f t="shared" si="8"/>
        <v>84464.164927932667</v>
      </c>
      <c r="E525" s="1">
        <v>12</v>
      </c>
      <c r="F525" s="1">
        <v>16</v>
      </c>
      <c r="G525" s="1">
        <v>7</v>
      </c>
      <c r="H525" s="1">
        <v>1</v>
      </c>
      <c r="I525" s="1">
        <v>0</v>
      </c>
      <c r="J525" s="1">
        <v>0</v>
      </c>
      <c r="K525" s="1">
        <v>1</v>
      </c>
      <c r="L525" s="1">
        <v>0</v>
      </c>
      <c r="M525" s="1">
        <v>0</v>
      </c>
    </row>
    <row r="526" spans="1:13">
      <c r="A526" s="1">
        <v>525</v>
      </c>
      <c r="B526" s="1">
        <v>916813.77760000003</v>
      </c>
      <c r="C526" s="1">
        <v>940262.61396491085</v>
      </c>
      <c r="D526" s="1">
        <f t="shared" si="8"/>
        <v>-23448.836364910821</v>
      </c>
      <c r="E526" s="1">
        <v>14</v>
      </c>
      <c r="F526" s="1">
        <v>17</v>
      </c>
      <c r="G526" s="1">
        <v>4</v>
      </c>
      <c r="H526" s="1">
        <v>1</v>
      </c>
      <c r="I526" s="1">
        <v>0</v>
      </c>
      <c r="J526" s="1">
        <v>1</v>
      </c>
      <c r="K526" s="1">
        <v>0</v>
      </c>
      <c r="L526" s="1">
        <v>0</v>
      </c>
      <c r="M526" s="1">
        <v>0</v>
      </c>
    </row>
    <row r="527" spans="1:13">
      <c r="A527" s="1">
        <v>526</v>
      </c>
      <c r="B527" s="1">
        <v>953130.23950000003</v>
      </c>
      <c r="C527" s="1">
        <v>956170.83438513253</v>
      </c>
      <c r="D527" s="1">
        <f t="shared" si="8"/>
        <v>-3040.5948851325084</v>
      </c>
      <c r="E527" s="1">
        <v>16</v>
      </c>
      <c r="F527" s="1">
        <v>16</v>
      </c>
      <c r="G527" s="1">
        <v>3</v>
      </c>
      <c r="H527" s="1">
        <v>0</v>
      </c>
      <c r="I527" s="1">
        <v>0</v>
      </c>
      <c r="J527" s="1">
        <v>0</v>
      </c>
      <c r="K527" s="1">
        <v>0</v>
      </c>
      <c r="L527" s="1">
        <v>0</v>
      </c>
      <c r="M527" s="1">
        <v>0</v>
      </c>
    </row>
    <row r="528" spans="1:13">
      <c r="A528" s="1">
        <v>527</v>
      </c>
      <c r="B528" s="1">
        <v>929354.24479999999</v>
      </c>
      <c r="C528" s="1">
        <v>946532.47861569142</v>
      </c>
      <c r="D528" s="1">
        <f t="shared" si="8"/>
        <v>-17178.233815691434</v>
      </c>
      <c r="E528" s="1">
        <v>20</v>
      </c>
      <c r="F528" s="1">
        <v>10</v>
      </c>
      <c r="G528" s="1">
        <v>5</v>
      </c>
      <c r="H528" s="1">
        <v>1</v>
      </c>
      <c r="I528" s="1">
        <v>0</v>
      </c>
      <c r="J528" s="1">
        <v>0</v>
      </c>
      <c r="K528" s="1">
        <v>1</v>
      </c>
      <c r="L528" s="1">
        <v>0</v>
      </c>
      <c r="M528" s="1">
        <v>1</v>
      </c>
    </row>
    <row r="529" spans="1:13">
      <c r="A529" s="1">
        <v>528</v>
      </c>
      <c r="B529" s="1">
        <v>883663.26410000003</v>
      </c>
      <c r="C529" s="1">
        <v>701176.48379722633</v>
      </c>
      <c r="D529" s="1">
        <f t="shared" si="8"/>
        <v>182486.7803027737</v>
      </c>
      <c r="E529" s="1">
        <v>17</v>
      </c>
      <c r="F529" s="1">
        <v>16</v>
      </c>
      <c r="G529" s="1">
        <v>2</v>
      </c>
      <c r="H529" s="1">
        <v>0</v>
      </c>
      <c r="I529" s="1">
        <v>0</v>
      </c>
      <c r="J529" s="1">
        <v>1</v>
      </c>
      <c r="K529" s="1">
        <v>1</v>
      </c>
      <c r="L529" s="1">
        <v>0</v>
      </c>
      <c r="M529" s="1">
        <v>1</v>
      </c>
    </row>
    <row r="530" spans="1:13">
      <c r="A530" s="1">
        <v>529</v>
      </c>
      <c r="B530" s="1">
        <v>1020025.3379</v>
      </c>
      <c r="C530" s="1">
        <v>679422.15313637129</v>
      </c>
      <c r="D530" s="1">
        <f t="shared" si="8"/>
        <v>340603.18476362876</v>
      </c>
      <c r="E530" s="1">
        <v>15</v>
      </c>
      <c r="F530" s="1">
        <v>14</v>
      </c>
      <c r="G530" s="1">
        <v>6</v>
      </c>
      <c r="H530" s="1">
        <v>1</v>
      </c>
      <c r="I530" s="1">
        <v>0</v>
      </c>
      <c r="J530" s="1">
        <v>1</v>
      </c>
      <c r="K530" s="1">
        <v>1</v>
      </c>
      <c r="L530" s="1">
        <v>0</v>
      </c>
      <c r="M530" s="1">
        <v>0</v>
      </c>
    </row>
    <row r="531" spans="1:13">
      <c r="A531" s="1">
        <v>530</v>
      </c>
      <c r="B531" s="1">
        <v>957700.23179999995</v>
      </c>
      <c r="C531" s="1">
        <v>915845.46653726476</v>
      </c>
      <c r="D531" s="1">
        <f t="shared" si="8"/>
        <v>41854.765262735193</v>
      </c>
      <c r="E531" s="1">
        <v>15</v>
      </c>
      <c r="F531" s="1">
        <v>16</v>
      </c>
      <c r="G531" s="1">
        <v>4</v>
      </c>
      <c r="H531" s="1">
        <v>2</v>
      </c>
      <c r="I531" s="1">
        <v>0</v>
      </c>
      <c r="J531" s="1">
        <v>1</v>
      </c>
      <c r="K531" s="1">
        <v>0</v>
      </c>
      <c r="L531" s="1">
        <v>0</v>
      </c>
      <c r="M531" s="1">
        <v>0</v>
      </c>
    </row>
    <row r="532" spans="1:13">
      <c r="A532" s="1">
        <v>531</v>
      </c>
      <c r="B532" s="1">
        <v>923502.99769999995</v>
      </c>
      <c r="C532" s="1">
        <v>720606.24319012125</v>
      </c>
      <c r="D532" s="1">
        <f t="shared" si="8"/>
        <v>202896.75450987869</v>
      </c>
      <c r="E532" s="1">
        <v>21</v>
      </c>
      <c r="F532" s="1">
        <v>8</v>
      </c>
      <c r="G532" s="1">
        <v>6</v>
      </c>
      <c r="H532" s="1">
        <v>1</v>
      </c>
      <c r="I532" s="1">
        <v>1</v>
      </c>
      <c r="J532" s="1">
        <v>1</v>
      </c>
      <c r="K532" s="1">
        <v>1</v>
      </c>
      <c r="L532" s="1">
        <v>0</v>
      </c>
      <c r="M532" s="1">
        <v>0</v>
      </c>
    </row>
    <row r="533" spans="1:13">
      <c r="A533" s="1">
        <v>532</v>
      </c>
      <c r="B533" s="1">
        <v>804907.01260000002</v>
      </c>
      <c r="C533" s="1">
        <v>1009868.350273047</v>
      </c>
      <c r="D533" s="1">
        <f t="shared" si="8"/>
        <v>-204961.33767304698</v>
      </c>
      <c r="E533" s="1">
        <v>16</v>
      </c>
      <c r="F533" s="1">
        <v>15</v>
      </c>
      <c r="G533" s="1">
        <v>4</v>
      </c>
      <c r="H533" s="1">
        <v>0</v>
      </c>
      <c r="I533" s="1">
        <v>0</v>
      </c>
      <c r="J533" s="1">
        <v>0</v>
      </c>
      <c r="K533" s="1">
        <v>1</v>
      </c>
      <c r="L533" s="1">
        <v>0</v>
      </c>
      <c r="M533" s="1">
        <v>1</v>
      </c>
    </row>
    <row r="534" spans="1:13">
      <c r="A534" s="1">
        <v>533</v>
      </c>
      <c r="B534" s="1">
        <v>849423.6078</v>
      </c>
      <c r="C534" s="1">
        <v>1228471.4559278982</v>
      </c>
      <c r="D534" s="1">
        <f t="shared" si="8"/>
        <v>-379047.84812789818</v>
      </c>
      <c r="E534" s="1">
        <v>11</v>
      </c>
      <c r="F534" s="1">
        <v>17</v>
      </c>
      <c r="G534" s="1">
        <v>7</v>
      </c>
      <c r="H534" s="1">
        <v>1</v>
      </c>
      <c r="I534" s="1">
        <v>0</v>
      </c>
      <c r="J534" s="1">
        <v>0</v>
      </c>
      <c r="K534" s="1">
        <v>0</v>
      </c>
      <c r="L534" s="1">
        <v>0</v>
      </c>
      <c r="M534" s="1">
        <v>0</v>
      </c>
    </row>
    <row r="535" spans="1:13">
      <c r="A535" s="1">
        <v>534</v>
      </c>
      <c r="B535" s="1">
        <v>838297.07739999995</v>
      </c>
      <c r="C535" s="1">
        <v>837295.70963603165</v>
      </c>
      <c r="D535" s="1">
        <f t="shared" si="8"/>
        <v>1001.367763968301</v>
      </c>
      <c r="E535" s="1">
        <v>19</v>
      </c>
      <c r="F535" s="1">
        <v>11</v>
      </c>
      <c r="G535" s="1">
        <v>5</v>
      </c>
      <c r="H535" s="1">
        <v>0</v>
      </c>
      <c r="I535" s="1">
        <v>0</v>
      </c>
      <c r="J535" s="1">
        <v>0</v>
      </c>
      <c r="K535" s="1">
        <v>0</v>
      </c>
      <c r="L535" s="1">
        <v>0</v>
      </c>
      <c r="M535" s="1">
        <v>1</v>
      </c>
    </row>
    <row r="536" spans="1:13">
      <c r="A536" s="1">
        <v>535</v>
      </c>
      <c r="B536" s="1">
        <v>955105.47149999999</v>
      </c>
      <c r="C536" s="1">
        <v>1649742.462393133</v>
      </c>
      <c r="D536" s="1">
        <f t="shared" si="8"/>
        <v>-694636.99089313298</v>
      </c>
      <c r="E536" s="1">
        <v>18</v>
      </c>
      <c r="F536" s="1">
        <v>13</v>
      </c>
      <c r="G536" s="1">
        <v>4</v>
      </c>
      <c r="H536" s="1">
        <v>1</v>
      </c>
      <c r="I536" s="1">
        <v>0</v>
      </c>
      <c r="J536" s="1">
        <v>0</v>
      </c>
      <c r="K536" s="1">
        <v>0</v>
      </c>
      <c r="L536" s="1">
        <v>1</v>
      </c>
      <c r="M536" s="1">
        <v>0</v>
      </c>
    </row>
    <row r="537" spans="1:13">
      <c r="A537" s="1">
        <v>536</v>
      </c>
      <c r="B537" s="1">
        <v>882585.48089999997</v>
      </c>
      <c r="C537" s="1">
        <v>785967.17761577049</v>
      </c>
      <c r="D537" s="1">
        <f t="shared" si="8"/>
        <v>96618.303284229478</v>
      </c>
      <c r="E537" s="1">
        <v>17</v>
      </c>
      <c r="F537" s="1">
        <v>13</v>
      </c>
      <c r="G537" s="1">
        <v>5</v>
      </c>
      <c r="H537" s="1">
        <v>0</v>
      </c>
      <c r="I537" s="1">
        <v>0</v>
      </c>
      <c r="J537" s="1">
        <v>0</v>
      </c>
      <c r="K537" s="1">
        <v>0</v>
      </c>
      <c r="L537" s="1">
        <v>0</v>
      </c>
      <c r="M537" s="1">
        <v>0</v>
      </c>
    </row>
    <row r="538" spans="1:13">
      <c r="A538" s="1">
        <v>537</v>
      </c>
      <c r="B538" s="1">
        <v>997391.10080000001</v>
      </c>
      <c r="C538" s="1">
        <v>910009.91059164773</v>
      </c>
      <c r="D538" s="1">
        <f t="shared" si="8"/>
        <v>87381.190208352287</v>
      </c>
      <c r="E538" s="1">
        <v>8</v>
      </c>
      <c r="F538" s="1">
        <v>21</v>
      </c>
      <c r="G538" s="1">
        <v>6</v>
      </c>
      <c r="H538" s="1">
        <v>0</v>
      </c>
      <c r="I538" s="1">
        <v>0</v>
      </c>
      <c r="J538" s="1">
        <v>0</v>
      </c>
      <c r="K538" s="1">
        <v>0</v>
      </c>
      <c r="L538" s="1">
        <v>1</v>
      </c>
      <c r="M538" s="1">
        <v>0</v>
      </c>
    </row>
    <row r="539" spans="1:13">
      <c r="A539" s="1">
        <v>538</v>
      </c>
      <c r="B539" s="1">
        <v>796357.91910000006</v>
      </c>
      <c r="C539" s="1">
        <v>1268693.5716151539</v>
      </c>
      <c r="D539" s="1">
        <f t="shared" si="8"/>
        <v>-472335.65251515387</v>
      </c>
      <c r="E539" s="1">
        <v>16</v>
      </c>
      <c r="F539" s="1">
        <v>15</v>
      </c>
      <c r="G539" s="1">
        <v>4</v>
      </c>
      <c r="H539" s="1">
        <v>2</v>
      </c>
      <c r="I539" s="1">
        <v>0</v>
      </c>
      <c r="J539" s="1">
        <v>1</v>
      </c>
      <c r="K539" s="1">
        <v>1</v>
      </c>
      <c r="L539" s="1">
        <v>0</v>
      </c>
      <c r="M539" s="1">
        <v>0</v>
      </c>
    </row>
    <row r="540" spans="1:13">
      <c r="A540" s="1">
        <v>539</v>
      </c>
      <c r="B540" s="1">
        <v>1014354.7977</v>
      </c>
      <c r="C540" s="1">
        <v>684000.73571884993</v>
      </c>
      <c r="D540" s="1">
        <f t="shared" si="8"/>
        <v>330354.06198115007</v>
      </c>
      <c r="E540" s="1">
        <v>7</v>
      </c>
      <c r="F540" s="1">
        <v>24</v>
      </c>
      <c r="G540" s="1">
        <v>4</v>
      </c>
      <c r="H540" s="1">
        <v>1</v>
      </c>
      <c r="I540" s="1">
        <v>0</v>
      </c>
      <c r="J540" s="1">
        <v>0</v>
      </c>
      <c r="K540" s="1">
        <v>2</v>
      </c>
      <c r="L540" s="1">
        <v>0</v>
      </c>
      <c r="M540" s="1">
        <v>0</v>
      </c>
    </row>
    <row r="541" spans="1:13">
      <c r="A541" s="1">
        <v>540</v>
      </c>
      <c r="B541" s="1">
        <v>877191.13930000004</v>
      </c>
      <c r="C541" s="1">
        <v>675996.79873360577</v>
      </c>
      <c r="D541" s="1">
        <f t="shared" si="8"/>
        <v>201194.34056639427</v>
      </c>
      <c r="E541" s="1">
        <v>7</v>
      </c>
      <c r="F541" s="1">
        <v>26</v>
      </c>
      <c r="G541" s="1">
        <v>2</v>
      </c>
      <c r="H541" s="1">
        <v>1</v>
      </c>
      <c r="I541" s="1">
        <v>0</v>
      </c>
      <c r="J541" s="1">
        <v>0</v>
      </c>
      <c r="K541" s="1">
        <v>1</v>
      </c>
      <c r="L541" s="1">
        <v>0</v>
      </c>
      <c r="M541" s="1">
        <v>0</v>
      </c>
    </row>
    <row r="542" spans="1:13">
      <c r="A542" s="1">
        <v>541</v>
      </c>
      <c r="B542" s="1">
        <v>875238.22840000002</v>
      </c>
      <c r="C542" s="1">
        <v>978338.84481748613</v>
      </c>
      <c r="D542" s="1">
        <f t="shared" si="8"/>
        <v>-103100.6164174861</v>
      </c>
      <c r="E542" s="1">
        <v>15</v>
      </c>
      <c r="F542" s="1">
        <v>15</v>
      </c>
      <c r="G542" s="1">
        <v>5</v>
      </c>
      <c r="H542" s="1">
        <v>2</v>
      </c>
      <c r="I542" s="1">
        <v>0</v>
      </c>
      <c r="J542" s="1">
        <v>1</v>
      </c>
      <c r="K542" s="1">
        <v>1</v>
      </c>
      <c r="L542" s="1">
        <v>0</v>
      </c>
      <c r="M542" s="1">
        <v>0</v>
      </c>
    </row>
    <row r="543" spans="1:13">
      <c r="A543" s="1">
        <v>542</v>
      </c>
      <c r="B543" s="1">
        <v>852126.17539999995</v>
      </c>
      <c r="C543" s="1">
        <v>765989.52487499267</v>
      </c>
      <c r="D543" s="1">
        <f t="shared" si="8"/>
        <v>86136.650525007281</v>
      </c>
      <c r="E543" s="1">
        <v>15</v>
      </c>
      <c r="F543" s="1">
        <v>15</v>
      </c>
      <c r="G543" s="1">
        <v>5</v>
      </c>
      <c r="H543" s="1">
        <v>0</v>
      </c>
      <c r="I543" s="1">
        <v>0</v>
      </c>
      <c r="J543" s="1">
        <v>1</v>
      </c>
      <c r="K543" s="1">
        <v>0</v>
      </c>
      <c r="L543" s="1">
        <v>0</v>
      </c>
      <c r="M543" s="1">
        <v>0</v>
      </c>
    </row>
    <row r="544" spans="1:13">
      <c r="A544" s="1">
        <v>543</v>
      </c>
      <c r="B544" s="1">
        <v>912041.77610000002</v>
      </c>
      <c r="C544" s="1">
        <v>747979.92718280538</v>
      </c>
      <c r="D544" s="1">
        <f t="shared" si="8"/>
        <v>164061.84891719464</v>
      </c>
      <c r="E544" s="1">
        <v>13</v>
      </c>
      <c r="F544" s="1">
        <v>18</v>
      </c>
      <c r="G544" s="1">
        <v>4</v>
      </c>
      <c r="H544" s="1">
        <v>1</v>
      </c>
      <c r="I544" s="1">
        <v>1</v>
      </c>
      <c r="J544" s="1">
        <v>1</v>
      </c>
      <c r="K544" s="1">
        <v>0</v>
      </c>
      <c r="L544" s="1">
        <v>0</v>
      </c>
      <c r="M544" s="1">
        <v>0</v>
      </c>
    </row>
    <row r="545" spans="1:13">
      <c r="A545" s="1">
        <v>544</v>
      </c>
      <c r="B545" s="1">
        <v>920248.29989999998</v>
      </c>
      <c r="C545" s="1">
        <v>744869.71493926109</v>
      </c>
      <c r="D545" s="1">
        <f t="shared" si="8"/>
        <v>175378.5849607389</v>
      </c>
      <c r="E545" s="1">
        <v>13</v>
      </c>
      <c r="F545" s="1">
        <v>16</v>
      </c>
      <c r="G545" s="1">
        <v>6</v>
      </c>
      <c r="H545" s="1">
        <v>1</v>
      </c>
      <c r="I545" s="1">
        <v>1</v>
      </c>
      <c r="J545" s="1">
        <v>1</v>
      </c>
      <c r="K545" s="1">
        <v>1</v>
      </c>
      <c r="L545" s="1">
        <v>0</v>
      </c>
      <c r="M545" s="1">
        <v>0</v>
      </c>
    </row>
    <row r="546" spans="1:13">
      <c r="A546" s="1">
        <v>545</v>
      </c>
      <c r="B546" s="1">
        <v>1001234.0159</v>
      </c>
      <c r="C546" s="1">
        <v>1037393.2278997003</v>
      </c>
      <c r="D546" s="1">
        <f t="shared" si="8"/>
        <v>-36159.211999700288</v>
      </c>
      <c r="E546" s="1">
        <v>4</v>
      </c>
      <c r="F546" s="1">
        <v>25</v>
      </c>
      <c r="G546" s="1">
        <v>6</v>
      </c>
      <c r="H546" s="1">
        <v>1</v>
      </c>
      <c r="I546" s="1">
        <v>0</v>
      </c>
      <c r="J546" s="1">
        <v>0</v>
      </c>
      <c r="K546" s="1">
        <v>2</v>
      </c>
      <c r="L546" s="1">
        <v>0</v>
      </c>
      <c r="M546" s="1">
        <v>1</v>
      </c>
    </row>
    <row r="547" spans="1:13">
      <c r="A547" s="1">
        <v>546</v>
      </c>
      <c r="B547" s="1">
        <v>931888.09100000001</v>
      </c>
      <c r="C547" s="1">
        <v>969601.55815012567</v>
      </c>
      <c r="D547" s="1">
        <f t="shared" si="8"/>
        <v>-37713.467150125653</v>
      </c>
      <c r="E547" s="1">
        <v>22</v>
      </c>
      <c r="F547" s="1">
        <v>12</v>
      </c>
      <c r="G547" s="1">
        <v>1</v>
      </c>
      <c r="H547" s="1">
        <v>1</v>
      </c>
      <c r="I547" s="1">
        <v>0</v>
      </c>
      <c r="J547" s="1">
        <v>1</v>
      </c>
      <c r="K547" s="1">
        <v>0</v>
      </c>
      <c r="L547" s="1">
        <v>0</v>
      </c>
      <c r="M547" s="1">
        <v>0</v>
      </c>
    </row>
    <row r="548" spans="1:13">
      <c r="A548" s="1">
        <v>547</v>
      </c>
      <c r="B548" s="1">
        <v>934336.82290000003</v>
      </c>
      <c r="C548" s="1">
        <v>979276.19761319715</v>
      </c>
      <c r="D548" s="1">
        <f t="shared" si="8"/>
        <v>-44939.374713197118</v>
      </c>
      <c r="E548" s="1">
        <v>16</v>
      </c>
      <c r="F548" s="1">
        <v>16</v>
      </c>
      <c r="G548" s="1">
        <v>3</v>
      </c>
      <c r="H548" s="1">
        <v>0</v>
      </c>
      <c r="I548" s="1">
        <v>0</v>
      </c>
      <c r="J548" s="1">
        <v>0</v>
      </c>
      <c r="K548" s="1">
        <v>1</v>
      </c>
      <c r="L548" s="1">
        <v>0</v>
      </c>
      <c r="M548" s="1">
        <v>0</v>
      </c>
    </row>
    <row r="549" spans="1:13">
      <c r="A549" s="1">
        <v>548</v>
      </c>
      <c r="B549" s="1">
        <v>905457.92310000001</v>
      </c>
      <c r="C549" s="1">
        <v>1744118.7110365015</v>
      </c>
      <c r="D549" s="1">
        <f t="shared" si="8"/>
        <v>-838660.78793650144</v>
      </c>
      <c r="E549" s="1">
        <v>13</v>
      </c>
      <c r="F549" s="1">
        <v>19</v>
      </c>
      <c r="G549" s="1">
        <v>3</v>
      </c>
      <c r="H549" s="1">
        <v>0</v>
      </c>
      <c r="I549" s="1">
        <v>0</v>
      </c>
      <c r="J549" s="1">
        <v>0</v>
      </c>
      <c r="K549" s="1">
        <v>2</v>
      </c>
      <c r="L549" s="1">
        <v>0</v>
      </c>
      <c r="M549" s="1">
        <v>0</v>
      </c>
    </row>
    <row r="550" spans="1:13">
      <c r="A550" s="1">
        <v>549</v>
      </c>
      <c r="B550" s="1">
        <v>955230.99289999995</v>
      </c>
      <c r="C550" s="1">
        <v>735026.49338108371</v>
      </c>
      <c r="D550" s="1">
        <f t="shared" si="8"/>
        <v>220204.49951891624</v>
      </c>
      <c r="E550" s="1">
        <v>14</v>
      </c>
      <c r="F550" s="1">
        <v>13</v>
      </c>
      <c r="G550" s="1">
        <v>8</v>
      </c>
      <c r="H550" s="1">
        <v>1</v>
      </c>
      <c r="I550" s="1">
        <v>1</v>
      </c>
      <c r="J550" s="1">
        <v>0</v>
      </c>
      <c r="K550" s="1">
        <v>2</v>
      </c>
      <c r="L550" s="1">
        <v>0</v>
      </c>
      <c r="M550" s="1">
        <v>0</v>
      </c>
    </row>
    <row r="551" spans="1:13">
      <c r="A551" s="1">
        <v>550</v>
      </c>
      <c r="B551" s="1">
        <v>961589.16639999999</v>
      </c>
      <c r="C551" s="1">
        <v>1241497.8311596669</v>
      </c>
      <c r="D551" s="1">
        <f t="shared" si="8"/>
        <v>-279908.66475966689</v>
      </c>
      <c r="E551" s="1">
        <v>10</v>
      </c>
      <c r="F551" s="1">
        <v>19</v>
      </c>
      <c r="G551" s="1">
        <v>6</v>
      </c>
      <c r="H551" s="1">
        <v>1</v>
      </c>
      <c r="I551" s="1">
        <v>0</v>
      </c>
      <c r="J551" s="1">
        <v>1</v>
      </c>
      <c r="K551" s="1">
        <v>1</v>
      </c>
      <c r="L551" s="1">
        <v>0</v>
      </c>
      <c r="M551" s="1">
        <v>0</v>
      </c>
    </row>
    <row r="552" spans="1:13">
      <c r="A552" s="1">
        <v>551</v>
      </c>
      <c r="B552" s="1">
        <v>881473.25459999999</v>
      </c>
      <c r="C552" s="1">
        <v>754794.24991298304</v>
      </c>
      <c r="D552" s="1">
        <f t="shared" si="8"/>
        <v>126679.00468701695</v>
      </c>
      <c r="E552" s="1">
        <v>17</v>
      </c>
      <c r="F552" s="1">
        <v>13</v>
      </c>
      <c r="G552" s="1">
        <v>5</v>
      </c>
      <c r="H552" s="1">
        <v>1</v>
      </c>
      <c r="I552" s="1">
        <v>0</v>
      </c>
      <c r="J552" s="1">
        <v>0</v>
      </c>
      <c r="K552" s="1">
        <v>1</v>
      </c>
      <c r="L552" s="1">
        <v>0</v>
      </c>
      <c r="M552" s="1">
        <v>0</v>
      </c>
    </row>
    <row r="553" spans="1:13">
      <c r="A553" s="1">
        <v>552</v>
      </c>
      <c r="B553" s="1">
        <v>950505.83689999999</v>
      </c>
      <c r="C553" s="1">
        <v>773758.74298643274</v>
      </c>
      <c r="D553" s="1">
        <f t="shared" si="8"/>
        <v>176747.09391356725</v>
      </c>
      <c r="E553" s="1">
        <v>8</v>
      </c>
      <c r="F553" s="1">
        <v>22</v>
      </c>
      <c r="G553" s="1">
        <v>5</v>
      </c>
      <c r="H553" s="1">
        <v>1</v>
      </c>
      <c r="I553" s="1">
        <v>0</v>
      </c>
      <c r="J553" s="1">
        <v>1</v>
      </c>
      <c r="K553" s="1">
        <v>0</v>
      </c>
      <c r="L553" s="1">
        <v>0</v>
      </c>
      <c r="M553" s="1">
        <v>0</v>
      </c>
    </row>
    <row r="554" spans="1:13">
      <c r="A554" s="1">
        <v>553</v>
      </c>
      <c r="B554" s="1">
        <v>891296.83900000004</v>
      </c>
      <c r="C554" s="1">
        <v>2537521.7979603638</v>
      </c>
      <c r="D554" s="1">
        <f t="shared" si="8"/>
        <v>-1646224.9589603636</v>
      </c>
      <c r="E554" s="1">
        <v>15</v>
      </c>
      <c r="F554" s="1">
        <v>18</v>
      </c>
      <c r="G554" s="1">
        <v>2</v>
      </c>
      <c r="H554" s="1">
        <v>1</v>
      </c>
      <c r="I554" s="1">
        <v>0</v>
      </c>
      <c r="J554" s="1">
        <v>0</v>
      </c>
      <c r="K554" s="1">
        <v>1</v>
      </c>
      <c r="L554" s="1">
        <v>0</v>
      </c>
      <c r="M554" s="1">
        <v>0</v>
      </c>
    </row>
    <row r="555" spans="1:13">
      <c r="A555" s="1">
        <v>554</v>
      </c>
      <c r="B555" s="1">
        <v>980955.48010000004</v>
      </c>
      <c r="C555" s="1">
        <v>1066806.1203631088</v>
      </c>
      <c r="D555" s="1">
        <f t="shared" si="8"/>
        <v>-85850.640263108769</v>
      </c>
      <c r="E555" s="1">
        <v>11</v>
      </c>
      <c r="F555" s="1">
        <v>19</v>
      </c>
      <c r="G555" s="1">
        <v>5</v>
      </c>
      <c r="H555" s="1">
        <v>2</v>
      </c>
      <c r="I555" s="1">
        <v>0</v>
      </c>
      <c r="J555" s="1">
        <v>0</v>
      </c>
      <c r="K555" s="1">
        <v>0</v>
      </c>
      <c r="L555" s="1">
        <v>0</v>
      </c>
      <c r="M555" s="1">
        <v>1</v>
      </c>
    </row>
    <row r="556" spans="1:13">
      <c r="A556" s="1">
        <v>555</v>
      </c>
      <c r="B556" s="1">
        <v>952466.94900000002</v>
      </c>
      <c r="C556" s="1">
        <v>1073271.7099702694</v>
      </c>
      <c r="D556" s="1">
        <f t="shared" si="8"/>
        <v>-120804.76097026933</v>
      </c>
      <c r="E556" s="1">
        <v>5</v>
      </c>
      <c r="F556" s="1">
        <v>23</v>
      </c>
      <c r="G556" s="1">
        <v>7</v>
      </c>
      <c r="H556" s="1">
        <v>2</v>
      </c>
      <c r="I556" s="1">
        <v>0</v>
      </c>
      <c r="J556" s="1">
        <v>1</v>
      </c>
      <c r="K556" s="1">
        <v>1</v>
      </c>
      <c r="L556" s="1">
        <v>0</v>
      </c>
      <c r="M556" s="1">
        <v>0</v>
      </c>
    </row>
    <row r="557" spans="1:13">
      <c r="A557" s="1">
        <v>556</v>
      </c>
      <c r="B557" s="1">
        <v>915086.11340000003</v>
      </c>
      <c r="C557" s="1">
        <v>756110.81756497757</v>
      </c>
      <c r="D557" s="1">
        <f t="shared" si="8"/>
        <v>158975.29583502247</v>
      </c>
      <c r="E557" s="1">
        <v>9</v>
      </c>
      <c r="F557" s="1">
        <v>21</v>
      </c>
      <c r="G557" s="1">
        <v>5</v>
      </c>
      <c r="H557" s="1">
        <v>0</v>
      </c>
      <c r="I557" s="1">
        <v>1</v>
      </c>
      <c r="J557" s="1">
        <v>1</v>
      </c>
      <c r="K557" s="1">
        <v>0</v>
      </c>
      <c r="L557" s="1">
        <v>0</v>
      </c>
      <c r="M557" s="1">
        <v>0</v>
      </c>
    </row>
    <row r="558" spans="1:13">
      <c r="A558" s="1">
        <v>557</v>
      </c>
      <c r="B558" s="1">
        <v>895381.56810000003</v>
      </c>
      <c r="C558" s="1">
        <v>726168.35551763338</v>
      </c>
      <c r="D558" s="1">
        <f t="shared" si="8"/>
        <v>169213.21258236666</v>
      </c>
      <c r="E558" s="1">
        <v>17</v>
      </c>
      <c r="F558" s="1">
        <v>11</v>
      </c>
      <c r="G558" s="1">
        <v>7</v>
      </c>
      <c r="H558" s="1">
        <v>1</v>
      </c>
      <c r="I558" s="1">
        <v>0</v>
      </c>
      <c r="J558" s="1">
        <v>1</v>
      </c>
      <c r="K558" s="1">
        <v>1</v>
      </c>
      <c r="L558" s="1">
        <v>0</v>
      </c>
      <c r="M558" s="1">
        <v>0</v>
      </c>
    </row>
    <row r="559" spans="1:13">
      <c r="A559" s="1">
        <v>558</v>
      </c>
      <c r="B559" s="1">
        <v>906267.777</v>
      </c>
      <c r="C559" s="1">
        <v>842915.52899989835</v>
      </c>
      <c r="D559" s="1">
        <f t="shared" si="8"/>
        <v>63352.248000101652</v>
      </c>
      <c r="E559" s="1">
        <v>11</v>
      </c>
      <c r="F559" s="1">
        <v>19</v>
      </c>
      <c r="G559" s="1">
        <v>5</v>
      </c>
      <c r="H559" s="1">
        <v>2</v>
      </c>
      <c r="I559" s="1">
        <v>0</v>
      </c>
      <c r="J559" s="1">
        <v>1</v>
      </c>
      <c r="K559" s="1">
        <v>1</v>
      </c>
      <c r="L559" s="1">
        <v>0</v>
      </c>
      <c r="M559" s="1">
        <v>0</v>
      </c>
    </row>
    <row r="560" spans="1:13">
      <c r="A560" s="1">
        <v>559</v>
      </c>
      <c r="B560" s="1">
        <v>934537.57189999998</v>
      </c>
      <c r="C560" s="1">
        <v>626197.23115916562</v>
      </c>
      <c r="D560" s="1">
        <f t="shared" si="8"/>
        <v>308340.34074083436</v>
      </c>
      <c r="E560" s="1">
        <v>16</v>
      </c>
      <c r="F560" s="1">
        <v>16</v>
      </c>
      <c r="G560" s="1">
        <v>3</v>
      </c>
      <c r="H560" s="1">
        <v>1</v>
      </c>
      <c r="I560" s="1">
        <v>1</v>
      </c>
      <c r="J560" s="1">
        <v>0</v>
      </c>
      <c r="K560" s="1">
        <v>2</v>
      </c>
      <c r="L560" s="1">
        <v>0</v>
      </c>
      <c r="M560" s="1">
        <v>0</v>
      </c>
    </row>
    <row r="561" spans="1:13">
      <c r="A561" s="1">
        <v>560</v>
      </c>
      <c r="B561" s="1">
        <v>917911.62620000006</v>
      </c>
      <c r="C561" s="1">
        <v>706187.35367481876</v>
      </c>
      <c r="D561" s="1">
        <f t="shared" si="8"/>
        <v>211724.2725251813</v>
      </c>
      <c r="E561" s="1">
        <v>15</v>
      </c>
      <c r="F561" s="1">
        <v>17</v>
      </c>
      <c r="G561" s="1">
        <v>3</v>
      </c>
      <c r="H561" s="1">
        <v>1</v>
      </c>
      <c r="I561" s="1">
        <v>0</v>
      </c>
      <c r="J561" s="1">
        <v>0</v>
      </c>
      <c r="K561" s="1">
        <v>0</v>
      </c>
      <c r="L561" s="1">
        <v>0</v>
      </c>
      <c r="M561" s="1">
        <v>0</v>
      </c>
    </row>
    <row r="562" spans="1:13">
      <c r="A562" s="1">
        <v>561</v>
      </c>
      <c r="B562" s="1">
        <v>935333.02540000004</v>
      </c>
      <c r="C562" s="1">
        <v>728156.78536205785</v>
      </c>
      <c r="D562" s="1">
        <f t="shared" si="8"/>
        <v>207176.24003794219</v>
      </c>
      <c r="E562" s="1">
        <v>19</v>
      </c>
      <c r="F562" s="1">
        <v>10</v>
      </c>
      <c r="G562" s="1">
        <v>6</v>
      </c>
      <c r="H562" s="1">
        <v>1</v>
      </c>
      <c r="I562" s="1">
        <v>0</v>
      </c>
      <c r="J562" s="1">
        <v>0</v>
      </c>
      <c r="K562" s="1">
        <v>2</v>
      </c>
      <c r="L562" s="1">
        <v>0</v>
      </c>
      <c r="M562" s="1">
        <v>0</v>
      </c>
    </row>
    <row r="563" spans="1:13">
      <c r="A563" s="1">
        <v>562</v>
      </c>
      <c r="B563" s="1">
        <v>902926.40319999994</v>
      </c>
      <c r="C563" s="1">
        <v>1550852.6382452473</v>
      </c>
      <c r="D563" s="1">
        <f t="shared" si="8"/>
        <v>-647926.23504524736</v>
      </c>
      <c r="E563" s="1">
        <v>11</v>
      </c>
      <c r="F563" s="1">
        <v>20</v>
      </c>
      <c r="G563" s="1">
        <v>4</v>
      </c>
      <c r="H563" s="1">
        <v>1</v>
      </c>
      <c r="I563" s="1">
        <v>0</v>
      </c>
      <c r="J563" s="1">
        <v>1</v>
      </c>
      <c r="K563" s="1">
        <v>1</v>
      </c>
      <c r="L563" s="1">
        <v>0</v>
      </c>
      <c r="M563" s="1">
        <v>0</v>
      </c>
    </row>
    <row r="564" spans="1:13">
      <c r="A564" s="1">
        <v>563</v>
      </c>
      <c r="B564" s="1">
        <v>936942.85250000004</v>
      </c>
      <c r="C564" s="1">
        <v>974932.91698227578</v>
      </c>
      <c r="D564" s="1">
        <f t="shared" si="8"/>
        <v>-37990.064482275746</v>
      </c>
      <c r="E564" s="1">
        <v>12</v>
      </c>
      <c r="F564" s="1">
        <v>20</v>
      </c>
      <c r="G564" s="1">
        <v>3</v>
      </c>
      <c r="H564" s="1">
        <v>0</v>
      </c>
      <c r="I564" s="1">
        <v>0</v>
      </c>
      <c r="J564" s="1">
        <v>1</v>
      </c>
      <c r="K564" s="1">
        <v>1</v>
      </c>
      <c r="L564" s="1">
        <v>0</v>
      </c>
      <c r="M564" s="1">
        <v>1</v>
      </c>
    </row>
    <row r="565" spans="1:13">
      <c r="A565" s="1">
        <v>564</v>
      </c>
      <c r="B565" s="1">
        <v>1038886.2509</v>
      </c>
      <c r="C565" s="1">
        <v>944790.81059717445</v>
      </c>
      <c r="D565" s="1">
        <f t="shared" si="8"/>
        <v>94095.440302825533</v>
      </c>
      <c r="E565" s="1">
        <v>12</v>
      </c>
      <c r="F565" s="1">
        <v>19</v>
      </c>
      <c r="G565" s="1">
        <v>4</v>
      </c>
      <c r="H565" s="1">
        <v>2</v>
      </c>
      <c r="I565" s="1">
        <v>0</v>
      </c>
      <c r="J565" s="1">
        <v>0</v>
      </c>
      <c r="K565" s="1">
        <v>2</v>
      </c>
      <c r="L565" s="1">
        <v>0</v>
      </c>
      <c r="M565" s="1">
        <v>0</v>
      </c>
    </row>
    <row r="566" spans="1:13">
      <c r="A566" s="1">
        <v>565</v>
      </c>
      <c r="B566" s="1">
        <v>923813.69720000005</v>
      </c>
      <c r="C566" s="1">
        <v>800261.84007604327</v>
      </c>
      <c r="D566" s="1">
        <f t="shared" si="8"/>
        <v>123551.85712395678</v>
      </c>
      <c r="E566" s="1">
        <v>15</v>
      </c>
      <c r="F566" s="1">
        <v>14</v>
      </c>
      <c r="G566" s="1">
        <v>6</v>
      </c>
      <c r="H566" s="1">
        <v>1</v>
      </c>
      <c r="I566" s="1">
        <v>0</v>
      </c>
      <c r="J566" s="1">
        <v>0</v>
      </c>
      <c r="K566" s="1">
        <v>1</v>
      </c>
      <c r="L566" s="1">
        <v>0</v>
      </c>
      <c r="M566" s="1">
        <v>0</v>
      </c>
    </row>
    <row r="567" spans="1:13">
      <c r="A567" s="1">
        <v>566</v>
      </c>
      <c r="B567" s="1">
        <v>1012491.991</v>
      </c>
      <c r="C567" s="1">
        <v>1077990.7199170408</v>
      </c>
      <c r="D567" s="1">
        <f t="shared" si="8"/>
        <v>-65498.728917040746</v>
      </c>
      <c r="E567" s="1">
        <v>13</v>
      </c>
      <c r="F567" s="1">
        <v>15</v>
      </c>
      <c r="G567" s="1">
        <v>7</v>
      </c>
      <c r="H567" s="1">
        <v>1</v>
      </c>
      <c r="I567" s="1">
        <v>0</v>
      </c>
      <c r="J567" s="1">
        <v>2</v>
      </c>
      <c r="K567" s="1">
        <v>0</v>
      </c>
      <c r="L567" s="1">
        <v>0</v>
      </c>
      <c r="M567" s="1">
        <v>1</v>
      </c>
    </row>
    <row r="568" spans="1:13">
      <c r="A568" s="1">
        <v>567</v>
      </c>
      <c r="B568" s="1">
        <v>929118.29650000005</v>
      </c>
      <c r="C568" s="1">
        <v>869514.89502961095</v>
      </c>
      <c r="D568" s="1">
        <f t="shared" si="8"/>
        <v>59603.401470389101</v>
      </c>
      <c r="E568" s="1">
        <v>21</v>
      </c>
      <c r="F568" s="1">
        <v>9</v>
      </c>
      <c r="G568" s="1">
        <v>5</v>
      </c>
      <c r="H568" s="1">
        <v>0</v>
      </c>
      <c r="I568" s="1">
        <v>0</v>
      </c>
      <c r="J568" s="1">
        <v>0</v>
      </c>
      <c r="K568" s="1">
        <v>0</v>
      </c>
      <c r="L568" s="1">
        <v>0</v>
      </c>
      <c r="M568" s="1">
        <v>0</v>
      </c>
    </row>
    <row r="569" spans="1:13">
      <c r="A569" s="1">
        <v>568</v>
      </c>
      <c r="B569" s="1">
        <v>822977.56330000004</v>
      </c>
      <c r="C569" s="1">
        <v>1060466.3816594793</v>
      </c>
      <c r="D569" s="1">
        <f t="shared" si="8"/>
        <v>-237488.81835947931</v>
      </c>
      <c r="E569" s="1">
        <v>21</v>
      </c>
      <c r="F569" s="1">
        <v>10</v>
      </c>
      <c r="G569" s="1">
        <v>4</v>
      </c>
      <c r="H569" s="1">
        <v>1</v>
      </c>
      <c r="I569" s="1">
        <v>0</v>
      </c>
      <c r="J569" s="1">
        <v>0</v>
      </c>
      <c r="K569" s="1">
        <v>1</v>
      </c>
      <c r="L569" s="1">
        <v>0</v>
      </c>
      <c r="M569" s="1">
        <v>0</v>
      </c>
    </row>
    <row r="570" spans="1:13">
      <c r="A570" s="1">
        <v>569</v>
      </c>
      <c r="B570" s="1">
        <v>933804.12179999996</v>
      </c>
      <c r="C570" s="1">
        <v>1031647.6521761117</v>
      </c>
      <c r="D570" s="1">
        <f t="shared" si="8"/>
        <v>-97843.530376111739</v>
      </c>
      <c r="E570" s="1">
        <v>20</v>
      </c>
      <c r="F570" s="1">
        <v>12</v>
      </c>
      <c r="G570" s="1">
        <v>3</v>
      </c>
      <c r="H570" s="1">
        <v>0</v>
      </c>
      <c r="I570" s="1">
        <v>0</v>
      </c>
      <c r="J570" s="1">
        <v>1</v>
      </c>
      <c r="K570" s="1">
        <v>0</v>
      </c>
      <c r="L570" s="1">
        <v>0</v>
      </c>
      <c r="M570" s="1">
        <v>0</v>
      </c>
    </row>
    <row r="571" spans="1:13">
      <c r="A571" s="1">
        <v>570</v>
      </c>
      <c r="B571" s="1">
        <v>859223.72690000001</v>
      </c>
      <c r="C571" s="1">
        <v>499719.90961984557</v>
      </c>
      <c r="D571" s="1">
        <f t="shared" si="8"/>
        <v>359503.81728015444</v>
      </c>
      <c r="E571" s="1">
        <v>14</v>
      </c>
      <c r="F571" s="1">
        <v>14</v>
      </c>
      <c r="G571" s="1">
        <v>7</v>
      </c>
      <c r="H571" s="1">
        <v>0</v>
      </c>
      <c r="I571" s="1">
        <v>0</v>
      </c>
      <c r="J571" s="1">
        <v>1</v>
      </c>
      <c r="K571" s="1">
        <v>0</v>
      </c>
      <c r="L571" s="1">
        <v>0</v>
      </c>
      <c r="M571" s="1">
        <v>0</v>
      </c>
    </row>
    <row r="572" spans="1:13">
      <c r="A572" s="1">
        <v>571</v>
      </c>
      <c r="B572" s="1">
        <v>871082.70149999997</v>
      </c>
      <c r="C572" s="1">
        <v>786405.66561690683</v>
      </c>
      <c r="D572" s="1">
        <f t="shared" si="8"/>
        <v>84677.035883093136</v>
      </c>
      <c r="E572" s="1">
        <v>10</v>
      </c>
      <c r="F572" s="1">
        <v>19</v>
      </c>
      <c r="G572" s="1">
        <v>6</v>
      </c>
      <c r="H572" s="1">
        <v>1</v>
      </c>
      <c r="I572" s="1">
        <v>0</v>
      </c>
      <c r="J572" s="1">
        <v>0</v>
      </c>
      <c r="K572" s="1">
        <v>1</v>
      </c>
      <c r="L572" s="1">
        <v>1</v>
      </c>
      <c r="M572" s="1">
        <v>1</v>
      </c>
    </row>
    <row r="573" spans="1:13">
      <c r="A573" s="1">
        <v>572</v>
      </c>
      <c r="B573" s="1">
        <v>945924.03960000002</v>
      </c>
      <c r="C573" s="1">
        <v>1783310.6149558756</v>
      </c>
      <c r="D573" s="1">
        <f t="shared" si="8"/>
        <v>-837386.57535587554</v>
      </c>
      <c r="E573" s="1">
        <v>15</v>
      </c>
      <c r="F573" s="1">
        <v>14</v>
      </c>
      <c r="G573" s="1">
        <v>6</v>
      </c>
      <c r="H573" s="1">
        <v>1</v>
      </c>
      <c r="I573" s="1">
        <v>1</v>
      </c>
      <c r="J573" s="1">
        <v>0</v>
      </c>
      <c r="K573" s="1">
        <v>1</v>
      </c>
      <c r="L573" s="1">
        <v>0</v>
      </c>
      <c r="M573" s="1">
        <v>0</v>
      </c>
    </row>
    <row r="574" spans="1:13">
      <c r="A574" s="1">
        <v>573</v>
      </c>
      <c r="B574" s="1">
        <v>982888.20570000005</v>
      </c>
      <c r="C574" s="1">
        <v>961990.0001745699</v>
      </c>
      <c r="D574" s="1">
        <f t="shared" si="8"/>
        <v>20898.205525430152</v>
      </c>
      <c r="E574" s="1">
        <v>19</v>
      </c>
      <c r="F574" s="1">
        <v>10</v>
      </c>
      <c r="G574" s="1">
        <v>6</v>
      </c>
      <c r="H574" s="1">
        <v>0</v>
      </c>
      <c r="I574" s="1">
        <v>2</v>
      </c>
      <c r="J574" s="1">
        <v>0</v>
      </c>
      <c r="K574" s="1">
        <v>0</v>
      </c>
      <c r="L574" s="1">
        <v>0</v>
      </c>
      <c r="M574" s="1">
        <v>0</v>
      </c>
    </row>
    <row r="575" spans="1:13">
      <c r="A575" s="1">
        <v>574</v>
      </c>
      <c r="B575" s="1">
        <v>906953.96880000003</v>
      </c>
      <c r="C575" s="1">
        <v>3033976.0494790124</v>
      </c>
      <c r="D575" s="1">
        <f t="shared" si="8"/>
        <v>-2127022.0806790125</v>
      </c>
      <c r="E575" s="1">
        <v>7</v>
      </c>
      <c r="F575" s="1">
        <v>23</v>
      </c>
      <c r="G575" s="1">
        <v>5</v>
      </c>
      <c r="H575" s="1">
        <v>1</v>
      </c>
      <c r="I575" s="1">
        <v>0</v>
      </c>
      <c r="J575" s="1">
        <v>0</v>
      </c>
      <c r="K575" s="1">
        <v>1</v>
      </c>
      <c r="L575" s="1">
        <v>1</v>
      </c>
      <c r="M575" s="1">
        <v>0</v>
      </c>
    </row>
    <row r="576" spans="1:13">
      <c r="A576" s="1">
        <v>575</v>
      </c>
      <c r="B576" s="1">
        <v>947372.39439999999</v>
      </c>
      <c r="C576" s="1">
        <v>2332431.590921015</v>
      </c>
      <c r="D576" s="1">
        <f t="shared" si="8"/>
        <v>-1385059.1965210149</v>
      </c>
      <c r="E576" s="1">
        <v>11</v>
      </c>
      <c r="F576" s="1">
        <v>20</v>
      </c>
      <c r="G576" s="1">
        <v>4</v>
      </c>
      <c r="H576" s="1">
        <v>1</v>
      </c>
      <c r="I576" s="1">
        <v>0</v>
      </c>
      <c r="J576" s="1">
        <v>1</v>
      </c>
      <c r="K576" s="1">
        <v>0</v>
      </c>
      <c r="L576" s="1">
        <v>0</v>
      </c>
      <c r="M576" s="1">
        <v>0</v>
      </c>
    </row>
    <row r="577" spans="1:13">
      <c r="A577" s="1">
        <v>576</v>
      </c>
      <c r="B577" s="1">
        <v>928595.35430000001</v>
      </c>
      <c r="C577" s="1">
        <v>1846610.8402341118</v>
      </c>
      <c r="D577" s="1">
        <f t="shared" si="8"/>
        <v>-918015.48593411176</v>
      </c>
      <c r="E577" s="1">
        <v>21</v>
      </c>
      <c r="F577" s="1">
        <v>9</v>
      </c>
      <c r="G577" s="1">
        <v>5</v>
      </c>
      <c r="H577" s="1">
        <v>1</v>
      </c>
      <c r="I577" s="1">
        <v>0</v>
      </c>
      <c r="J577" s="1">
        <v>1</v>
      </c>
      <c r="K577" s="1">
        <v>0</v>
      </c>
      <c r="L577" s="1">
        <v>0</v>
      </c>
      <c r="M577" s="1">
        <v>0</v>
      </c>
    </row>
    <row r="578" spans="1:13">
      <c r="A578" s="1">
        <v>577</v>
      </c>
      <c r="B578" s="1">
        <v>958935.62860000005</v>
      </c>
      <c r="C578" s="1">
        <v>727713.63832137978</v>
      </c>
      <c r="D578" s="1">
        <f t="shared" ref="D578:D641" si="9">B578-C578</f>
        <v>231221.99027862027</v>
      </c>
      <c r="E578" s="1">
        <v>11</v>
      </c>
      <c r="F578" s="1">
        <v>17</v>
      </c>
      <c r="G578" s="1">
        <v>7</v>
      </c>
      <c r="H578" s="1">
        <v>1</v>
      </c>
      <c r="I578" s="1">
        <v>0</v>
      </c>
      <c r="J578" s="1">
        <v>1</v>
      </c>
      <c r="K578" s="1">
        <v>0</v>
      </c>
      <c r="L578" s="1">
        <v>0</v>
      </c>
      <c r="M578" s="1">
        <v>0</v>
      </c>
    </row>
    <row r="579" spans="1:13">
      <c r="A579" s="1">
        <v>578</v>
      </c>
      <c r="B579" s="1">
        <v>899211.33609999996</v>
      </c>
      <c r="C579" s="1">
        <v>587973.68007883511</v>
      </c>
      <c r="D579" s="1">
        <f t="shared" si="9"/>
        <v>311237.65602116485</v>
      </c>
      <c r="E579" s="1">
        <v>14</v>
      </c>
      <c r="F579" s="1">
        <v>14</v>
      </c>
      <c r="G579" s="1">
        <v>7</v>
      </c>
      <c r="H579" s="1">
        <v>1</v>
      </c>
      <c r="I579" s="1">
        <v>0</v>
      </c>
      <c r="J579" s="1">
        <v>0</v>
      </c>
      <c r="K579" s="1">
        <v>0</v>
      </c>
      <c r="L579" s="1">
        <v>0</v>
      </c>
      <c r="M579" s="1">
        <v>0</v>
      </c>
    </row>
    <row r="580" spans="1:13">
      <c r="A580" s="1">
        <v>579</v>
      </c>
      <c r="B580" s="1">
        <v>963778.51780000003</v>
      </c>
      <c r="C580" s="1">
        <v>936487.73450538004</v>
      </c>
      <c r="D580" s="1">
        <f t="shared" si="9"/>
        <v>27290.783294619992</v>
      </c>
      <c r="E580" s="1">
        <v>15</v>
      </c>
      <c r="F580" s="1">
        <v>15</v>
      </c>
      <c r="G580" s="1">
        <v>5</v>
      </c>
      <c r="H580" s="1">
        <v>2</v>
      </c>
      <c r="I580" s="1">
        <v>0</v>
      </c>
      <c r="J580" s="1">
        <v>0</v>
      </c>
      <c r="K580" s="1">
        <v>2</v>
      </c>
      <c r="L580" s="1">
        <v>0</v>
      </c>
      <c r="M580" s="1">
        <v>1</v>
      </c>
    </row>
    <row r="581" spans="1:13">
      <c r="A581" s="1">
        <v>580</v>
      </c>
      <c r="B581" s="1">
        <v>939524.20739999996</v>
      </c>
      <c r="C581" s="1">
        <v>886342.62258708256</v>
      </c>
      <c r="D581" s="1">
        <f t="shared" si="9"/>
        <v>53181.584812917397</v>
      </c>
      <c r="E581" s="1">
        <v>17</v>
      </c>
      <c r="F581" s="1">
        <v>10</v>
      </c>
      <c r="G581" s="1">
        <v>8</v>
      </c>
      <c r="H581" s="1">
        <v>2</v>
      </c>
      <c r="I581" s="1">
        <v>0</v>
      </c>
      <c r="J581" s="1">
        <v>1</v>
      </c>
      <c r="K581" s="1">
        <v>0</v>
      </c>
      <c r="L581" s="1">
        <v>0</v>
      </c>
      <c r="M581" s="1">
        <v>0</v>
      </c>
    </row>
    <row r="582" spans="1:13">
      <c r="A582" s="1">
        <v>581</v>
      </c>
      <c r="B582" s="1">
        <v>954222.25269999995</v>
      </c>
      <c r="C582" s="1">
        <v>794188.05137019092</v>
      </c>
      <c r="D582" s="1">
        <f t="shared" si="9"/>
        <v>160034.20132980903</v>
      </c>
      <c r="E582" s="1">
        <v>10</v>
      </c>
      <c r="F582" s="1">
        <v>23</v>
      </c>
      <c r="G582" s="1">
        <v>2</v>
      </c>
      <c r="H582" s="1">
        <v>0</v>
      </c>
      <c r="I582" s="1">
        <v>1</v>
      </c>
      <c r="J582" s="1">
        <v>0</v>
      </c>
      <c r="K582" s="1">
        <v>1</v>
      </c>
      <c r="L582" s="1">
        <v>0</v>
      </c>
      <c r="M582" s="1">
        <v>0</v>
      </c>
    </row>
    <row r="583" spans="1:13">
      <c r="A583" s="1">
        <v>582</v>
      </c>
      <c r="B583" s="1">
        <v>945951.05350000004</v>
      </c>
      <c r="C583" s="1">
        <v>735419.47893359838</v>
      </c>
      <c r="D583" s="1">
        <f t="shared" si="9"/>
        <v>210531.57456640166</v>
      </c>
      <c r="E583" s="1">
        <v>13</v>
      </c>
      <c r="F583" s="1">
        <v>19</v>
      </c>
      <c r="G583" s="1">
        <v>3</v>
      </c>
      <c r="H583" s="1">
        <v>2</v>
      </c>
      <c r="I583" s="1">
        <v>0</v>
      </c>
      <c r="J583" s="1">
        <v>1</v>
      </c>
      <c r="K583" s="1">
        <v>1</v>
      </c>
      <c r="L583" s="1">
        <v>0</v>
      </c>
      <c r="M583" s="1">
        <v>1</v>
      </c>
    </row>
    <row r="584" spans="1:13">
      <c r="A584" s="1">
        <v>583</v>
      </c>
      <c r="B584" s="1">
        <v>991388.80209999997</v>
      </c>
      <c r="C584" s="1">
        <v>1087338.2357946204</v>
      </c>
      <c r="D584" s="1">
        <f t="shared" si="9"/>
        <v>-95949.433694620384</v>
      </c>
      <c r="E584" s="1">
        <v>5</v>
      </c>
      <c r="F584" s="1">
        <v>23</v>
      </c>
      <c r="G584" s="1">
        <v>7</v>
      </c>
      <c r="H584" s="1">
        <v>2</v>
      </c>
      <c r="I584" s="1">
        <v>0</v>
      </c>
      <c r="J584" s="1">
        <v>2</v>
      </c>
      <c r="K584" s="1">
        <v>0</v>
      </c>
      <c r="L584" s="1">
        <v>0</v>
      </c>
      <c r="M584" s="1">
        <v>0</v>
      </c>
    </row>
    <row r="585" spans="1:13">
      <c r="A585" s="1">
        <v>584</v>
      </c>
      <c r="B585" s="1">
        <v>920113.46669999999</v>
      </c>
      <c r="C585" s="1">
        <v>831304.41098126036</v>
      </c>
      <c r="D585" s="1">
        <f t="shared" si="9"/>
        <v>88809.055718739633</v>
      </c>
      <c r="E585" s="1">
        <v>9</v>
      </c>
      <c r="F585" s="1">
        <v>22</v>
      </c>
      <c r="G585" s="1">
        <v>4</v>
      </c>
      <c r="H585" s="1">
        <v>1</v>
      </c>
      <c r="I585" s="1">
        <v>0</v>
      </c>
      <c r="J585" s="1">
        <v>0</v>
      </c>
      <c r="K585" s="1">
        <v>0</v>
      </c>
      <c r="L585" s="1">
        <v>0</v>
      </c>
      <c r="M585" s="1">
        <v>1</v>
      </c>
    </row>
    <row r="586" spans="1:13">
      <c r="A586" s="1">
        <v>585</v>
      </c>
      <c r="B586" s="1">
        <v>1000495.3406999999</v>
      </c>
      <c r="C586" s="1">
        <v>1108178.1736360653</v>
      </c>
      <c r="D586" s="1">
        <f t="shared" si="9"/>
        <v>-107682.83293606539</v>
      </c>
      <c r="E586" s="1">
        <v>9</v>
      </c>
      <c r="F586" s="1">
        <v>18</v>
      </c>
      <c r="G586" s="1">
        <v>8</v>
      </c>
      <c r="H586" s="1">
        <v>0</v>
      </c>
      <c r="I586" s="1">
        <v>0</v>
      </c>
      <c r="J586" s="1">
        <v>1</v>
      </c>
      <c r="K586" s="1">
        <v>0</v>
      </c>
      <c r="L586" s="1">
        <v>0</v>
      </c>
      <c r="M586" s="1">
        <v>0</v>
      </c>
    </row>
    <row r="587" spans="1:13">
      <c r="A587" s="1">
        <v>586</v>
      </c>
      <c r="B587" s="1">
        <v>921214.24010000005</v>
      </c>
      <c r="C587" s="1">
        <v>1158085.7200571438</v>
      </c>
      <c r="D587" s="1">
        <f t="shared" si="9"/>
        <v>-236871.47995714378</v>
      </c>
      <c r="E587" s="1">
        <v>15</v>
      </c>
      <c r="F587" s="1">
        <v>14</v>
      </c>
      <c r="G587" s="1">
        <v>6</v>
      </c>
      <c r="H587" s="1">
        <v>2</v>
      </c>
      <c r="I587" s="1">
        <v>0</v>
      </c>
      <c r="J587" s="1">
        <v>1</v>
      </c>
      <c r="K587" s="1">
        <v>1</v>
      </c>
      <c r="L587" s="1">
        <v>0</v>
      </c>
      <c r="M587" s="1">
        <v>0</v>
      </c>
    </row>
    <row r="588" spans="1:13">
      <c r="A588" s="1">
        <v>587</v>
      </c>
      <c r="B588" s="1">
        <v>981317.60389999999</v>
      </c>
      <c r="C588" s="1">
        <v>964785.79538613616</v>
      </c>
      <c r="D588" s="1">
        <f t="shared" si="9"/>
        <v>16531.808513863827</v>
      </c>
      <c r="E588" s="1">
        <v>4</v>
      </c>
      <c r="F588" s="1">
        <v>24</v>
      </c>
      <c r="G588" s="1">
        <v>7</v>
      </c>
      <c r="H588" s="1">
        <v>0</v>
      </c>
      <c r="I588" s="1">
        <v>0</v>
      </c>
      <c r="J588" s="1">
        <v>0</v>
      </c>
      <c r="K588" s="1">
        <v>1</v>
      </c>
      <c r="L588" s="1">
        <v>0</v>
      </c>
      <c r="M588" s="1">
        <v>0</v>
      </c>
    </row>
    <row r="589" spans="1:13">
      <c r="A589" s="1">
        <v>588</v>
      </c>
      <c r="B589" s="1">
        <v>980704.49060000002</v>
      </c>
      <c r="C589" s="1">
        <v>1617253.6454231485</v>
      </c>
      <c r="D589" s="1">
        <f t="shared" si="9"/>
        <v>-636549.15482314851</v>
      </c>
      <c r="E589" s="1">
        <v>17</v>
      </c>
      <c r="F589" s="1">
        <v>14</v>
      </c>
      <c r="G589" s="1">
        <v>4</v>
      </c>
      <c r="H589" s="1">
        <v>0</v>
      </c>
      <c r="I589" s="1">
        <v>0</v>
      </c>
      <c r="J589" s="1">
        <v>1</v>
      </c>
      <c r="K589" s="1">
        <v>0</v>
      </c>
      <c r="L589" s="1">
        <v>1</v>
      </c>
      <c r="M589" s="1">
        <v>0</v>
      </c>
    </row>
    <row r="590" spans="1:13">
      <c r="A590" s="1">
        <v>589</v>
      </c>
      <c r="B590" s="1">
        <v>1018693.4754</v>
      </c>
      <c r="C590" s="1">
        <v>1163182.8699676071</v>
      </c>
      <c r="D590" s="1">
        <f t="shared" si="9"/>
        <v>-144489.39456760709</v>
      </c>
      <c r="E590" s="1">
        <v>7</v>
      </c>
      <c r="F590" s="1">
        <v>22</v>
      </c>
      <c r="G590" s="1">
        <v>6</v>
      </c>
      <c r="H590" s="1">
        <v>0</v>
      </c>
      <c r="I590" s="1">
        <v>0</v>
      </c>
      <c r="J590" s="1">
        <v>0</v>
      </c>
      <c r="K590" s="1">
        <v>1</v>
      </c>
      <c r="L590" s="1">
        <v>0</v>
      </c>
      <c r="M590" s="1">
        <v>1</v>
      </c>
    </row>
    <row r="591" spans="1:13">
      <c r="A591" s="1">
        <v>590</v>
      </c>
      <c r="B591" s="1">
        <v>916668.69640000002</v>
      </c>
      <c r="C591" s="1">
        <v>1039558.5322594861</v>
      </c>
      <c r="D591" s="1">
        <f t="shared" si="9"/>
        <v>-122889.83585948613</v>
      </c>
      <c r="E591" s="1">
        <v>15</v>
      </c>
      <c r="F591" s="1">
        <v>15</v>
      </c>
      <c r="G591" s="1">
        <v>5</v>
      </c>
      <c r="H591" s="1">
        <v>0</v>
      </c>
      <c r="I591" s="1">
        <v>0</v>
      </c>
      <c r="J591" s="1">
        <v>0</v>
      </c>
      <c r="K591" s="1">
        <v>2</v>
      </c>
      <c r="L591" s="1">
        <v>0</v>
      </c>
      <c r="M591" s="1">
        <v>0</v>
      </c>
    </row>
    <row r="592" spans="1:13">
      <c r="A592" s="1">
        <v>591</v>
      </c>
      <c r="B592" s="1">
        <v>897263.88879999996</v>
      </c>
      <c r="C592" s="1">
        <v>878883.19150316808</v>
      </c>
      <c r="D592" s="1">
        <f t="shared" si="9"/>
        <v>18380.697296831873</v>
      </c>
      <c r="E592" s="1">
        <v>10</v>
      </c>
      <c r="F592" s="1">
        <v>20</v>
      </c>
      <c r="G592" s="1">
        <v>5</v>
      </c>
      <c r="H592" s="1">
        <v>2</v>
      </c>
      <c r="I592" s="1">
        <v>0</v>
      </c>
      <c r="J592" s="1">
        <v>0</v>
      </c>
      <c r="K592" s="1">
        <v>2</v>
      </c>
      <c r="L592" s="1">
        <v>0</v>
      </c>
      <c r="M592" s="1">
        <v>0</v>
      </c>
    </row>
    <row r="593" spans="1:13">
      <c r="A593" s="1">
        <v>592</v>
      </c>
      <c r="B593" s="1">
        <v>937007.01470000006</v>
      </c>
      <c r="C593" s="1">
        <v>1039451.1694490574</v>
      </c>
      <c r="D593" s="1">
        <f t="shared" si="9"/>
        <v>-102444.15474905737</v>
      </c>
      <c r="E593" s="1">
        <v>11</v>
      </c>
      <c r="F593" s="1">
        <v>20</v>
      </c>
      <c r="G593" s="1">
        <v>4</v>
      </c>
      <c r="H593" s="1">
        <v>1</v>
      </c>
      <c r="I593" s="1">
        <v>0</v>
      </c>
      <c r="J593" s="1">
        <v>0</v>
      </c>
      <c r="K593" s="1">
        <v>1</v>
      </c>
      <c r="L593" s="1">
        <v>0</v>
      </c>
      <c r="M593" s="1">
        <v>0</v>
      </c>
    </row>
    <row r="594" spans="1:13">
      <c r="A594" s="1">
        <v>593</v>
      </c>
      <c r="B594" s="1">
        <v>966519.34779999999</v>
      </c>
      <c r="C594" s="1">
        <v>768850.90060191706</v>
      </c>
      <c r="D594" s="1">
        <f t="shared" si="9"/>
        <v>197668.44719808293</v>
      </c>
      <c r="E594" s="1">
        <v>4</v>
      </c>
      <c r="F594" s="1">
        <v>26</v>
      </c>
      <c r="G594" s="1">
        <v>5</v>
      </c>
      <c r="H594" s="1">
        <v>2</v>
      </c>
      <c r="I594" s="1">
        <v>0</v>
      </c>
      <c r="J594" s="1">
        <v>0</v>
      </c>
      <c r="K594" s="1">
        <v>2</v>
      </c>
      <c r="L594" s="1">
        <v>0</v>
      </c>
      <c r="M594" s="1">
        <v>0</v>
      </c>
    </row>
    <row r="595" spans="1:13">
      <c r="A595" s="1">
        <v>594</v>
      </c>
      <c r="B595" s="1">
        <v>830161.3996</v>
      </c>
      <c r="C595" s="1">
        <v>1601135.6168404161</v>
      </c>
      <c r="D595" s="1">
        <f t="shared" si="9"/>
        <v>-770974.2172404161</v>
      </c>
      <c r="E595" s="1">
        <v>17</v>
      </c>
      <c r="F595" s="1">
        <v>12</v>
      </c>
      <c r="G595" s="1">
        <v>6</v>
      </c>
      <c r="H595" s="1">
        <v>0</v>
      </c>
      <c r="I595" s="1">
        <v>0</v>
      </c>
      <c r="J595" s="1">
        <v>0</v>
      </c>
      <c r="K595" s="1">
        <v>1</v>
      </c>
      <c r="L595" s="1">
        <v>0</v>
      </c>
      <c r="M595" s="1">
        <v>1</v>
      </c>
    </row>
    <row r="596" spans="1:13">
      <c r="A596" s="1">
        <v>595</v>
      </c>
      <c r="B596" s="1">
        <v>917459.80440000002</v>
      </c>
      <c r="C596" s="1">
        <v>910982.81279111875</v>
      </c>
      <c r="D596" s="1">
        <f t="shared" si="9"/>
        <v>6476.9916088812752</v>
      </c>
      <c r="E596" s="1">
        <v>17</v>
      </c>
      <c r="F596" s="1">
        <v>13</v>
      </c>
      <c r="G596" s="1">
        <v>5</v>
      </c>
      <c r="H596" s="1">
        <v>1</v>
      </c>
      <c r="I596" s="1">
        <v>1</v>
      </c>
      <c r="J596" s="1">
        <v>0</v>
      </c>
      <c r="K596" s="1">
        <v>2</v>
      </c>
      <c r="L596" s="1">
        <v>0</v>
      </c>
      <c r="M596" s="1">
        <v>1</v>
      </c>
    </row>
    <row r="597" spans="1:13">
      <c r="A597" s="1">
        <v>596</v>
      </c>
      <c r="B597" s="1">
        <v>952060.87789999996</v>
      </c>
      <c r="C597" s="1">
        <v>1006940.796827664</v>
      </c>
      <c r="D597" s="1">
        <f t="shared" si="9"/>
        <v>-54879.918927664054</v>
      </c>
      <c r="E597" s="1">
        <v>12</v>
      </c>
      <c r="F597" s="1">
        <v>18</v>
      </c>
      <c r="G597" s="1">
        <v>5</v>
      </c>
      <c r="H597" s="1">
        <v>0</v>
      </c>
      <c r="I597" s="1">
        <v>1</v>
      </c>
      <c r="J597" s="1">
        <v>0</v>
      </c>
      <c r="K597" s="1">
        <v>1</v>
      </c>
      <c r="L597" s="1">
        <v>0</v>
      </c>
      <c r="M597" s="1">
        <v>0</v>
      </c>
    </row>
    <row r="598" spans="1:13">
      <c r="A598" s="1">
        <v>597</v>
      </c>
      <c r="B598" s="1">
        <v>915692.50710000005</v>
      </c>
      <c r="C598" s="1">
        <v>1159733.0533973069</v>
      </c>
      <c r="D598" s="1">
        <f t="shared" si="9"/>
        <v>-244040.54629730689</v>
      </c>
      <c r="E598" s="1">
        <v>13</v>
      </c>
      <c r="F598" s="1">
        <v>16</v>
      </c>
      <c r="G598" s="1">
        <v>6</v>
      </c>
      <c r="H598" s="1">
        <v>1</v>
      </c>
      <c r="I598" s="1">
        <v>1</v>
      </c>
      <c r="J598" s="1">
        <v>0</v>
      </c>
      <c r="K598" s="1">
        <v>0</v>
      </c>
      <c r="L598" s="1">
        <v>0</v>
      </c>
      <c r="M598" s="1">
        <v>0</v>
      </c>
    </row>
    <row r="599" spans="1:13">
      <c r="A599" s="1">
        <v>598</v>
      </c>
      <c r="B599" s="1">
        <v>1014475.8246000001</v>
      </c>
      <c r="C599" s="1">
        <v>800023.07196008647</v>
      </c>
      <c r="D599" s="1">
        <f t="shared" si="9"/>
        <v>214452.75263991358</v>
      </c>
      <c r="E599" s="1">
        <v>11</v>
      </c>
      <c r="F599" s="1">
        <v>20</v>
      </c>
      <c r="G599" s="1">
        <v>4</v>
      </c>
      <c r="H599" s="1">
        <v>1</v>
      </c>
      <c r="I599" s="1">
        <v>1</v>
      </c>
      <c r="J599" s="1">
        <v>0</v>
      </c>
      <c r="K599" s="1">
        <v>0</v>
      </c>
      <c r="L599" s="1">
        <v>0</v>
      </c>
      <c r="M599" s="1">
        <v>0</v>
      </c>
    </row>
    <row r="600" spans="1:13">
      <c r="A600" s="1">
        <v>599</v>
      </c>
      <c r="B600" s="1">
        <v>920875.19530000002</v>
      </c>
      <c r="C600" s="1">
        <v>417167.17754582083</v>
      </c>
      <c r="D600" s="1">
        <f t="shared" si="9"/>
        <v>503708.01775417919</v>
      </c>
      <c r="E600" s="1">
        <v>12</v>
      </c>
      <c r="F600" s="1">
        <v>19</v>
      </c>
      <c r="G600" s="1">
        <v>4</v>
      </c>
      <c r="H600" s="1">
        <v>1</v>
      </c>
      <c r="I600" s="1">
        <v>0</v>
      </c>
      <c r="J600" s="1">
        <v>1</v>
      </c>
      <c r="K600" s="1">
        <v>1</v>
      </c>
      <c r="L600" s="1">
        <v>0</v>
      </c>
      <c r="M600" s="1">
        <v>0</v>
      </c>
    </row>
    <row r="601" spans="1:13">
      <c r="A601" s="1">
        <v>600</v>
      </c>
      <c r="B601" s="1">
        <v>1020681.574</v>
      </c>
      <c r="C601" s="1">
        <v>933442.74827126891</v>
      </c>
      <c r="D601" s="1">
        <f t="shared" si="9"/>
        <v>87238.825728731113</v>
      </c>
      <c r="E601" s="1">
        <v>9</v>
      </c>
      <c r="F601" s="1">
        <v>18</v>
      </c>
      <c r="G601" s="1">
        <v>8</v>
      </c>
      <c r="H601" s="1">
        <v>1</v>
      </c>
      <c r="I601" s="1">
        <v>0</v>
      </c>
      <c r="J601" s="1">
        <v>0</v>
      </c>
      <c r="K601" s="1">
        <v>1</v>
      </c>
      <c r="L601" s="1">
        <v>0</v>
      </c>
      <c r="M601" s="1">
        <v>1</v>
      </c>
    </row>
    <row r="602" spans="1:13">
      <c r="A602" s="1">
        <v>601</v>
      </c>
      <c r="B602" s="1">
        <v>985944.05550000002</v>
      </c>
      <c r="C602" s="1">
        <v>697546.1032783956</v>
      </c>
      <c r="D602" s="1">
        <f t="shared" si="9"/>
        <v>288397.95222160441</v>
      </c>
      <c r="E602" s="1">
        <v>15</v>
      </c>
      <c r="F602" s="1">
        <v>14</v>
      </c>
      <c r="G602" s="1">
        <v>6</v>
      </c>
      <c r="H602" s="1">
        <v>0</v>
      </c>
      <c r="I602" s="1">
        <v>0</v>
      </c>
      <c r="J602" s="1">
        <v>0</v>
      </c>
      <c r="K602" s="1">
        <v>1</v>
      </c>
      <c r="L602" s="1">
        <v>0</v>
      </c>
      <c r="M602" s="1">
        <v>1</v>
      </c>
    </row>
    <row r="603" spans="1:13">
      <c r="A603" s="1">
        <v>602</v>
      </c>
      <c r="B603" s="1">
        <v>963937.10990000004</v>
      </c>
      <c r="C603" s="1">
        <v>792221.67222804739</v>
      </c>
      <c r="D603" s="1">
        <f t="shared" si="9"/>
        <v>171715.43767195265</v>
      </c>
      <c r="E603" s="1">
        <v>13</v>
      </c>
      <c r="F603" s="1">
        <v>16</v>
      </c>
      <c r="G603" s="1">
        <v>6</v>
      </c>
      <c r="H603" s="1">
        <v>2</v>
      </c>
      <c r="I603" s="1">
        <v>0</v>
      </c>
      <c r="J603" s="1">
        <v>1</v>
      </c>
      <c r="K603" s="1">
        <v>1</v>
      </c>
      <c r="L603" s="1">
        <v>0</v>
      </c>
      <c r="M603" s="1">
        <v>1</v>
      </c>
    </row>
    <row r="604" spans="1:13">
      <c r="A604" s="1">
        <v>603</v>
      </c>
      <c r="B604" s="1">
        <v>1028046.5389</v>
      </c>
      <c r="C604" s="1">
        <v>719073.10452995903</v>
      </c>
      <c r="D604" s="1">
        <f t="shared" si="9"/>
        <v>308973.43437004101</v>
      </c>
      <c r="E604" s="1">
        <v>8</v>
      </c>
      <c r="F604" s="1">
        <v>20</v>
      </c>
      <c r="G604" s="1">
        <v>7</v>
      </c>
      <c r="H604" s="1">
        <v>1</v>
      </c>
      <c r="I604" s="1">
        <v>0</v>
      </c>
      <c r="J604" s="1">
        <v>1</v>
      </c>
      <c r="K604" s="1">
        <v>0</v>
      </c>
      <c r="L604" s="1">
        <v>0</v>
      </c>
      <c r="M604" s="1">
        <v>1</v>
      </c>
    </row>
    <row r="605" spans="1:13">
      <c r="A605" s="1">
        <v>604</v>
      </c>
      <c r="B605" s="1">
        <v>1039436.8408</v>
      </c>
      <c r="C605" s="1">
        <v>786768.80991080287</v>
      </c>
      <c r="D605" s="1">
        <f t="shared" si="9"/>
        <v>252668.03088919714</v>
      </c>
      <c r="E605" s="1">
        <v>8</v>
      </c>
      <c r="F605" s="1">
        <v>19</v>
      </c>
      <c r="G605" s="1">
        <v>8</v>
      </c>
      <c r="H605" s="1">
        <v>2</v>
      </c>
      <c r="I605" s="1">
        <v>0</v>
      </c>
      <c r="J605" s="1">
        <v>2</v>
      </c>
      <c r="K605" s="1">
        <v>0</v>
      </c>
      <c r="L605" s="1">
        <v>0</v>
      </c>
      <c r="M605" s="1">
        <v>0</v>
      </c>
    </row>
    <row r="606" spans="1:13">
      <c r="A606" s="1">
        <v>605</v>
      </c>
      <c r="B606" s="1">
        <v>901462.59600000002</v>
      </c>
      <c r="C606" s="1">
        <v>1038560.5289661114</v>
      </c>
      <c r="D606" s="1">
        <f t="shared" si="9"/>
        <v>-137097.93296611134</v>
      </c>
      <c r="E606" s="1">
        <v>23</v>
      </c>
      <c r="F606" s="1">
        <v>10</v>
      </c>
      <c r="G606" s="1">
        <v>2</v>
      </c>
      <c r="H606" s="1">
        <v>2</v>
      </c>
      <c r="I606" s="1">
        <v>0</v>
      </c>
      <c r="J606" s="1">
        <v>1</v>
      </c>
      <c r="K606" s="1">
        <v>0</v>
      </c>
      <c r="L606" s="1">
        <v>0</v>
      </c>
      <c r="M606" s="1">
        <v>0</v>
      </c>
    </row>
    <row r="607" spans="1:13">
      <c r="A607" s="1">
        <v>606</v>
      </c>
      <c r="B607" s="1">
        <v>963792.35329999996</v>
      </c>
      <c r="C607" s="1">
        <v>697030.20673993742</v>
      </c>
      <c r="D607" s="1">
        <f t="shared" si="9"/>
        <v>266762.14656006254</v>
      </c>
      <c r="E607" s="1">
        <v>8</v>
      </c>
      <c r="F607" s="1">
        <v>24</v>
      </c>
      <c r="G607" s="1">
        <v>3</v>
      </c>
      <c r="H607" s="1">
        <v>0</v>
      </c>
      <c r="I607" s="1">
        <v>0</v>
      </c>
      <c r="J607" s="1">
        <v>0</v>
      </c>
      <c r="K607" s="1">
        <v>0</v>
      </c>
      <c r="L607" s="1">
        <v>0</v>
      </c>
      <c r="M607" s="1">
        <v>1</v>
      </c>
    </row>
    <row r="608" spans="1:13">
      <c r="A608" s="1">
        <v>607</v>
      </c>
      <c r="B608" s="1">
        <v>1048230.9525</v>
      </c>
      <c r="C608" s="1">
        <v>879386.07154026069</v>
      </c>
      <c r="D608" s="1">
        <f t="shared" si="9"/>
        <v>168844.88095973933</v>
      </c>
      <c r="E608" s="1">
        <v>5</v>
      </c>
      <c r="F608" s="1">
        <v>23</v>
      </c>
      <c r="G608" s="1">
        <v>7</v>
      </c>
      <c r="H608" s="1">
        <v>1</v>
      </c>
      <c r="I608" s="1">
        <v>1</v>
      </c>
      <c r="J608" s="1">
        <v>1</v>
      </c>
      <c r="K608" s="1">
        <v>1</v>
      </c>
      <c r="L608" s="1">
        <v>0</v>
      </c>
      <c r="M608" s="1">
        <v>1</v>
      </c>
    </row>
    <row r="609" spans="1:13">
      <c r="A609" s="1">
        <v>608</v>
      </c>
      <c r="B609" s="1">
        <v>959097.97479999997</v>
      </c>
      <c r="C609" s="1">
        <v>756962.24254213215</v>
      </c>
      <c r="D609" s="1">
        <f t="shared" si="9"/>
        <v>202135.73225786781</v>
      </c>
      <c r="E609" s="1">
        <v>10</v>
      </c>
      <c r="F609" s="1">
        <v>22</v>
      </c>
      <c r="G609" s="1">
        <v>3</v>
      </c>
      <c r="H609" s="1">
        <v>2</v>
      </c>
      <c r="I609" s="1">
        <v>0</v>
      </c>
      <c r="J609" s="1">
        <v>1</v>
      </c>
      <c r="K609" s="1">
        <v>0</v>
      </c>
      <c r="L609" s="1">
        <v>0</v>
      </c>
      <c r="M609" s="1">
        <v>0</v>
      </c>
    </row>
    <row r="610" spans="1:13">
      <c r="A610" s="1">
        <v>609</v>
      </c>
      <c r="B610" s="1">
        <v>982188.23589999997</v>
      </c>
      <c r="C610" s="1">
        <v>861112.94048248813</v>
      </c>
      <c r="D610" s="1">
        <f t="shared" si="9"/>
        <v>121075.29541751184</v>
      </c>
      <c r="E610" s="1">
        <v>11</v>
      </c>
      <c r="F610" s="1">
        <v>18</v>
      </c>
      <c r="G610" s="1">
        <v>6</v>
      </c>
      <c r="H610" s="1">
        <v>1</v>
      </c>
      <c r="I610" s="1">
        <v>0</v>
      </c>
      <c r="J610" s="1">
        <v>0</v>
      </c>
      <c r="K610" s="1">
        <v>0</v>
      </c>
      <c r="L610" s="1">
        <v>0</v>
      </c>
      <c r="M610" s="1">
        <v>0</v>
      </c>
    </row>
    <row r="611" spans="1:13">
      <c r="A611" s="1">
        <v>610</v>
      </c>
      <c r="B611" s="1">
        <v>1004626.0336</v>
      </c>
      <c r="C611" s="1">
        <v>1348551.2392282663</v>
      </c>
      <c r="D611" s="1">
        <f t="shared" si="9"/>
        <v>-343925.20562826633</v>
      </c>
      <c r="E611" s="1">
        <v>9</v>
      </c>
      <c r="F611" s="1">
        <v>20</v>
      </c>
      <c r="G611" s="1">
        <v>6</v>
      </c>
      <c r="H611" s="1">
        <v>2</v>
      </c>
      <c r="I611" s="1">
        <v>0</v>
      </c>
      <c r="J611" s="1">
        <v>0</v>
      </c>
      <c r="K611" s="1">
        <v>1</v>
      </c>
      <c r="L611" s="1">
        <v>0</v>
      </c>
      <c r="M611" s="1">
        <v>0</v>
      </c>
    </row>
    <row r="612" spans="1:13">
      <c r="A612" s="1">
        <v>611</v>
      </c>
      <c r="B612" s="1">
        <v>1115034.4325999999</v>
      </c>
      <c r="C612" s="1">
        <v>866857.63225663337</v>
      </c>
      <c r="D612" s="1">
        <f t="shared" si="9"/>
        <v>248176.80034336657</v>
      </c>
      <c r="E612" s="1">
        <v>17</v>
      </c>
      <c r="F612" s="1">
        <v>14</v>
      </c>
      <c r="G612" s="1">
        <v>4</v>
      </c>
      <c r="H612" s="1">
        <v>1</v>
      </c>
      <c r="I612" s="1">
        <v>0</v>
      </c>
      <c r="J612" s="1">
        <v>1</v>
      </c>
      <c r="K612" s="1">
        <v>1</v>
      </c>
      <c r="L612" s="1">
        <v>0</v>
      </c>
      <c r="M612" s="1">
        <v>1</v>
      </c>
    </row>
    <row r="613" spans="1:13">
      <c r="A613" s="1">
        <v>612</v>
      </c>
      <c r="B613" s="1">
        <v>952266.18119999999</v>
      </c>
      <c r="C613" s="1">
        <v>797883.66710395203</v>
      </c>
      <c r="D613" s="1">
        <f t="shared" si="9"/>
        <v>154382.51409604796</v>
      </c>
      <c r="E613" s="1">
        <v>17</v>
      </c>
      <c r="F613" s="1">
        <v>14</v>
      </c>
      <c r="G613" s="1">
        <v>4</v>
      </c>
      <c r="H613" s="1">
        <v>1</v>
      </c>
      <c r="I613" s="1">
        <v>0</v>
      </c>
      <c r="J613" s="1">
        <v>0</v>
      </c>
      <c r="K613" s="1">
        <v>0</v>
      </c>
      <c r="L613" s="1">
        <v>0</v>
      </c>
      <c r="M613" s="1">
        <v>1</v>
      </c>
    </row>
    <row r="614" spans="1:13">
      <c r="A614" s="1">
        <v>613</v>
      </c>
      <c r="B614" s="1">
        <v>954107.3763</v>
      </c>
      <c r="C614" s="1">
        <v>1420338.854911186</v>
      </c>
      <c r="D614" s="1">
        <f t="shared" si="9"/>
        <v>-466231.47861118603</v>
      </c>
      <c r="E614" s="1">
        <v>16</v>
      </c>
      <c r="F614" s="1">
        <v>15</v>
      </c>
      <c r="G614" s="1">
        <v>4</v>
      </c>
      <c r="H614" s="1">
        <v>1</v>
      </c>
      <c r="I614" s="1">
        <v>0</v>
      </c>
      <c r="J614" s="1">
        <v>1</v>
      </c>
      <c r="K614" s="1">
        <v>0</v>
      </c>
      <c r="L614" s="1">
        <v>0</v>
      </c>
      <c r="M614" s="1">
        <v>0</v>
      </c>
    </row>
    <row r="615" spans="1:13">
      <c r="A615" s="1">
        <v>614</v>
      </c>
      <c r="B615" s="1">
        <v>1045200.2864</v>
      </c>
      <c r="C615" s="1">
        <v>1458706.9577300642</v>
      </c>
      <c r="D615" s="1">
        <f t="shared" si="9"/>
        <v>-413506.67133006419</v>
      </c>
      <c r="E615" s="1">
        <v>6</v>
      </c>
      <c r="F615" s="1">
        <v>26</v>
      </c>
      <c r="G615" s="1">
        <v>3</v>
      </c>
      <c r="H615" s="1">
        <v>2</v>
      </c>
      <c r="I615" s="1">
        <v>0</v>
      </c>
      <c r="J615" s="1">
        <v>0</v>
      </c>
      <c r="K615" s="1">
        <v>0</v>
      </c>
      <c r="L615" s="1">
        <v>0</v>
      </c>
      <c r="M615" s="1">
        <v>0</v>
      </c>
    </row>
    <row r="616" spans="1:13">
      <c r="A616" s="1">
        <v>615</v>
      </c>
      <c r="B616" s="1">
        <v>952750.24250000005</v>
      </c>
      <c r="C616" s="1">
        <v>932962.54049769475</v>
      </c>
      <c r="D616" s="1">
        <f t="shared" si="9"/>
        <v>19787.702002305305</v>
      </c>
      <c r="E616" s="1">
        <v>13</v>
      </c>
      <c r="F616" s="1">
        <v>19</v>
      </c>
      <c r="G616" s="1">
        <v>3</v>
      </c>
      <c r="H616" s="1">
        <v>2</v>
      </c>
      <c r="I616" s="1">
        <v>0</v>
      </c>
      <c r="J616" s="1">
        <v>1</v>
      </c>
      <c r="K616" s="1">
        <v>1</v>
      </c>
      <c r="L616" s="1">
        <v>0</v>
      </c>
      <c r="M616" s="1">
        <v>0</v>
      </c>
    </row>
    <row r="617" spans="1:13">
      <c r="A617" s="1">
        <v>616</v>
      </c>
      <c r="B617" s="1">
        <v>1063500.8495</v>
      </c>
      <c r="C617" s="1">
        <v>755275.25873441098</v>
      </c>
      <c r="D617" s="1">
        <f t="shared" si="9"/>
        <v>308225.59076558903</v>
      </c>
      <c r="E617" s="1">
        <v>6</v>
      </c>
      <c r="F617" s="1">
        <v>24</v>
      </c>
      <c r="G617" s="1">
        <v>5</v>
      </c>
      <c r="H617" s="1">
        <v>0</v>
      </c>
      <c r="I617" s="1">
        <v>1</v>
      </c>
      <c r="J617" s="1">
        <v>1</v>
      </c>
      <c r="K617" s="1">
        <v>0</v>
      </c>
      <c r="L617" s="1">
        <v>0</v>
      </c>
      <c r="M617" s="1">
        <v>0</v>
      </c>
    </row>
    <row r="618" spans="1:13">
      <c r="A618" s="1">
        <v>617</v>
      </c>
      <c r="B618" s="1">
        <v>935949.09219999996</v>
      </c>
      <c r="C618" s="1">
        <v>1102832.6561682038</v>
      </c>
      <c r="D618" s="1">
        <f t="shared" si="9"/>
        <v>-166883.56396820385</v>
      </c>
      <c r="E618" s="1">
        <v>12</v>
      </c>
      <c r="F618" s="1">
        <v>18</v>
      </c>
      <c r="G618" s="1">
        <v>5</v>
      </c>
      <c r="H618" s="1">
        <v>1</v>
      </c>
      <c r="I618" s="1">
        <v>0</v>
      </c>
      <c r="J618" s="1">
        <v>0</v>
      </c>
      <c r="K618" s="1">
        <v>2</v>
      </c>
      <c r="L618" s="1">
        <v>0</v>
      </c>
      <c r="M618" s="1">
        <v>1</v>
      </c>
    </row>
    <row r="619" spans="1:13">
      <c r="A619" s="1">
        <v>618</v>
      </c>
      <c r="B619" s="1">
        <v>895518.89</v>
      </c>
      <c r="C619" s="1">
        <v>953517.32761568669</v>
      </c>
      <c r="D619" s="1">
        <f t="shared" si="9"/>
        <v>-57998.437615686678</v>
      </c>
      <c r="E619" s="1">
        <v>15</v>
      </c>
      <c r="F619" s="1">
        <v>12</v>
      </c>
      <c r="G619" s="1">
        <v>8</v>
      </c>
      <c r="H619" s="1">
        <v>2</v>
      </c>
      <c r="I619" s="1">
        <v>0</v>
      </c>
      <c r="J619" s="1">
        <v>0</v>
      </c>
      <c r="K619" s="1">
        <v>0</v>
      </c>
      <c r="L619" s="1">
        <v>1</v>
      </c>
      <c r="M619" s="1">
        <v>0</v>
      </c>
    </row>
    <row r="620" spans="1:13">
      <c r="A620" s="1">
        <v>619</v>
      </c>
      <c r="B620" s="1">
        <v>974091.3419</v>
      </c>
      <c r="C620" s="1">
        <v>809154.15837295016</v>
      </c>
      <c r="D620" s="1">
        <f t="shared" si="9"/>
        <v>164937.18352704984</v>
      </c>
      <c r="E620" s="1">
        <v>7</v>
      </c>
      <c r="F620" s="1">
        <v>21</v>
      </c>
      <c r="G620" s="1">
        <v>7</v>
      </c>
      <c r="H620" s="1">
        <v>1</v>
      </c>
      <c r="I620" s="1">
        <v>0</v>
      </c>
      <c r="J620" s="1">
        <v>0</v>
      </c>
      <c r="K620" s="1">
        <v>1</v>
      </c>
      <c r="L620" s="1">
        <v>1</v>
      </c>
      <c r="M620" s="1">
        <v>0</v>
      </c>
    </row>
    <row r="621" spans="1:13">
      <c r="A621" s="1">
        <v>620</v>
      </c>
      <c r="B621" s="1">
        <v>849357.42779999995</v>
      </c>
      <c r="C621" s="1">
        <v>782106.19953080278</v>
      </c>
      <c r="D621" s="1">
        <f t="shared" si="9"/>
        <v>67251.228269197163</v>
      </c>
      <c r="E621" s="1">
        <v>17</v>
      </c>
      <c r="F621" s="1">
        <v>14</v>
      </c>
      <c r="G621" s="1">
        <v>4</v>
      </c>
      <c r="H621" s="1">
        <v>1</v>
      </c>
      <c r="I621" s="1">
        <v>0</v>
      </c>
      <c r="J621" s="1">
        <v>0</v>
      </c>
      <c r="K621" s="1">
        <v>1</v>
      </c>
      <c r="L621" s="1">
        <v>0</v>
      </c>
      <c r="M621" s="1">
        <v>0</v>
      </c>
    </row>
    <row r="622" spans="1:13">
      <c r="A622" s="1">
        <v>621</v>
      </c>
      <c r="B622" s="1">
        <v>1002595.6257</v>
      </c>
      <c r="C622" s="1">
        <v>677264.40702572977</v>
      </c>
      <c r="D622" s="1">
        <f t="shared" si="9"/>
        <v>325331.2186742702</v>
      </c>
      <c r="E622" s="1">
        <v>9</v>
      </c>
      <c r="F622" s="1">
        <v>19</v>
      </c>
      <c r="G622" s="1">
        <v>7</v>
      </c>
      <c r="H622" s="1">
        <v>1</v>
      </c>
      <c r="I622" s="1">
        <v>0</v>
      </c>
      <c r="J622" s="1">
        <v>0</v>
      </c>
      <c r="K622" s="1">
        <v>0</v>
      </c>
      <c r="L622" s="1">
        <v>0</v>
      </c>
      <c r="M622" s="1">
        <v>1</v>
      </c>
    </row>
    <row r="623" spans="1:13">
      <c r="A623" s="1">
        <v>622</v>
      </c>
      <c r="B623" s="1">
        <v>895872.50809999998</v>
      </c>
      <c r="C623" s="1">
        <v>530828.91821169259</v>
      </c>
      <c r="D623" s="1">
        <f t="shared" si="9"/>
        <v>365043.58988830738</v>
      </c>
      <c r="E623" s="1">
        <v>22</v>
      </c>
      <c r="F623" s="1">
        <v>8</v>
      </c>
      <c r="G623" s="1">
        <v>5</v>
      </c>
      <c r="H623" s="1">
        <v>0</v>
      </c>
      <c r="I623" s="1">
        <v>0</v>
      </c>
      <c r="J623" s="1">
        <v>0</v>
      </c>
      <c r="K623" s="1">
        <v>0</v>
      </c>
      <c r="L623" s="1">
        <v>0</v>
      </c>
      <c r="M623" s="1">
        <v>0</v>
      </c>
    </row>
    <row r="624" spans="1:13">
      <c r="A624" s="1">
        <v>623</v>
      </c>
      <c r="B624" s="1">
        <v>978767.29469999997</v>
      </c>
      <c r="C624" s="1">
        <v>884993.81097716256</v>
      </c>
      <c r="D624" s="1">
        <f t="shared" si="9"/>
        <v>93773.483722837409</v>
      </c>
      <c r="E624" s="1">
        <v>19</v>
      </c>
      <c r="F624" s="1">
        <v>12</v>
      </c>
      <c r="G624" s="1">
        <v>4</v>
      </c>
      <c r="H624" s="1">
        <v>1</v>
      </c>
      <c r="I624" s="1">
        <v>1</v>
      </c>
      <c r="J624" s="1">
        <v>1</v>
      </c>
      <c r="K624" s="1">
        <v>0</v>
      </c>
      <c r="L624" s="1">
        <v>0</v>
      </c>
      <c r="M624" s="1">
        <v>0</v>
      </c>
    </row>
    <row r="625" spans="1:13">
      <c r="A625" s="1">
        <v>624</v>
      </c>
      <c r="B625" s="1">
        <v>893669.88080000004</v>
      </c>
      <c r="C625" s="1">
        <v>866583.14514392731</v>
      </c>
      <c r="D625" s="1">
        <f t="shared" si="9"/>
        <v>27086.735656072735</v>
      </c>
      <c r="E625" s="1">
        <v>17</v>
      </c>
      <c r="F625" s="1">
        <v>11</v>
      </c>
      <c r="G625" s="1">
        <v>7</v>
      </c>
      <c r="H625" s="1">
        <v>0</v>
      </c>
      <c r="I625" s="1">
        <v>0</v>
      </c>
      <c r="J625" s="1">
        <v>0</v>
      </c>
      <c r="K625" s="1">
        <v>0</v>
      </c>
      <c r="L625" s="1">
        <v>0</v>
      </c>
      <c r="M625" s="1">
        <v>0</v>
      </c>
    </row>
    <row r="626" spans="1:13">
      <c r="A626" s="1">
        <v>625</v>
      </c>
      <c r="B626" s="1">
        <v>982374.64720000001</v>
      </c>
      <c r="C626" s="1">
        <v>724343.35499756958</v>
      </c>
      <c r="D626" s="1">
        <f t="shared" si="9"/>
        <v>258031.29220243043</v>
      </c>
      <c r="E626" s="1">
        <v>8</v>
      </c>
      <c r="F626" s="1">
        <v>19</v>
      </c>
      <c r="G626" s="1">
        <v>8</v>
      </c>
      <c r="H626" s="1">
        <v>1</v>
      </c>
      <c r="I626" s="1">
        <v>0</v>
      </c>
      <c r="J626" s="1">
        <v>1</v>
      </c>
      <c r="K626" s="1">
        <v>1</v>
      </c>
      <c r="L626" s="1">
        <v>0</v>
      </c>
      <c r="M626" s="1">
        <v>0</v>
      </c>
    </row>
    <row r="627" spans="1:13">
      <c r="A627" s="1">
        <v>626</v>
      </c>
      <c r="B627" s="1">
        <v>963049.62100000004</v>
      </c>
      <c r="C627" s="1">
        <v>699845.32913042069</v>
      </c>
      <c r="D627" s="1">
        <f t="shared" si="9"/>
        <v>263204.29186957935</v>
      </c>
      <c r="E627" s="1">
        <v>16</v>
      </c>
      <c r="F627" s="1">
        <v>13</v>
      </c>
      <c r="G627" s="1">
        <v>6</v>
      </c>
      <c r="H627" s="1">
        <v>0</v>
      </c>
      <c r="I627" s="1">
        <v>0</v>
      </c>
      <c r="J627" s="1">
        <v>2</v>
      </c>
      <c r="K627" s="1">
        <v>0</v>
      </c>
      <c r="L627" s="1">
        <v>0</v>
      </c>
      <c r="M627" s="1">
        <v>0</v>
      </c>
    </row>
    <row r="628" spans="1:13">
      <c r="A628" s="1">
        <v>627</v>
      </c>
      <c r="B628" s="1">
        <v>883303.85820000002</v>
      </c>
      <c r="C628" s="1">
        <v>637851.64076152479</v>
      </c>
      <c r="D628" s="1">
        <f t="shared" si="9"/>
        <v>245452.21743847523</v>
      </c>
      <c r="E628" s="1">
        <v>20</v>
      </c>
      <c r="F628" s="1">
        <v>11</v>
      </c>
      <c r="G628" s="1">
        <v>4</v>
      </c>
      <c r="H628" s="1">
        <v>1</v>
      </c>
      <c r="I628" s="1">
        <v>0</v>
      </c>
      <c r="J628" s="1">
        <v>0</v>
      </c>
      <c r="K628" s="1">
        <v>0</v>
      </c>
      <c r="L628" s="1">
        <v>0</v>
      </c>
      <c r="M628" s="1">
        <v>0</v>
      </c>
    </row>
    <row r="629" spans="1:13">
      <c r="A629" s="1">
        <v>628</v>
      </c>
      <c r="B629" s="1">
        <v>836853.17319999996</v>
      </c>
      <c r="C629" s="1">
        <v>834728.81070317945</v>
      </c>
      <c r="D629" s="1">
        <f t="shared" si="9"/>
        <v>2124.3624968205113</v>
      </c>
      <c r="E629" s="1">
        <v>13</v>
      </c>
      <c r="F629" s="1">
        <v>18</v>
      </c>
      <c r="G629" s="1">
        <v>4</v>
      </c>
      <c r="H629" s="1">
        <v>0</v>
      </c>
      <c r="I629" s="1">
        <v>0</v>
      </c>
      <c r="J629" s="1">
        <v>0</v>
      </c>
      <c r="K629" s="1">
        <v>0</v>
      </c>
      <c r="L629" s="1">
        <v>0</v>
      </c>
      <c r="M629" s="1">
        <v>1</v>
      </c>
    </row>
    <row r="630" spans="1:13">
      <c r="A630" s="1">
        <v>629</v>
      </c>
      <c r="B630" s="1">
        <v>999665.49049999996</v>
      </c>
      <c r="C630" s="1">
        <v>435730.4449538847</v>
      </c>
      <c r="D630" s="1">
        <f t="shared" si="9"/>
        <v>563935.04554611526</v>
      </c>
      <c r="E630" s="1">
        <v>7</v>
      </c>
      <c r="F630" s="1">
        <v>23</v>
      </c>
      <c r="G630" s="1">
        <v>5</v>
      </c>
      <c r="H630" s="1">
        <v>1</v>
      </c>
      <c r="I630" s="1">
        <v>0</v>
      </c>
      <c r="J630" s="1">
        <v>0</v>
      </c>
      <c r="K630" s="1">
        <v>2</v>
      </c>
      <c r="L630" s="1">
        <v>0</v>
      </c>
      <c r="M630" s="1">
        <v>0</v>
      </c>
    </row>
    <row r="631" spans="1:13">
      <c r="A631" s="1">
        <v>630</v>
      </c>
      <c r="B631" s="1">
        <v>986714.81279999996</v>
      </c>
      <c r="C631" s="1">
        <v>647656.83035391197</v>
      </c>
      <c r="D631" s="1">
        <f t="shared" si="9"/>
        <v>339057.98244608799</v>
      </c>
      <c r="E631" s="1">
        <v>8</v>
      </c>
      <c r="F631" s="1">
        <v>21</v>
      </c>
      <c r="G631" s="1">
        <v>6</v>
      </c>
      <c r="H631" s="1">
        <v>1</v>
      </c>
      <c r="I631" s="1">
        <v>1</v>
      </c>
      <c r="J631" s="1">
        <v>1</v>
      </c>
      <c r="K631" s="1">
        <v>1</v>
      </c>
      <c r="L631" s="1">
        <v>0</v>
      </c>
      <c r="M631" s="1">
        <v>0</v>
      </c>
    </row>
    <row r="632" spans="1:13">
      <c r="A632" s="1">
        <v>631</v>
      </c>
      <c r="B632" s="1">
        <v>840368.61470000003</v>
      </c>
      <c r="C632" s="1">
        <v>779993.78016352002</v>
      </c>
      <c r="D632" s="1">
        <f t="shared" si="9"/>
        <v>60374.834536480019</v>
      </c>
      <c r="E632" s="1">
        <v>10</v>
      </c>
      <c r="F632" s="1">
        <v>22</v>
      </c>
      <c r="G632" s="1">
        <v>3</v>
      </c>
      <c r="H632" s="1">
        <v>1</v>
      </c>
      <c r="I632" s="1">
        <v>0</v>
      </c>
      <c r="J632" s="1">
        <v>1</v>
      </c>
      <c r="K632" s="1">
        <v>0</v>
      </c>
      <c r="L632" s="1">
        <v>0</v>
      </c>
      <c r="M632" s="1">
        <v>0</v>
      </c>
    </row>
    <row r="633" spans="1:13">
      <c r="A633" s="1">
        <v>632</v>
      </c>
      <c r="B633" s="1">
        <v>948433.17070000002</v>
      </c>
      <c r="C633" s="1">
        <v>535220.06103231828</v>
      </c>
      <c r="D633" s="1">
        <f t="shared" si="9"/>
        <v>413213.10966768174</v>
      </c>
      <c r="E633" s="1">
        <v>13</v>
      </c>
      <c r="F633" s="1">
        <v>16</v>
      </c>
      <c r="G633" s="1">
        <v>6</v>
      </c>
      <c r="H633" s="1">
        <v>0</v>
      </c>
      <c r="I633" s="1">
        <v>0</v>
      </c>
      <c r="J633" s="1">
        <v>0</v>
      </c>
      <c r="K633" s="1">
        <v>1</v>
      </c>
      <c r="L633" s="1">
        <v>0</v>
      </c>
      <c r="M633" s="1">
        <v>1</v>
      </c>
    </row>
    <row r="634" spans="1:13">
      <c r="A634" s="1">
        <v>633</v>
      </c>
      <c r="B634" s="1">
        <v>863229.92989999999</v>
      </c>
      <c r="C634" s="1">
        <v>639012.61993073137</v>
      </c>
      <c r="D634" s="1">
        <f t="shared" si="9"/>
        <v>224217.30996926862</v>
      </c>
      <c r="E634" s="1">
        <v>12</v>
      </c>
      <c r="F634" s="1">
        <v>17</v>
      </c>
      <c r="G634" s="1">
        <v>6</v>
      </c>
      <c r="H634" s="1">
        <v>2</v>
      </c>
      <c r="I634" s="1">
        <v>0</v>
      </c>
      <c r="J634" s="1">
        <v>0</v>
      </c>
      <c r="K634" s="1">
        <v>0</v>
      </c>
      <c r="L634" s="1">
        <v>0</v>
      </c>
      <c r="M634" s="1">
        <v>1</v>
      </c>
    </row>
    <row r="635" spans="1:13">
      <c r="A635" s="1">
        <v>634</v>
      </c>
      <c r="B635" s="1">
        <v>841175.44279999996</v>
      </c>
      <c r="C635" s="1">
        <v>579967.20351156709</v>
      </c>
      <c r="D635" s="1">
        <f t="shared" si="9"/>
        <v>261208.23928843287</v>
      </c>
      <c r="E635" s="1">
        <v>17</v>
      </c>
      <c r="F635" s="1">
        <v>14</v>
      </c>
      <c r="G635" s="1">
        <v>4</v>
      </c>
      <c r="H635" s="1">
        <v>1</v>
      </c>
      <c r="I635" s="1">
        <v>0</v>
      </c>
      <c r="J635" s="1">
        <v>0</v>
      </c>
      <c r="K635" s="1">
        <v>1</v>
      </c>
      <c r="L635" s="1">
        <v>0</v>
      </c>
      <c r="M635" s="1">
        <v>0</v>
      </c>
    </row>
    <row r="636" spans="1:13">
      <c r="A636" s="1">
        <v>635</v>
      </c>
      <c r="B636" s="1">
        <v>834402.22329999995</v>
      </c>
      <c r="C636" s="1">
        <v>741445.33692326967</v>
      </c>
      <c r="D636" s="1">
        <f t="shared" si="9"/>
        <v>92956.886376730283</v>
      </c>
      <c r="E636" s="1">
        <v>12</v>
      </c>
      <c r="F636" s="1">
        <v>17</v>
      </c>
      <c r="G636" s="1">
        <v>6</v>
      </c>
      <c r="H636" s="1">
        <v>2</v>
      </c>
      <c r="I636" s="1">
        <v>0</v>
      </c>
      <c r="J636" s="1">
        <v>1</v>
      </c>
      <c r="K636" s="1">
        <v>0</v>
      </c>
      <c r="L636" s="1">
        <v>1</v>
      </c>
      <c r="M636" s="1">
        <v>1</v>
      </c>
    </row>
    <row r="637" spans="1:13">
      <c r="A637" s="1">
        <v>636</v>
      </c>
      <c r="B637" s="1">
        <v>945093.39130000002</v>
      </c>
      <c r="C637" s="1">
        <v>909974.91276309045</v>
      </c>
      <c r="D637" s="1">
        <f t="shared" si="9"/>
        <v>35118.478536909563</v>
      </c>
      <c r="E637" s="1">
        <v>16</v>
      </c>
      <c r="F637" s="1">
        <v>16</v>
      </c>
      <c r="G637" s="1">
        <v>3</v>
      </c>
      <c r="H637" s="1">
        <v>1</v>
      </c>
      <c r="I637" s="1">
        <v>0</v>
      </c>
      <c r="J637" s="1">
        <v>1</v>
      </c>
      <c r="K637" s="1">
        <v>1</v>
      </c>
      <c r="L637" s="1">
        <v>0</v>
      </c>
      <c r="M637" s="1">
        <v>0</v>
      </c>
    </row>
    <row r="638" spans="1:13">
      <c r="A638" s="1">
        <v>637</v>
      </c>
      <c r="B638" s="1">
        <v>875028.7328</v>
      </c>
      <c r="C638" s="1">
        <v>760794.5056181862</v>
      </c>
      <c r="D638" s="1">
        <f t="shared" si="9"/>
        <v>114234.2271818138</v>
      </c>
      <c r="E638" s="1">
        <v>24</v>
      </c>
      <c r="F638" s="1">
        <v>7</v>
      </c>
      <c r="G638" s="1">
        <v>4</v>
      </c>
      <c r="H638" s="1">
        <v>0</v>
      </c>
      <c r="I638" s="1">
        <v>0</v>
      </c>
      <c r="J638" s="1">
        <v>1</v>
      </c>
      <c r="K638" s="1">
        <v>0</v>
      </c>
      <c r="L638" s="1">
        <v>0</v>
      </c>
      <c r="M638" s="1">
        <v>0</v>
      </c>
    </row>
    <row r="639" spans="1:13">
      <c r="A639" s="1">
        <v>638</v>
      </c>
      <c r="B639" s="1">
        <v>972302.28830000001</v>
      </c>
      <c r="C639" s="1">
        <v>854572.61045644502</v>
      </c>
      <c r="D639" s="1">
        <f t="shared" si="9"/>
        <v>117729.67784355499</v>
      </c>
      <c r="E639" s="1">
        <v>17</v>
      </c>
      <c r="F639" s="1">
        <v>12</v>
      </c>
      <c r="G639" s="1">
        <v>6</v>
      </c>
      <c r="H639" s="1">
        <v>0</v>
      </c>
      <c r="I639" s="1">
        <v>0</v>
      </c>
      <c r="J639" s="1">
        <v>1</v>
      </c>
      <c r="K639" s="1">
        <v>1</v>
      </c>
      <c r="L639" s="1">
        <v>0</v>
      </c>
      <c r="M639" s="1">
        <v>0</v>
      </c>
    </row>
    <row r="640" spans="1:13">
      <c r="A640" s="1">
        <v>639</v>
      </c>
      <c r="B640" s="1">
        <v>1052247.834</v>
      </c>
      <c r="C640" s="1">
        <v>1146931.8723113842</v>
      </c>
      <c r="D640" s="1">
        <f t="shared" si="9"/>
        <v>-94684.038311384153</v>
      </c>
      <c r="E640" s="1">
        <v>10</v>
      </c>
      <c r="F640" s="1">
        <v>19</v>
      </c>
      <c r="G640" s="1">
        <v>6</v>
      </c>
      <c r="H640" s="1">
        <v>1</v>
      </c>
      <c r="I640" s="1">
        <v>0</v>
      </c>
      <c r="J640" s="1">
        <v>0</v>
      </c>
      <c r="K640" s="1">
        <v>0</v>
      </c>
      <c r="L640" s="1">
        <v>0</v>
      </c>
      <c r="M640" s="1">
        <v>0</v>
      </c>
    </row>
    <row r="641" spans="1:13">
      <c r="A641" s="1">
        <v>640</v>
      </c>
      <c r="B641" s="1">
        <v>1104478.1221</v>
      </c>
      <c r="C641" s="1">
        <v>1070343.8492324695</v>
      </c>
      <c r="D641" s="1">
        <f t="shared" si="9"/>
        <v>34134.272867530584</v>
      </c>
      <c r="E641" s="1">
        <v>3</v>
      </c>
      <c r="F641" s="1">
        <v>27</v>
      </c>
      <c r="G641" s="1">
        <v>5</v>
      </c>
      <c r="H641" s="1">
        <v>0</v>
      </c>
      <c r="I641" s="1">
        <v>1</v>
      </c>
      <c r="J641" s="1">
        <v>0</v>
      </c>
      <c r="K641" s="1">
        <v>1</v>
      </c>
      <c r="L641" s="1">
        <v>0</v>
      </c>
      <c r="M641" s="1">
        <v>0</v>
      </c>
    </row>
    <row r="642" spans="1:13">
      <c r="A642" s="1">
        <v>641</v>
      </c>
      <c r="B642" s="1">
        <v>1119433.4879000001</v>
      </c>
      <c r="C642" s="1">
        <v>949710.53645698179</v>
      </c>
      <c r="D642" s="1">
        <f t="shared" ref="D642:D705" si="10">B642-C642</f>
        <v>169722.95144301828</v>
      </c>
      <c r="E642" s="1">
        <v>12</v>
      </c>
      <c r="F642" s="1">
        <v>15</v>
      </c>
      <c r="G642" s="1">
        <v>8</v>
      </c>
      <c r="H642" s="1">
        <v>1</v>
      </c>
      <c r="I642" s="1">
        <v>0</v>
      </c>
      <c r="J642" s="1">
        <v>2</v>
      </c>
      <c r="K642" s="1">
        <v>0</v>
      </c>
      <c r="L642" s="1">
        <v>0</v>
      </c>
      <c r="M642" s="1">
        <v>0</v>
      </c>
    </row>
    <row r="643" spans="1:13">
      <c r="A643" s="1">
        <v>642</v>
      </c>
      <c r="B643" s="1">
        <v>962085.18229999999</v>
      </c>
      <c r="C643" s="1">
        <v>937867.22836508183</v>
      </c>
      <c r="D643" s="1">
        <f t="shared" si="10"/>
        <v>24217.953934918158</v>
      </c>
      <c r="E643" s="1">
        <v>7</v>
      </c>
      <c r="F643" s="1">
        <v>22</v>
      </c>
      <c r="G643" s="1">
        <v>6</v>
      </c>
      <c r="H643" s="1">
        <v>1</v>
      </c>
      <c r="I643" s="1">
        <v>0</v>
      </c>
      <c r="J643" s="1">
        <v>0</v>
      </c>
      <c r="K643" s="1">
        <v>2</v>
      </c>
      <c r="L643" s="1">
        <v>0</v>
      </c>
      <c r="M643" s="1">
        <v>1</v>
      </c>
    </row>
    <row r="644" spans="1:13">
      <c r="A644" s="1">
        <v>643</v>
      </c>
      <c r="B644" s="1">
        <v>896462.48109999998</v>
      </c>
      <c r="C644" s="1">
        <v>623752.6565435197</v>
      </c>
      <c r="D644" s="1">
        <f t="shared" si="10"/>
        <v>272709.82455648028</v>
      </c>
      <c r="E644" s="1">
        <v>13</v>
      </c>
      <c r="F644" s="1">
        <v>19</v>
      </c>
      <c r="G644" s="1">
        <v>3</v>
      </c>
      <c r="H644" s="1">
        <v>1</v>
      </c>
      <c r="I644" s="1">
        <v>0</v>
      </c>
      <c r="J644" s="1">
        <v>0</v>
      </c>
      <c r="K644" s="1">
        <v>2</v>
      </c>
      <c r="L644" s="1">
        <v>0</v>
      </c>
      <c r="M644" s="1">
        <v>0</v>
      </c>
    </row>
    <row r="645" spans="1:13">
      <c r="A645" s="1">
        <v>644</v>
      </c>
      <c r="B645" s="1">
        <v>997026.78529999999</v>
      </c>
      <c r="C645" s="1">
        <v>757218.86759936146</v>
      </c>
      <c r="D645" s="1">
        <f t="shared" si="10"/>
        <v>239807.91770063853</v>
      </c>
      <c r="E645" s="1">
        <v>7</v>
      </c>
      <c r="F645" s="1">
        <v>25</v>
      </c>
      <c r="G645" s="1">
        <v>3</v>
      </c>
      <c r="H645" s="1">
        <v>1</v>
      </c>
      <c r="I645" s="1">
        <v>1</v>
      </c>
      <c r="J645" s="1">
        <v>1</v>
      </c>
      <c r="K645" s="1">
        <v>0</v>
      </c>
      <c r="L645" s="1">
        <v>0</v>
      </c>
      <c r="M645" s="1">
        <v>0</v>
      </c>
    </row>
    <row r="646" spans="1:13">
      <c r="A646" s="1">
        <v>645</v>
      </c>
      <c r="B646" s="1">
        <v>1099951.6976999999</v>
      </c>
      <c r="C646" s="1">
        <v>2360659.7514452366</v>
      </c>
      <c r="D646" s="1">
        <f t="shared" si="10"/>
        <v>-1260708.0537452367</v>
      </c>
      <c r="E646" s="1">
        <v>7</v>
      </c>
      <c r="F646" s="1">
        <v>20</v>
      </c>
      <c r="G646" s="1">
        <v>8</v>
      </c>
      <c r="H646" s="1">
        <v>1</v>
      </c>
      <c r="I646" s="1">
        <v>0</v>
      </c>
      <c r="J646" s="1">
        <v>0</v>
      </c>
      <c r="K646" s="1">
        <v>0</v>
      </c>
      <c r="L646" s="1">
        <v>0</v>
      </c>
      <c r="M646" s="1">
        <v>1</v>
      </c>
    </row>
    <row r="647" spans="1:13">
      <c r="A647" s="1">
        <v>646</v>
      </c>
      <c r="B647" s="1">
        <v>983413.03209999995</v>
      </c>
      <c r="C647" s="1">
        <v>919228.60789237625</v>
      </c>
      <c r="D647" s="1">
        <f t="shared" si="10"/>
        <v>64184.424207623699</v>
      </c>
      <c r="E647" s="1">
        <v>7</v>
      </c>
      <c r="F647" s="1">
        <v>24</v>
      </c>
      <c r="G647" s="1">
        <v>4</v>
      </c>
      <c r="H647" s="1">
        <v>0</v>
      </c>
      <c r="I647" s="1">
        <v>0</v>
      </c>
      <c r="J647" s="1">
        <v>0</v>
      </c>
      <c r="K647" s="1">
        <v>1</v>
      </c>
      <c r="L647" s="1">
        <v>0</v>
      </c>
      <c r="M647" s="1">
        <v>0</v>
      </c>
    </row>
    <row r="648" spans="1:13">
      <c r="A648" s="1">
        <v>647</v>
      </c>
      <c r="B648" s="1">
        <v>895183.49179999996</v>
      </c>
      <c r="C648" s="1">
        <v>1219012.4853470377</v>
      </c>
      <c r="D648" s="1">
        <f t="shared" si="10"/>
        <v>-323828.99354703771</v>
      </c>
      <c r="E648" s="1">
        <v>22</v>
      </c>
      <c r="F648" s="1">
        <v>10</v>
      </c>
      <c r="G648" s="1">
        <v>3</v>
      </c>
      <c r="H648" s="1">
        <v>1</v>
      </c>
      <c r="I648" s="1">
        <v>0</v>
      </c>
      <c r="J648" s="1">
        <v>1</v>
      </c>
      <c r="K648" s="1">
        <v>1</v>
      </c>
      <c r="L648" s="1">
        <v>0</v>
      </c>
      <c r="M648" s="1">
        <v>0</v>
      </c>
    </row>
    <row r="649" spans="1:13">
      <c r="A649" s="1">
        <v>648</v>
      </c>
      <c r="B649" s="1">
        <v>1064288.5049000001</v>
      </c>
      <c r="C649" s="1">
        <v>1239524.5133413814</v>
      </c>
      <c r="D649" s="1">
        <f t="shared" si="10"/>
        <v>-175236.00844138139</v>
      </c>
      <c r="E649" s="1">
        <v>8</v>
      </c>
      <c r="F649" s="1">
        <v>17</v>
      </c>
      <c r="G649" s="1">
        <v>10</v>
      </c>
      <c r="H649" s="1">
        <v>1</v>
      </c>
      <c r="I649" s="1">
        <v>0</v>
      </c>
      <c r="J649" s="1">
        <v>0</v>
      </c>
      <c r="K649" s="1">
        <v>1</v>
      </c>
      <c r="L649" s="1">
        <v>0</v>
      </c>
      <c r="M649" s="1">
        <v>1</v>
      </c>
    </row>
    <row r="650" spans="1:13">
      <c r="A650" s="1">
        <v>649</v>
      </c>
      <c r="B650" s="1">
        <v>910815.26939999999</v>
      </c>
      <c r="C650" s="1">
        <v>825547.4696934775</v>
      </c>
      <c r="D650" s="1">
        <f t="shared" si="10"/>
        <v>85267.799706522492</v>
      </c>
      <c r="E650" s="1">
        <v>17</v>
      </c>
      <c r="F650" s="1">
        <v>15</v>
      </c>
      <c r="G650" s="1">
        <v>3</v>
      </c>
      <c r="H650" s="1">
        <v>1</v>
      </c>
      <c r="I650" s="1">
        <v>0</v>
      </c>
      <c r="J650" s="1">
        <v>0</v>
      </c>
      <c r="K650" s="1">
        <v>1</v>
      </c>
      <c r="L650" s="1">
        <v>0</v>
      </c>
      <c r="M650" s="1">
        <v>0</v>
      </c>
    </row>
    <row r="651" spans="1:13">
      <c r="A651" s="1">
        <v>650</v>
      </c>
      <c r="B651" s="1">
        <v>942234.0466</v>
      </c>
      <c r="C651" s="1">
        <v>1317846.0534904459</v>
      </c>
      <c r="D651" s="1">
        <f t="shared" si="10"/>
        <v>-375612.00689044595</v>
      </c>
      <c r="E651" s="1">
        <v>16</v>
      </c>
      <c r="F651" s="1">
        <v>15</v>
      </c>
      <c r="G651" s="1">
        <v>4</v>
      </c>
      <c r="H651" s="1">
        <v>2</v>
      </c>
      <c r="I651" s="1">
        <v>0</v>
      </c>
      <c r="J651" s="1">
        <v>1</v>
      </c>
      <c r="K651" s="1">
        <v>0</v>
      </c>
      <c r="L651" s="1">
        <v>0</v>
      </c>
      <c r="M651" s="1">
        <v>0</v>
      </c>
    </row>
    <row r="652" spans="1:13">
      <c r="A652" s="1">
        <v>651</v>
      </c>
      <c r="B652" s="1">
        <v>974420.01390000002</v>
      </c>
      <c r="C652" s="1">
        <v>695208.25107875722</v>
      </c>
      <c r="D652" s="1">
        <f t="shared" si="10"/>
        <v>279211.7628212428</v>
      </c>
      <c r="E652" s="1">
        <v>14</v>
      </c>
      <c r="F652" s="1">
        <v>14</v>
      </c>
      <c r="G652" s="1">
        <v>7</v>
      </c>
      <c r="H652" s="1">
        <v>0</v>
      </c>
      <c r="I652" s="1">
        <v>0</v>
      </c>
      <c r="J652" s="1">
        <v>0</v>
      </c>
      <c r="K652" s="1">
        <v>1</v>
      </c>
      <c r="L652" s="1">
        <v>0</v>
      </c>
      <c r="M652" s="1">
        <v>0</v>
      </c>
    </row>
    <row r="653" spans="1:13">
      <c r="A653" s="1">
        <v>652</v>
      </c>
      <c r="B653" s="1">
        <v>855090.30180000002</v>
      </c>
      <c r="C653" s="1">
        <v>830087.46725466033</v>
      </c>
      <c r="D653" s="1">
        <f t="shared" si="10"/>
        <v>25002.834545339691</v>
      </c>
      <c r="E653" s="1">
        <v>13</v>
      </c>
      <c r="F653" s="1">
        <v>18</v>
      </c>
      <c r="G653" s="1">
        <v>4</v>
      </c>
      <c r="H653" s="1">
        <v>0</v>
      </c>
      <c r="I653" s="1">
        <v>0</v>
      </c>
      <c r="J653" s="1">
        <v>0</v>
      </c>
      <c r="K653" s="1">
        <v>0</v>
      </c>
      <c r="L653" s="1">
        <v>0</v>
      </c>
      <c r="M653" s="1">
        <v>0</v>
      </c>
    </row>
    <row r="654" spans="1:13">
      <c r="A654" s="1">
        <v>653</v>
      </c>
      <c r="B654" s="1">
        <v>946303.04790000001</v>
      </c>
      <c r="C654" s="1">
        <v>452648.87647078023</v>
      </c>
      <c r="D654" s="1">
        <f t="shared" si="10"/>
        <v>493654.17142921977</v>
      </c>
      <c r="E654" s="1">
        <v>11</v>
      </c>
      <c r="F654" s="1">
        <v>18</v>
      </c>
      <c r="G654" s="1">
        <v>6</v>
      </c>
      <c r="H654" s="1">
        <v>0</v>
      </c>
      <c r="I654" s="1">
        <v>0</v>
      </c>
      <c r="J654" s="1">
        <v>0</v>
      </c>
      <c r="K654" s="1">
        <v>0</v>
      </c>
      <c r="L654" s="1">
        <v>0</v>
      </c>
      <c r="M654" s="1">
        <v>1</v>
      </c>
    </row>
    <row r="655" spans="1:13">
      <c r="A655" s="1">
        <v>654</v>
      </c>
      <c r="B655" s="1">
        <v>959313.27249999996</v>
      </c>
      <c r="C655" s="1">
        <v>759433.07789555658</v>
      </c>
      <c r="D655" s="1">
        <f t="shared" si="10"/>
        <v>199880.19460444339</v>
      </c>
      <c r="E655" s="1">
        <v>15</v>
      </c>
      <c r="F655" s="1">
        <v>15</v>
      </c>
      <c r="G655" s="1">
        <v>5</v>
      </c>
      <c r="H655" s="1">
        <v>1</v>
      </c>
      <c r="I655" s="1">
        <v>1</v>
      </c>
      <c r="J655" s="1">
        <v>1</v>
      </c>
      <c r="K655" s="1">
        <v>1</v>
      </c>
      <c r="L655" s="1">
        <v>0</v>
      </c>
      <c r="M655" s="1">
        <v>1</v>
      </c>
    </row>
    <row r="656" spans="1:13">
      <c r="A656" s="1">
        <v>655</v>
      </c>
      <c r="B656" s="1">
        <v>910496.22549999994</v>
      </c>
      <c r="C656" s="1">
        <v>442868.98211674602</v>
      </c>
      <c r="D656" s="1">
        <f t="shared" si="10"/>
        <v>467627.24338325392</v>
      </c>
      <c r="E656" s="1">
        <v>4</v>
      </c>
      <c r="F656" s="1">
        <v>27</v>
      </c>
      <c r="G656" s="1">
        <v>4</v>
      </c>
      <c r="H656" s="1">
        <v>0</v>
      </c>
      <c r="I656" s="1">
        <v>0</v>
      </c>
      <c r="J656" s="1">
        <v>1</v>
      </c>
      <c r="K656" s="1">
        <v>0</v>
      </c>
      <c r="L656" s="1">
        <v>0</v>
      </c>
      <c r="M656" s="1">
        <v>0</v>
      </c>
    </row>
    <row r="657" spans="1:13">
      <c r="A657" s="1">
        <v>656</v>
      </c>
      <c r="B657" s="1">
        <v>980477.56310000003</v>
      </c>
      <c r="C657" s="1">
        <v>943678.15422466025</v>
      </c>
      <c r="D657" s="1">
        <f t="shared" si="10"/>
        <v>36799.408875339781</v>
      </c>
      <c r="E657" s="1">
        <v>12</v>
      </c>
      <c r="F657" s="1">
        <v>18</v>
      </c>
      <c r="G657" s="1">
        <v>5</v>
      </c>
      <c r="H657" s="1">
        <v>1</v>
      </c>
      <c r="I657" s="1">
        <v>0</v>
      </c>
      <c r="J657" s="1">
        <v>1</v>
      </c>
      <c r="K657" s="1">
        <v>0</v>
      </c>
      <c r="L657" s="1">
        <v>0</v>
      </c>
      <c r="M657" s="1">
        <v>0</v>
      </c>
    </row>
    <row r="658" spans="1:13">
      <c r="A658" s="1">
        <v>657</v>
      </c>
      <c r="B658" s="1">
        <v>933037.05079999997</v>
      </c>
      <c r="C658" s="1">
        <v>1203212.6848626942</v>
      </c>
      <c r="D658" s="1">
        <f t="shared" si="10"/>
        <v>-270175.63406269427</v>
      </c>
      <c r="E658" s="1">
        <v>17</v>
      </c>
      <c r="F658" s="1">
        <v>14</v>
      </c>
      <c r="G658" s="1">
        <v>4</v>
      </c>
      <c r="H658" s="1">
        <v>2</v>
      </c>
      <c r="I658" s="1">
        <v>0</v>
      </c>
      <c r="J658" s="1">
        <v>2</v>
      </c>
      <c r="K658" s="1">
        <v>0</v>
      </c>
      <c r="L658" s="1">
        <v>0</v>
      </c>
      <c r="M658" s="1">
        <v>1</v>
      </c>
    </row>
    <row r="659" spans="1:13">
      <c r="A659" s="1">
        <v>658</v>
      </c>
      <c r="B659" s="1">
        <v>803061.86580000003</v>
      </c>
      <c r="C659" s="1">
        <v>687868.91226341436</v>
      </c>
      <c r="D659" s="1">
        <f t="shared" si="10"/>
        <v>115192.95353658567</v>
      </c>
      <c r="E659" s="1">
        <v>14</v>
      </c>
      <c r="F659" s="1">
        <v>16</v>
      </c>
      <c r="G659" s="1">
        <v>5</v>
      </c>
      <c r="H659" s="1">
        <v>0</v>
      </c>
      <c r="I659" s="1">
        <v>0</v>
      </c>
      <c r="J659" s="1">
        <v>0</v>
      </c>
      <c r="K659" s="1">
        <v>0</v>
      </c>
      <c r="L659" s="1">
        <v>0</v>
      </c>
      <c r="M659" s="1">
        <v>0</v>
      </c>
    </row>
    <row r="660" spans="1:13">
      <c r="A660" s="1">
        <v>659</v>
      </c>
      <c r="B660" s="1">
        <v>924334.74329999997</v>
      </c>
      <c r="C660" s="1">
        <v>822724.18898629688</v>
      </c>
      <c r="D660" s="1">
        <f t="shared" si="10"/>
        <v>101610.55431370309</v>
      </c>
      <c r="E660" s="1">
        <v>13</v>
      </c>
      <c r="F660" s="1">
        <v>16</v>
      </c>
      <c r="G660" s="1">
        <v>6</v>
      </c>
      <c r="H660" s="1">
        <v>2</v>
      </c>
      <c r="I660" s="1">
        <v>0</v>
      </c>
      <c r="J660" s="1">
        <v>0</v>
      </c>
      <c r="K660" s="1">
        <v>1</v>
      </c>
      <c r="L660" s="1">
        <v>0</v>
      </c>
      <c r="M660" s="1">
        <v>1</v>
      </c>
    </row>
    <row r="661" spans="1:13">
      <c r="A661" s="1">
        <v>660</v>
      </c>
      <c r="B661" s="1">
        <v>1029458.5632</v>
      </c>
      <c r="C661" s="1">
        <v>1455910.902315808</v>
      </c>
      <c r="D661" s="1">
        <f t="shared" si="10"/>
        <v>-426452.33911580802</v>
      </c>
      <c r="E661" s="1">
        <v>10</v>
      </c>
      <c r="F661" s="1">
        <v>19</v>
      </c>
      <c r="G661" s="1">
        <v>6</v>
      </c>
      <c r="H661" s="1">
        <v>0</v>
      </c>
      <c r="I661" s="1">
        <v>0</v>
      </c>
      <c r="J661" s="1">
        <v>0</v>
      </c>
      <c r="K661" s="1">
        <v>2</v>
      </c>
      <c r="L661" s="1">
        <v>0</v>
      </c>
      <c r="M661" s="1">
        <v>1</v>
      </c>
    </row>
    <row r="662" spans="1:13">
      <c r="A662" s="1">
        <v>661</v>
      </c>
      <c r="B662" s="1">
        <v>947769.58689999999</v>
      </c>
      <c r="C662" s="1">
        <v>1065899.2467598123</v>
      </c>
      <c r="D662" s="1">
        <f t="shared" si="10"/>
        <v>-118129.65985981235</v>
      </c>
      <c r="E662" s="1">
        <v>22</v>
      </c>
      <c r="F662" s="1">
        <v>8</v>
      </c>
      <c r="G662" s="1">
        <v>5</v>
      </c>
      <c r="H662" s="1">
        <v>1</v>
      </c>
      <c r="I662" s="1">
        <v>0</v>
      </c>
      <c r="J662" s="1">
        <v>0</v>
      </c>
      <c r="K662" s="1">
        <v>0</v>
      </c>
      <c r="L662" s="1">
        <v>0</v>
      </c>
      <c r="M662" s="1">
        <v>0</v>
      </c>
    </row>
    <row r="663" spans="1:13">
      <c r="A663" s="1">
        <v>662</v>
      </c>
      <c r="B663" s="1">
        <v>947548.22759999998</v>
      </c>
      <c r="C663" s="1">
        <v>1615522.9583906555</v>
      </c>
      <c r="D663" s="1">
        <f t="shared" si="10"/>
        <v>-667974.73079065548</v>
      </c>
      <c r="E663" s="1">
        <v>18</v>
      </c>
      <c r="F663" s="1">
        <v>16</v>
      </c>
      <c r="G663" s="1">
        <v>1</v>
      </c>
      <c r="H663" s="1">
        <v>0</v>
      </c>
      <c r="I663" s="1">
        <v>0</v>
      </c>
      <c r="J663" s="1">
        <v>0</v>
      </c>
      <c r="K663" s="1">
        <v>2</v>
      </c>
      <c r="L663" s="1">
        <v>0</v>
      </c>
      <c r="M663" s="1">
        <v>0</v>
      </c>
    </row>
    <row r="664" spans="1:13">
      <c r="A664" s="1">
        <v>663</v>
      </c>
      <c r="B664" s="1">
        <v>987619.88329999999</v>
      </c>
      <c r="C664" s="1">
        <v>892046.21757257998</v>
      </c>
      <c r="D664" s="1">
        <f t="shared" si="10"/>
        <v>95573.665727420012</v>
      </c>
      <c r="E664" s="1">
        <v>4</v>
      </c>
      <c r="F664" s="1">
        <v>24</v>
      </c>
      <c r="G664" s="1">
        <v>7</v>
      </c>
      <c r="H664" s="1">
        <v>1</v>
      </c>
      <c r="I664" s="1">
        <v>0</v>
      </c>
      <c r="J664" s="1">
        <v>0</v>
      </c>
      <c r="K664" s="1">
        <v>1</v>
      </c>
      <c r="L664" s="1">
        <v>0</v>
      </c>
      <c r="M664" s="1">
        <v>1</v>
      </c>
    </row>
    <row r="665" spans="1:13">
      <c r="A665" s="1">
        <v>664</v>
      </c>
      <c r="B665" s="1">
        <v>868836.95990000002</v>
      </c>
      <c r="C665" s="1">
        <v>1093185.4259988875</v>
      </c>
      <c r="D665" s="1">
        <f t="shared" si="10"/>
        <v>-224348.4660988875</v>
      </c>
      <c r="E665" s="1">
        <v>15</v>
      </c>
      <c r="F665" s="1">
        <v>19</v>
      </c>
      <c r="G665" s="1">
        <v>1</v>
      </c>
      <c r="H665" s="1">
        <v>0</v>
      </c>
      <c r="I665" s="1">
        <v>0</v>
      </c>
      <c r="J665" s="1">
        <v>0</v>
      </c>
      <c r="K665" s="1">
        <v>2</v>
      </c>
      <c r="L665" s="1">
        <v>0</v>
      </c>
      <c r="M665" s="1">
        <v>1</v>
      </c>
    </row>
    <row r="666" spans="1:13">
      <c r="A666" s="1">
        <v>665</v>
      </c>
      <c r="B666" s="1">
        <v>884907.84770000004</v>
      </c>
      <c r="C666" s="1">
        <v>641471.34005235322</v>
      </c>
      <c r="D666" s="1">
        <f t="shared" si="10"/>
        <v>243436.50764764682</v>
      </c>
      <c r="E666" s="1">
        <v>20</v>
      </c>
      <c r="F666" s="1">
        <v>10</v>
      </c>
      <c r="G666" s="1">
        <v>5</v>
      </c>
      <c r="H666" s="1">
        <v>2</v>
      </c>
      <c r="I666" s="1">
        <v>0</v>
      </c>
      <c r="J666" s="1">
        <v>1</v>
      </c>
      <c r="K666" s="1">
        <v>0</v>
      </c>
      <c r="L666" s="1">
        <v>0</v>
      </c>
      <c r="M666" s="1">
        <v>0</v>
      </c>
    </row>
    <row r="667" spans="1:13">
      <c r="A667" s="1">
        <v>666</v>
      </c>
      <c r="B667" s="1">
        <v>879525.07550000004</v>
      </c>
      <c r="C667" s="1">
        <v>1078031.9067369876</v>
      </c>
      <c r="D667" s="1">
        <f t="shared" si="10"/>
        <v>-198506.83123698761</v>
      </c>
      <c r="E667" s="1">
        <v>15</v>
      </c>
      <c r="F667" s="1">
        <v>16</v>
      </c>
      <c r="G667" s="1">
        <v>4</v>
      </c>
      <c r="H667" s="1">
        <v>2</v>
      </c>
      <c r="I667" s="1">
        <v>0</v>
      </c>
      <c r="J667" s="1">
        <v>1</v>
      </c>
      <c r="K667" s="1">
        <v>1</v>
      </c>
      <c r="L667" s="1">
        <v>0</v>
      </c>
      <c r="M667" s="1">
        <v>0</v>
      </c>
    </row>
    <row r="668" spans="1:13">
      <c r="A668" s="1">
        <v>667</v>
      </c>
      <c r="B668" s="1">
        <v>888206.32889999996</v>
      </c>
      <c r="C668" s="1">
        <v>1390326.1598804775</v>
      </c>
      <c r="D668" s="1">
        <f t="shared" si="10"/>
        <v>-502119.83098047751</v>
      </c>
      <c r="E668" s="1">
        <v>15</v>
      </c>
      <c r="F668" s="1">
        <v>16</v>
      </c>
      <c r="G668" s="1">
        <v>4</v>
      </c>
      <c r="H668" s="1">
        <v>2</v>
      </c>
      <c r="I668" s="1">
        <v>0</v>
      </c>
      <c r="J668" s="1">
        <v>0</v>
      </c>
      <c r="K668" s="1">
        <v>0</v>
      </c>
      <c r="L668" s="1">
        <v>0</v>
      </c>
      <c r="M668" s="1">
        <v>1</v>
      </c>
    </row>
    <row r="669" spans="1:13">
      <c r="A669" s="1">
        <v>668</v>
      </c>
      <c r="B669" s="1">
        <v>900354.08810000005</v>
      </c>
      <c r="C669" s="1">
        <v>938320.5832324042</v>
      </c>
      <c r="D669" s="1">
        <f t="shared" si="10"/>
        <v>-37966.495132404147</v>
      </c>
      <c r="E669" s="1">
        <v>22</v>
      </c>
      <c r="F669" s="1">
        <v>10</v>
      </c>
      <c r="G669" s="1">
        <v>3</v>
      </c>
      <c r="H669" s="1">
        <v>2</v>
      </c>
      <c r="I669" s="1">
        <v>0</v>
      </c>
      <c r="J669" s="1">
        <v>0</v>
      </c>
      <c r="K669" s="1">
        <v>1</v>
      </c>
      <c r="L669" s="1">
        <v>0</v>
      </c>
      <c r="M669" s="1">
        <v>0</v>
      </c>
    </row>
    <row r="670" spans="1:13">
      <c r="A670" s="1">
        <v>669</v>
      </c>
      <c r="B670" s="1">
        <v>876815.59349999996</v>
      </c>
      <c r="C670" s="1">
        <v>1012470.9098626445</v>
      </c>
      <c r="D670" s="1">
        <f t="shared" si="10"/>
        <v>-135655.31636264455</v>
      </c>
      <c r="E670" s="1">
        <v>13</v>
      </c>
      <c r="F670" s="1">
        <v>17</v>
      </c>
      <c r="G670" s="1">
        <v>5</v>
      </c>
      <c r="H670" s="1">
        <v>2</v>
      </c>
      <c r="I670" s="1">
        <v>0</v>
      </c>
      <c r="J670" s="1">
        <v>1</v>
      </c>
      <c r="K670" s="1">
        <v>1</v>
      </c>
      <c r="L670" s="1">
        <v>0</v>
      </c>
      <c r="M670" s="1">
        <v>0</v>
      </c>
    </row>
    <row r="671" spans="1:13">
      <c r="A671" s="1">
        <v>670</v>
      </c>
      <c r="B671" s="1">
        <v>939215.30920000002</v>
      </c>
      <c r="C671" s="1">
        <v>1329173.2400172902</v>
      </c>
      <c r="D671" s="1">
        <f t="shared" si="10"/>
        <v>-389957.93081729021</v>
      </c>
      <c r="E671" s="1">
        <v>19</v>
      </c>
      <c r="F671" s="1">
        <v>12</v>
      </c>
      <c r="G671" s="1">
        <v>4</v>
      </c>
      <c r="H671" s="1">
        <v>1</v>
      </c>
      <c r="I671" s="1">
        <v>1</v>
      </c>
      <c r="J671" s="1">
        <v>0</v>
      </c>
      <c r="K671" s="1">
        <v>0</v>
      </c>
      <c r="L671" s="1">
        <v>0</v>
      </c>
      <c r="M671" s="1">
        <v>0</v>
      </c>
    </row>
    <row r="672" spans="1:13">
      <c r="A672" s="1">
        <v>671</v>
      </c>
      <c r="B672" s="1">
        <v>921313.71160000004</v>
      </c>
      <c r="C672" s="1">
        <v>956691.37173614476</v>
      </c>
      <c r="D672" s="1">
        <f t="shared" si="10"/>
        <v>-35377.660136144725</v>
      </c>
      <c r="E672" s="1">
        <v>10</v>
      </c>
      <c r="F672" s="1">
        <v>22</v>
      </c>
      <c r="G672" s="1">
        <v>3</v>
      </c>
      <c r="H672" s="1">
        <v>2</v>
      </c>
      <c r="I672" s="1">
        <v>0</v>
      </c>
      <c r="J672" s="1">
        <v>1</v>
      </c>
      <c r="K672" s="1">
        <v>1</v>
      </c>
      <c r="L672" s="1">
        <v>0</v>
      </c>
      <c r="M672" s="1">
        <v>1</v>
      </c>
    </row>
    <row r="673" spans="1:13">
      <c r="A673" s="1">
        <v>672</v>
      </c>
      <c r="B673" s="1">
        <v>1019395.8205</v>
      </c>
      <c r="C673" s="1">
        <v>786927.47933633404</v>
      </c>
      <c r="D673" s="1">
        <f t="shared" si="10"/>
        <v>232468.34116366599</v>
      </c>
      <c r="E673" s="1">
        <v>13</v>
      </c>
      <c r="F673" s="1">
        <v>17</v>
      </c>
      <c r="G673" s="1">
        <v>5</v>
      </c>
      <c r="H673" s="1">
        <v>2</v>
      </c>
      <c r="I673" s="1">
        <v>0</v>
      </c>
      <c r="J673" s="1">
        <v>1</v>
      </c>
      <c r="K673" s="1">
        <v>0</v>
      </c>
      <c r="L673" s="1">
        <v>0</v>
      </c>
      <c r="M673" s="1">
        <v>0</v>
      </c>
    </row>
    <row r="674" spans="1:13">
      <c r="A674" s="1">
        <v>673</v>
      </c>
      <c r="B674" s="1">
        <v>859596.63280000002</v>
      </c>
      <c r="C674" s="1">
        <v>1504273.5751266156</v>
      </c>
      <c r="D674" s="1">
        <f t="shared" si="10"/>
        <v>-644676.94232661556</v>
      </c>
      <c r="E674" s="1">
        <v>10</v>
      </c>
      <c r="F674" s="1">
        <v>22</v>
      </c>
      <c r="G674" s="1">
        <v>3</v>
      </c>
      <c r="H674" s="1">
        <v>0</v>
      </c>
      <c r="I674" s="1">
        <v>0</v>
      </c>
      <c r="J674" s="1">
        <v>0</v>
      </c>
      <c r="K674" s="1">
        <v>2</v>
      </c>
      <c r="L674" s="1">
        <v>0</v>
      </c>
      <c r="M674" s="1">
        <v>0</v>
      </c>
    </row>
    <row r="675" spans="1:13">
      <c r="A675" s="1">
        <v>674</v>
      </c>
      <c r="B675" s="1">
        <v>1058722.0622</v>
      </c>
      <c r="C675" s="1">
        <v>662083.79138890421</v>
      </c>
      <c r="D675" s="1">
        <f t="shared" si="10"/>
        <v>396638.27081109583</v>
      </c>
      <c r="E675" s="1">
        <v>14</v>
      </c>
      <c r="F675" s="1">
        <v>16</v>
      </c>
      <c r="G675" s="1">
        <v>5</v>
      </c>
      <c r="H675" s="1">
        <v>1</v>
      </c>
      <c r="I675" s="1">
        <v>0</v>
      </c>
      <c r="J675" s="1">
        <v>1</v>
      </c>
      <c r="K675" s="1">
        <v>0</v>
      </c>
      <c r="L675" s="1">
        <v>0</v>
      </c>
      <c r="M675" s="1">
        <v>0</v>
      </c>
    </row>
    <row r="676" spans="1:13">
      <c r="A676" s="1">
        <v>675</v>
      </c>
      <c r="B676" s="1">
        <v>890761.44429999997</v>
      </c>
      <c r="C676" s="1">
        <v>1643522.3450736483</v>
      </c>
      <c r="D676" s="1">
        <f t="shared" si="10"/>
        <v>-752760.90077364829</v>
      </c>
      <c r="E676" s="1">
        <v>16</v>
      </c>
      <c r="F676" s="1">
        <v>13</v>
      </c>
      <c r="G676" s="1">
        <v>6</v>
      </c>
      <c r="H676" s="1">
        <v>2</v>
      </c>
      <c r="I676" s="1">
        <v>0</v>
      </c>
      <c r="J676" s="1">
        <v>2</v>
      </c>
      <c r="K676" s="1">
        <v>0</v>
      </c>
      <c r="L676" s="1">
        <v>0</v>
      </c>
      <c r="M676" s="1">
        <v>1</v>
      </c>
    </row>
    <row r="677" spans="1:13">
      <c r="A677" s="1">
        <v>676</v>
      </c>
      <c r="B677" s="1">
        <v>898242.8432</v>
      </c>
      <c r="C677" s="1">
        <v>902053.67850606551</v>
      </c>
      <c r="D677" s="1">
        <f t="shared" si="10"/>
        <v>-3810.8353060655063</v>
      </c>
      <c r="E677" s="1">
        <v>17</v>
      </c>
      <c r="F677" s="1">
        <v>11</v>
      </c>
      <c r="G677" s="1">
        <v>7</v>
      </c>
      <c r="H677" s="1">
        <v>2</v>
      </c>
      <c r="I677" s="1">
        <v>0</v>
      </c>
      <c r="J677" s="1">
        <v>1</v>
      </c>
      <c r="K677" s="1">
        <v>1</v>
      </c>
      <c r="L677" s="1">
        <v>0</v>
      </c>
      <c r="M677" s="1">
        <v>0</v>
      </c>
    </row>
    <row r="678" spans="1:13">
      <c r="A678" s="1">
        <v>677</v>
      </c>
      <c r="B678" s="1">
        <v>973744.19070000004</v>
      </c>
      <c r="C678" s="1">
        <v>970204.03323047748</v>
      </c>
      <c r="D678" s="1">
        <f t="shared" si="10"/>
        <v>3540.1574695225572</v>
      </c>
      <c r="E678" s="1">
        <v>5</v>
      </c>
      <c r="F678" s="1">
        <v>25</v>
      </c>
      <c r="G678" s="1">
        <v>5</v>
      </c>
      <c r="H678" s="1">
        <v>0</v>
      </c>
      <c r="I678" s="1">
        <v>0</v>
      </c>
      <c r="J678" s="1">
        <v>1</v>
      </c>
      <c r="K678" s="1">
        <v>1</v>
      </c>
      <c r="L678" s="1">
        <v>0</v>
      </c>
      <c r="M678" s="1">
        <v>1</v>
      </c>
    </row>
    <row r="679" spans="1:13">
      <c r="A679" s="1">
        <v>678</v>
      </c>
      <c r="B679" s="1">
        <v>864553.72050000005</v>
      </c>
      <c r="C679" s="1">
        <v>1559257.3263298569</v>
      </c>
      <c r="D679" s="1">
        <f t="shared" si="10"/>
        <v>-694703.60582985682</v>
      </c>
      <c r="E679" s="1">
        <v>17</v>
      </c>
      <c r="F679" s="1">
        <v>13</v>
      </c>
      <c r="G679" s="1">
        <v>5</v>
      </c>
      <c r="H679" s="1">
        <v>0</v>
      </c>
      <c r="I679" s="1">
        <v>0</v>
      </c>
      <c r="J679" s="1">
        <v>2</v>
      </c>
      <c r="K679" s="1">
        <v>0</v>
      </c>
      <c r="L679" s="1">
        <v>0</v>
      </c>
      <c r="M679" s="1">
        <v>0</v>
      </c>
    </row>
    <row r="680" spans="1:13">
      <c r="A680" s="1">
        <v>679</v>
      </c>
      <c r="B680" s="1">
        <v>1013870.1573</v>
      </c>
      <c r="C680" s="1">
        <v>279365.56864746462</v>
      </c>
      <c r="D680" s="1">
        <f t="shared" si="10"/>
        <v>734504.58865253534</v>
      </c>
      <c r="E680" s="1">
        <v>15</v>
      </c>
      <c r="F680" s="1">
        <v>17</v>
      </c>
      <c r="G680" s="1">
        <v>3</v>
      </c>
      <c r="H680" s="1">
        <v>2</v>
      </c>
      <c r="I680" s="1">
        <v>0</v>
      </c>
      <c r="J680" s="1">
        <v>2</v>
      </c>
      <c r="K680" s="1">
        <v>0</v>
      </c>
      <c r="L680" s="1">
        <v>0</v>
      </c>
      <c r="M680" s="1">
        <v>1</v>
      </c>
    </row>
    <row r="681" spans="1:13">
      <c r="A681" s="1">
        <v>680</v>
      </c>
      <c r="B681" s="1">
        <v>919400.78119999997</v>
      </c>
      <c r="C681" s="1">
        <v>650188.28138200368</v>
      </c>
      <c r="D681" s="1">
        <f t="shared" si="10"/>
        <v>269212.49981799629</v>
      </c>
      <c r="E681" s="1">
        <v>13</v>
      </c>
      <c r="F681" s="1">
        <v>18</v>
      </c>
      <c r="G681" s="1">
        <v>4</v>
      </c>
      <c r="H681" s="1">
        <v>1</v>
      </c>
      <c r="I681" s="1">
        <v>0</v>
      </c>
      <c r="J681" s="1">
        <v>2</v>
      </c>
      <c r="K681" s="1">
        <v>0</v>
      </c>
      <c r="L681" s="1">
        <v>0</v>
      </c>
      <c r="M681" s="1">
        <v>1</v>
      </c>
    </row>
    <row r="682" spans="1:13">
      <c r="A682" s="1">
        <v>681</v>
      </c>
      <c r="B682" s="1">
        <v>889269.69220000005</v>
      </c>
      <c r="C682" s="1">
        <v>1055438.4180510622</v>
      </c>
      <c r="D682" s="1">
        <f t="shared" si="10"/>
        <v>-166168.7258510621</v>
      </c>
      <c r="E682" s="1">
        <v>14</v>
      </c>
      <c r="F682" s="1">
        <v>15</v>
      </c>
      <c r="G682" s="1">
        <v>6</v>
      </c>
      <c r="H682" s="1">
        <v>0</v>
      </c>
      <c r="I682" s="1">
        <v>0</v>
      </c>
      <c r="J682" s="1">
        <v>0</v>
      </c>
      <c r="K682" s="1">
        <v>1</v>
      </c>
      <c r="L682" s="1">
        <v>0</v>
      </c>
      <c r="M682" s="1">
        <v>0</v>
      </c>
    </row>
    <row r="683" spans="1:13">
      <c r="A683" s="1">
        <v>682</v>
      </c>
      <c r="B683" s="1">
        <v>952562.35329999996</v>
      </c>
      <c r="C683" s="1">
        <v>842684.9556618802</v>
      </c>
      <c r="D683" s="1">
        <f t="shared" si="10"/>
        <v>109877.39763811976</v>
      </c>
      <c r="E683" s="1">
        <v>16</v>
      </c>
      <c r="F683" s="1">
        <v>12</v>
      </c>
      <c r="G683" s="1">
        <v>7</v>
      </c>
      <c r="H683" s="1">
        <v>1</v>
      </c>
      <c r="I683" s="1">
        <v>0</v>
      </c>
      <c r="J683" s="1">
        <v>0</v>
      </c>
      <c r="K683" s="1">
        <v>0</v>
      </c>
      <c r="L683" s="1">
        <v>0</v>
      </c>
      <c r="M683" s="1">
        <v>0</v>
      </c>
    </row>
    <row r="684" spans="1:13">
      <c r="A684" s="1">
        <v>683</v>
      </c>
      <c r="B684" s="1">
        <v>886062.05</v>
      </c>
      <c r="C684" s="1">
        <v>864529.58739656885</v>
      </c>
      <c r="D684" s="1">
        <f t="shared" si="10"/>
        <v>21532.462603431195</v>
      </c>
      <c r="E684" s="1">
        <v>18</v>
      </c>
      <c r="F684" s="1">
        <v>14</v>
      </c>
      <c r="G684" s="1">
        <v>3</v>
      </c>
      <c r="H684" s="1">
        <v>2</v>
      </c>
      <c r="I684" s="1">
        <v>0</v>
      </c>
      <c r="J684" s="1">
        <v>0</v>
      </c>
      <c r="K684" s="1">
        <v>0</v>
      </c>
      <c r="L684" s="1">
        <v>0</v>
      </c>
      <c r="M684" s="1">
        <v>1</v>
      </c>
    </row>
    <row r="685" spans="1:13">
      <c r="A685" s="1">
        <v>684</v>
      </c>
      <c r="B685" s="1">
        <v>891495.26749999996</v>
      </c>
      <c r="C685" s="1">
        <v>774673.23804621119</v>
      </c>
      <c r="D685" s="1">
        <f t="shared" si="10"/>
        <v>116822.02945378877</v>
      </c>
      <c r="E685" s="1">
        <v>14</v>
      </c>
      <c r="F685" s="1">
        <v>15</v>
      </c>
      <c r="G685" s="1">
        <v>6</v>
      </c>
      <c r="H685" s="1">
        <v>2</v>
      </c>
      <c r="I685" s="1">
        <v>0</v>
      </c>
      <c r="J685" s="1">
        <v>0</v>
      </c>
      <c r="K685" s="1">
        <v>1</v>
      </c>
      <c r="L685" s="1">
        <v>0</v>
      </c>
      <c r="M685" s="1">
        <v>0</v>
      </c>
    </row>
    <row r="686" spans="1:13">
      <c r="A686" s="1">
        <v>685</v>
      </c>
      <c r="B686" s="1">
        <v>963345.51489999995</v>
      </c>
      <c r="C686" s="1">
        <v>903070.18830634176</v>
      </c>
      <c r="D686" s="1">
        <f t="shared" si="10"/>
        <v>60275.326593658188</v>
      </c>
      <c r="E686" s="1">
        <v>10</v>
      </c>
      <c r="F686" s="1">
        <v>19</v>
      </c>
      <c r="G686" s="1">
        <v>6</v>
      </c>
      <c r="H686" s="1">
        <v>0</v>
      </c>
      <c r="I686" s="1">
        <v>0</v>
      </c>
      <c r="J686" s="1">
        <v>1</v>
      </c>
      <c r="K686" s="1">
        <v>0</v>
      </c>
      <c r="L686" s="1">
        <v>0</v>
      </c>
      <c r="M686" s="1">
        <v>1</v>
      </c>
    </row>
    <row r="687" spans="1:13">
      <c r="A687" s="1">
        <v>686</v>
      </c>
      <c r="B687" s="1">
        <v>860075.27280000004</v>
      </c>
      <c r="C687" s="1">
        <v>836164.54173712828</v>
      </c>
      <c r="D687" s="1">
        <f t="shared" si="10"/>
        <v>23910.731062871753</v>
      </c>
      <c r="E687" s="1">
        <v>16</v>
      </c>
      <c r="F687" s="1">
        <v>17</v>
      </c>
      <c r="G687" s="1">
        <v>2</v>
      </c>
      <c r="H687" s="1">
        <v>0</v>
      </c>
      <c r="I687" s="1">
        <v>0</v>
      </c>
      <c r="J687" s="1">
        <v>0</v>
      </c>
      <c r="K687" s="1">
        <v>2</v>
      </c>
      <c r="L687" s="1">
        <v>0</v>
      </c>
      <c r="M687" s="1">
        <v>0</v>
      </c>
    </row>
    <row r="688" spans="1:13">
      <c r="A688" s="1">
        <v>687</v>
      </c>
      <c r="B688" s="1">
        <v>960761.8273</v>
      </c>
      <c r="C688" s="1">
        <v>993538.73556174443</v>
      </c>
      <c r="D688" s="1">
        <f t="shared" si="10"/>
        <v>-32776.908261744422</v>
      </c>
      <c r="E688" s="1">
        <v>7</v>
      </c>
      <c r="F688" s="1">
        <v>22</v>
      </c>
      <c r="G688" s="1">
        <v>6</v>
      </c>
      <c r="H688" s="1">
        <v>2</v>
      </c>
      <c r="I688" s="1">
        <v>0</v>
      </c>
      <c r="J688" s="1">
        <v>1</v>
      </c>
      <c r="K688" s="1">
        <v>1</v>
      </c>
      <c r="L688" s="1">
        <v>0</v>
      </c>
      <c r="M688" s="1">
        <v>0</v>
      </c>
    </row>
    <row r="689" spans="1:13">
      <c r="A689" s="1">
        <v>688</v>
      </c>
      <c r="B689" s="1">
        <v>960686.93969999999</v>
      </c>
      <c r="C689" s="1">
        <v>729649.97378350096</v>
      </c>
      <c r="D689" s="1">
        <f t="shared" si="10"/>
        <v>231036.96591649903</v>
      </c>
      <c r="E689" s="1">
        <v>9</v>
      </c>
      <c r="F689" s="1">
        <v>18</v>
      </c>
      <c r="G689" s="1">
        <v>8</v>
      </c>
      <c r="H689" s="1">
        <v>1</v>
      </c>
      <c r="I689" s="1">
        <v>0</v>
      </c>
      <c r="J689" s="1">
        <v>0</v>
      </c>
      <c r="K689" s="1">
        <v>1</v>
      </c>
      <c r="L689" s="1">
        <v>0</v>
      </c>
      <c r="M689" s="1">
        <v>0</v>
      </c>
    </row>
    <row r="690" spans="1:13">
      <c r="A690" s="1">
        <v>689</v>
      </c>
      <c r="B690" s="1">
        <v>864656.13410000002</v>
      </c>
      <c r="C690" s="1">
        <v>689345.38834783214</v>
      </c>
      <c r="D690" s="1">
        <f t="shared" si="10"/>
        <v>175310.74575216789</v>
      </c>
      <c r="E690" s="1">
        <v>19</v>
      </c>
      <c r="F690" s="1">
        <v>14</v>
      </c>
      <c r="G690" s="1">
        <v>2</v>
      </c>
      <c r="H690" s="1">
        <v>0</v>
      </c>
      <c r="I690" s="1">
        <v>0</v>
      </c>
      <c r="J690" s="1">
        <v>1</v>
      </c>
      <c r="K690" s="1">
        <v>0</v>
      </c>
      <c r="L690" s="1">
        <v>0</v>
      </c>
      <c r="M690" s="1">
        <v>0</v>
      </c>
    </row>
    <row r="691" spans="1:13">
      <c r="A691" s="1">
        <v>690</v>
      </c>
      <c r="B691" s="1">
        <v>1054693.7049</v>
      </c>
      <c r="C691" s="1">
        <v>724004.81006870524</v>
      </c>
      <c r="D691" s="1">
        <f t="shared" si="10"/>
        <v>330688.89483129478</v>
      </c>
      <c r="E691" s="1">
        <v>1</v>
      </c>
      <c r="F691" s="1">
        <v>30</v>
      </c>
      <c r="G691" s="1">
        <v>4</v>
      </c>
      <c r="H691" s="1">
        <v>0</v>
      </c>
      <c r="I691" s="1">
        <v>1</v>
      </c>
      <c r="J691" s="1">
        <v>0</v>
      </c>
      <c r="K691" s="1">
        <v>1</v>
      </c>
      <c r="L691" s="1">
        <v>0</v>
      </c>
      <c r="M691" s="1">
        <v>1</v>
      </c>
    </row>
    <row r="692" spans="1:13">
      <c r="A692" s="1">
        <v>691</v>
      </c>
      <c r="B692" s="1">
        <v>987520.21070000005</v>
      </c>
      <c r="C692" s="1">
        <v>701973.41283075884</v>
      </c>
      <c r="D692" s="1">
        <f t="shared" si="10"/>
        <v>285546.79786924121</v>
      </c>
      <c r="E692" s="1">
        <v>12</v>
      </c>
      <c r="F692" s="1">
        <v>17</v>
      </c>
      <c r="G692" s="1">
        <v>6</v>
      </c>
      <c r="H692" s="1">
        <v>1</v>
      </c>
      <c r="I692" s="1">
        <v>1</v>
      </c>
      <c r="J692" s="1">
        <v>0</v>
      </c>
      <c r="K692" s="1">
        <v>1</v>
      </c>
      <c r="L692" s="1">
        <v>0</v>
      </c>
      <c r="M692" s="1">
        <v>0</v>
      </c>
    </row>
    <row r="693" spans="1:13">
      <c r="A693" s="1">
        <v>692</v>
      </c>
      <c r="B693" s="1">
        <v>940258.91650000005</v>
      </c>
      <c r="C693" s="1">
        <v>832878.52904387633</v>
      </c>
      <c r="D693" s="1">
        <f t="shared" si="10"/>
        <v>107380.38745612372</v>
      </c>
      <c r="E693" s="1">
        <v>11</v>
      </c>
      <c r="F693" s="1">
        <v>22</v>
      </c>
      <c r="G693" s="1">
        <v>2</v>
      </c>
      <c r="H693" s="1">
        <v>2</v>
      </c>
      <c r="I693" s="1">
        <v>0</v>
      </c>
      <c r="J693" s="1">
        <v>0</v>
      </c>
      <c r="K693" s="1">
        <v>2</v>
      </c>
      <c r="L693" s="1">
        <v>0</v>
      </c>
      <c r="M693" s="1">
        <v>0</v>
      </c>
    </row>
    <row r="694" spans="1:13">
      <c r="A694" s="1">
        <v>693</v>
      </c>
      <c r="B694" s="1">
        <v>915257.69059999997</v>
      </c>
      <c r="C694" s="1">
        <v>860167.72082811524</v>
      </c>
      <c r="D694" s="1">
        <f t="shared" si="10"/>
        <v>55089.969771884731</v>
      </c>
      <c r="E694" s="1">
        <v>14</v>
      </c>
      <c r="F694" s="1">
        <v>17</v>
      </c>
      <c r="G694" s="1">
        <v>4</v>
      </c>
      <c r="H694" s="1">
        <v>1</v>
      </c>
      <c r="I694" s="1">
        <v>0</v>
      </c>
      <c r="J694" s="1">
        <v>2</v>
      </c>
      <c r="K694" s="1">
        <v>0</v>
      </c>
      <c r="L694" s="1">
        <v>0</v>
      </c>
      <c r="M694" s="1">
        <v>0</v>
      </c>
    </row>
    <row r="695" spans="1:13">
      <c r="A695" s="1">
        <v>694</v>
      </c>
      <c r="B695" s="1">
        <v>884599.84459999995</v>
      </c>
      <c r="C695" s="1">
        <v>813343.99217954627</v>
      </c>
      <c r="D695" s="1">
        <f t="shared" si="10"/>
        <v>71255.852420453681</v>
      </c>
      <c r="E695" s="1">
        <v>9</v>
      </c>
      <c r="F695" s="1">
        <v>22</v>
      </c>
      <c r="G695" s="1">
        <v>4</v>
      </c>
      <c r="H695" s="1">
        <v>0</v>
      </c>
      <c r="I695" s="1">
        <v>0</v>
      </c>
      <c r="J695" s="1">
        <v>1</v>
      </c>
      <c r="K695" s="1">
        <v>1</v>
      </c>
      <c r="L695" s="1">
        <v>0</v>
      </c>
      <c r="M695" s="1">
        <v>0</v>
      </c>
    </row>
    <row r="696" spans="1:13">
      <c r="A696" s="1">
        <v>695</v>
      </c>
      <c r="B696" s="1">
        <v>933637.11089999997</v>
      </c>
      <c r="C696" s="1">
        <v>2075079.8037278228</v>
      </c>
      <c r="D696" s="1">
        <f t="shared" si="10"/>
        <v>-1141442.6928278229</v>
      </c>
      <c r="E696" s="1">
        <v>14</v>
      </c>
      <c r="F696" s="1">
        <v>16</v>
      </c>
      <c r="G696" s="1">
        <v>5</v>
      </c>
      <c r="H696" s="1">
        <v>1</v>
      </c>
      <c r="I696" s="1">
        <v>0</v>
      </c>
      <c r="J696" s="1">
        <v>2</v>
      </c>
      <c r="K696" s="1">
        <v>0</v>
      </c>
      <c r="L696" s="1">
        <v>0</v>
      </c>
      <c r="M696" s="1">
        <v>1</v>
      </c>
    </row>
    <row r="697" spans="1:13">
      <c r="A697" s="1">
        <v>696</v>
      </c>
      <c r="B697" s="1">
        <v>1016898.7168000001</v>
      </c>
      <c r="C697" s="1">
        <v>1236585.5331959927</v>
      </c>
      <c r="D697" s="1">
        <f t="shared" si="10"/>
        <v>-219686.81639599265</v>
      </c>
      <c r="E697" s="1">
        <v>8</v>
      </c>
      <c r="F697" s="1">
        <v>23</v>
      </c>
      <c r="G697" s="1">
        <v>4</v>
      </c>
      <c r="H697" s="1">
        <v>1</v>
      </c>
      <c r="I697" s="1">
        <v>0</v>
      </c>
      <c r="J697" s="1">
        <v>0</v>
      </c>
      <c r="K697" s="1">
        <v>2</v>
      </c>
      <c r="L697" s="1">
        <v>0</v>
      </c>
      <c r="M697" s="1">
        <v>0</v>
      </c>
    </row>
    <row r="698" spans="1:13">
      <c r="A698" s="1">
        <v>697</v>
      </c>
      <c r="B698" s="1">
        <v>926666.23490000004</v>
      </c>
      <c r="C698" s="1">
        <v>1626157.0880606212</v>
      </c>
      <c r="D698" s="1">
        <f t="shared" si="10"/>
        <v>-699490.85316062113</v>
      </c>
      <c r="E698" s="1">
        <v>10</v>
      </c>
      <c r="F698" s="1">
        <v>20</v>
      </c>
      <c r="G698" s="1">
        <v>5</v>
      </c>
      <c r="H698" s="1">
        <v>2</v>
      </c>
      <c r="I698" s="1">
        <v>0</v>
      </c>
      <c r="J698" s="1">
        <v>1</v>
      </c>
      <c r="K698" s="1">
        <v>0</v>
      </c>
      <c r="L698" s="1">
        <v>0</v>
      </c>
      <c r="M698" s="1">
        <v>1</v>
      </c>
    </row>
    <row r="699" spans="1:13">
      <c r="A699" s="1">
        <v>698</v>
      </c>
      <c r="B699" s="1">
        <v>1057255.3071000001</v>
      </c>
      <c r="C699" s="1">
        <v>1116499.412898839</v>
      </c>
      <c r="D699" s="1">
        <f t="shared" si="10"/>
        <v>-59244.105798838893</v>
      </c>
      <c r="E699" s="1">
        <v>8</v>
      </c>
      <c r="F699" s="1">
        <v>22</v>
      </c>
      <c r="G699" s="1">
        <v>5</v>
      </c>
      <c r="H699" s="1">
        <v>1</v>
      </c>
      <c r="I699" s="1">
        <v>0</v>
      </c>
      <c r="J699" s="1">
        <v>0</v>
      </c>
      <c r="K699" s="1">
        <v>2</v>
      </c>
      <c r="L699" s="1">
        <v>0</v>
      </c>
      <c r="M699" s="1">
        <v>1</v>
      </c>
    </row>
    <row r="700" spans="1:13">
      <c r="A700" s="1">
        <v>699</v>
      </c>
      <c r="B700" s="1">
        <v>946138.19030000002</v>
      </c>
      <c r="C700" s="1">
        <v>1636658.9669780568</v>
      </c>
      <c r="D700" s="1">
        <f t="shared" si="10"/>
        <v>-690520.77667805681</v>
      </c>
      <c r="E700" s="1">
        <v>20</v>
      </c>
      <c r="F700" s="1">
        <v>9</v>
      </c>
      <c r="G700" s="1">
        <v>6</v>
      </c>
      <c r="H700" s="1">
        <v>1</v>
      </c>
      <c r="I700" s="1">
        <v>1</v>
      </c>
      <c r="J700" s="1">
        <v>1</v>
      </c>
      <c r="K700" s="1">
        <v>1</v>
      </c>
      <c r="L700" s="1">
        <v>0</v>
      </c>
      <c r="M700" s="1">
        <v>0</v>
      </c>
    </row>
    <row r="701" spans="1:13">
      <c r="A701" s="1">
        <v>700</v>
      </c>
      <c r="B701" s="1">
        <v>933525.48019999999</v>
      </c>
      <c r="C701" s="1">
        <v>834351.88854693854</v>
      </c>
      <c r="D701" s="1">
        <f t="shared" si="10"/>
        <v>99173.591653061449</v>
      </c>
      <c r="E701" s="1">
        <v>13</v>
      </c>
      <c r="F701" s="1">
        <v>17</v>
      </c>
      <c r="G701" s="1">
        <v>5</v>
      </c>
      <c r="H701" s="1">
        <v>2</v>
      </c>
      <c r="I701" s="1">
        <v>0</v>
      </c>
      <c r="J701" s="1">
        <v>0</v>
      </c>
      <c r="K701" s="1">
        <v>2</v>
      </c>
      <c r="L701" s="1">
        <v>0</v>
      </c>
      <c r="M701" s="1">
        <v>0</v>
      </c>
    </row>
    <row r="702" spans="1:13">
      <c r="A702" s="1">
        <v>701</v>
      </c>
      <c r="B702" s="1">
        <v>864575.34490000003</v>
      </c>
      <c r="C702" s="1">
        <v>709696.04782783985</v>
      </c>
      <c r="D702" s="1">
        <f t="shared" si="10"/>
        <v>154879.29707216017</v>
      </c>
      <c r="E702" s="1">
        <v>18</v>
      </c>
      <c r="F702" s="1">
        <v>16</v>
      </c>
      <c r="G702" s="1">
        <v>1</v>
      </c>
      <c r="H702" s="1">
        <v>0</v>
      </c>
      <c r="I702" s="1">
        <v>0</v>
      </c>
      <c r="J702" s="1">
        <v>0</v>
      </c>
      <c r="K702" s="1">
        <v>2</v>
      </c>
      <c r="L702" s="1">
        <v>0</v>
      </c>
      <c r="M702" s="1">
        <v>1</v>
      </c>
    </row>
    <row r="703" spans="1:13">
      <c r="A703" s="1">
        <v>702</v>
      </c>
      <c r="B703" s="1">
        <v>962313.38520000002</v>
      </c>
      <c r="C703" s="1">
        <v>904800.28555049398</v>
      </c>
      <c r="D703" s="1">
        <f t="shared" si="10"/>
        <v>57513.099649506039</v>
      </c>
      <c r="E703" s="1">
        <v>6</v>
      </c>
      <c r="F703" s="1">
        <v>23</v>
      </c>
      <c r="G703" s="1">
        <v>6</v>
      </c>
      <c r="H703" s="1">
        <v>1</v>
      </c>
      <c r="I703" s="1">
        <v>0</v>
      </c>
      <c r="J703" s="1">
        <v>0</v>
      </c>
      <c r="K703" s="1">
        <v>0</v>
      </c>
      <c r="L703" s="1">
        <v>0</v>
      </c>
      <c r="M703" s="1">
        <v>0</v>
      </c>
    </row>
    <row r="704" spans="1:13">
      <c r="A704" s="1">
        <v>703</v>
      </c>
      <c r="B704" s="1">
        <v>1053068.6627</v>
      </c>
      <c r="C704" s="1">
        <v>717940.14448384964</v>
      </c>
      <c r="D704" s="1">
        <f t="shared" si="10"/>
        <v>335128.51821615035</v>
      </c>
      <c r="E704" s="1">
        <v>9</v>
      </c>
      <c r="F704" s="1">
        <v>20</v>
      </c>
      <c r="G704" s="1">
        <v>6</v>
      </c>
      <c r="H704" s="1">
        <v>1</v>
      </c>
      <c r="I704" s="1">
        <v>1</v>
      </c>
      <c r="J704" s="1">
        <v>0</v>
      </c>
      <c r="K704" s="1">
        <v>0</v>
      </c>
      <c r="L704" s="1">
        <v>0</v>
      </c>
      <c r="M704" s="1">
        <v>0</v>
      </c>
    </row>
    <row r="705" spans="1:13">
      <c r="A705" s="1">
        <v>704</v>
      </c>
      <c r="B705" s="1">
        <v>1009172.0429999999</v>
      </c>
      <c r="C705" s="1">
        <v>833155.78922862362</v>
      </c>
      <c r="D705" s="1">
        <f t="shared" si="10"/>
        <v>176016.25377137633</v>
      </c>
      <c r="E705" s="1">
        <v>16</v>
      </c>
      <c r="F705" s="1">
        <v>14</v>
      </c>
      <c r="G705" s="1">
        <v>5</v>
      </c>
      <c r="H705" s="1">
        <v>0</v>
      </c>
      <c r="I705" s="1">
        <v>0</v>
      </c>
      <c r="J705" s="1">
        <v>1</v>
      </c>
      <c r="K705" s="1">
        <v>0</v>
      </c>
      <c r="L705" s="1">
        <v>0</v>
      </c>
      <c r="M705" s="1">
        <v>0</v>
      </c>
    </row>
    <row r="706" spans="1:13">
      <c r="A706" s="1">
        <v>705</v>
      </c>
      <c r="B706" s="1">
        <v>980822.99829999998</v>
      </c>
      <c r="C706" s="1">
        <v>991239.21001927275</v>
      </c>
      <c r="D706" s="1">
        <f t="shared" ref="D706:D769" si="11">B706-C706</f>
        <v>-10416.211719272775</v>
      </c>
      <c r="E706" s="1">
        <v>18</v>
      </c>
      <c r="F706" s="1">
        <v>12</v>
      </c>
      <c r="G706" s="1">
        <v>5</v>
      </c>
      <c r="H706" s="1">
        <v>0</v>
      </c>
      <c r="I706" s="1">
        <v>0</v>
      </c>
      <c r="J706" s="1">
        <v>0</v>
      </c>
      <c r="K706" s="1">
        <v>1</v>
      </c>
      <c r="L706" s="1">
        <v>0</v>
      </c>
      <c r="M706" s="1">
        <v>0</v>
      </c>
    </row>
    <row r="707" spans="1:13">
      <c r="A707" s="1">
        <v>706</v>
      </c>
      <c r="B707" s="1">
        <v>909395.27930000005</v>
      </c>
      <c r="C707" s="1">
        <v>954952.65156898904</v>
      </c>
      <c r="D707" s="1">
        <f t="shared" si="11"/>
        <v>-45557.372268988984</v>
      </c>
      <c r="E707" s="1">
        <v>17</v>
      </c>
      <c r="F707" s="1">
        <v>10</v>
      </c>
      <c r="G707" s="1">
        <v>8</v>
      </c>
      <c r="H707" s="1">
        <v>1</v>
      </c>
      <c r="I707" s="1">
        <v>0</v>
      </c>
      <c r="J707" s="1">
        <v>0</v>
      </c>
      <c r="K707" s="1">
        <v>0</v>
      </c>
      <c r="L707" s="1">
        <v>0</v>
      </c>
      <c r="M707" s="1">
        <v>0</v>
      </c>
    </row>
    <row r="708" spans="1:13">
      <c r="A708" s="1">
        <v>707</v>
      </c>
      <c r="B708" s="1">
        <v>1008804.888</v>
      </c>
      <c r="C708" s="1">
        <v>1163497.2429870411</v>
      </c>
      <c r="D708" s="1">
        <f t="shared" si="11"/>
        <v>-154692.35498704109</v>
      </c>
      <c r="E708" s="1">
        <v>11</v>
      </c>
      <c r="F708" s="1">
        <v>20</v>
      </c>
      <c r="G708" s="1">
        <v>4</v>
      </c>
      <c r="H708" s="1">
        <v>0</v>
      </c>
      <c r="I708" s="1">
        <v>0</v>
      </c>
      <c r="J708" s="1">
        <v>0</v>
      </c>
      <c r="K708" s="1">
        <v>1</v>
      </c>
      <c r="L708" s="1">
        <v>0</v>
      </c>
      <c r="M708" s="1">
        <v>1</v>
      </c>
    </row>
    <row r="709" spans="1:13">
      <c r="A709" s="1">
        <v>708</v>
      </c>
      <c r="B709" s="1">
        <v>949708.24620000005</v>
      </c>
      <c r="C709" s="1">
        <v>900163.73824308964</v>
      </c>
      <c r="D709" s="1">
        <f t="shared" si="11"/>
        <v>49544.507956910413</v>
      </c>
      <c r="E709" s="1">
        <v>16</v>
      </c>
      <c r="F709" s="1">
        <v>16</v>
      </c>
      <c r="G709" s="1">
        <v>3</v>
      </c>
      <c r="H709" s="1">
        <v>2</v>
      </c>
      <c r="I709" s="1">
        <v>0</v>
      </c>
      <c r="J709" s="1">
        <v>1</v>
      </c>
      <c r="K709" s="1">
        <v>1</v>
      </c>
      <c r="L709" s="1">
        <v>0</v>
      </c>
      <c r="M709" s="1">
        <v>1</v>
      </c>
    </row>
    <row r="710" spans="1:13">
      <c r="A710" s="1">
        <v>709</v>
      </c>
      <c r="B710" s="1">
        <v>1050309.4413999999</v>
      </c>
      <c r="C710" s="1">
        <v>883651.42568572145</v>
      </c>
      <c r="D710" s="1">
        <f t="shared" si="11"/>
        <v>166658.01571427844</v>
      </c>
      <c r="E710" s="1">
        <v>9</v>
      </c>
      <c r="F710" s="1">
        <v>16</v>
      </c>
      <c r="G710" s="1">
        <v>10</v>
      </c>
      <c r="H710" s="1">
        <v>2</v>
      </c>
      <c r="I710" s="1">
        <v>0</v>
      </c>
      <c r="J710" s="1">
        <v>1</v>
      </c>
      <c r="K710" s="1">
        <v>1</v>
      </c>
      <c r="L710" s="1">
        <v>0</v>
      </c>
      <c r="M710" s="1">
        <v>0</v>
      </c>
    </row>
    <row r="711" spans="1:13">
      <c r="A711" s="1">
        <v>710</v>
      </c>
      <c r="B711" s="1">
        <v>882226.64500000002</v>
      </c>
      <c r="C711" s="1">
        <v>997261.93140873557</v>
      </c>
      <c r="D711" s="1">
        <f t="shared" si="11"/>
        <v>-115035.28640873556</v>
      </c>
      <c r="E711" s="1">
        <v>10</v>
      </c>
      <c r="F711" s="1">
        <v>20</v>
      </c>
      <c r="G711" s="1">
        <v>5</v>
      </c>
      <c r="H711" s="1">
        <v>1</v>
      </c>
      <c r="I711" s="1">
        <v>0</v>
      </c>
      <c r="J711" s="1">
        <v>2</v>
      </c>
      <c r="K711" s="1">
        <v>0</v>
      </c>
      <c r="L711" s="1">
        <v>0</v>
      </c>
      <c r="M711" s="1">
        <v>1</v>
      </c>
    </row>
    <row r="712" spans="1:13">
      <c r="A712" s="1">
        <v>711</v>
      </c>
      <c r="B712" s="1">
        <v>909087.28810000001</v>
      </c>
      <c r="C712" s="1">
        <v>757397.19572912692</v>
      </c>
      <c r="D712" s="1">
        <f t="shared" si="11"/>
        <v>151690.09237087308</v>
      </c>
      <c r="E712" s="1">
        <v>13</v>
      </c>
      <c r="F712" s="1">
        <v>19</v>
      </c>
      <c r="G712" s="1">
        <v>3</v>
      </c>
      <c r="H712" s="1">
        <v>2</v>
      </c>
      <c r="I712" s="1">
        <v>0</v>
      </c>
      <c r="J712" s="1">
        <v>0</v>
      </c>
      <c r="K712" s="1">
        <v>1</v>
      </c>
      <c r="L712" s="1">
        <v>0</v>
      </c>
      <c r="M712" s="1">
        <v>0</v>
      </c>
    </row>
    <row r="713" spans="1:13">
      <c r="A713" s="1">
        <v>712</v>
      </c>
      <c r="B713" s="1">
        <v>924358.2561</v>
      </c>
      <c r="C713" s="1">
        <v>1399199.7248650021</v>
      </c>
      <c r="D713" s="1">
        <f t="shared" si="11"/>
        <v>-474841.46876500209</v>
      </c>
      <c r="E713" s="1">
        <v>18</v>
      </c>
      <c r="F713" s="1">
        <v>12</v>
      </c>
      <c r="G713" s="1">
        <v>5</v>
      </c>
      <c r="H713" s="1">
        <v>2</v>
      </c>
      <c r="I713" s="1">
        <v>0</v>
      </c>
      <c r="J713" s="1">
        <v>0</v>
      </c>
      <c r="K713" s="1">
        <v>0</v>
      </c>
      <c r="L713" s="1">
        <v>0</v>
      </c>
      <c r="M713" s="1">
        <v>0</v>
      </c>
    </row>
    <row r="714" spans="1:13">
      <c r="A714" s="1">
        <v>713</v>
      </c>
      <c r="B714" s="1">
        <v>1152658.8544999999</v>
      </c>
      <c r="C714" s="1">
        <v>766351.39848184132</v>
      </c>
      <c r="D714" s="1">
        <f t="shared" si="11"/>
        <v>386307.45601815858</v>
      </c>
      <c r="E714" s="1">
        <v>6</v>
      </c>
      <c r="F714" s="1">
        <v>21</v>
      </c>
      <c r="G714" s="1">
        <v>8</v>
      </c>
      <c r="H714" s="1">
        <v>0</v>
      </c>
      <c r="I714" s="1">
        <v>0</v>
      </c>
      <c r="J714" s="1">
        <v>0</v>
      </c>
      <c r="K714" s="1">
        <v>0</v>
      </c>
      <c r="L714" s="1">
        <v>0</v>
      </c>
      <c r="M714" s="1">
        <v>0</v>
      </c>
    </row>
    <row r="715" spans="1:13">
      <c r="A715" s="1">
        <v>714</v>
      </c>
      <c r="B715" s="1">
        <v>819989.43259999994</v>
      </c>
      <c r="C715" s="1">
        <v>2303335.2380917855</v>
      </c>
      <c r="D715" s="1">
        <f t="shared" si="11"/>
        <v>-1483345.8054917855</v>
      </c>
      <c r="E715" s="1">
        <v>18</v>
      </c>
      <c r="F715" s="1">
        <v>13</v>
      </c>
      <c r="G715" s="1">
        <v>4</v>
      </c>
      <c r="H715" s="1">
        <v>1</v>
      </c>
      <c r="I715" s="1">
        <v>0</v>
      </c>
      <c r="J715" s="1">
        <v>1</v>
      </c>
      <c r="K715" s="1">
        <v>1</v>
      </c>
      <c r="L715" s="1">
        <v>0</v>
      </c>
      <c r="M715" s="1">
        <v>0</v>
      </c>
    </row>
    <row r="716" spans="1:13">
      <c r="A716" s="1">
        <v>715</v>
      </c>
      <c r="B716" s="1">
        <v>923959.74800000002</v>
      </c>
      <c r="C716" s="1">
        <v>828814.62280713464</v>
      </c>
      <c r="D716" s="1">
        <f t="shared" si="11"/>
        <v>95145.12519286538</v>
      </c>
      <c r="E716" s="1">
        <v>14</v>
      </c>
      <c r="F716" s="1">
        <v>16</v>
      </c>
      <c r="G716" s="1">
        <v>5</v>
      </c>
      <c r="H716" s="1">
        <v>0</v>
      </c>
      <c r="I716" s="1">
        <v>1</v>
      </c>
      <c r="J716" s="1">
        <v>1</v>
      </c>
      <c r="K716" s="1">
        <v>1</v>
      </c>
      <c r="L716" s="1">
        <v>0</v>
      </c>
      <c r="M716" s="1">
        <v>0</v>
      </c>
    </row>
    <row r="717" spans="1:13">
      <c r="A717" s="1">
        <v>716</v>
      </c>
      <c r="B717" s="1">
        <v>1063748.3611000001</v>
      </c>
      <c r="C717" s="1">
        <v>815316.78125731961</v>
      </c>
      <c r="D717" s="1">
        <f t="shared" si="11"/>
        <v>248431.57984268048</v>
      </c>
      <c r="E717" s="1">
        <v>17</v>
      </c>
      <c r="F717" s="1">
        <v>14</v>
      </c>
      <c r="G717" s="1">
        <v>4</v>
      </c>
      <c r="H717" s="1">
        <v>0</v>
      </c>
      <c r="I717" s="1">
        <v>0</v>
      </c>
      <c r="J717" s="1">
        <v>0</v>
      </c>
      <c r="K717" s="1">
        <v>0</v>
      </c>
      <c r="L717" s="1">
        <v>0</v>
      </c>
      <c r="M717" s="1">
        <v>1</v>
      </c>
    </row>
    <row r="718" spans="1:13">
      <c r="A718" s="1">
        <v>717</v>
      </c>
      <c r="B718" s="1">
        <v>944445.5956</v>
      </c>
      <c r="C718" s="1">
        <v>746652.89811322861</v>
      </c>
      <c r="D718" s="1">
        <f t="shared" si="11"/>
        <v>197792.69748677139</v>
      </c>
      <c r="E718" s="1">
        <v>3</v>
      </c>
      <c r="F718" s="1">
        <v>25</v>
      </c>
      <c r="G718" s="1">
        <v>7</v>
      </c>
      <c r="H718" s="1">
        <v>0</v>
      </c>
      <c r="I718" s="1">
        <v>0</v>
      </c>
      <c r="J718" s="1">
        <v>1</v>
      </c>
      <c r="K718" s="1">
        <v>0</v>
      </c>
      <c r="L718" s="1">
        <v>0</v>
      </c>
      <c r="M718" s="1">
        <v>0</v>
      </c>
    </row>
    <row r="719" spans="1:13">
      <c r="A719" s="1">
        <v>718</v>
      </c>
      <c r="B719" s="1">
        <v>992622.15910000005</v>
      </c>
      <c r="C719" s="1">
        <v>1932982.8884909425</v>
      </c>
      <c r="D719" s="1">
        <f t="shared" si="11"/>
        <v>-940360.72939094249</v>
      </c>
      <c r="E719" s="1">
        <v>6</v>
      </c>
      <c r="F719" s="1">
        <v>24</v>
      </c>
      <c r="G719" s="1">
        <v>5</v>
      </c>
      <c r="H719" s="1">
        <v>0</v>
      </c>
      <c r="I719" s="1">
        <v>1</v>
      </c>
      <c r="J719" s="1">
        <v>1</v>
      </c>
      <c r="K719" s="1">
        <v>1</v>
      </c>
      <c r="L719" s="1">
        <v>0</v>
      </c>
      <c r="M719" s="1">
        <v>0</v>
      </c>
    </row>
    <row r="720" spans="1:13">
      <c r="A720" s="1">
        <v>719</v>
      </c>
      <c r="B720" s="1">
        <v>883505.36199999996</v>
      </c>
      <c r="C720" s="1">
        <v>1532423.3848747597</v>
      </c>
      <c r="D720" s="1">
        <f t="shared" si="11"/>
        <v>-648918.02287475974</v>
      </c>
      <c r="E720" s="1">
        <v>11</v>
      </c>
      <c r="F720" s="1">
        <v>19</v>
      </c>
      <c r="G720" s="1">
        <v>5</v>
      </c>
      <c r="H720" s="1">
        <v>0</v>
      </c>
      <c r="I720" s="1">
        <v>0</v>
      </c>
      <c r="J720" s="1">
        <v>1</v>
      </c>
      <c r="K720" s="1">
        <v>1</v>
      </c>
      <c r="L720" s="1">
        <v>0</v>
      </c>
      <c r="M720" s="1">
        <v>0</v>
      </c>
    </row>
    <row r="721" spans="1:13">
      <c r="A721" s="1">
        <v>720</v>
      </c>
      <c r="B721" s="1">
        <v>934276.46089999995</v>
      </c>
      <c r="C721" s="1">
        <v>872494.97611720685</v>
      </c>
      <c r="D721" s="1">
        <f t="shared" si="11"/>
        <v>61781.484782793093</v>
      </c>
      <c r="E721" s="1">
        <v>16</v>
      </c>
      <c r="F721" s="1">
        <v>14</v>
      </c>
      <c r="G721" s="1">
        <v>5</v>
      </c>
      <c r="H721" s="1">
        <v>2</v>
      </c>
      <c r="I721" s="1">
        <v>0</v>
      </c>
      <c r="J721" s="1">
        <v>0</v>
      </c>
      <c r="K721" s="1">
        <v>0</v>
      </c>
      <c r="L721" s="1">
        <v>0</v>
      </c>
      <c r="M721" s="1">
        <v>0</v>
      </c>
    </row>
    <row r="722" spans="1:13">
      <c r="A722" s="1">
        <v>721</v>
      </c>
      <c r="B722" s="1">
        <v>1052768.6841</v>
      </c>
      <c r="C722" s="1">
        <v>1195398.1782857399</v>
      </c>
      <c r="D722" s="1">
        <f t="shared" si="11"/>
        <v>-142629.4941857399</v>
      </c>
      <c r="E722" s="1">
        <v>16</v>
      </c>
      <c r="F722" s="1">
        <v>12</v>
      </c>
      <c r="G722" s="1">
        <v>7</v>
      </c>
      <c r="H722" s="1">
        <v>1</v>
      </c>
      <c r="I722" s="1">
        <v>0</v>
      </c>
      <c r="J722" s="1">
        <v>1</v>
      </c>
      <c r="K722" s="1">
        <v>1</v>
      </c>
      <c r="L722" s="1">
        <v>0</v>
      </c>
      <c r="M722" s="1">
        <v>1</v>
      </c>
    </row>
    <row r="723" spans="1:13">
      <c r="A723" s="1">
        <v>722</v>
      </c>
      <c r="B723" s="1">
        <v>970192.35479999997</v>
      </c>
      <c r="C723" s="1">
        <v>1168146.4830046096</v>
      </c>
      <c r="D723" s="1">
        <f t="shared" si="11"/>
        <v>-197954.12820460962</v>
      </c>
      <c r="E723" s="1">
        <v>7</v>
      </c>
      <c r="F723" s="1">
        <v>24</v>
      </c>
      <c r="G723" s="1">
        <v>4</v>
      </c>
      <c r="H723" s="1">
        <v>1</v>
      </c>
      <c r="I723" s="1">
        <v>0</v>
      </c>
      <c r="J723" s="1">
        <v>0</v>
      </c>
      <c r="K723" s="1">
        <v>0</v>
      </c>
      <c r="L723" s="1">
        <v>0</v>
      </c>
      <c r="M723" s="1">
        <v>0</v>
      </c>
    </row>
    <row r="724" spans="1:13">
      <c r="A724" s="1">
        <v>723</v>
      </c>
      <c r="B724" s="1">
        <v>894453.34030000004</v>
      </c>
      <c r="C724" s="1">
        <v>1232266.2184186871</v>
      </c>
      <c r="D724" s="1">
        <f t="shared" si="11"/>
        <v>-337812.87811868708</v>
      </c>
      <c r="E724" s="1">
        <v>8</v>
      </c>
      <c r="F724" s="1">
        <v>22</v>
      </c>
      <c r="G724" s="1">
        <v>5</v>
      </c>
      <c r="H724" s="1">
        <v>1</v>
      </c>
      <c r="I724" s="1">
        <v>0</v>
      </c>
      <c r="J724" s="1">
        <v>1</v>
      </c>
      <c r="K724" s="1">
        <v>1</v>
      </c>
      <c r="L724" s="1">
        <v>0</v>
      </c>
      <c r="M724" s="1">
        <v>0</v>
      </c>
    </row>
    <row r="725" spans="1:13">
      <c r="A725" s="1">
        <v>724</v>
      </c>
      <c r="B725" s="1">
        <v>796395.45979999995</v>
      </c>
      <c r="C725" s="1">
        <v>836504.00331015966</v>
      </c>
      <c r="D725" s="1">
        <f t="shared" si="11"/>
        <v>-40108.54351015971</v>
      </c>
      <c r="E725" s="1">
        <v>12</v>
      </c>
      <c r="F725" s="1">
        <v>21</v>
      </c>
      <c r="G725" s="1">
        <v>2</v>
      </c>
      <c r="H725" s="1">
        <v>1</v>
      </c>
      <c r="I725" s="1">
        <v>1</v>
      </c>
      <c r="J725" s="1">
        <v>0</v>
      </c>
      <c r="K725" s="1">
        <v>0</v>
      </c>
      <c r="L725" s="1">
        <v>0</v>
      </c>
      <c r="M725" s="1">
        <v>1</v>
      </c>
    </row>
    <row r="726" spans="1:13">
      <c r="A726" s="1">
        <v>725</v>
      </c>
      <c r="B726" s="1">
        <v>955553.07169999997</v>
      </c>
      <c r="C726" s="1">
        <v>891807.59109316487</v>
      </c>
      <c r="D726" s="1">
        <f t="shared" si="11"/>
        <v>63745.480606835103</v>
      </c>
      <c r="E726" s="1">
        <v>16</v>
      </c>
      <c r="F726" s="1">
        <v>13</v>
      </c>
      <c r="G726" s="1">
        <v>6</v>
      </c>
      <c r="H726" s="1">
        <v>0</v>
      </c>
      <c r="I726" s="1">
        <v>0</v>
      </c>
      <c r="J726" s="1">
        <v>2</v>
      </c>
      <c r="K726" s="1">
        <v>0</v>
      </c>
      <c r="L726" s="1">
        <v>0</v>
      </c>
      <c r="M726" s="1">
        <v>0</v>
      </c>
    </row>
    <row r="727" spans="1:13">
      <c r="A727" s="1">
        <v>726</v>
      </c>
      <c r="B727" s="1">
        <v>913890.63540000003</v>
      </c>
      <c r="C727" s="1">
        <v>1073511.2286952648</v>
      </c>
      <c r="D727" s="1">
        <f t="shared" si="11"/>
        <v>-159620.59329526476</v>
      </c>
      <c r="E727" s="1">
        <v>9</v>
      </c>
      <c r="F727" s="1">
        <v>19</v>
      </c>
      <c r="G727" s="1">
        <v>7</v>
      </c>
      <c r="H727" s="1">
        <v>0</v>
      </c>
      <c r="I727" s="1">
        <v>0</v>
      </c>
      <c r="J727" s="1">
        <v>1</v>
      </c>
      <c r="K727" s="1">
        <v>0</v>
      </c>
      <c r="L727" s="1">
        <v>0</v>
      </c>
      <c r="M727" s="1">
        <v>0</v>
      </c>
    </row>
    <row r="728" spans="1:13">
      <c r="A728" s="1">
        <v>727</v>
      </c>
      <c r="B728" s="1">
        <v>951906.85149999999</v>
      </c>
      <c r="C728" s="1">
        <v>571154.20186962781</v>
      </c>
      <c r="D728" s="1">
        <f t="shared" si="11"/>
        <v>380752.64963037218</v>
      </c>
      <c r="E728" s="1">
        <v>20</v>
      </c>
      <c r="F728" s="1">
        <v>10</v>
      </c>
      <c r="G728" s="1">
        <v>5</v>
      </c>
      <c r="H728" s="1">
        <v>1</v>
      </c>
      <c r="I728" s="1">
        <v>0</v>
      </c>
      <c r="J728" s="1">
        <v>1</v>
      </c>
      <c r="K728" s="1">
        <v>1</v>
      </c>
      <c r="L728" s="1">
        <v>0</v>
      </c>
      <c r="M728" s="1">
        <v>0</v>
      </c>
    </row>
    <row r="729" spans="1:13">
      <c r="A729" s="1">
        <v>728</v>
      </c>
      <c r="B729" s="1">
        <v>867659.68130000005</v>
      </c>
      <c r="C729" s="1">
        <v>956230.62459995155</v>
      </c>
      <c r="D729" s="1">
        <f t="shared" si="11"/>
        <v>-88570.943299951497</v>
      </c>
      <c r="E729" s="1">
        <v>21</v>
      </c>
      <c r="F729" s="1">
        <v>10</v>
      </c>
      <c r="G729" s="1">
        <v>4</v>
      </c>
      <c r="H729" s="1">
        <v>0</v>
      </c>
      <c r="I729" s="1">
        <v>0</v>
      </c>
      <c r="J729" s="1">
        <v>0</v>
      </c>
      <c r="K729" s="1">
        <v>1</v>
      </c>
      <c r="L729" s="1">
        <v>0</v>
      </c>
      <c r="M729" s="1">
        <v>0</v>
      </c>
    </row>
    <row r="730" spans="1:13">
      <c r="A730" s="1">
        <v>729</v>
      </c>
      <c r="B730" s="1">
        <v>974338.31460000004</v>
      </c>
      <c r="C730" s="1">
        <v>696637.26446902158</v>
      </c>
      <c r="D730" s="1">
        <f t="shared" si="11"/>
        <v>277701.05013097846</v>
      </c>
      <c r="E730" s="1">
        <v>12</v>
      </c>
      <c r="F730" s="1">
        <v>17</v>
      </c>
      <c r="G730" s="1">
        <v>6</v>
      </c>
      <c r="H730" s="1">
        <v>1</v>
      </c>
      <c r="I730" s="1">
        <v>0</v>
      </c>
      <c r="J730" s="1">
        <v>1</v>
      </c>
      <c r="K730" s="1">
        <v>1</v>
      </c>
      <c r="L730" s="1">
        <v>0</v>
      </c>
      <c r="M730" s="1">
        <v>0</v>
      </c>
    </row>
    <row r="731" spans="1:13">
      <c r="A731" s="1">
        <v>730</v>
      </c>
      <c r="B731" s="1">
        <v>918951.03229999996</v>
      </c>
      <c r="C731" s="1">
        <v>796815.59172133007</v>
      </c>
      <c r="D731" s="1">
        <f t="shared" si="11"/>
        <v>122135.44057866989</v>
      </c>
      <c r="E731" s="1">
        <v>22</v>
      </c>
      <c r="F731" s="1">
        <v>9</v>
      </c>
      <c r="G731" s="1">
        <v>4</v>
      </c>
      <c r="H731" s="1">
        <v>1</v>
      </c>
      <c r="I731" s="1">
        <v>0</v>
      </c>
      <c r="J731" s="1">
        <v>2</v>
      </c>
      <c r="K731" s="1">
        <v>0</v>
      </c>
      <c r="L731" s="1">
        <v>0</v>
      </c>
      <c r="M731" s="1">
        <v>0</v>
      </c>
    </row>
    <row r="732" spans="1:13">
      <c r="A732" s="1">
        <v>731</v>
      </c>
      <c r="B732" s="1">
        <v>903818.97129999998</v>
      </c>
      <c r="C732" s="1">
        <v>955199.62520678865</v>
      </c>
      <c r="D732" s="1">
        <f t="shared" si="11"/>
        <v>-51380.653906788677</v>
      </c>
      <c r="E732" s="1">
        <v>7</v>
      </c>
      <c r="F732" s="1">
        <v>24</v>
      </c>
      <c r="G732" s="1">
        <v>4</v>
      </c>
      <c r="H732" s="1">
        <v>0</v>
      </c>
      <c r="I732" s="1">
        <v>0</v>
      </c>
      <c r="J732" s="1">
        <v>1</v>
      </c>
      <c r="K732" s="1">
        <v>1</v>
      </c>
      <c r="L732" s="1">
        <v>0</v>
      </c>
      <c r="M732" s="1">
        <v>0</v>
      </c>
    </row>
    <row r="733" spans="1:13">
      <c r="A733" s="1">
        <v>732</v>
      </c>
      <c r="B733" s="1">
        <v>964501.57860000001</v>
      </c>
      <c r="C733" s="1">
        <v>816731.40882080782</v>
      </c>
      <c r="D733" s="1">
        <f t="shared" si="11"/>
        <v>147770.16977919219</v>
      </c>
      <c r="E733" s="1">
        <v>17</v>
      </c>
      <c r="F733" s="1">
        <v>12</v>
      </c>
      <c r="G733" s="1">
        <v>6</v>
      </c>
      <c r="H733" s="1">
        <v>0</v>
      </c>
      <c r="I733" s="1">
        <v>1</v>
      </c>
      <c r="J733" s="1">
        <v>1</v>
      </c>
      <c r="K733" s="1">
        <v>0</v>
      </c>
      <c r="L733" s="1">
        <v>0</v>
      </c>
      <c r="M733" s="1">
        <v>0</v>
      </c>
    </row>
    <row r="734" spans="1:13">
      <c r="A734" s="1">
        <v>733</v>
      </c>
      <c r="B734" s="1">
        <v>973674.43500000006</v>
      </c>
      <c r="C734" s="1">
        <v>978344.42504725757</v>
      </c>
      <c r="D734" s="1">
        <f t="shared" si="11"/>
        <v>-4669.99004725751</v>
      </c>
      <c r="E734" s="1">
        <v>5</v>
      </c>
      <c r="F734" s="1">
        <v>24</v>
      </c>
      <c r="G734" s="1">
        <v>6</v>
      </c>
      <c r="H734" s="1">
        <v>0</v>
      </c>
      <c r="I734" s="1">
        <v>1</v>
      </c>
      <c r="J734" s="1">
        <v>0</v>
      </c>
      <c r="K734" s="1">
        <v>1</v>
      </c>
      <c r="L734" s="1">
        <v>0</v>
      </c>
      <c r="M734" s="1">
        <v>0</v>
      </c>
    </row>
    <row r="735" spans="1:13">
      <c r="A735" s="1">
        <v>734</v>
      </c>
      <c r="B735" s="1">
        <v>1062560.5018</v>
      </c>
      <c r="C735" s="1">
        <v>1031263.9301456524</v>
      </c>
      <c r="D735" s="1">
        <f t="shared" si="11"/>
        <v>31296.571654347586</v>
      </c>
      <c r="E735" s="1">
        <v>9</v>
      </c>
      <c r="F735" s="1">
        <v>23</v>
      </c>
      <c r="G735" s="1">
        <v>3</v>
      </c>
      <c r="H735" s="1">
        <v>0</v>
      </c>
      <c r="I735" s="1">
        <v>1</v>
      </c>
      <c r="J735" s="1">
        <v>0</v>
      </c>
      <c r="K735" s="1">
        <v>1</v>
      </c>
      <c r="L735" s="1">
        <v>0</v>
      </c>
      <c r="M735" s="1">
        <v>0</v>
      </c>
    </row>
    <row r="736" spans="1:13">
      <c r="A736" s="1">
        <v>735</v>
      </c>
      <c r="B736" s="1">
        <v>894499.38800000004</v>
      </c>
      <c r="C736" s="1">
        <v>757651.40906987526</v>
      </c>
      <c r="D736" s="1">
        <f t="shared" si="11"/>
        <v>136847.97893012478</v>
      </c>
      <c r="E736" s="1">
        <v>9</v>
      </c>
      <c r="F736" s="1">
        <v>20</v>
      </c>
      <c r="G736" s="1">
        <v>6</v>
      </c>
      <c r="H736" s="1">
        <v>1</v>
      </c>
      <c r="I736" s="1">
        <v>1</v>
      </c>
      <c r="J736" s="1">
        <v>0</v>
      </c>
      <c r="K736" s="1">
        <v>1</v>
      </c>
      <c r="L736" s="1">
        <v>0</v>
      </c>
      <c r="M736" s="1">
        <v>0</v>
      </c>
    </row>
    <row r="737" spans="1:13">
      <c r="A737" s="1">
        <v>736</v>
      </c>
      <c r="B737" s="1">
        <v>889974.26280000003</v>
      </c>
      <c r="C737" s="1">
        <v>1123366.3745564688</v>
      </c>
      <c r="D737" s="1">
        <f t="shared" si="11"/>
        <v>-233392.11175646877</v>
      </c>
      <c r="E737" s="1">
        <v>18</v>
      </c>
      <c r="F737" s="1">
        <v>13</v>
      </c>
      <c r="G737" s="1">
        <v>4</v>
      </c>
      <c r="H737" s="1">
        <v>0</v>
      </c>
      <c r="I737" s="1">
        <v>0</v>
      </c>
      <c r="J737" s="1">
        <v>1</v>
      </c>
      <c r="K737" s="1">
        <v>0</v>
      </c>
      <c r="L737" s="1">
        <v>0</v>
      </c>
      <c r="M737" s="1">
        <v>0</v>
      </c>
    </row>
    <row r="738" spans="1:13">
      <c r="A738" s="1">
        <v>737</v>
      </c>
      <c r="B738" s="1">
        <v>962099.63560000004</v>
      </c>
      <c r="C738" s="1">
        <v>813673.94283508032</v>
      </c>
      <c r="D738" s="1">
        <f t="shared" si="11"/>
        <v>148425.69276491972</v>
      </c>
      <c r="E738" s="1">
        <v>10</v>
      </c>
      <c r="F738" s="1">
        <v>18</v>
      </c>
      <c r="G738" s="1">
        <v>7</v>
      </c>
      <c r="H738" s="1">
        <v>0</v>
      </c>
      <c r="I738" s="1">
        <v>1</v>
      </c>
      <c r="J738" s="1">
        <v>1</v>
      </c>
      <c r="K738" s="1">
        <v>0</v>
      </c>
      <c r="L738" s="1">
        <v>0</v>
      </c>
      <c r="M738" s="1">
        <v>0</v>
      </c>
    </row>
    <row r="739" spans="1:13">
      <c r="A739" s="1">
        <v>738</v>
      </c>
      <c r="B739" s="1">
        <v>899068.80630000005</v>
      </c>
      <c r="C739" s="1">
        <v>1134085.0786311103</v>
      </c>
      <c r="D739" s="1">
        <f t="shared" si="11"/>
        <v>-235016.2723311102</v>
      </c>
      <c r="E739" s="1">
        <v>14</v>
      </c>
      <c r="F739" s="1">
        <v>16</v>
      </c>
      <c r="G739" s="1">
        <v>5</v>
      </c>
      <c r="H739" s="1">
        <v>2</v>
      </c>
      <c r="I739" s="1">
        <v>0</v>
      </c>
      <c r="J739" s="1">
        <v>1</v>
      </c>
      <c r="K739" s="1">
        <v>0</v>
      </c>
      <c r="L739" s="1">
        <v>0</v>
      </c>
      <c r="M739" s="1">
        <v>1</v>
      </c>
    </row>
    <row r="740" spans="1:13">
      <c r="A740" s="1">
        <v>739</v>
      </c>
      <c r="B740" s="1">
        <v>919075.05009999999</v>
      </c>
      <c r="C740" s="1">
        <v>894143.00749849854</v>
      </c>
      <c r="D740" s="1">
        <f t="shared" si="11"/>
        <v>24932.042601501453</v>
      </c>
      <c r="E740" s="1">
        <v>13</v>
      </c>
      <c r="F740" s="1">
        <v>17</v>
      </c>
      <c r="G740" s="1">
        <v>5</v>
      </c>
      <c r="H740" s="1">
        <v>2</v>
      </c>
      <c r="I740" s="1">
        <v>0</v>
      </c>
      <c r="J740" s="1">
        <v>0</v>
      </c>
      <c r="K740" s="1">
        <v>1</v>
      </c>
      <c r="L740" s="1">
        <v>0</v>
      </c>
      <c r="M740" s="1">
        <v>0</v>
      </c>
    </row>
    <row r="741" spans="1:13">
      <c r="A741" s="1">
        <v>740</v>
      </c>
      <c r="B741" s="1">
        <v>893433.75679999997</v>
      </c>
      <c r="C741" s="1">
        <v>1152139.4662831249</v>
      </c>
      <c r="D741" s="1">
        <f t="shared" si="11"/>
        <v>-258705.7094831249</v>
      </c>
      <c r="E741" s="1">
        <v>27</v>
      </c>
      <c r="F741" s="1">
        <v>6</v>
      </c>
      <c r="G741" s="1">
        <v>2</v>
      </c>
      <c r="H741" s="1">
        <v>1</v>
      </c>
      <c r="I741" s="1">
        <v>1</v>
      </c>
      <c r="J741" s="1">
        <v>0</v>
      </c>
      <c r="K741" s="1">
        <v>0</v>
      </c>
      <c r="L741" s="1">
        <v>0</v>
      </c>
      <c r="M741" s="1">
        <v>0</v>
      </c>
    </row>
    <row r="742" spans="1:13">
      <c r="A742" s="1">
        <v>741</v>
      </c>
      <c r="B742" s="1">
        <v>875664.98320000002</v>
      </c>
      <c r="C742" s="1">
        <v>797237.26601155999</v>
      </c>
      <c r="D742" s="1">
        <f t="shared" si="11"/>
        <v>78427.71718844003</v>
      </c>
      <c r="E742" s="1">
        <v>22</v>
      </c>
      <c r="F742" s="1">
        <v>10</v>
      </c>
      <c r="G742" s="1">
        <v>3</v>
      </c>
      <c r="H742" s="1">
        <v>0</v>
      </c>
      <c r="I742" s="1">
        <v>0</v>
      </c>
      <c r="J742" s="1">
        <v>0</v>
      </c>
      <c r="K742" s="1">
        <v>2</v>
      </c>
      <c r="L742" s="1">
        <v>0</v>
      </c>
      <c r="M742" s="1">
        <v>1</v>
      </c>
    </row>
    <row r="743" spans="1:13">
      <c r="A743" s="1">
        <v>742</v>
      </c>
      <c r="B743" s="1">
        <v>980160.19759999996</v>
      </c>
      <c r="C743" s="1">
        <v>591988.5780508375</v>
      </c>
      <c r="D743" s="1">
        <f t="shared" si="11"/>
        <v>388171.61954916245</v>
      </c>
      <c r="E743" s="1">
        <v>11</v>
      </c>
      <c r="F743" s="1">
        <v>18</v>
      </c>
      <c r="G743" s="1">
        <v>6</v>
      </c>
      <c r="H743" s="1">
        <v>0</v>
      </c>
      <c r="I743" s="1">
        <v>0</v>
      </c>
      <c r="J743" s="1">
        <v>2</v>
      </c>
      <c r="K743" s="1">
        <v>0</v>
      </c>
      <c r="L743" s="1">
        <v>0</v>
      </c>
      <c r="M743" s="1">
        <v>0</v>
      </c>
    </row>
    <row r="744" spans="1:13">
      <c r="A744" s="1">
        <v>743</v>
      </c>
      <c r="B744" s="1">
        <v>1070017.9941</v>
      </c>
      <c r="C744" s="1">
        <v>899269.58100768481</v>
      </c>
      <c r="D744" s="1">
        <f t="shared" si="11"/>
        <v>170748.4130923152</v>
      </c>
      <c r="E744" s="1">
        <v>8</v>
      </c>
      <c r="F744" s="1">
        <v>21</v>
      </c>
      <c r="G744" s="1">
        <v>6</v>
      </c>
      <c r="H744" s="1">
        <v>0</v>
      </c>
      <c r="I744" s="1">
        <v>0</v>
      </c>
      <c r="J744" s="1">
        <v>1</v>
      </c>
      <c r="K744" s="1">
        <v>0</v>
      </c>
      <c r="L744" s="1">
        <v>0</v>
      </c>
      <c r="M744" s="1">
        <v>0</v>
      </c>
    </row>
    <row r="745" spans="1:13">
      <c r="A745" s="1">
        <v>744</v>
      </c>
      <c r="B745" s="1">
        <v>899684.58530000004</v>
      </c>
      <c r="C745" s="1">
        <v>647001.02959032403</v>
      </c>
      <c r="D745" s="1">
        <f t="shared" si="11"/>
        <v>252683.555709676</v>
      </c>
      <c r="E745" s="1">
        <v>12</v>
      </c>
      <c r="F745" s="1">
        <v>18</v>
      </c>
      <c r="G745" s="1">
        <v>5</v>
      </c>
      <c r="H745" s="1">
        <v>2</v>
      </c>
      <c r="I745" s="1">
        <v>0</v>
      </c>
      <c r="J745" s="1">
        <v>1</v>
      </c>
      <c r="K745" s="1">
        <v>1</v>
      </c>
      <c r="L745" s="1">
        <v>0</v>
      </c>
      <c r="M745" s="1">
        <v>1</v>
      </c>
    </row>
    <row r="746" spans="1:13">
      <c r="A746" s="1">
        <v>745</v>
      </c>
      <c r="B746" s="1">
        <v>991392.05969999998</v>
      </c>
      <c r="C746" s="1">
        <v>978693.45140114811</v>
      </c>
      <c r="D746" s="1">
        <f t="shared" si="11"/>
        <v>12698.608298851876</v>
      </c>
      <c r="E746" s="1">
        <v>17</v>
      </c>
      <c r="F746" s="1">
        <v>11</v>
      </c>
      <c r="G746" s="1">
        <v>7</v>
      </c>
      <c r="H746" s="1">
        <v>0</v>
      </c>
      <c r="I746" s="1">
        <v>0</v>
      </c>
      <c r="J746" s="1">
        <v>1</v>
      </c>
      <c r="K746" s="1">
        <v>1</v>
      </c>
      <c r="L746" s="1">
        <v>0</v>
      </c>
      <c r="M746" s="1">
        <v>0</v>
      </c>
    </row>
    <row r="747" spans="1:13">
      <c r="A747" s="1">
        <v>746</v>
      </c>
      <c r="B747" s="1">
        <v>878081.37820000004</v>
      </c>
      <c r="C747" s="1">
        <v>605444.4993125808</v>
      </c>
      <c r="D747" s="1">
        <f t="shared" si="11"/>
        <v>272636.87888741924</v>
      </c>
      <c r="E747" s="1">
        <v>16</v>
      </c>
      <c r="F747" s="1">
        <v>13</v>
      </c>
      <c r="G747" s="1">
        <v>6</v>
      </c>
      <c r="H747" s="1">
        <v>2</v>
      </c>
      <c r="I747" s="1">
        <v>0</v>
      </c>
      <c r="J747" s="1">
        <v>1</v>
      </c>
      <c r="K747" s="1">
        <v>1</v>
      </c>
      <c r="L747" s="1">
        <v>0</v>
      </c>
      <c r="M747" s="1">
        <v>0</v>
      </c>
    </row>
    <row r="748" spans="1:13">
      <c r="A748" s="1">
        <v>747</v>
      </c>
      <c r="B748" s="1">
        <v>973919.47409999999</v>
      </c>
      <c r="C748" s="1">
        <v>992927.78045696858</v>
      </c>
      <c r="D748" s="1">
        <f t="shared" si="11"/>
        <v>-19008.306356968591</v>
      </c>
      <c r="E748" s="1">
        <v>10</v>
      </c>
      <c r="F748" s="1">
        <v>18</v>
      </c>
      <c r="G748" s="1">
        <v>7</v>
      </c>
      <c r="H748" s="1">
        <v>1</v>
      </c>
      <c r="I748" s="1">
        <v>0</v>
      </c>
      <c r="J748" s="1">
        <v>1</v>
      </c>
      <c r="K748" s="1">
        <v>1</v>
      </c>
      <c r="L748" s="1">
        <v>0</v>
      </c>
      <c r="M748" s="1">
        <v>0</v>
      </c>
    </row>
    <row r="749" spans="1:13">
      <c r="A749" s="1">
        <v>748</v>
      </c>
      <c r="B749" s="1">
        <v>874273.29110000003</v>
      </c>
      <c r="C749" s="1">
        <v>968316.1941010711</v>
      </c>
      <c r="D749" s="1">
        <f t="shared" si="11"/>
        <v>-94042.90300107107</v>
      </c>
      <c r="E749" s="1">
        <v>14</v>
      </c>
      <c r="F749" s="1">
        <v>15</v>
      </c>
      <c r="G749" s="1">
        <v>6</v>
      </c>
      <c r="H749" s="1">
        <v>1</v>
      </c>
      <c r="I749" s="1">
        <v>0</v>
      </c>
      <c r="J749" s="1">
        <v>1</v>
      </c>
      <c r="K749" s="1">
        <v>1</v>
      </c>
      <c r="L749" s="1">
        <v>0</v>
      </c>
      <c r="M749" s="1">
        <v>0</v>
      </c>
    </row>
    <row r="750" spans="1:13">
      <c r="A750" s="1">
        <v>749</v>
      </c>
      <c r="B750" s="1">
        <v>1024537.95</v>
      </c>
      <c r="C750" s="1">
        <v>815940.72514296952</v>
      </c>
      <c r="D750" s="1">
        <f t="shared" si="11"/>
        <v>208597.22485703044</v>
      </c>
      <c r="E750" s="1">
        <v>8</v>
      </c>
      <c r="F750" s="1">
        <v>21</v>
      </c>
      <c r="G750" s="1">
        <v>6</v>
      </c>
      <c r="H750" s="1">
        <v>2</v>
      </c>
      <c r="I750" s="1">
        <v>0</v>
      </c>
      <c r="J750" s="1">
        <v>0</v>
      </c>
      <c r="K750" s="1">
        <v>2</v>
      </c>
      <c r="L750" s="1">
        <v>0</v>
      </c>
      <c r="M750" s="1">
        <v>0</v>
      </c>
    </row>
    <row r="751" spans="1:13">
      <c r="A751" s="1">
        <v>750</v>
      </c>
      <c r="B751" s="1">
        <v>948064.49979999999</v>
      </c>
      <c r="C751" s="1">
        <v>825787.24762094335</v>
      </c>
      <c r="D751" s="1">
        <f t="shared" si="11"/>
        <v>122277.25217905664</v>
      </c>
      <c r="E751" s="1">
        <v>6</v>
      </c>
      <c r="F751" s="1">
        <v>23</v>
      </c>
      <c r="G751" s="1">
        <v>6</v>
      </c>
      <c r="H751" s="1">
        <v>0</v>
      </c>
      <c r="I751" s="1">
        <v>0</v>
      </c>
      <c r="J751" s="1">
        <v>2</v>
      </c>
      <c r="K751" s="1">
        <v>0</v>
      </c>
      <c r="L751" s="1">
        <v>0</v>
      </c>
      <c r="M751" s="1">
        <v>0</v>
      </c>
    </row>
    <row r="752" spans="1:13">
      <c r="A752" s="1">
        <v>751</v>
      </c>
      <c r="B752" s="1">
        <v>954834.66379999998</v>
      </c>
      <c r="C752" s="1">
        <v>805710.81583713833</v>
      </c>
      <c r="D752" s="1">
        <f t="shared" si="11"/>
        <v>149123.84796286165</v>
      </c>
      <c r="E752" s="1">
        <v>9</v>
      </c>
      <c r="F752" s="1">
        <v>19</v>
      </c>
      <c r="G752" s="1">
        <v>7</v>
      </c>
      <c r="H752" s="1">
        <v>0</v>
      </c>
      <c r="I752" s="1">
        <v>0</v>
      </c>
      <c r="J752" s="1">
        <v>0</v>
      </c>
      <c r="K752" s="1">
        <v>2</v>
      </c>
      <c r="L752" s="1">
        <v>0</v>
      </c>
      <c r="M752" s="1">
        <v>0</v>
      </c>
    </row>
    <row r="753" spans="1:13">
      <c r="A753" s="1">
        <v>752</v>
      </c>
      <c r="B753" s="1">
        <v>923906.71580000001</v>
      </c>
      <c r="C753" s="1">
        <v>638889.80811896035</v>
      </c>
      <c r="D753" s="1">
        <f t="shared" si="11"/>
        <v>285016.90768103965</v>
      </c>
      <c r="E753" s="1">
        <v>10</v>
      </c>
      <c r="F753" s="1">
        <v>19</v>
      </c>
      <c r="G753" s="1">
        <v>6</v>
      </c>
      <c r="H753" s="1">
        <v>2</v>
      </c>
      <c r="I753" s="1">
        <v>0</v>
      </c>
      <c r="J753" s="1">
        <v>1</v>
      </c>
      <c r="K753" s="1">
        <v>0</v>
      </c>
      <c r="L753" s="1">
        <v>0</v>
      </c>
      <c r="M753" s="1">
        <v>0</v>
      </c>
    </row>
    <row r="754" spans="1:13">
      <c r="A754" s="1">
        <v>753</v>
      </c>
      <c r="B754" s="1">
        <v>937156.00679999997</v>
      </c>
      <c r="C754" s="1">
        <v>777723.11666420021</v>
      </c>
      <c r="D754" s="1">
        <f t="shared" si="11"/>
        <v>159432.89013579977</v>
      </c>
      <c r="E754" s="1">
        <v>9</v>
      </c>
      <c r="F754" s="1">
        <v>19</v>
      </c>
      <c r="G754" s="1">
        <v>7</v>
      </c>
      <c r="H754" s="1">
        <v>0</v>
      </c>
      <c r="I754" s="1">
        <v>1</v>
      </c>
      <c r="J754" s="1">
        <v>1</v>
      </c>
      <c r="K754" s="1">
        <v>1</v>
      </c>
      <c r="L754" s="1">
        <v>0</v>
      </c>
      <c r="M754" s="1">
        <v>0</v>
      </c>
    </row>
    <row r="755" spans="1:13">
      <c r="A755" s="1">
        <v>754</v>
      </c>
      <c r="B755" s="1">
        <v>813191.88780000003</v>
      </c>
      <c r="C755" s="1">
        <v>1138756.8814950101</v>
      </c>
      <c r="D755" s="1">
        <f t="shared" si="11"/>
        <v>-325564.99369501008</v>
      </c>
      <c r="E755" s="1">
        <v>11</v>
      </c>
      <c r="F755" s="1">
        <v>17</v>
      </c>
      <c r="G755" s="1">
        <v>7</v>
      </c>
      <c r="H755" s="1">
        <v>1</v>
      </c>
      <c r="I755" s="1">
        <v>0</v>
      </c>
      <c r="J755" s="1">
        <v>1</v>
      </c>
      <c r="K755" s="1">
        <v>1</v>
      </c>
      <c r="L755" s="1">
        <v>0</v>
      </c>
      <c r="M755" s="1">
        <v>0</v>
      </c>
    </row>
    <row r="756" spans="1:13">
      <c r="A756" s="1">
        <v>755</v>
      </c>
      <c r="B756" s="1">
        <v>854147.84629999998</v>
      </c>
      <c r="C756" s="1">
        <v>704540.73638203053</v>
      </c>
      <c r="D756" s="1">
        <f t="shared" si="11"/>
        <v>149607.10991796944</v>
      </c>
      <c r="E756" s="1">
        <v>18</v>
      </c>
      <c r="F756" s="1">
        <v>13</v>
      </c>
      <c r="G756" s="1">
        <v>4</v>
      </c>
      <c r="H756" s="1">
        <v>0</v>
      </c>
      <c r="I756" s="1">
        <v>0</v>
      </c>
      <c r="J756" s="1">
        <v>1</v>
      </c>
      <c r="K756" s="1">
        <v>1</v>
      </c>
      <c r="L756" s="1">
        <v>0</v>
      </c>
      <c r="M756" s="1">
        <v>0</v>
      </c>
    </row>
    <row r="757" spans="1:13">
      <c r="A757" s="1">
        <v>756</v>
      </c>
      <c r="B757" s="1">
        <v>957046.55519999994</v>
      </c>
      <c r="C757" s="1">
        <v>927818.59259087895</v>
      </c>
      <c r="D757" s="1">
        <f t="shared" si="11"/>
        <v>29227.962609120994</v>
      </c>
      <c r="E757" s="1">
        <v>13</v>
      </c>
      <c r="F757" s="1">
        <v>15</v>
      </c>
      <c r="G757" s="1">
        <v>7</v>
      </c>
      <c r="H757" s="1">
        <v>0</v>
      </c>
      <c r="I757" s="1">
        <v>1</v>
      </c>
      <c r="J757" s="1">
        <v>0</v>
      </c>
      <c r="K757" s="1">
        <v>2</v>
      </c>
      <c r="L757" s="1">
        <v>0</v>
      </c>
      <c r="M757" s="1">
        <v>0</v>
      </c>
    </row>
    <row r="758" spans="1:13">
      <c r="A758" s="1">
        <v>757</v>
      </c>
      <c r="B758" s="1">
        <v>915715.21840000001</v>
      </c>
      <c r="C758" s="1">
        <v>891303.67310092214</v>
      </c>
      <c r="D758" s="1">
        <f t="shared" si="11"/>
        <v>24411.545299077872</v>
      </c>
      <c r="E758" s="1">
        <v>18</v>
      </c>
      <c r="F758" s="1">
        <v>12</v>
      </c>
      <c r="G758" s="1">
        <v>5</v>
      </c>
      <c r="H758" s="1">
        <v>1</v>
      </c>
      <c r="I758" s="1">
        <v>0</v>
      </c>
      <c r="J758" s="1">
        <v>1</v>
      </c>
      <c r="K758" s="1">
        <v>1</v>
      </c>
      <c r="L758" s="1">
        <v>0</v>
      </c>
      <c r="M758" s="1">
        <v>0</v>
      </c>
    </row>
    <row r="759" spans="1:13">
      <c r="A759" s="1">
        <v>758</v>
      </c>
      <c r="B759" s="1">
        <v>948378.39199999999</v>
      </c>
      <c r="C759" s="1">
        <v>628141.63852160296</v>
      </c>
      <c r="D759" s="1">
        <f t="shared" si="11"/>
        <v>320236.75347839703</v>
      </c>
      <c r="E759" s="1">
        <v>13</v>
      </c>
      <c r="F759" s="1">
        <v>16</v>
      </c>
      <c r="G759" s="1">
        <v>6</v>
      </c>
      <c r="H759" s="1">
        <v>0</v>
      </c>
      <c r="I759" s="1">
        <v>0</v>
      </c>
      <c r="J759" s="1">
        <v>2</v>
      </c>
      <c r="K759" s="1">
        <v>0</v>
      </c>
      <c r="L759" s="1">
        <v>0</v>
      </c>
      <c r="M759" s="1">
        <v>0</v>
      </c>
    </row>
    <row r="760" spans="1:13">
      <c r="A760" s="1">
        <v>759</v>
      </c>
      <c r="B760" s="1">
        <v>906842.16059999994</v>
      </c>
      <c r="C760" s="1">
        <v>3057144.0180867403</v>
      </c>
      <c r="D760" s="1">
        <f t="shared" si="11"/>
        <v>-2150301.8574867402</v>
      </c>
      <c r="E760" s="1">
        <v>12</v>
      </c>
      <c r="F760" s="1">
        <v>17</v>
      </c>
      <c r="G760" s="1">
        <v>6</v>
      </c>
      <c r="H760" s="1">
        <v>1</v>
      </c>
      <c r="I760" s="1">
        <v>0</v>
      </c>
      <c r="J760" s="1">
        <v>0</v>
      </c>
      <c r="K760" s="1">
        <v>0</v>
      </c>
      <c r="L760" s="1">
        <v>1</v>
      </c>
      <c r="M760" s="1">
        <v>0</v>
      </c>
    </row>
    <row r="761" spans="1:13">
      <c r="A761" s="1">
        <v>760</v>
      </c>
      <c r="B761" s="1">
        <v>896137.19090000005</v>
      </c>
      <c r="C761" s="1">
        <v>967749.52148258302</v>
      </c>
      <c r="D761" s="1">
        <f t="shared" si="11"/>
        <v>-71612.330582582974</v>
      </c>
      <c r="E761" s="1">
        <v>15</v>
      </c>
      <c r="F761" s="1">
        <v>14</v>
      </c>
      <c r="G761" s="1">
        <v>6</v>
      </c>
      <c r="H761" s="1">
        <v>1</v>
      </c>
      <c r="I761" s="1">
        <v>0</v>
      </c>
      <c r="J761" s="1">
        <v>0</v>
      </c>
      <c r="K761" s="1">
        <v>2</v>
      </c>
      <c r="L761" s="1">
        <v>0</v>
      </c>
      <c r="M761" s="1">
        <v>1</v>
      </c>
    </row>
    <row r="762" spans="1:13">
      <c r="A762" s="1">
        <v>761</v>
      </c>
      <c r="B762" s="1">
        <v>875172.66269999999</v>
      </c>
      <c r="C762" s="1">
        <v>767428.4427937927</v>
      </c>
      <c r="D762" s="1">
        <f t="shared" si="11"/>
        <v>107744.21990620729</v>
      </c>
      <c r="E762" s="1">
        <v>13</v>
      </c>
      <c r="F762" s="1">
        <v>19</v>
      </c>
      <c r="G762" s="1">
        <v>3</v>
      </c>
      <c r="H762" s="1">
        <v>0</v>
      </c>
      <c r="I762" s="1">
        <v>1</v>
      </c>
      <c r="J762" s="1">
        <v>1</v>
      </c>
      <c r="K762" s="1">
        <v>1</v>
      </c>
      <c r="L762" s="1">
        <v>0</v>
      </c>
      <c r="M762" s="1">
        <v>0</v>
      </c>
    </row>
    <row r="763" spans="1:13">
      <c r="A763" s="1">
        <v>762</v>
      </c>
      <c r="B763" s="1">
        <v>1000981.5821</v>
      </c>
      <c r="C763" s="1">
        <v>945190.27558728075</v>
      </c>
      <c r="D763" s="1">
        <f t="shared" si="11"/>
        <v>55791.306512719253</v>
      </c>
      <c r="E763" s="1">
        <v>13</v>
      </c>
      <c r="F763" s="1">
        <v>16</v>
      </c>
      <c r="G763" s="1">
        <v>6</v>
      </c>
      <c r="H763" s="1">
        <v>1</v>
      </c>
      <c r="I763" s="1">
        <v>0</v>
      </c>
      <c r="J763" s="1">
        <v>1</v>
      </c>
      <c r="K763" s="1">
        <v>1</v>
      </c>
      <c r="L763" s="1">
        <v>0</v>
      </c>
      <c r="M763" s="1">
        <v>0</v>
      </c>
    </row>
    <row r="764" spans="1:13">
      <c r="A764" s="1">
        <v>763</v>
      </c>
      <c r="B764" s="1">
        <v>984045.64540000004</v>
      </c>
      <c r="C764" s="1">
        <v>1315220.5165913911</v>
      </c>
      <c r="D764" s="1">
        <f t="shared" si="11"/>
        <v>-331174.87119139102</v>
      </c>
      <c r="E764" s="1">
        <v>11</v>
      </c>
      <c r="F764" s="1">
        <v>18</v>
      </c>
      <c r="G764" s="1">
        <v>6</v>
      </c>
      <c r="H764" s="1">
        <v>0</v>
      </c>
      <c r="I764" s="1">
        <v>0</v>
      </c>
      <c r="J764" s="1">
        <v>1</v>
      </c>
      <c r="K764" s="1">
        <v>0</v>
      </c>
      <c r="L764" s="1">
        <v>0</v>
      </c>
      <c r="M764" s="1">
        <v>0</v>
      </c>
    </row>
    <row r="765" spans="1:13">
      <c r="A765" s="1">
        <v>764</v>
      </c>
      <c r="B765" s="1">
        <v>1021312.0021</v>
      </c>
      <c r="C765" s="1">
        <v>831441.87077084207</v>
      </c>
      <c r="D765" s="1">
        <f t="shared" si="11"/>
        <v>189870.13132915797</v>
      </c>
      <c r="E765" s="1">
        <v>9</v>
      </c>
      <c r="F765" s="1">
        <v>22</v>
      </c>
      <c r="G765" s="1">
        <v>4</v>
      </c>
      <c r="H765" s="1">
        <v>2</v>
      </c>
      <c r="I765" s="1">
        <v>0</v>
      </c>
      <c r="J765" s="1">
        <v>1</v>
      </c>
      <c r="K765" s="1">
        <v>1</v>
      </c>
      <c r="L765" s="1">
        <v>0</v>
      </c>
      <c r="M765" s="1">
        <v>0</v>
      </c>
    </row>
    <row r="766" spans="1:13">
      <c r="A766" s="1">
        <v>765</v>
      </c>
      <c r="B766" s="1">
        <v>995796.85380000004</v>
      </c>
      <c r="C766" s="1">
        <v>1114152.4313025153</v>
      </c>
      <c r="D766" s="1">
        <f t="shared" si="11"/>
        <v>-118355.57750251528</v>
      </c>
      <c r="E766" s="1">
        <v>7</v>
      </c>
      <c r="F766" s="1">
        <v>21</v>
      </c>
      <c r="G766" s="1">
        <v>7</v>
      </c>
      <c r="H766" s="1">
        <v>0</v>
      </c>
      <c r="I766" s="1">
        <v>1</v>
      </c>
      <c r="J766" s="1">
        <v>1</v>
      </c>
      <c r="K766" s="1">
        <v>1</v>
      </c>
      <c r="L766" s="1">
        <v>0</v>
      </c>
      <c r="M766" s="1">
        <v>0</v>
      </c>
    </row>
    <row r="767" spans="1:13">
      <c r="A767" s="1">
        <v>766</v>
      </c>
      <c r="B767" s="1">
        <v>991864.87939999998</v>
      </c>
      <c r="C767" s="1">
        <v>851331.75886157167</v>
      </c>
      <c r="D767" s="1">
        <f t="shared" si="11"/>
        <v>140533.12053842831</v>
      </c>
      <c r="E767" s="1">
        <v>14</v>
      </c>
      <c r="F767" s="1">
        <v>19</v>
      </c>
      <c r="G767" s="1">
        <v>2</v>
      </c>
      <c r="H767" s="1">
        <v>1</v>
      </c>
      <c r="I767" s="1">
        <v>0</v>
      </c>
      <c r="J767" s="1">
        <v>1</v>
      </c>
      <c r="K767" s="1">
        <v>1</v>
      </c>
      <c r="L767" s="1">
        <v>0</v>
      </c>
      <c r="M767" s="1">
        <v>0</v>
      </c>
    </row>
    <row r="768" spans="1:13">
      <c r="A768" s="1">
        <v>767</v>
      </c>
      <c r="B768" s="1">
        <v>1003462.333</v>
      </c>
      <c r="C768" s="1">
        <v>378364.82290756307</v>
      </c>
      <c r="D768" s="1">
        <f t="shared" si="11"/>
        <v>625097.51009243692</v>
      </c>
      <c r="E768" s="1">
        <v>15</v>
      </c>
      <c r="F768" s="1">
        <v>16</v>
      </c>
      <c r="G768" s="1">
        <v>4</v>
      </c>
      <c r="H768" s="1">
        <v>1</v>
      </c>
      <c r="I768" s="1">
        <v>0</v>
      </c>
      <c r="J768" s="1">
        <v>1</v>
      </c>
      <c r="K768" s="1">
        <v>0</v>
      </c>
      <c r="L768" s="1">
        <v>0</v>
      </c>
      <c r="M768" s="1">
        <v>1</v>
      </c>
    </row>
    <row r="769" spans="1:13">
      <c r="A769" s="1">
        <v>768</v>
      </c>
      <c r="B769" s="1">
        <v>1044404.2727</v>
      </c>
      <c r="C769" s="1">
        <v>1005444.0201395</v>
      </c>
      <c r="D769" s="1">
        <f t="shared" si="11"/>
        <v>38960.252560499939</v>
      </c>
      <c r="E769" s="1">
        <v>7</v>
      </c>
      <c r="F769" s="1">
        <v>23</v>
      </c>
      <c r="G769" s="1">
        <v>5</v>
      </c>
      <c r="H769" s="1">
        <v>0</v>
      </c>
      <c r="I769" s="1">
        <v>0</v>
      </c>
      <c r="J769" s="1">
        <v>0</v>
      </c>
      <c r="K769" s="1">
        <v>0</v>
      </c>
      <c r="L769" s="1">
        <v>0</v>
      </c>
      <c r="M769" s="1">
        <v>0</v>
      </c>
    </row>
    <row r="770" spans="1:13">
      <c r="A770" s="1">
        <v>769</v>
      </c>
      <c r="B770" s="1">
        <v>911602.95409999997</v>
      </c>
      <c r="C770" s="1">
        <v>801302.7635003801</v>
      </c>
      <c r="D770" s="1">
        <f t="shared" ref="D770:D833" si="12">B770-C770</f>
        <v>110300.19059961988</v>
      </c>
      <c r="E770" s="1">
        <v>19</v>
      </c>
      <c r="F770" s="1">
        <v>13</v>
      </c>
      <c r="G770" s="1">
        <v>3</v>
      </c>
      <c r="H770" s="1">
        <v>2</v>
      </c>
      <c r="I770" s="1">
        <v>0</v>
      </c>
      <c r="J770" s="1">
        <v>0</v>
      </c>
      <c r="K770" s="1">
        <v>0</v>
      </c>
      <c r="L770" s="1">
        <v>0</v>
      </c>
      <c r="M770" s="1">
        <v>0</v>
      </c>
    </row>
    <row r="771" spans="1:13">
      <c r="A771" s="1">
        <v>770</v>
      </c>
      <c r="B771" s="1">
        <v>902324.91630000004</v>
      </c>
      <c r="C771" s="1">
        <v>1223305.1555767755</v>
      </c>
      <c r="D771" s="1">
        <f t="shared" si="12"/>
        <v>-320980.23927677551</v>
      </c>
      <c r="E771" s="1">
        <v>17</v>
      </c>
      <c r="F771" s="1">
        <v>14</v>
      </c>
      <c r="G771" s="1">
        <v>4</v>
      </c>
      <c r="H771" s="1">
        <v>2</v>
      </c>
      <c r="I771" s="1">
        <v>0</v>
      </c>
      <c r="J771" s="1">
        <v>1</v>
      </c>
      <c r="K771" s="1">
        <v>0</v>
      </c>
      <c r="L771" s="1">
        <v>0</v>
      </c>
      <c r="M771" s="1">
        <v>0</v>
      </c>
    </row>
    <row r="772" spans="1:13">
      <c r="A772" s="1">
        <v>771</v>
      </c>
      <c r="B772" s="1">
        <v>968131.67879999999</v>
      </c>
      <c r="C772" s="1">
        <v>883121.45618116437</v>
      </c>
      <c r="D772" s="1">
        <f t="shared" si="12"/>
        <v>85010.222618835629</v>
      </c>
      <c r="E772" s="1">
        <v>13</v>
      </c>
      <c r="F772" s="1">
        <v>18</v>
      </c>
      <c r="G772" s="1">
        <v>4</v>
      </c>
      <c r="H772" s="1">
        <v>2</v>
      </c>
      <c r="I772" s="1">
        <v>0</v>
      </c>
      <c r="J772" s="1">
        <v>0</v>
      </c>
      <c r="K772" s="1">
        <v>1</v>
      </c>
      <c r="L772" s="1">
        <v>0</v>
      </c>
      <c r="M772" s="1">
        <v>0</v>
      </c>
    </row>
    <row r="773" spans="1:13">
      <c r="A773" s="1">
        <v>772</v>
      </c>
      <c r="B773" s="1">
        <v>962448.8199</v>
      </c>
      <c r="C773" s="1">
        <v>685615.47903554258</v>
      </c>
      <c r="D773" s="1">
        <f t="shared" si="12"/>
        <v>276833.34086445742</v>
      </c>
      <c r="E773" s="1">
        <v>7</v>
      </c>
      <c r="F773" s="1">
        <v>22</v>
      </c>
      <c r="G773" s="1">
        <v>6</v>
      </c>
      <c r="H773" s="1">
        <v>1</v>
      </c>
      <c r="I773" s="1">
        <v>0</v>
      </c>
      <c r="J773" s="1">
        <v>1</v>
      </c>
      <c r="K773" s="1">
        <v>1</v>
      </c>
      <c r="L773" s="1">
        <v>0</v>
      </c>
      <c r="M773" s="1">
        <v>0</v>
      </c>
    </row>
    <row r="774" spans="1:13">
      <c r="A774" s="1">
        <v>773</v>
      </c>
      <c r="B774" s="1">
        <v>964711.0379</v>
      </c>
      <c r="C774" s="1">
        <v>460805.82867632457</v>
      </c>
      <c r="D774" s="1">
        <f t="shared" si="12"/>
        <v>503905.20922367543</v>
      </c>
      <c r="E774" s="1">
        <v>17</v>
      </c>
      <c r="F774" s="1">
        <v>12</v>
      </c>
      <c r="G774" s="1">
        <v>6</v>
      </c>
      <c r="H774" s="1">
        <v>2</v>
      </c>
      <c r="I774" s="1">
        <v>0</v>
      </c>
      <c r="J774" s="1">
        <v>2</v>
      </c>
      <c r="K774" s="1">
        <v>0</v>
      </c>
      <c r="L774" s="1">
        <v>0</v>
      </c>
      <c r="M774" s="1">
        <v>1</v>
      </c>
    </row>
    <row r="775" spans="1:13">
      <c r="A775" s="1">
        <v>774</v>
      </c>
      <c r="B775" s="1">
        <v>1003229.5966</v>
      </c>
      <c r="C775" s="1">
        <v>935936.44913983997</v>
      </c>
      <c r="D775" s="1">
        <f t="shared" si="12"/>
        <v>67293.147460160078</v>
      </c>
      <c r="E775" s="1">
        <v>13</v>
      </c>
      <c r="F775" s="1">
        <v>15</v>
      </c>
      <c r="G775" s="1">
        <v>7</v>
      </c>
      <c r="H775" s="1">
        <v>1</v>
      </c>
      <c r="I775" s="1">
        <v>0</v>
      </c>
      <c r="J775" s="1">
        <v>0</v>
      </c>
      <c r="K775" s="1">
        <v>0</v>
      </c>
      <c r="L775" s="1">
        <v>0</v>
      </c>
      <c r="M775" s="1">
        <v>1</v>
      </c>
    </row>
    <row r="776" spans="1:13">
      <c r="A776" s="1">
        <v>775</v>
      </c>
      <c r="B776" s="1">
        <v>914750.07779999997</v>
      </c>
      <c r="C776" s="1">
        <v>1325130.1934922528</v>
      </c>
      <c r="D776" s="1">
        <f t="shared" si="12"/>
        <v>-410380.11569225288</v>
      </c>
      <c r="E776" s="1">
        <v>13</v>
      </c>
      <c r="F776" s="1">
        <v>19</v>
      </c>
      <c r="G776" s="1">
        <v>3</v>
      </c>
      <c r="H776" s="1">
        <v>1</v>
      </c>
      <c r="I776" s="1">
        <v>0</v>
      </c>
      <c r="J776" s="1">
        <v>2</v>
      </c>
      <c r="K776" s="1">
        <v>0</v>
      </c>
      <c r="L776" s="1">
        <v>0</v>
      </c>
      <c r="M776" s="1">
        <v>0</v>
      </c>
    </row>
    <row r="777" spans="1:13">
      <c r="A777" s="1">
        <v>776</v>
      </c>
      <c r="B777" s="1">
        <v>808432.29819999996</v>
      </c>
      <c r="C777" s="1">
        <v>1108688.6893854835</v>
      </c>
      <c r="D777" s="1">
        <f t="shared" si="12"/>
        <v>-300256.39118548355</v>
      </c>
      <c r="E777" s="1">
        <v>14</v>
      </c>
      <c r="F777" s="1">
        <v>17</v>
      </c>
      <c r="G777" s="1">
        <v>4</v>
      </c>
      <c r="H777" s="1">
        <v>0</v>
      </c>
      <c r="I777" s="1">
        <v>0</v>
      </c>
      <c r="J777" s="1">
        <v>1</v>
      </c>
      <c r="K777" s="1">
        <v>1</v>
      </c>
      <c r="L777" s="1">
        <v>0</v>
      </c>
      <c r="M777" s="1">
        <v>0</v>
      </c>
    </row>
    <row r="778" spans="1:13">
      <c r="A778" s="1">
        <v>777</v>
      </c>
      <c r="B778" s="1">
        <v>962488.83909999998</v>
      </c>
      <c r="C778" s="1">
        <v>884794.17612408823</v>
      </c>
      <c r="D778" s="1">
        <f t="shared" si="12"/>
        <v>77694.66297591175</v>
      </c>
      <c r="E778" s="1">
        <v>17</v>
      </c>
      <c r="F778" s="1">
        <v>16</v>
      </c>
      <c r="G778" s="1">
        <v>2</v>
      </c>
      <c r="H778" s="1">
        <v>1</v>
      </c>
      <c r="I778" s="1">
        <v>1</v>
      </c>
      <c r="J778" s="1">
        <v>1</v>
      </c>
      <c r="K778" s="1">
        <v>1</v>
      </c>
      <c r="L778" s="1">
        <v>0</v>
      </c>
      <c r="M778" s="1">
        <v>1</v>
      </c>
    </row>
    <row r="779" spans="1:13">
      <c r="A779" s="1">
        <v>778</v>
      </c>
      <c r="B779" s="1">
        <v>901315.13219999999</v>
      </c>
      <c r="C779" s="1">
        <v>1377078.6708878065</v>
      </c>
      <c r="D779" s="1">
        <f t="shared" si="12"/>
        <v>-475763.53868780646</v>
      </c>
      <c r="E779" s="1">
        <v>16</v>
      </c>
      <c r="F779" s="1">
        <v>16</v>
      </c>
      <c r="G779" s="1">
        <v>3</v>
      </c>
      <c r="H779" s="1">
        <v>0</v>
      </c>
      <c r="I779" s="1">
        <v>0</v>
      </c>
      <c r="J779" s="1">
        <v>1</v>
      </c>
      <c r="K779" s="1">
        <v>0</v>
      </c>
      <c r="L779" s="1">
        <v>0</v>
      </c>
      <c r="M779" s="1">
        <v>0</v>
      </c>
    </row>
    <row r="780" spans="1:13">
      <c r="A780" s="1">
        <v>779</v>
      </c>
      <c r="B780" s="1">
        <v>841158.81229999999</v>
      </c>
      <c r="C780" s="1">
        <v>845601.18868296803</v>
      </c>
      <c r="D780" s="1">
        <f t="shared" si="12"/>
        <v>-4442.3763829680393</v>
      </c>
      <c r="E780" s="1">
        <v>5</v>
      </c>
      <c r="F780" s="1">
        <v>26</v>
      </c>
      <c r="G780" s="1">
        <v>4</v>
      </c>
      <c r="H780" s="1">
        <v>2</v>
      </c>
      <c r="I780" s="1">
        <v>0</v>
      </c>
      <c r="J780" s="1">
        <v>2</v>
      </c>
      <c r="K780" s="1">
        <v>0</v>
      </c>
      <c r="L780" s="1">
        <v>0</v>
      </c>
      <c r="M780" s="1">
        <v>0</v>
      </c>
    </row>
    <row r="781" spans="1:13">
      <c r="A781" s="1">
        <v>780</v>
      </c>
      <c r="B781" s="1">
        <v>942513.72759999998</v>
      </c>
      <c r="C781" s="1">
        <v>1134925.4761333163</v>
      </c>
      <c r="D781" s="1">
        <f t="shared" si="12"/>
        <v>-192411.74853331631</v>
      </c>
      <c r="E781" s="1">
        <v>10</v>
      </c>
      <c r="F781" s="1">
        <v>22</v>
      </c>
      <c r="G781" s="1">
        <v>3</v>
      </c>
      <c r="H781" s="1">
        <v>2</v>
      </c>
      <c r="I781" s="1">
        <v>0</v>
      </c>
      <c r="J781" s="1">
        <v>0</v>
      </c>
      <c r="K781" s="1">
        <v>2</v>
      </c>
      <c r="L781" s="1">
        <v>0</v>
      </c>
      <c r="M781" s="1">
        <v>0</v>
      </c>
    </row>
    <row r="782" spans="1:13">
      <c r="A782" s="1">
        <v>781</v>
      </c>
      <c r="B782" s="1">
        <v>921171.04890000005</v>
      </c>
      <c r="C782" s="1">
        <v>1132070.3911933354</v>
      </c>
      <c r="D782" s="1">
        <f t="shared" si="12"/>
        <v>-210899.34229333536</v>
      </c>
      <c r="E782" s="1">
        <v>15</v>
      </c>
      <c r="F782" s="1">
        <v>13</v>
      </c>
      <c r="G782" s="1">
        <v>7</v>
      </c>
      <c r="H782" s="1">
        <v>1</v>
      </c>
      <c r="I782" s="1">
        <v>0</v>
      </c>
      <c r="J782" s="1">
        <v>0</v>
      </c>
      <c r="K782" s="1">
        <v>0</v>
      </c>
      <c r="L782" s="1">
        <v>0</v>
      </c>
      <c r="M782" s="1">
        <v>1</v>
      </c>
    </row>
    <row r="783" spans="1:13">
      <c r="A783" s="1">
        <v>782</v>
      </c>
      <c r="B783" s="1">
        <v>911155.09959999996</v>
      </c>
      <c r="C783" s="1">
        <v>1053062.3984365477</v>
      </c>
      <c r="D783" s="1">
        <f t="shared" si="12"/>
        <v>-141907.29883654776</v>
      </c>
      <c r="E783" s="1">
        <v>12</v>
      </c>
      <c r="F783" s="1">
        <v>18</v>
      </c>
      <c r="G783" s="1">
        <v>5</v>
      </c>
      <c r="H783" s="1">
        <v>1</v>
      </c>
      <c r="I783" s="1">
        <v>0</v>
      </c>
      <c r="J783" s="1">
        <v>1</v>
      </c>
      <c r="K783" s="1">
        <v>1</v>
      </c>
      <c r="L783" s="1">
        <v>0</v>
      </c>
      <c r="M783" s="1">
        <v>0</v>
      </c>
    </row>
    <row r="784" spans="1:13">
      <c r="A784" s="1">
        <v>783</v>
      </c>
      <c r="B784" s="1">
        <v>893667.47459999996</v>
      </c>
      <c r="C784" s="1">
        <v>964267.66849286715</v>
      </c>
      <c r="D784" s="1">
        <f t="shared" si="12"/>
        <v>-70600.193892867188</v>
      </c>
      <c r="E784" s="1">
        <v>12</v>
      </c>
      <c r="F784" s="1">
        <v>18</v>
      </c>
      <c r="G784" s="1">
        <v>5</v>
      </c>
      <c r="H784" s="1">
        <v>0</v>
      </c>
      <c r="I784" s="1">
        <v>0</v>
      </c>
      <c r="J784" s="1">
        <v>0</v>
      </c>
      <c r="K784" s="1">
        <v>1</v>
      </c>
      <c r="L784" s="1">
        <v>0</v>
      </c>
      <c r="M784" s="1">
        <v>0</v>
      </c>
    </row>
    <row r="785" spans="1:13">
      <c r="A785" s="1">
        <v>784</v>
      </c>
      <c r="B785" s="1">
        <v>940765.16200000001</v>
      </c>
      <c r="C785" s="1">
        <v>823713.114696212</v>
      </c>
      <c r="D785" s="1">
        <f t="shared" si="12"/>
        <v>117052.04730378801</v>
      </c>
      <c r="E785" s="1">
        <v>9</v>
      </c>
      <c r="F785" s="1">
        <v>21</v>
      </c>
      <c r="G785" s="1">
        <v>5</v>
      </c>
      <c r="H785" s="1">
        <v>2</v>
      </c>
      <c r="I785" s="1">
        <v>0</v>
      </c>
      <c r="J785" s="1">
        <v>0</v>
      </c>
      <c r="K785" s="1">
        <v>1</v>
      </c>
      <c r="L785" s="1">
        <v>0</v>
      </c>
      <c r="M785" s="1">
        <v>0</v>
      </c>
    </row>
    <row r="786" spans="1:13">
      <c r="A786" s="1">
        <v>785</v>
      </c>
      <c r="B786" s="1">
        <v>891412.73719999997</v>
      </c>
      <c r="C786" s="1">
        <v>612835.45457972167</v>
      </c>
      <c r="D786" s="1">
        <f t="shared" si="12"/>
        <v>278577.2826202783</v>
      </c>
      <c r="E786" s="1">
        <v>18</v>
      </c>
      <c r="F786" s="1">
        <v>13</v>
      </c>
      <c r="G786" s="1">
        <v>4</v>
      </c>
      <c r="H786" s="1">
        <v>1</v>
      </c>
      <c r="I786" s="1">
        <v>0</v>
      </c>
      <c r="J786" s="1">
        <v>1</v>
      </c>
      <c r="K786" s="1">
        <v>1</v>
      </c>
      <c r="L786" s="1">
        <v>0</v>
      </c>
      <c r="M786" s="1">
        <v>0</v>
      </c>
    </row>
    <row r="787" spans="1:13">
      <c r="A787" s="1">
        <v>786</v>
      </c>
      <c r="B787" s="1">
        <v>1012764.6562</v>
      </c>
      <c r="C787" s="1">
        <v>765418.79590192495</v>
      </c>
      <c r="D787" s="1">
        <f t="shared" si="12"/>
        <v>247345.86029807501</v>
      </c>
      <c r="E787" s="1">
        <v>10</v>
      </c>
      <c r="F787" s="1">
        <v>21</v>
      </c>
      <c r="G787" s="1">
        <v>4</v>
      </c>
      <c r="H787" s="1">
        <v>1</v>
      </c>
      <c r="I787" s="1">
        <v>0</v>
      </c>
      <c r="J787" s="1">
        <v>1</v>
      </c>
      <c r="K787" s="1">
        <v>1</v>
      </c>
      <c r="L787" s="1">
        <v>0</v>
      </c>
      <c r="M787" s="1">
        <v>1</v>
      </c>
    </row>
    <row r="788" spans="1:13">
      <c r="A788" s="1">
        <v>787</v>
      </c>
      <c r="B788" s="1">
        <v>906327.33940000006</v>
      </c>
      <c r="C788" s="1">
        <v>1096562.8589472573</v>
      </c>
      <c r="D788" s="1">
        <f t="shared" si="12"/>
        <v>-190235.51954725722</v>
      </c>
      <c r="E788" s="1">
        <v>16</v>
      </c>
      <c r="F788" s="1">
        <v>14</v>
      </c>
      <c r="G788" s="1">
        <v>5</v>
      </c>
      <c r="H788" s="1">
        <v>2</v>
      </c>
      <c r="I788" s="1">
        <v>0</v>
      </c>
      <c r="J788" s="1">
        <v>0</v>
      </c>
      <c r="K788" s="1">
        <v>0</v>
      </c>
      <c r="L788" s="1">
        <v>0</v>
      </c>
      <c r="M788" s="1">
        <v>0</v>
      </c>
    </row>
    <row r="789" spans="1:13">
      <c r="A789" s="1">
        <v>788</v>
      </c>
      <c r="B789" s="1">
        <v>949390.07750000001</v>
      </c>
      <c r="C789" s="1">
        <v>590634.81904751807</v>
      </c>
      <c r="D789" s="1">
        <f t="shared" si="12"/>
        <v>358755.25845248194</v>
      </c>
      <c r="E789" s="1">
        <v>10</v>
      </c>
      <c r="F789" s="1">
        <v>17</v>
      </c>
      <c r="G789" s="1">
        <v>8</v>
      </c>
      <c r="H789" s="1">
        <v>0</v>
      </c>
      <c r="I789" s="1">
        <v>0</v>
      </c>
      <c r="J789" s="1">
        <v>0</v>
      </c>
      <c r="K789" s="1">
        <v>0</v>
      </c>
      <c r="L789" s="1">
        <v>0</v>
      </c>
      <c r="M789" s="1">
        <v>0</v>
      </c>
    </row>
    <row r="790" spans="1:13">
      <c r="A790" s="1">
        <v>789</v>
      </c>
      <c r="B790" s="1">
        <v>921883.46299999999</v>
      </c>
      <c r="C790" s="1">
        <v>1567712.3902833848</v>
      </c>
      <c r="D790" s="1">
        <f t="shared" si="12"/>
        <v>-645828.92728338484</v>
      </c>
      <c r="E790" s="1">
        <v>24</v>
      </c>
      <c r="F790" s="1">
        <v>6</v>
      </c>
      <c r="G790" s="1">
        <v>5</v>
      </c>
      <c r="H790" s="1">
        <v>1</v>
      </c>
      <c r="I790" s="1">
        <v>0</v>
      </c>
      <c r="J790" s="1">
        <v>2</v>
      </c>
      <c r="K790" s="1">
        <v>0</v>
      </c>
      <c r="L790" s="1">
        <v>0</v>
      </c>
      <c r="M790" s="1">
        <v>0</v>
      </c>
    </row>
    <row r="791" spans="1:13">
      <c r="A791" s="1">
        <v>790</v>
      </c>
      <c r="B791" s="1">
        <v>992780.49959999998</v>
      </c>
      <c r="C791" s="1">
        <v>665336.06139051169</v>
      </c>
      <c r="D791" s="1">
        <f t="shared" si="12"/>
        <v>327444.43820948829</v>
      </c>
      <c r="E791" s="1">
        <v>10</v>
      </c>
      <c r="F791" s="1">
        <v>19</v>
      </c>
      <c r="G791" s="1">
        <v>6</v>
      </c>
      <c r="H791" s="1">
        <v>2</v>
      </c>
      <c r="I791" s="1">
        <v>0</v>
      </c>
      <c r="J791" s="1">
        <v>1</v>
      </c>
      <c r="K791" s="1">
        <v>0</v>
      </c>
      <c r="L791" s="1">
        <v>0</v>
      </c>
      <c r="M791" s="1">
        <v>0</v>
      </c>
    </row>
    <row r="792" spans="1:13">
      <c r="A792" s="1">
        <v>791</v>
      </c>
      <c r="B792" s="1">
        <v>949918.60380000004</v>
      </c>
      <c r="C792" s="1">
        <v>888812.09722516953</v>
      </c>
      <c r="D792" s="1">
        <f t="shared" si="12"/>
        <v>61106.506574830506</v>
      </c>
      <c r="E792" s="1">
        <v>17</v>
      </c>
      <c r="F792" s="1">
        <v>13</v>
      </c>
      <c r="G792" s="1">
        <v>5</v>
      </c>
      <c r="H792" s="1">
        <v>0</v>
      </c>
      <c r="I792" s="1">
        <v>0</v>
      </c>
      <c r="J792" s="1">
        <v>1</v>
      </c>
      <c r="K792" s="1">
        <v>0</v>
      </c>
      <c r="L792" s="1">
        <v>0</v>
      </c>
      <c r="M792" s="1">
        <v>1</v>
      </c>
    </row>
    <row r="793" spans="1:13">
      <c r="A793" s="1">
        <v>792</v>
      </c>
      <c r="B793" s="1">
        <v>934011.05409999995</v>
      </c>
      <c r="C793" s="1">
        <v>1204147.4551021568</v>
      </c>
      <c r="D793" s="1">
        <f t="shared" si="12"/>
        <v>-270136.4010021569</v>
      </c>
      <c r="E793" s="1">
        <v>12</v>
      </c>
      <c r="F793" s="1">
        <v>20</v>
      </c>
      <c r="G793" s="1">
        <v>3</v>
      </c>
      <c r="H793" s="1">
        <v>2</v>
      </c>
      <c r="I793" s="1">
        <v>0</v>
      </c>
      <c r="J793" s="1">
        <v>2</v>
      </c>
      <c r="K793" s="1">
        <v>0</v>
      </c>
      <c r="L793" s="1">
        <v>0</v>
      </c>
      <c r="M793" s="1">
        <v>1</v>
      </c>
    </row>
    <row r="794" spans="1:13">
      <c r="A794" s="1">
        <v>793</v>
      </c>
      <c r="B794" s="1">
        <v>963390.84160000004</v>
      </c>
      <c r="C794" s="1">
        <v>951943.65151814825</v>
      </c>
      <c r="D794" s="1">
        <f t="shared" si="12"/>
        <v>11447.19008185179</v>
      </c>
      <c r="E794" s="1">
        <v>12</v>
      </c>
      <c r="F794" s="1">
        <v>20</v>
      </c>
      <c r="G794" s="1">
        <v>3</v>
      </c>
      <c r="H794" s="1">
        <v>2</v>
      </c>
      <c r="I794" s="1">
        <v>0</v>
      </c>
      <c r="J794" s="1">
        <v>0</v>
      </c>
      <c r="K794" s="1">
        <v>1</v>
      </c>
      <c r="L794" s="1">
        <v>0</v>
      </c>
      <c r="M794" s="1">
        <v>0</v>
      </c>
    </row>
    <row r="795" spans="1:13">
      <c r="A795" s="1">
        <v>794</v>
      </c>
      <c r="B795" s="1">
        <v>863360.87309999997</v>
      </c>
      <c r="C795" s="1">
        <v>1174237.5997134487</v>
      </c>
      <c r="D795" s="1">
        <f t="shared" si="12"/>
        <v>-310876.7266134487</v>
      </c>
      <c r="E795" s="1">
        <v>12</v>
      </c>
      <c r="F795" s="1">
        <v>17</v>
      </c>
      <c r="G795" s="1">
        <v>6</v>
      </c>
      <c r="H795" s="1">
        <v>0</v>
      </c>
      <c r="I795" s="1">
        <v>0</v>
      </c>
      <c r="J795" s="1">
        <v>0</v>
      </c>
      <c r="K795" s="1">
        <v>0</v>
      </c>
      <c r="L795" s="1">
        <v>0</v>
      </c>
      <c r="M795" s="1">
        <v>1</v>
      </c>
    </row>
    <row r="796" spans="1:13">
      <c r="A796" s="1">
        <v>795</v>
      </c>
      <c r="B796" s="1">
        <v>934038.82350000006</v>
      </c>
      <c r="C796" s="1">
        <v>1029142.6838029622</v>
      </c>
      <c r="D796" s="1">
        <f t="shared" si="12"/>
        <v>-95103.86030296213</v>
      </c>
      <c r="E796" s="1">
        <v>9</v>
      </c>
      <c r="F796" s="1">
        <v>18</v>
      </c>
      <c r="G796" s="1">
        <v>8</v>
      </c>
      <c r="H796" s="1">
        <v>0</v>
      </c>
      <c r="I796" s="1">
        <v>1</v>
      </c>
      <c r="J796" s="1">
        <v>0</v>
      </c>
      <c r="K796" s="1">
        <v>0</v>
      </c>
      <c r="L796" s="1">
        <v>2</v>
      </c>
      <c r="M796" s="1">
        <v>0</v>
      </c>
    </row>
    <row r="797" spans="1:13">
      <c r="A797" s="1">
        <v>796</v>
      </c>
      <c r="B797" s="1">
        <v>920610.54059999995</v>
      </c>
      <c r="C797" s="1">
        <v>429493.66536300618</v>
      </c>
      <c r="D797" s="1">
        <f t="shared" si="12"/>
        <v>491116.87523699377</v>
      </c>
      <c r="E797" s="1">
        <v>16</v>
      </c>
      <c r="F797" s="1">
        <v>16</v>
      </c>
      <c r="G797" s="1">
        <v>3</v>
      </c>
      <c r="H797" s="1">
        <v>1</v>
      </c>
      <c r="I797" s="1">
        <v>0</v>
      </c>
      <c r="J797" s="1">
        <v>0</v>
      </c>
      <c r="K797" s="1">
        <v>0</v>
      </c>
      <c r="L797" s="1">
        <v>0</v>
      </c>
      <c r="M797" s="1">
        <v>0</v>
      </c>
    </row>
    <row r="798" spans="1:13">
      <c r="A798" s="1">
        <v>797</v>
      </c>
      <c r="B798" s="1">
        <v>1030720.295</v>
      </c>
      <c r="C798" s="1">
        <v>765205.37467013812</v>
      </c>
      <c r="D798" s="1">
        <f t="shared" si="12"/>
        <v>265514.92032986192</v>
      </c>
      <c r="E798" s="1">
        <v>10</v>
      </c>
      <c r="F798" s="1">
        <v>22</v>
      </c>
      <c r="G798" s="1">
        <v>3</v>
      </c>
      <c r="H798" s="1">
        <v>1</v>
      </c>
      <c r="I798" s="1">
        <v>0</v>
      </c>
      <c r="J798" s="1">
        <v>0</v>
      </c>
      <c r="K798" s="1">
        <v>1</v>
      </c>
      <c r="L798" s="1">
        <v>0</v>
      </c>
      <c r="M798" s="1">
        <v>0</v>
      </c>
    </row>
    <row r="799" spans="1:13">
      <c r="A799" s="1">
        <v>798</v>
      </c>
      <c r="B799" s="1">
        <v>1011410.3774999999</v>
      </c>
      <c r="C799" s="1">
        <v>4764651.3433471937</v>
      </c>
      <c r="D799" s="1">
        <f t="shared" si="12"/>
        <v>-3753240.9658471937</v>
      </c>
      <c r="E799" s="1">
        <v>8</v>
      </c>
      <c r="F799" s="1">
        <v>21</v>
      </c>
      <c r="G799" s="1">
        <v>6</v>
      </c>
      <c r="H799" s="1">
        <v>2</v>
      </c>
      <c r="I799" s="1">
        <v>0</v>
      </c>
      <c r="J799" s="1">
        <v>1</v>
      </c>
      <c r="K799" s="1">
        <v>1</v>
      </c>
      <c r="L799" s="1">
        <v>0</v>
      </c>
      <c r="M799" s="1">
        <v>0</v>
      </c>
    </row>
    <row r="800" spans="1:13">
      <c r="A800" s="1">
        <v>799</v>
      </c>
      <c r="B800" s="1">
        <v>844409.1655</v>
      </c>
      <c r="C800" s="1">
        <v>1005275.6326430334</v>
      </c>
      <c r="D800" s="1">
        <f t="shared" si="12"/>
        <v>-160866.4671430334</v>
      </c>
      <c r="E800" s="1">
        <v>16</v>
      </c>
      <c r="F800" s="1">
        <v>15</v>
      </c>
      <c r="G800" s="1">
        <v>4</v>
      </c>
      <c r="H800" s="1">
        <v>2</v>
      </c>
      <c r="I800" s="1">
        <v>0</v>
      </c>
      <c r="J800" s="1">
        <v>0</v>
      </c>
      <c r="K800" s="1">
        <v>2</v>
      </c>
      <c r="L800" s="1">
        <v>0</v>
      </c>
      <c r="M800" s="1">
        <v>0</v>
      </c>
    </row>
    <row r="801" spans="1:13">
      <c r="A801" s="1">
        <v>800</v>
      </c>
      <c r="B801" s="1">
        <v>808839.49829999998</v>
      </c>
      <c r="C801" s="1">
        <v>968666.49643780664</v>
      </c>
      <c r="D801" s="1">
        <f t="shared" si="12"/>
        <v>-159826.99813780666</v>
      </c>
      <c r="E801" s="1">
        <v>22</v>
      </c>
      <c r="F801" s="1">
        <v>9</v>
      </c>
      <c r="G801" s="1">
        <v>4</v>
      </c>
      <c r="H801" s="1">
        <v>1</v>
      </c>
      <c r="I801" s="1">
        <v>1</v>
      </c>
      <c r="J801" s="1">
        <v>0</v>
      </c>
      <c r="K801" s="1">
        <v>1</v>
      </c>
      <c r="L801" s="1">
        <v>0</v>
      </c>
      <c r="M801" s="1">
        <v>0</v>
      </c>
    </row>
    <row r="802" spans="1:13">
      <c r="A802" s="1">
        <v>801</v>
      </c>
      <c r="B802" s="1">
        <v>1044283.6115</v>
      </c>
      <c r="C802" s="1">
        <v>938512.8555430054</v>
      </c>
      <c r="D802" s="1">
        <f t="shared" si="12"/>
        <v>105770.7559569946</v>
      </c>
      <c r="E802" s="1">
        <v>7</v>
      </c>
      <c r="F802" s="1">
        <v>22</v>
      </c>
      <c r="G802" s="1">
        <v>6</v>
      </c>
      <c r="H802" s="1">
        <v>2</v>
      </c>
      <c r="I802" s="1">
        <v>0</v>
      </c>
      <c r="J802" s="1">
        <v>0</v>
      </c>
      <c r="K802" s="1">
        <v>0</v>
      </c>
      <c r="L802" s="1">
        <v>0</v>
      </c>
      <c r="M802" s="1">
        <v>0</v>
      </c>
    </row>
    <row r="803" spans="1:13">
      <c r="A803" s="1">
        <v>802</v>
      </c>
      <c r="B803" s="1">
        <v>877348.55960000004</v>
      </c>
      <c r="C803" s="1">
        <v>939318.21294431016</v>
      </c>
      <c r="D803" s="1">
        <f t="shared" si="12"/>
        <v>-61969.653344310122</v>
      </c>
      <c r="E803" s="1">
        <v>14</v>
      </c>
      <c r="F803" s="1">
        <v>17</v>
      </c>
      <c r="G803" s="1">
        <v>4</v>
      </c>
      <c r="H803" s="1">
        <v>0</v>
      </c>
      <c r="I803" s="1">
        <v>0</v>
      </c>
      <c r="J803" s="1">
        <v>0</v>
      </c>
      <c r="K803" s="1">
        <v>0</v>
      </c>
      <c r="L803" s="1">
        <v>0</v>
      </c>
      <c r="M803" s="1">
        <v>0</v>
      </c>
    </row>
    <row r="804" spans="1:13">
      <c r="A804" s="1">
        <v>803</v>
      </c>
      <c r="B804" s="1">
        <v>887584.22939999995</v>
      </c>
      <c r="C804" s="1">
        <v>931547.08188935078</v>
      </c>
      <c r="D804" s="1">
        <f t="shared" si="12"/>
        <v>-43962.852489350829</v>
      </c>
      <c r="E804" s="1">
        <v>13</v>
      </c>
      <c r="F804" s="1">
        <v>16</v>
      </c>
      <c r="G804" s="1">
        <v>6</v>
      </c>
      <c r="H804" s="1">
        <v>1</v>
      </c>
      <c r="I804" s="1">
        <v>0</v>
      </c>
      <c r="J804" s="1">
        <v>0</v>
      </c>
      <c r="K804" s="1">
        <v>1</v>
      </c>
      <c r="L804" s="1">
        <v>0</v>
      </c>
      <c r="M804" s="1">
        <v>0</v>
      </c>
    </row>
    <row r="805" spans="1:13">
      <c r="A805" s="1">
        <v>804</v>
      </c>
      <c r="B805" s="1">
        <v>942289.86499999999</v>
      </c>
      <c r="C805" s="1">
        <v>1021858.0077275446</v>
      </c>
      <c r="D805" s="1">
        <f t="shared" si="12"/>
        <v>-79568.142727544648</v>
      </c>
      <c r="E805" s="1">
        <v>15</v>
      </c>
      <c r="F805" s="1">
        <v>13</v>
      </c>
      <c r="G805" s="1">
        <v>7</v>
      </c>
      <c r="H805" s="1">
        <v>1</v>
      </c>
      <c r="I805" s="1">
        <v>0</v>
      </c>
      <c r="J805" s="1">
        <v>0</v>
      </c>
      <c r="K805" s="1">
        <v>0</v>
      </c>
      <c r="L805" s="1">
        <v>0</v>
      </c>
      <c r="M805" s="1">
        <v>1</v>
      </c>
    </row>
    <row r="806" spans="1:13">
      <c r="A806" s="1">
        <v>805</v>
      </c>
      <c r="B806" s="1">
        <v>885875.3334</v>
      </c>
      <c r="C806" s="1">
        <v>623487.7873723706</v>
      </c>
      <c r="D806" s="1">
        <f t="shared" si="12"/>
        <v>262387.5460276294</v>
      </c>
      <c r="E806" s="1">
        <v>18</v>
      </c>
      <c r="F806" s="1">
        <v>13</v>
      </c>
      <c r="G806" s="1">
        <v>4</v>
      </c>
      <c r="H806" s="1">
        <v>1</v>
      </c>
      <c r="I806" s="1">
        <v>0</v>
      </c>
      <c r="J806" s="1">
        <v>2</v>
      </c>
      <c r="K806" s="1">
        <v>0</v>
      </c>
      <c r="L806" s="1">
        <v>0</v>
      </c>
      <c r="M806" s="1">
        <v>1</v>
      </c>
    </row>
    <row r="807" spans="1:13">
      <c r="A807" s="1">
        <v>806</v>
      </c>
      <c r="B807" s="1">
        <v>941742.1139</v>
      </c>
      <c r="C807" s="1">
        <v>913706.05905971723</v>
      </c>
      <c r="D807" s="1">
        <f t="shared" si="12"/>
        <v>28036.05484028277</v>
      </c>
      <c r="E807" s="1">
        <v>14</v>
      </c>
      <c r="F807" s="1">
        <v>13</v>
      </c>
      <c r="G807" s="1">
        <v>8</v>
      </c>
      <c r="H807" s="1">
        <v>2</v>
      </c>
      <c r="I807" s="1">
        <v>0</v>
      </c>
      <c r="J807" s="1">
        <v>1</v>
      </c>
      <c r="K807" s="1">
        <v>1</v>
      </c>
      <c r="L807" s="1">
        <v>0</v>
      </c>
      <c r="M807" s="1">
        <v>0</v>
      </c>
    </row>
    <row r="808" spans="1:13">
      <c r="A808" s="1">
        <v>807</v>
      </c>
      <c r="B808" s="1">
        <v>1014081.9172</v>
      </c>
      <c r="C808" s="1">
        <v>1337567.8543660394</v>
      </c>
      <c r="D808" s="1">
        <f t="shared" si="12"/>
        <v>-323485.93716603937</v>
      </c>
      <c r="E808" s="1">
        <v>9</v>
      </c>
      <c r="F808" s="1">
        <v>19</v>
      </c>
      <c r="G808" s="1">
        <v>7</v>
      </c>
      <c r="H808" s="1">
        <v>0</v>
      </c>
      <c r="I808" s="1">
        <v>1</v>
      </c>
      <c r="J808" s="1">
        <v>1</v>
      </c>
      <c r="K808" s="1">
        <v>1</v>
      </c>
      <c r="L808" s="1">
        <v>0</v>
      </c>
      <c r="M808" s="1">
        <v>0</v>
      </c>
    </row>
    <row r="809" spans="1:13">
      <c r="A809" s="1">
        <v>808</v>
      </c>
      <c r="B809" s="1">
        <v>948667.13410000002</v>
      </c>
      <c r="C809" s="1">
        <v>721392.21790965507</v>
      </c>
      <c r="D809" s="1">
        <f t="shared" si="12"/>
        <v>227274.91619034496</v>
      </c>
      <c r="E809" s="1">
        <v>8</v>
      </c>
      <c r="F809" s="1">
        <v>21</v>
      </c>
      <c r="G809" s="1">
        <v>6</v>
      </c>
      <c r="H809" s="1">
        <v>0</v>
      </c>
      <c r="I809" s="1">
        <v>0</v>
      </c>
      <c r="J809" s="1">
        <v>1</v>
      </c>
      <c r="K809" s="1">
        <v>0</v>
      </c>
      <c r="L809" s="1">
        <v>1</v>
      </c>
      <c r="M809" s="1">
        <v>1</v>
      </c>
    </row>
    <row r="810" spans="1:13">
      <c r="A810" s="1">
        <v>809</v>
      </c>
      <c r="B810" s="1">
        <v>917035.7916</v>
      </c>
      <c r="C810" s="1">
        <v>956857.94154903048</v>
      </c>
      <c r="D810" s="1">
        <f t="shared" si="12"/>
        <v>-39822.149949030485</v>
      </c>
      <c r="E810" s="1">
        <v>6</v>
      </c>
      <c r="F810" s="1">
        <v>24</v>
      </c>
      <c r="G810" s="1">
        <v>5</v>
      </c>
      <c r="H810" s="1">
        <v>2</v>
      </c>
      <c r="I810" s="1">
        <v>0</v>
      </c>
      <c r="J810" s="1">
        <v>0</v>
      </c>
      <c r="K810" s="1">
        <v>1</v>
      </c>
      <c r="L810" s="1">
        <v>0</v>
      </c>
      <c r="M810" s="1">
        <v>0</v>
      </c>
    </row>
    <row r="811" spans="1:13">
      <c r="A811" s="1">
        <v>810</v>
      </c>
      <c r="B811" s="1">
        <v>980763.86210000003</v>
      </c>
      <c r="C811" s="1">
        <v>846156.5159101428</v>
      </c>
      <c r="D811" s="1">
        <f t="shared" si="12"/>
        <v>134607.34618985723</v>
      </c>
      <c r="E811" s="1">
        <v>12</v>
      </c>
      <c r="F811" s="1">
        <v>17</v>
      </c>
      <c r="G811" s="1">
        <v>6</v>
      </c>
      <c r="H811" s="1">
        <v>1</v>
      </c>
      <c r="I811" s="1">
        <v>0</v>
      </c>
      <c r="J811" s="1">
        <v>0</v>
      </c>
      <c r="K811" s="1">
        <v>0</v>
      </c>
      <c r="L811" s="1">
        <v>0</v>
      </c>
      <c r="M811" s="1">
        <v>1</v>
      </c>
    </row>
    <row r="812" spans="1:13">
      <c r="A812" s="1">
        <v>811</v>
      </c>
      <c r="B812" s="1">
        <v>930237.41359999997</v>
      </c>
      <c r="C812" s="1">
        <v>1525266.701789479</v>
      </c>
      <c r="D812" s="1">
        <f t="shared" si="12"/>
        <v>-595029.28818947903</v>
      </c>
      <c r="E812" s="1">
        <v>20</v>
      </c>
      <c r="F812" s="1">
        <v>14</v>
      </c>
      <c r="G812" s="1">
        <v>1</v>
      </c>
      <c r="H812" s="1">
        <v>2</v>
      </c>
      <c r="I812" s="1">
        <v>0</v>
      </c>
      <c r="J812" s="1">
        <v>2</v>
      </c>
      <c r="K812" s="1">
        <v>0</v>
      </c>
      <c r="L812" s="1">
        <v>0</v>
      </c>
      <c r="M812" s="1">
        <v>1</v>
      </c>
    </row>
    <row r="813" spans="1:13">
      <c r="A813" s="1">
        <v>812</v>
      </c>
      <c r="B813" s="1">
        <v>824835.52670000005</v>
      </c>
      <c r="C813" s="1">
        <v>794456.84843341052</v>
      </c>
      <c r="D813" s="1">
        <f t="shared" si="12"/>
        <v>30378.67826658953</v>
      </c>
      <c r="E813" s="1">
        <v>17</v>
      </c>
      <c r="F813" s="1">
        <v>13</v>
      </c>
      <c r="G813" s="1">
        <v>5</v>
      </c>
      <c r="H813" s="1">
        <v>1</v>
      </c>
      <c r="I813" s="1">
        <v>0</v>
      </c>
      <c r="J813" s="1">
        <v>0</v>
      </c>
      <c r="K813" s="1">
        <v>0</v>
      </c>
      <c r="L813" s="1">
        <v>0</v>
      </c>
      <c r="M813" s="1">
        <v>0</v>
      </c>
    </row>
    <row r="814" spans="1:13">
      <c r="A814" s="1">
        <v>813</v>
      </c>
      <c r="B814" s="1">
        <v>892567.26659999997</v>
      </c>
      <c r="C814" s="1">
        <v>1173465.818361477</v>
      </c>
      <c r="D814" s="1">
        <f t="shared" si="12"/>
        <v>-280898.55176147702</v>
      </c>
      <c r="E814" s="1">
        <v>15</v>
      </c>
      <c r="F814" s="1">
        <v>14</v>
      </c>
      <c r="G814" s="1">
        <v>6</v>
      </c>
      <c r="H814" s="1">
        <v>0</v>
      </c>
      <c r="I814" s="1">
        <v>0</v>
      </c>
      <c r="J814" s="1">
        <v>1</v>
      </c>
      <c r="K814" s="1">
        <v>0</v>
      </c>
      <c r="L814" s="1">
        <v>0</v>
      </c>
      <c r="M814" s="1">
        <v>1</v>
      </c>
    </row>
    <row r="815" spans="1:13">
      <c r="A815" s="1">
        <v>814</v>
      </c>
      <c r="B815" s="1">
        <v>1021286.2731</v>
      </c>
      <c r="C815" s="1">
        <v>1156969.1213908358</v>
      </c>
      <c r="D815" s="1">
        <f t="shared" si="12"/>
        <v>-135682.84829083586</v>
      </c>
      <c r="E815" s="1">
        <v>6</v>
      </c>
      <c r="F815" s="1">
        <v>22</v>
      </c>
      <c r="G815" s="1">
        <v>7</v>
      </c>
      <c r="H815" s="1">
        <v>2</v>
      </c>
      <c r="I815" s="1">
        <v>0</v>
      </c>
      <c r="J815" s="1">
        <v>1</v>
      </c>
      <c r="K815" s="1">
        <v>0</v>
      </c>
      <c r="L815" s="1">
        <v>0</v>
      </c>
      <c r="M815" s="1">
        <v>1</v>
      </c>
    </row>
    <row r="816" spans="1:13">
      <c r="A816" s="1">
        <v>815</v>
      </c>
      <c r="B816" s="1">
        <v>865002.85270000005</v>
      </c>
      <c r="C816" s="1">
        <v>981313.23133106285</v>
      </c>
      <c r="D816" s="1">
        <f t="shared" si="12"/>
        <v>-116310.37863106281</v>
      </c>
      <c r="E816" s="1">
        <v>22</v>
      </c>
      <c r="F816" s="1">
        <v>9</v>
      </c>
      <c r="G816" s="1">
        <v>4</v>
      </c>
      <c r="H816" s="1">
        <v>2</v>
      </c>
      <c r="I816" s="1">
        <v>0</v>
      </c>
      <c r="J816" s="1">
        <v>1</v>
      </c>
      <c r="K816" s="1">
        <v>0</v>
      </c>
      <c r="L816" s="1">
        <v>0</v>
      </c>
      <c r="M816" s="1">
        <v>0</v>
      </c>
    </row>
    <row r="817" spans="1:13">
      <c r="A817" s="1">
        <v>816</v>
      </c>
      <c r="B817" s="1">
        <v>983011.55039999995</v>
      </c>
      <c r="C817" s="1">
        <v>877414.7837352528</v>
      </c>
      <c r="D817" s="1">
        <f t="shared" si="12"/>
        <v>105596.76666474715</v>
      </c>
      <c r="E817" s="1">
        <v>10</v>
      </c>
      <c r="F817" s="1">
        <v>16</v>
      </c>
      <c r="G817" s="1">
        <v>9</v>
      </c>
      <c r="H817" s="1">
        <v>0</v>
      </c>
      <c r="I817" s="1">
        <v>0</v>
      </c>
      <c r="J817" s="1">
        <v>0</v>
      </c>
      <c r="K817" s="1">
        <v>0</v>
      </c>
      <c r="L817" s="1">
        <v>0</v>
      </c>
      <c r="M817" s="1">
        <v>0</v>
      </c>
    </row>
    <row r="818" spans="1:13">
      <c r="A818" s="1">
        <v>817</v>
      </c>
      <c r="B818" s="1">
        <v>934523.18339999998</v>
      </c>
      <c r="C818" s="1">
        <v>853018.88179462228</v>
      </c>
      <c r="D818" s="1">
        <f t="shared" si="12"/>
        <v>81504.301605377696</v>
      </c>
      <c r="E818" s="1">
        <v>10</v>
      </c>
      <c r="F818" s="1">
        <v>20</v>
      </c>
      <c r="G818" s="1">
        <v>5</v>
      </c>
      <c r="H818" s="1">
        <v>1</v>
      </c>
      <c r="I818" s="1">
        <v>0</v>
      </c>
      <c r="J818" s="1">
        <v>0</v>
      </c>
      <c r="K818" s="1">
        <v>0</v>
      </c>
      <c r="L818" s="1">
        <v>0</v>
      </c>
      <c r="M818" s="1">
        <v>0</v>
      </c>
    </row>
    <row r="819" spans="1:13">
      <c r="A819" s="1">
        <v>818</v>
      </c>
      <c r="B819" s="1">
        <v>848968.59409999999</v>
      </c>
      <c r="C819" s="1">
        <v>508378.38705199573</v>
      </c>
      <c r="D819" s="1">
        <f t="shared" si="12"/>
        <v>340590.20704800426</v>
      </c>
      <c r="E819" s="1">
        <v>22</v>
      </c>
      <c r="F819" s="1">
        <v>11</v>
      </c>
      <c r="G819" s="1">
        <v>2</v>
      </c>
      <c r="H819" s="1">
        <v>2</v>
      </c>
      <c r="I819" s="1">
        <v>0</v>
      </c>
      <c r="J819" s="1">
        <v>2</v>
      </c>
      <c r="K819" s="1">
        <v>0</v>
      </c>
      <c r="L819" s="1">
        <v>0</v>
      </c>
      <c r="M819" s="1">
        <v>0</v>
      </c>
    </row>
    <row r="820" spans="1:13">
      <c r="A820" s="1">
        <v>819</v>
      </c>
      <c r="B820" s="1">
        <v>893141.74899999995</v>
      </c>
      <c r="C820" s="1">
        <v>1182006.7066845177</v>
      </c>
      <c r="D820" s="1">
        <f t="shared" si="12"/>
        <v>-288864.95768451772</v>
      </c>
      <c r="E820" s="1">
        <v>8</v>
      </c>
      <c r="F820" s="1">
        <v>20</v>
      </c>
      <c r="G820" s="1">
        <v>7</v>
      </c>
      <c r="H820" s="1">
        <v>0</v>
      </c>
      <c r="I820" s="1">
        <v>0</v>
      </c>
      <c r="J820" s="1">
        <v>0</v>
      </c>
      <c r="K820" s="1">
        <v>1</v>
      </c>
      <c r="L820" s="1">
        <v>0</v>
      </c>
      <c r="M820" s="1">
        <v>0</v>
      </c>
    </row>
    <row r="821" spans="1:13">
      <c r="A821" s="1">
        <v>820</v>
      </c>
      <c r="B821" s="1">
        <v>1061506.5556999999</v>
      </c>
      <c r="C821" s="1">
        <v>973713.8670156789</v>
      </c>
      <c r="D821" s="1">
        <f t="shared" si="12"/>
        <v>87792.688684321009</v>
      </c>
      <c r="E821" s="1">
        <v>4</v>
      </c>
      <c r="F821" s="1">
        <v>26</v>
      </c>
      <c r="G821" s="1">
        <v>5</v>
      </c>
      <c r="H821" s="1">
        <v>1</v>
      </c>
      <c r="I821" s="1">
        <v>0</v>
      </c>
      <c r="J821" s="1">
        <v>0</v>
      </c>
      <c r="K821" s="1">
        <v>1</v>
      </c>
      <c r="L821" s="1">
        <v>0</v>
      </c>
      <c r="M821" s="1">
        <v>0</v>
      </c>
    </row>
    <row r="822" spans="1:13">
      <c r="A822" s="1">
        <v>821</v>
      </c>
      <c r="B822" s="1">
        <v>938193.54429999995</v>
      </c>
      <c r="C822" s="1">
        <v>752588.73582905938</v>
      </c>
      <c r="D822" s="1">
        <f t="shared" si="12"/>
        <v>185604.80847094057</v>
      </c>
      <c r="E822" s="1">
        <v>20</v>
      </c>
      <c r="F822" s="1">
        <v>10</v>
      </c>
      <c r="G822" s="1">
        <v>5</v>
      </c>
      <c r="H822" s="1">
        <v>0</v>
      </c>
      <c r="I822" s="1">
        <v>0</v>
      </c>
      <c r="J822" s="1">
        <v>0</v>
      </c>
      <c r="K822" s="1">
        <v>2</v>
      </c>
      <c r="L822" s="1">
        <v>0</v>
      </c>
      <c r="M822" s="1">
        <v>0</v>
      </c>
    </row>
    <row r="823" spans="1:13">
      <c r="A823" s="1">
        <v>822</v>
      </c>
      <c r="B823" s="1">
        <v>959754.39769999997</v>
      </c>
      <c r="C823" s="1">
        <v>1013034.0722949111</v>
      </c>
      <c r="D823" s="1">
        <f t="shared" si="12"/>
        <v>-53279.674594911165</v>
      </c>
      <c r="E823" s="1">
        <v>7</v>
      </c>
      <c r="F823" s="1">
        <v>22</v>
      </c>
      <c r="G823" s="1">
        <v>6</v>
      </c>
      <c r="H823" s="1">
        <v>0</v>
      </c>
      <c r="I823" s="1">
        <v>1</v>
      </c>
      <c r="J823" s="1">
        <v>0</v>
      </c>
      <c r="K823" s="1">
        <v>0</v>
      </c>
      <c r="L823" s="1">
        <v>0</v>
      </c>
      <c r="M823" s="1">
        <v>1</v>
      </c>
    </row>
    <row r="824" spans="1:13">
      <c r="A824" s="1">
        <v>823</v>
      </c>
      <c r="B824" s="1">
        <v>946655.82810000004</v>
      </c>
      <c r="C824" s="1">
        <v>720257.61418979743</v>
      </c>
      <c r="D824" s="1">
        <f t="shared" si="12"/>
        <v>226398.21391020261</v>
      </c>
      <c r="E824" s="1">
        <v>13</v>
      </c>
      <c r="F824" s="1">
        <v>16</v>
      </c>
      <c r="G824" s="1">
        <v>6</v>
      </c>
      <c r="H824" s="1">
        <v>1</v>
      </c>
      <c r="I824" s="1">
        <v>0</v>
      </c>
      <c r="J824" s="1">
        <v>0</v>
      </c>
      <c r="K824" s="1">
        <v>0</v>
      </c>
      <c r="L824" s="1">
        <v>0</v>
      </c>
      <c r="M824" s="1">
        <v>0</v>
      </c>
    </row>
    <row r="825" spans="1:13">
      <c r="A825" s="1">
        <v>824</v>
      </c>
      <c r="B825" s="1">
        <v>973758.79189999995</v>
      </c>
      <c r="C825" s="1">
        <v>1846206.3897795745</v>
      </c>
      <c r="D825" s="1">
        <f t="shared" si="12"/>
        <v>-872447.59787957452</v>
      </c>
      <c r="E825" s="1">
        <v>19</v>
      </c>
      <c r="F825" s="1">
        <v>13</v>
      </c>
      <c r="G825" s="1">
        <v>3</v>
      </c>
      <c r="H825" s="1">
        <v>1</v>
      </c>
      <c r="I825" s="1">
        <v>0</v>
      </c>
      <c r="J825" s="1">
        <v>0</v>
      </c>
      <c r="K825" s="1">
        <v>0</v>
      </c>
      <c r="L825" s="1">
        <v>0</v>
      </c>
      <c r="M825" s="1">
        <v>0</v>
      </c>
    </row>
    <row r="826" spans="1:13">
      <c r="A826" s="1">
        <v>825</v>
      </c>
      <c r="B826" s="1">
        <v>965479.63630000001</v>
      </c>
      <c r="C826" s="1">
        <v>888784.61908134678</v>
      </c>
      <c r="D826" s="1">
        <f t="shared" si="12"/>
        <v>76695.017218653229</v>
      </c>
      <c r="E826" s="1">
        <v>9</v>
      </c>
      <c r="F826" s="1">
        <v>22</v>
      </c>
      <c r="G826" s="1">
        <v>4</v>
      </c>
      <c r="H826" s="1">
        <v>2</v>
      </c>
      <c r="I826" s="1">
        <v>0</v>
      </c>
      <c r="J826" s="1">
        <v>0</v>
      </c>
      <c r="K826" s="1">
        <v>1</v>
      </c>
      <c r="L826" s="1">
        <v>0</v>
      </c>
      <c r="M826" s="1">
        <v>0</v>
      </c>
    </row>
    <row r="827" spans="1:13">
      <c r="A827" s="1">
        <v>826</v>
      </c>
      <c r="B827" s="1">
        <v>937856.49010000005</v>
      </c>
      <c r="C827" s="1">
        <v>799041.20625387761</v>
      </c>
      <c r="D827" s="1">
        <f t="shared" si="12"/>
        <v>138815.28384612245</v>
      </c>
      <c r="E827" s="1">
        <v>10</v>
      </c>
      <c r="F827" s="1">
        <v>16</v>
      </c>
      <c r="G827" s="1">
        <v>9</v>
      </c>
      <c r="H827" s="1">
        <v>2</v>
      </c>
      <c r="I827" s="1">
        <v>0</v>
      </c>
      <c r="J827" s="1">
        <v>0</v>
      </c>
      <c r="K827" s="1">
        <v>1</v>
      </c>
      <c r="L827" s="1">
        <v>0</v>
      </c>
      <c r="M827" s="1">
        <v>0</v>
      </c>
    </row>
    <row r="828" spans="1:13">
      <c r="A828" s="1">
        <v>827</v>
      </c>
      <c r="B828" s="1">
        <v>1003217.9933</v>
      </c>
      <c r="C828" s="1">
        <v>783662.18199785368</v>
      </c>
      <c r="D828" s="1">
        <f t="shared" si="12"/>
        <v>219555.81130214629</v>
      </c>
      <c r="E828" s="1">
        <v>22</v>
      </c>
      <c r="F828" s="1">
        <v>10</v>
      </c>
      <c r="G828" s="1">
        <v>3</v>
      </c>
      <c r="H828" s="1">
        <v>2</v>
      </c>
      <c r="I828" s="1">
        <v>0</v>
      </c>
      <c r="J828" s="1">
        <v>1</v>
      </c>
      <c r="K828" s="1">
        <v>1</v>
      </c>
      <c r="L828" s="1">
        <v>0</v>
      </c>
      <c r="M828" s="1">
        <v>0</v>
      </c>
    </row>
    <row r="829" spans="1:13">
      <c r="A829" s="1">
        <v>828</v>
      </c>
      <c r="B829" s="1">
        <v>984518.5183</v>
      </c>
      <c r="C829" s="1">
        <v>1047247.3024558703</v>
      </c>
      <c r="D829" s="1">
        <f t="shared" si="12"/>
        <v>-62728.784155870322</v>
      </c>
      <c r="E829" s="1">
        <v>18</v>
      </c>
      <c r="F829" s="1">
        <v>12</v>
      </c>
      <c r="G829" s="1">
        <v>5</v>
      </c>
      <c r="H829" s="1">
        <v>1</v>
      </c>
      <c r="I829" s="1">
        <v>1</v>
      </c>
      <c r="J829" s="1">
        <v>0</v>
      </c>
      <c r="K829" s="1">
        <v>1</v>
      </c>
      <c r="L829" s="1">
        <v>0</v>
      </c>
      <c r="M829" s="1">
        <v>0</v>
      </c>
    </row>
    <row r="830" spans="1:13">
      <c r="A830" s="1">
        <v>829</v>
      </c>
      <c r="B830" s="1">
        <v>864339.647</v>
      </c>
      <c r="C830" s="1">
        <v>750811.84730524523</v>
      </c>
      <c r="D830" s="1">
        <f t="shared" si="12"/>
        <v>113527.79969475477</v>
      </c>
      <c r="E830" s="1">
        <v>13</v>
      </c>
      <c r="F830" s="1">
        <v>17</v>
      </c>
      <c r="G830" s="1">
        <v>5</v>
      </c>
      <c r="H830" s="1">
        <v>0</v>
      </c>
      <c r="I830" s="1">
        <v>1</v>
      </c>
      <c r="J830" s="1">
        <v>0</v>
      </c>
      <c r="K830" s="1">
        <v>0</v>
      </c>
      <c r="L830" s="1">
        <v>0</v>
      </c>
      <c r="M830" s="1">
        <v>0</v>
      </c>
    </row>
    <row r="831" spans="1:13">
      <c r="A831" s="1">
        <v>830</v>
      </c>
      <c r="B831" s="1">
        <v>909009.94900000002</v>
      </c>
      <c r="C831" s="1">
        <v>757405.8048060165</v>
      </c>
      <c r="D831" s="1">
        <f t="shared" si="12"/>
        <v>151604.14419398352</v>
      </c>
      <c r="E831" s="1">
        <v>14</v>
      </c>
      <c r="F831" s="1">
        <v>17</v>
      </c>
      <c r="G831" s="1">
        <v>4</v>
      </c>
      <c r="H831" s="1">
        <v>0</v>
      </c>
      <c r="I831" s="1">
        <v>1</v>
      </c>
      <c r="J831" s="1">
        <v>0</v>
      </c>
      <c r="K831" s="1">
        <v>0</v>
      </c>
      <c r="L831" s="1">
        <v>0</v>
      </c>
      <c r="M831" s="1">
        <v>1</v>
      </c>
    </row>
    <row r="832" spans="1:13">
      <c r="A832" s="1">
        <v>831</v>
      </c>
      <c r="B832" s="1">
        <v>1086206.1087</v>
      </c>
      <c r="C832" s="1">
        <v>1600005.5404212517</v>
      </c>
      <c r="D832" s="1">
        <f t="shared" si="12"/>
        <v>-513799.43172125169</v>
      </c>
      <c r="E832" s="1">
        <v>5</v>
      </c>
      <c r="F832" s="1">
        <v>23</v>
      </c>
      <c r="G832" s="1">
        <v>7</v>
      </c>
      <c r="H832" s="1">
        <v>1</v>
      </c>
      <c r="I832" s="1">
        <v>0</v>
      </c>
      <c r="J832" s="1">
        <v>1</v>
      </c>
      <c r="K832" s="1">
        <v>0</v>
      </c>
      <c r="L832" s="1">
        <v>0</v>
      </c>
      <c r="M832" s="1">
        <v>0</v>
      </c>
    </row>
    <row r="833" spans="1:13">
      <c r="A833" s="1">
        <v>832</v>
      </c>
      <c r="B833" s="1">
        <v>944185.67070000002</v>
      </c>
      <c r="C833" s="1">
        <v>766744.35760338581</v>
      </c>
      <c r="D833" s="1">
        <f t="shared" si="12"/>
        <v>177441.31309661421</v>
      </c>
      <c r="E833" s="1">
        <v>9</v>
      </c>
      <c r="F833" s="1">
        <v>21</v>
      </c>
      <c r="G833" s="1">
        <v>5</v>
      </c>
      <c r="H833" s="1">
        <v>0</v>
      </c>
      <c r="I833" s="1">
        <v>0</v>
      </c>
      <c r="J833" s="1">
        <v>1</v>
      </c>
      <c r="K833" s="1">
        <v>1</v>
      </c>
      <c r="L833" s="1">
        <v>0</v>
      </c>
      <c r="M833" s="1">
        <v>0</v>
      </c>
    </row>
    <row r="834" spans="1:13">
      <c r="A834" s="1">
        <v>833</v>
      </c>
      <c r="B834" s="1">
        <v>948888.01439999999</v>
      </c>
      <c r="C834" s="1">
        <v>826726.01167651184</v>
      </c>
      <c r="D834" s="1">
        <f t="shared" ref="D834:D897" si="13">B834-C834</f>
        <v>122162.00272348814</v>
      </c>
      <c r="E834" s="1">
        <v>15</v>
      </c>
      <c r="F834" s="1">
        <v>15</v>
      </c>
      <c r="G834" s="1">
        <v>5</v>
      </c>
      <c r="H834" s="1">
        <v>2</v>
      </c>
      <c r="I834" s="1">
        <v>0</v>
      </c>
      <c r="J834" s="1">
        <v>0</v>
      </c>
      <c r="K834" s="1">
        <v>0</v>
      </c>
      <c r="L834" s="1">
        <v>0</v>
      </c>
      <c r="M834" s="1">
        <v>0</v>
      </c>
    </row>
    <row r="835" spans="1:13">
      <c r="A835" s="1">
        <v>834</v>
      </c>
      <c r="B835" s="1">
        <v>1053013.4694999999</v>
      </c>
      <c r="C835" s="1">
        <v>640655.57787508005</v>
      </c>
      <c r="D835" s="1">
        <f t="shared" si="13"/>
        <v>412357.89162491984</v>
      </c>
      <c r="E835" s="1">
        <v>4</v>
      </c>
      <c r="F835" s="1">
        <v>25</v>
      </c>
      <c r="G835" s="1">
        <v>6</v>
      </c>
      <c r="H835" s="1">
        <v>0</v>
      </c>
      <c r="I835" s="1">
        <v>1</v>
      </c>
      <c r="J835" s="1">
        <v>1</v>
      </c>
      <c r="K835" s="1">
        <v>1</v>
      </c>
      <c r="L835" s="1">
        <v>0</v>
      </c>
      <c r="M835" s="1">
        <v>0</v>
      </c>
    </row>
    <row r="836" spans="1:13">
      <c r="A836" s="1">
        <v>835</v>
      </c>
      <c r="B836" s="1">
        <v>989575.97640000004</v>
      </c>
      <c r="C836" s="1">
        <v>734770.1505909519</v>
      </c>
      <c r="D836" s="1">
        <f t="shared" si="13"/>
        <v>254805.82580904814</v>
      </c>
      <c r="E836" s="1">
        <v>11</v>
      </c>
      <c r="F836" s="1">
        <v>18</v>
      </c>
      <c r="G836" s="1">
        <v>6</v>
      </c>
      <c r="H836" s="1">
        <v>0</v>
      </c>
      <c r="I836" s="1">
        <v>0</v>
      </c>
      <c r="J836" s="1">
        <v>2</v>
      </c>
      <c r="K836" s="1">
        <v>0</v>
      </c>
      <c r="L836" s="1">
        <v>0</v>
      </c>
      <c r="M836" s="1">
        <v>0</v>
      </c>
    </row>
    <row r="837" spans="1:13">
      <c r="A837" s="1">
        <v>836</v>
      </c>
      <c r="B837" s="1">
        <v>965638.46039999998</v>
      </c>
      <c r="C837" s="1">
        <v>616282.8275777034</v>
      </c>
      <c r="D837" s="1">
        <f t="shared" si="13"/>
        <v>349355.63282229658</v>
      </c>
      <c r="E837" s="1">
        <v>17</v>
      </c>
      <c r="F837" s="1">
        <v>11</v>
      </c>
      <c r="G837" s="1">
        <v>7</v>
      </c>
      <c r="H837" s="1">
        <v>2</v>
      </c>
      <c r="I837" s="1">
        <v>0</v>
      </c>
      <c r="J837" s="1">
        <v>0</v>
      </c>
      <c r="K837" s="1">
        <v>1</v>
      </c>
      <c r="L837" s="1">
        <v>0</v>
      </c>
      <c r="M837" s="1">
        <v>0</v>
      </c>
    </row>
    <row r="838" spans="1:13">
      <c r="A838" s="1">
        <v>837</v>
      </c>
      <c r="B838" s="1">
        <v>978466.70050000004</v>
      </c>
      <c r="C838" s="1">
        <v>508143.2357608364</v>
      </c>
      <c r="D838" s="1">
        <f t="shared" si="13"/>
        <v>470323.46473916364</v>
      </c>
      <c r="E838" s="1">
        <v>10</v>
      </c>
      <c r="F838" s="1">
        <v>21</v>
      </c>
      <c r="G838" s="1">
        <v>4</v>
      </c>
      <c r="H838" s="1">
        <v>0</v>
      </c>
      <c r="I838" s="1">
        <v>0</v>
      </c>
      <c r="J838" s="1">
        <v>2</v>
      </c>
      <c r="K838" s="1">
        <v>0</v>
      </c>
      <c r="L838" s="1">
        <v>0</v>
      </c>
      <c r="M838" s="1">
        <v>1</v>
      </c>
    </row>
    <row r="839" spans="1:13">
      <c r="A839" s="1">
        <v>838</v>
      </c>
      <c r="B839" s="1">
        <v>906699.52040000004</v>
      </c>
      <c r="C839" s="1">
        <v>1233807.9715881296</v>
      </c>
      <c r="D839" s="1">
        <f t="shared" si="13"/>
        <v>-327108.45118812961</v>
      </c>
      <c r="E839" s="1">
        <v>16</v>
      </c>
      <c r="F839" s="1">
        <v>16</v>
      </c>
      <c r="G839" s="1">
        <v>3</v>
      </c>
      <c r="H839" s="1">
        <v>2</v>
      </c>
      <c r="I839" s="1">
        <v>0</v>
      </c>
      <c r="J839" s="1">
        <v>1</v>
      </c>
      <c r="K839" s="1">
        <v>1</v>
      </c>
      <c r="L839" s="1">
        <v>0</v>
      </c>
      <c r="M839" s="1">
        <v>1</v>
      </c>
    </row>
    <row r="840" spans="1:13">
      <c r="A840" s="1">
        <v>839</v>
      </c>
      <c r="B840" s="1">
        <v>970517.33360000001</v>
      </c>
      <c r="C840" s="1">
        <v>1369440.4638803476</v>
      </c>
      <c r="D840" s="1">
        <f t="shared" si="13"/>
        <v>-398923.13028034754</v>
      </c>
      <c r="E840" s="1">
        <v>7</v>
      </c>
      <c r="F840" s="1">
        <v>23</v>
      </c>
      <c r="G840" s="1">
        <v>5</v>
      </c>
      <c r="H840" s="1">
        <v>2</v>
      </c>
      <c r="I840" s="1">
        <v>0</v>
      </c>
      <c r="J840" s="1">
        <v>0</v>
      </c>
      <c r="K840" s="1">
        <v>0</v>
      </c>
      <c r="L840" s="1">
        <v>0</v>
      </c>
      <c r="M840" s="1">
        <v>0</v>
      </c>
    </row>
    <row r="841" spans="1:13">
      <c r="A841" s="1">
        <v>840</v>
      </c>
      <c r="B841" s="1">
        <v>855235.451</v>
      </c>
      <c r="C841" s="1">
        <v>947879.47373665578</v>
      </c>
      <c r="D841" s="1">
        <f t="shared" si="13"/>
        <v>-92644.022736655781</v>
      </c>
      <c r="E841" s="1">
        <v>12</v>
      </c>
      <c r="F841" s="1">
        <v>19</v>
      </c>
      <c r="G841" s="1">
        <v>4</v>
      </c>
      <c r="H841" s="1">
        <v>1</v>
      </c>
      <c r="I841" s="1">
        <v>0</v>
      </c>
      <c r="J841" s="1">
        <v>1</v>
      </c>
      <c r="K841" s="1">
        <v>0</v>
      </c>
      <c r="L841" s="1">
        <v>0</v>
      </c>
      <c r="M841" s="1">
        <v>0</v>
      </c>
    </row>
    <row r="842" spans="1:13">
      <c r="A842" s="1">
        <v>841</v>
      </c>
      <c r="B842" s="1">
        <v>835505.59609999997</v>
      </c>
      <c r="C842" s="1">
        <v>860905.23211795744</v>
      </c>
      <c r="D842" s="1">
        <f t="shared" si="13"/>
        <v>-25399.636017957469</v>
      </c>
      <c r="E842" s="1">
        <v>12</v>
      </c>
      <c r="F842" s="1">
        <v>17</v>
      </c>
      <c r="G842" s="1">
        <v>6</v>
      </c>
      <c r="H842" s="1">
        <v>0</v>
      </c>
      <c r="I842" s="1">
        <v>0</v>
      </c>
      <c r="J842" s="1">
        <v>0</v>
      </c>
      <c r="K842" s="1">
        <v>0</v>
      </c>
      <c r="L842" s="1">
        <v>0</v>
      </c>
      <c r="M842" s="1">
        <v>1</v>
      </c>
    </row>
    <row r="843" spans="1:13">
      <c r="A843" s="1">
        <v>842</v>
      </c>
      <c r="B843" s="1">
        <v>928902.10880000005</v>
      </c>
      <c r="C843" s="1">
        <v>677830.47794049978</v>
      </c>
      <c r="D843" s="1">
        <f t="shared" si="13"/>
        <v>251071.63085950026</v>
      </c>
      <c r="E843" s="1">
        <v>22</v>
      </c>
      <c r="F843" s="1">
        <v>9</v>
      </c>
      <c r="G843" s="1">
        <v>4</v>
      </c>
      <c r="H843" s="1">
        <v>0</v>
      </c>
      <c r="I843" s="1">
        <v>0</v>
      </c>
      <c r="J843" s="1">
        <v>1</v>
      </c>
      <c r="K843" s="1">
        <v>1</v>
      </c>
      <c r="L843" s="1">
        <v>0</v>
      </c>
      <c r="M843" s="1">
        <v>0</v>
      </c>
    </row>
    <row r="844" spans="1:13">
      <c r="A844" s="1">
        <v>843</v>
      </c>
      <c r="B844" s="1">
        <v>1106039.2193</v>
      </c>
      <c r="C844" s="1">
        <v>1125862.1105418047</v>
      </c>
      <c r="D844" s="1">
        <f t="shared" si="13"/>
        <v>-19822.891241804697</v>
      </c>
      <c r="E844" s="1">
        <v>10</v>
      </c>
      <c r="F844" s="1">
        <v>21</v>
      </c>
      <c r="G844" s="1">
        <v>4</v>
      </c>
      <c r="H844" s="1">
        <v>1</v>
      </c>
      <c r="I844" s="1">
        <v>1</v>
      </c>
      <c r="J844" s="1">
        <v>2</v>
      </c>
      <c r="K844" s="1">
        <v>0</v>
      </c>
      <c r="L844" s="1">
        <v>0</v>
      </c>
      <c r="M844" s="1">
        <v>0</v>
      </c>
    </row>
    <row r="845" spans="1:13">
      <c r="A845" s="1">
        <v>844</v>
      </c>
      <c r="B845" s="1">
        <v>956933.36289999995</v>
      </c>
      <c r="C845" s="1">
        <v>1359843.4948399621</v>
      </c>
      <c r="D845" s="1">
        <f t="shared" si="13"/>
        <v>-402910.13193996216</v>
      </c>
      <c r="E845" s="1">
        <v>10</v>
      </c>
      <c r="F845" s="1">
        <v>22</v>
      </c>
      <c r="G845" s="1">
        <v>3</v>
      </c>
      <c r="H845" s="1">
        <v>1</v>
      </c>
      <c r="I845" s="1">
        <v>0</v>
      </c>
      <c r="J845" s="1">
        <v>1</v>
      </c>
      <c r="K845" s="1">
        <v>1</v>
      </c>
      <c r="L845" s="1">
        <v>0</v>
      </c>
      <c r="M845" s="1">
        <v>0</v>
      </c>
    </row>
    <row r="846" spans="1:13">
      <c r="A846" s="1">
        <v>845</v>
      </c>
      <c r="B846" s="1">
        <v>1106439.5086999999</v>
      </c>
      <c r="C846" s="1">
        <v>1786637.4608987637</v>
      </c>
      <c r="D846" s="1">
        <f t="shared" si="13"/>
        <v>-680197.95219876384</v>
      </c>
      <c r="E846" s="1">
        <v>12</v>
      </c>
      <c r="F846" s="1">
        <v>16</v>
      </c>
      <c r="G846" s="1">
        <v>7</v>
      </c>
      <c r="H846" s="1">
        <v>2</v>
      </c>
      <c r="I846" s="1">
        <v>0</v>
      </c>
      <c r="J846" s="1">
        <v>2</v>
      </c>
      <c r="K846" s="1">
        <v>0</v>
      </c>
      <c r="L846" s="1">
        <v>0</v>
      </c>
      <c r="M846" s="1">
        <v>1</v>
      </c>
    </row>
    <row r="847" spans="1:13">
      <c r="A847" s="1">
        <v>846</v>
      </c>
      <c r="B847" s="1">
        <v>1006354.1256</v>
      </c>
      <c r="C847" s="1">
        <v>1721415.2529924058</v>
      </c>
      <c r="D847" s="1">
        <f t="shared" si="13"/>
        <v>-715061.12739240576</v>
      </c>
      <c r="E847" s="1">
        <v>9</v>
      </c>
      <c r="F847" s="1">
        <v>19</v>
      </c>
      <c r="G847" s="1">
        <v>7</v>
      </c>
      <c r="H847" s="1">
        <v>0</v>
      </c>
      <c r="I847" s="1">
        <v>0</v>
      </c>
      <c r="J847" s="1">
        <v>0</v>
      </c>
      <c r="K847" s="1">
        <v>1</v>
      </c>
      <c r="L847" s="1">
        <v>0</v>
      </c>
      <c r="M847" s="1">
        <v>0</v>
      </c>
    </row>
    <row r="848" spans="1:13">
      <c r="A848" s="1">
        <v>847</v>
      </c>
      <c r="B848" s="1">
        <v>873917.72629999998</v>
      </c>
      <c r="C848" s="1">
        <v>773638.29463438212</v>
      </c>
      <c r="D848" s="1">
        <f t="shared" si="13"/>
        <v>100279.43166561786</v>
      </c>
      <c r="E848" s="1">
        <v>17</v>
      </c>
      <c r="F848" s="1">
        <v>14</v>
      </c>
      <c r="G848" s="1">
        <v>4</v>
      </c>
      <c r="H848" s="1">
        <v>2</v>
      </c>
      <c r="I848" s="1">
        <v>0</v>
      </c>
      <c r="J848" s="1">
        <v>1</v>
      </c>
      <c r="K848" s="1">
        <v>1</v>
      </c>
      <c r="L848" s="1">
        <v>0</v>
      </c>
      <c r="M848" s="1">
        <v>0</v>
      </c>
    </row>
    <row r="849" spans="1:13">
      <c r="A849" s="1">
        <v>848</v>
      </c>
      <c r="B849" s="1">
        <v>1002482.1862999999</v>
      </c>
      <c r="C849" s="1">
        <v>803288.85085685761</v>
      </c>
      <c r="D849" s="1">
        <f t="shared" si="13"/>
        <v>199193.33544314234</v>
      </c>
      <c r="E849" s="1">
        <v>15</v>
      </c>
      <c r="F849" s="1">
        <v>15</v>
      </c>
      <c r="G849" s="1">
        <v>5</v>
      </c>
      <c r="H849" s="1">
        <v>1</v>
      </c>
      <c r="I849" s="1">
        <v>0</v>
      </c>
      <c r="J849" s="1">
        <v>0</v>
      </c>
      <c r="K849" s="1">
        <v>2</v>
      </c>
      <c r="L849" s="1">
        <v>0</v>
      </c>
      <c r="M849" s="1">
        <v>0</v>
      </c>
    </row>
    <row r="850" spans="1:13">
      <c r="A850" s="1">
        <v>849</v>
      </c>
      <c r="B850" s="1">
        <v>891209.44909999997</v>
      </c>
      <c r="C850" s="1">
        <v>716851.76490569592</v>
      </c>
      <c r="D850" s="1">
        <f t="shared" si="13"/>
        <v>174357.68419430405</v>
      </c>
      <c r="E850" s="1">
        <v>10</v>
      </c>
      <c r="F850" s="1">
        <v>18</v>
      </c>
      <c r="G850" s="1">
        <v>7</v>
      </c>
      <c r="H850" s="1">
        <v>0</v>
      </c>
      <c r="I850" s="1">
        <v>0</v>
      </c>
      <c r="J850" s="1">
        <v>2</v>
      </c>
      <c r="K850" s="1">
        <v>0</v>
      </c>
      <c r="L850" s="1">
        <v>0</v>
      </c>
      <c r="M850" s="1">
        <v>1</v>
      </c>
    </row>
    <row r="851" spans="1:13">
      <c r="A851" s="1">
        <v>850</v>
      </c>
      <c r="B851" s="1">
        <v>881166.64110000001</v>
      </c>
      <c r="C851" s="1">
        <v>1246913.5199548146</v>
      </c>
      <c r="D851" s="1">
        <f t="shared" si="13"/>
        <v>-365746.87885481457</v>
      </c>
      <c r="E851" s="1">
        <v>20</v>
      </c>
      <c r="F851" s="1">
        <v>12</v>
      </c>
      <c r="G851" s="1">
        <v>3</v>
      </c>
      <c r="H851" s="1">
        <v>2</v>
      </c>
      <c r="I851" s="1">
        <v>0</v>
      </c>
      <c r="J851" s="1">
        <v>1</v>
      </c>
      <c r="K851" s="1">
        <v>1</v>
      </c>
      <c r="L851" s="1">
        <v>0</v>
      </c>
      <c r="M851" s="1">
        <v>0</v>
      </c>
    </row>
    <row r="852" spans="1:13">
      <c r="A852" s="1">
        <v>851</v>
      </c>
      <c r="B852" s="1">
        <v>967465.34660000005</v>
      </c>
      <c r="C852" s="1">
        <v>827414.35262882221</v>
      </c>
      <c r="D852" s="1">
        <f t="shared" si="13"/>
        <v>140050.99397117784</v>
      </c>
      <c r="E852" s="1">
        <v>7</v>
      </c>
      <c r="F852" s="1">
        <v>25</v>
      </c>
      <c r="G852" s="1">
        <v>3</v>
      </c>
      <c r="H852" s="1">
        <v>2</v>
      </c>
      <c r="I852" s="1">
        <v>0</v>
      </c>
      <c r="J852" s="1">
        <v>0</v>
      </c>
      <c r="K852" s="1">
        <v>0</v>
      </c>
      <c r="L852" s="1">
        <v>0</v>
      </c>
      <c r="M852" s="1">
        <v>0</v>
      </c>
    </row>
    <row r="853" spans="1:13">
      <c r="A853" s="1">
        <v>852</v>
      </c>
      <c r="B853" s="1">
        <v>953780.43489999999</v>
      </c>
      <c r="C853" s="1">
        <v>1004190.0955622839</v>
      </c>
      <c r="D853" s="1">
        <f t="shared" si="13"/>
        <v>-50409.660662283888</v>
      </c>
      <c r="E853" s="1">
        <v>12</v>
      </c>
      <c r="F853" s="1">
        <v>17</v>
      </c>
      <c r="G853" s="1">
        <v>6</v>
      </c>
      <c r="H853" s="1">
        <v>2</v>
      </c>
      <c r="I853" s="1">
        <v>0</v>
      </c>
      <c r="J853" s="1">
        <v>1</v>
      </c>
      <c r="K853" s="1">
        <v>0</v>
      </c>
      <c r="L853" s="1">
        <v>0</v>
      </c>
      <c r="M853" s="1">
        <v>0</v>
      </c>
    </row>
    <row r="854" spans="1:13">
      <c r="A854" s="1">
        <v>853</v>
      </c>
      <c r="B854" s="1">
        <v>975897.90040000004</v>
      </c>
      <c r="C854" s="1">
        <v>1367594.3349840643</v>
      </c>
      <c r="D854" s="1">
        <f t="shared" si="13"/>
        <v>-391696.43458406429</v>
      </c>
      <c r="E854" s="1">
        <v>8</v>
      </c>
      <c r="F854" s="1">
        <v>21</v>
      </c>
      <c r="G854" s="1">
        <v>6</v>
      </c>
      <c r="H854" s="1">
        <v>1</v>
      </c>
      <c r="I854" s="1">
        <v>0</v>
      </c>
      <c r="J854" s="1">
        <v>0</v>
      </c>
      <c r="K854" s="1">
        <v>0</v>
      </c>
      <c r="L854" s="1">
        <v>0</v>
      </c>
      <c r="M854" s="1">
        <v>0</v>
      </c>
    </row>
    <row r="855" spans="1:13">
      <c r="A855" s="1">
        <v>854</v>
      </c>
      <c r="B855" s="1">
        <v>931757.39469999995</v>
      </c>
      <c r="C855" s="1">
        <v>552738.9858397214</v>
      </c>
      <c r="D855" s="1">
        <f t="shared" si="13"/>
        <v>379018.40886027855</v>
      </c>
      <c r="E855" s="1">
        <v>16</v>
      </c>
      <c r="F855" s="1">
        <v>12</v>
      </c>
      <c r="G855" s="1">
        <v>7</v>
      </c>
      <c r="H855" s="1">
        <v>0</v>
      </c>
      <c r="I855" s="1">
        <v>0</v>
      </c>
      <c r="J855" s="1">
        <v>0</v>
      </c>
      <c r="K855" s="1">
        <v>0</v>
      </c>
      <c r="L855" s="1">
        <v>0</v>
      </c>
      <c r="M855" s="1">
        <v>0</v>
      </c>
    </row>
    <row r="856" spans="1:13">
      <c r="A856" s="1">
        <v>855</v>
      </c>
      <c r="B856" s="1">
        <v>842381.16020000004</v>
      </c>
      <c r="C856" s="1">
        <v>951062.03054465132</v>
      </c>
      <c r="D856" s="1">
        <f t="shared" si="13"/>
        <v>-108680.87034465128</v>
      </c>
      <c r="E856" s="1">
        <v>13</v>
      </c>
      <c r="F856" s="1">
        <v>17</v>
      </c>
      <c r="G856" s="1">
        <v>5</v>
      </c>
      <c r="H856" s="1">
        <v>1</v>
      </c>
      <c r="I856" s="1">
        <v>0</v>
      </c>
      <c r="J856" s="1">
        <v>0</v>
      </c>
      <c r="K856" s="1">
        <v>1</v>
      </c>
      <c r="L856" s="1">
        <v>1</v>
      </c>
      <c r="M856" s="1">
        <v>0</v>
      </c>
    </row>
    <row r="857" spans="1:13">
      <c r="A857" s="1">
        <v>856</v>
      </c>
      <c r="B857" s="1">
        <v>907162.97219999996</v>
      </c>
      <c r="C857" s="1">
        <v>894374.11757776502</v>
      </c>
      <c r="D857" s="1">
        <f t="shared" si="13"/>
        <v>12788.85462223494</v>
      </c>
      <c r="E857" s="1">
        <v>15</v>
      </c>
      <c r="F857" s="1">
        <v>14</v>
      </c>
      <c r="G857" s="1">
        <v>6</v>
      </c>
      <c r="H857" s="1">
        <v>0</v>
      </c>
      <c r="I857" s="1">
        <v>0</v>
      </c>
      <c r="J857" s="1">
        <v>2</v>
      </c>
      <c r="K857" s="1">
        <v>0</v>
      </c>
      <c r="L857" s="1">
        <v>0</v>
      </c>
      <c r="M857" s="1">
        <v>0</v>
      </c>
    </row>
    <row r="858" spans="1:13">
      <c r="A858" s="1">
        <v>857</v>
      </c>
      <c r="B858" s="1">
        <v>947683.22589999996</v>
      </c>
      <c r="C858" s="1">
        <v>1282399.0857603762</v>
      </c>
      <c r="D858" s="1">
        <f t="shared" si="13"/>
        <v>-334715.85986037622</v>
      </c>
      <c r="E858" s="1">
        <v>15</v>
      </c>
      <c r="F858" s="1">
        <v>17</v>
      </c>
      <c r="G858" s="1">
        <v>3</v>
      </c>
      <c r="H858" s="1">
        <v>2</v>
      </c>
      <c r="I858" s="1">
        <v>0</v>
      </c>
      <c r="J858" s="1">
        <v>1</v>
      </c>
      <c r="K858" s="1">
        <v>1</v>
      </c>
      <c r="L858" s="1">
        <v>0</v>
      </c>
      <c r="M858" s="1">
        <v>1</v>
      </c>
    </row>
    <row r="859" spans="1:13">
      <c r="A859" s="1">
        <v>858</v>
      </c>
      <c r="B859" s="1">
        <v>925219.89410000003</v>
      </c>
      <c r="C859" s="1">
        <v>882334.82143822033</v>
      </c>
      <c r="D859" s="1">
        <f t="shared" si="13"/>
        <v>42885.072661779705</v>
      </c>
      <c r="E859" s="1">
        <v>11</v>
      </c>
      <c r="F859" s="1">
        <v>21</v>
      </c>
      <c r="G859" s="1">
        <v>3</v>
      </c>
      <c r="H859" s="1">
        <v>0</v>
      </c>
      <c r="I859" s="1">
        <v>0</v>
      </c>
      <c r="J859" s="1">
        <v>0</v>
      </c>
      <c r="K859" s="1">
        <v>2</v>
      </c>
      <c r="L859" s="1">
        <v>0</v>
      </c>
      <c r="M859" s="1">
        <v>0</v>
      </c>
    </row>
    <row r="860" spans="1:13">
      <c r="A860" s="1">
        <v>859</v>
      </c>
      <c r="B860" s="1">
        <v>898743.69990000001</v>
      </c>
      <c r="C860" s="1">
        <v>949692.1465077129</v>
      </c>
      <c r="D860" s="1">
        <f t="shared" si="13"/>
        <v>-50948.446607712889</v>
      </c>
      <c r="E860" s="1">
        <v>12</v>
      </c>
      <c r="F860" s="1">
        <v>17</v>
      </c>
      <c r="G860" s="1">
        <v>6</v>
      </c>
      <c r="H860" s="1">
        <v>1</v>
      </c>
      <c r="I860" s="1">
        <v>1</v>
      </c>
      <c r="J860" s="1">
        <v>0</v>
      </c>
      <c r="K860" s="1">
        <v>1</v>
      </c>
      <c r="L860" s="1">
        <v>0</v>
      </c>
      <c r="M860" s="1">
        <v>0</v>
      </c>
    </row>
    <row r="861" spans="1:13">
      <c r="A861" s="1">
        <v>860</v>
      </c>
      <c r="B861" s="1">
        <v>913368.43259999994</v>
      </c>
      <c r="C861" s="1">
        <v>1146288.5703917353</v>
      </c>
      <c r="D861" s="1">
        <f t="shared" si="13"/>
        <v>-232920.13779173535</v>
      </c>
      <c r="E861" s="1">
        <v>21</v>
      </c>
      <c r="F861" s="1">
        <v>10</v>
      </c>
      <c r="G861" s="1">
        <v>4</v>
      </c>
      <c r="H861" s="1">
        <v>0</v>
      </c>
      <c r="I861" s="1">
        <v>1</v>
      </c>
      <c r="J861" s="1">
        <v>0</v>
      </c>
      <c r="K861" s="1">
        <v>2</v>
      </c>
      <c r="L861" s="1">
        <v>0</v>
      </c>
      <c r="M861" s="1">
        <v>0</v>
      </c>
    </row>
    <row r="862" spans="1:13">
      <c r="A862" s="1">
        <v>861</v>
      </c>
      <c r="B862" s="1">
        <v>850672.16299999994</v>
      </c>
      <c r="C862" s="1">
        <v>659252.4480075012</v>
      </c>
      <c r="D862" s="1">
        <f t="shared" si="13"/>
        <v>191419.71499249875</v>
      </c>
      <c r="E862" s="1">
        <v>19</v>
      </c>
      <c r="F862" s="1">
        <v>14</v>
      </c>
      <c r="G862" s="1">
        <v>2</v>
      </c>
      <c r="H862" s="1">
        <v>2</v>
      </c>
      <c r="I862" s="1">
        <v>0</v>
      </c>
      <c r="J862" s="1">
        <v>1</v>
      </c>
      <c r="K862" s="1">
        <v>0</v>
      </c>
      <c r="L862" s="1">
        <v>0</v>
      </c>
      <c r="M862" s="1">
        <v>0</v>
      </c>
    </row>
    <row r="863" spans="1:13">
      <c r="A863" s="1">
        <v>862</v>
      </c>
      <c r="B863" s="1">
        <v>889460.96329999994</v>
      </c>
      <c r="C863" s="1">
        <v>1071485.1040544682</v>
      </c>
      <c r="D863" s="1">
        <f t="shared" si="13"/>
        <v>-182024.14075446827</v>
      </c>
      <c r="E863" s="1">
        <v>13</v>
      </c>
      <c r="F863" s="1">
        <v>18</v>
      </c>
      <c r="G863" s="1">
        <v>4</v>
      </c>
      <c r="H863" s="1">
        <v>1</v>
      </c>
      <c r="I863" s="1">
        <v>0</v>
      </c>
      <c r="J863" s="1">
        <v>1</v>
      </c>
      <c r="K863" s="1">
        <v>0</v>
      </c>
      <c r="L863" s="1">
        <v>0</v>
      </c>
      <c r="M863" s="1">
        <v>0</v>
      </c>
    </row>
    <row r="864" spans="1:13">
      <c r="A864" s="1">
        <v>863</v>
      </c>
      <c r="B864" s="1">
        <v>936342.89899999998</v>
      </c>
      <c r="C864" s="1">
        <v>643197.76893733069</v>
      </c>
      <c r="D864" s="1">
        <f t="shared" si="13"/>
        <v>293145.13006266928</v>
      </c>
      <c r="E864" s="1">
        <v>18</v>
      </c>
      <c r="F864" s="1">
        <v>12</v>
      </c>
      <c r="G864" s="1">
        <v>5</v>
      </c>
      <c r="H864" s="1">
        <v>0</v>
      </c>
      <c r="I864" s="1">
        <v>0</v>
      </c>
      <c r="J864" s="1">
        <v>0</v>
      </c>
      <c r="K864" s="1">
        <v>1</v>
      </c>
      <c r="L864" s="1">
        <v>0</v>
      </c>
      <c r="M864" s="1">
        <v>1</v>
      </c>
    </row>
    <row r="865" spans="1:13">
      <c r="A865" s="1">
        <v>864</v>
      </c>
      <c r="B865" s="1">
        <v>892037.97589999996</v>
      </c>
      <c r="C865" s="1">
        <v>829992.2388670583</v>
      </c>
      <c r="D865" s="1">
        <f t="shared" si="13"/>
        <v>62045.737032941659</v>
      </c>
      <c r="E865" s="1">
        <v>18</v>
      </c>
      <c r="F865" s="1">
        <v>14</v>
      </c>
      <c r="G865" s="1">
        <v>3</v>
      </c>
      <c r="H865" s="1">
        <v>2</v>
      </c>
      <c r="I865" s="1">
        <v>0</v>
      </c>
      <c r="J865" s="1">
        <v>0</v>
      </c>
      <c r="K865" s="1">
        <v>0</v>
      </c>
      <c r="L865" s="1">
        <v>0</v>
      </c>
      <c r="M865" s="1">
        <v>0</v>
      </c>
    </row>
    <row r="866" spans="1:13">
      <c r="A866" s="1">
        <v>865</v>
      </c>
      <c r="B866" s="1">
        <v>876886.05260000005</v>
      </c>
      <c r="C866" s="1">
        <v>657627.60471891891</v>
      </c>
      <c r="D866" s="1">
        <f t="shared" si="13"/>
        <v>219258.44788108114</v>
      </c>
      <c r="E866" s="1">
        <v>20</v>
      </c>
      <c r="F866" s="1">
        <v>14</v>
      </c>
      <c r="G866" s="1">
        <v>1</v>
      </c>
      <c r="H866" s="1">
        <v>0</v>
      </c>
      <c r="I866" s="1">
        <v>0</v>
      </c>
      <c r="J866" s="1">
        <v>0</v>
      </c>
      <c r="K866" s="1">
        <v>2</v>
      </c>
      <c r="L866" s="1">
        <v>0</v>
      </c>
      <c r="M866" s="1">
        <v>1</v>
      </c>
    </row>
    <row r="867" spans="1:13">
      <c r="A867" s="1">
        <v>866</v>
      </c>
      <c r="B867" s="1">
        <v>881065.06649999996</v>
      </c>
      <c r="C867" s="1">
        <v>723249.73153384333</v>
      </c>
      <c r="D867" s="1">
        <f t="shared" si="13"/>
        <v>157815.33496615663</v>
      </c>
      <c r="E867" s="1">
        <v>17</v>
      </c>
      <c r="F867" s="1">
        <v>13</v>
      </c>
      <c r="G867" s="1">
        <v>5</v>
      </c>
      <c r="H867" s="1">
        <v>2</v>
      </c>
      <c r="I867" s="1">
        <v>0</v>
      </c>
      <c r="J867" s="1">
        <v>1</v>
      </c>
      <c r="K867" s="1">
        <v>0</v>
      </c>
      <c r="L867" s="1">
        <v>0</v>
      </c>
      <c r="M867" s="1">
        <v>0</v>
      </c>
    </row>
    <row r="868" spans="1:13">
      <c r="A868" s="1">
        <v>867</v>
      </c>
      <c r="B868" s="1">
        <v>914377.14179999998</v>
      </c>
      <c r="C868" s="1">
        <v>690722.45121447742</v>
      </c>
      <c r="D868" s="1">
        <f t="shared" si="13"/>
        <v>223654.69058552256</v>
      </c>
      <c r="E868" s="1">
        <v>12</v>
      </c>
      <c r="F868" s="1">
        <v>16</v>
      </c>
      <c r="G868" s="1">
        <v>7</v>
      </c>
      <c r="H868" s="1">
        <v>2</v>
      </c>
      <c r="I868" s="1">
        <v>0</v>
      </c>
      <c r="J868" s="1">
        <v>0</v>
      </c>
      <c r="K868" s="1">
        <v>0</v>
      </c>
      <c r="L868" s="1">
        <v>0</v>
      </c>
      <c r="M868" s="1">
        <v>1</v>
      </c>
    </row>
    <row r="869" spans="1:13">
      <c r="A869" s="1">
        <v>868</v>
      </c>
      <c r="B869" s="1">
        <v>979378.68969999999</v>
      </c>
      <c r="C869" s="1">
        <v>814037.64389819279</v>
      </c>
      <c r="D869" s="1">
        <f t="shared" si="13"/>
        <v>165341.04580180719</v>
      </c>
      <c r="E869" s="1">
        <v>15</v>
      </c>
      <c r="F869" s="1">
        <v>14</v>
      </c>
      <c r="G869" s="1">
        <v>6</v>
      </c>
      <c r="H869" s="1">
        <v>2</v>
      </c>
      <c r="I869" s="1">
        <v>0</v>
      </c>
      <c r="J869" s="1">
        <v>2</v>
      </c>
      <c r="K869" s="1">
        <v>0</v>
      </c>
      <c r="L869" s="1">
        <v>0</v>
      </c>
      <c r="M869" s="1">
        <v>1</v>
      </c>
    </row>
    <row r="870" spans="1:13">
      <c r="A870" s="1">
        <v>869</v>
      </c>
      <c r="B870" s="1">
        <v>958364.12939999998</v>
      </c>
      <c r="C870" s="1">
        <v>520254.39528577938</v>
      </c>
      <c r="D870" s="1">
        <f t="shared" si="13"/>
        <v>438109.7341142206</v>
      </c>
      <c r="E870" s="1">
        <v>9</v>
      </c>
      <c r="F870" s="1">
        <v>22</v>
      </c>
      <c r="G870" s="1">
        <v>4</v>
      </c>
      <c r="H870" s="1">
        <v>0</v>
      </c>
      <c r="I870" s="1">
        <v>0</v>
      </c>
      <c r="J870" s="1">
        <v>0</v>
      </c>
      <c r="K870" s="1">
        <v>0</v>
      </c>
      <c r="L870" s="1">
        <v>0</v>
      </c>
      <c r="M870" s="1">
        <v>1</v>
      </c>
    </row>
    <row r="871" spans="1:13">
      <c r="A871" s="1">
        <v>870</v>
      </c>
      <c r="B871" s="1">
        <v>1005197.4534</v>
      </c>
      <c r="C871" s="1">
        <v>745644.42644828558</v>
      </c>
      <c r="D871" s="1">
        <f t="shared" si="13"/>
        <v>259553.02695171442</v>
      </c>
      <c r="E871" s="1">
        <v>11</v>
      </c>
      <c r="F871" s="1">
        <v>18</v>
      </c>
      <c r="G871" s="1">
        <v>6</v>
      </c>
      <c r="H871" s="1">
        <v>2</v>
      </c>
      <c r="I871" s="1">
        <v>0</v>
      </c>
      <c r="J871" s="1">
        <v>1</v>
      </c>
      <c r="K871" s="1">
        <v>1</v>
      </c>
      <c r="L871" s="1">
        <v>0</v>
      </c>
      <c r="M871" s="1">
        <v>1</v>
      </c>
    </row>
    <row r="872" spans="1:13">
      <c r="A872" s="1">
        <v>871</v>
      </c>
      <c r="B872" s="1">
        <v>974893.49849999999</v>
      </c>
      <c r="C872" s="1">
        <v>718084.91126091196</v>
      </c>
      <c r="D872" s="1">
        <f t="shared" si="13"/>
        <v>256808.58723908802</v>
      </c>
      <c r="E872" s="1">
        <v>19</v>
      </c>
      <c r="F872" s="1">
        <v>11</v>
      </c>
      <c r="G872" s="1">
        <v>5</v>
      </c>
      <c r="H872" s="1">
        <v>0</v>
      </c>
      <c r="I872" s="1">
        <v>0</v>
      </c>
      <c r="J872" s="1">
        <v>0</v>
      </c>
      <c r="K872" s="1">
        <v>1</v>
      </c>
      <c r="L872" s="1">
        <v>0</v>
      </c>
      <c r="M872" s="1">
        <v>1</v>
      </c>
    </row>
    <row r="873" spans="1:13">
      <c r="A873" s="1">
        <v>872</v>
      </c>
      <c r="B873" s="1">
        <v>876521.71790000005</v>
      </c>
      <c r="C873" s="1">
        <v>731955.99325427704</v>
      </c>
      <c r="D873" s="1">
        <f t="shared" si="13"/>
        <v>144565.72464572301</v>
      </c>
      <c r="E873" s="1">
        <v>18</v>
      </c>
      <c r="F873" s="1">
        <v>14</v>
      </c>
      <c r="G873" s="1">
        <v>3</v>
      </c>
      <c r="H873" s="1">
        <v>0</v>
      </c>
      <c r="I873" s="1">
        <v>0</v>
      </c>
      <c r="J873" s="1">
        <v>1</v>
      </c>
      <c r="K873" s="1">
        <v>1</v>
      </c>
      <c r="L873" s="1">
        <v>0</v>
      </c>
      <c r="M873" s="1">
        <v>0</v>
      </c>
    </row>
    <row r="874" spans="1:13">
      <c r="A874" s="1">
        <v>873</v>
      </c>
      <c r="B874" s="1">
        <v>999540.28269999998</v>
      </c>
      <c r="C874" s="1">
        <v>808514.95373449661</v>
      </c>
      <c r="D874" s="1">
        <f t="shared" si="13"/>
        <v>191025.32896550337</v>
      </c>
      <c r="E874" s="1">
        <v>16</v>
      </c>
      <c r="F874" s="1">
        <v>14</v>
      </c>
      <c r="G874" s="1">
        <v>5</v>
      </c>
      <c r="H874" s="1">
        <v>1</v>
      </c>
      <c r="I874" s="1">
        <v>0</v>
      </c>
      <c r="J874" s="1">
        <v>0</v>
      </c>
      <c r="K874" s="1">
        <v>0</v>
      </c>
      <c r="L874" s="1">
        <v>0</v>
      </c>
      <c r="M874" s="1">
        <v>0</v>
      </c>
    </row>
    <row r="875" spans="1:13">
      <c r="A875" s="1">
        <v>874</v>
      </c>
      <c r="B875" s="1">
        <v>872097.24199999997</v>
      </c>
      <c r="C875" s="1">
        <v>1565541.2478286629</v>
      </c>
      <c r="D875" s="1">
        <f t="shared" si="13"/>
        <v>-693444.00582866289</v>
      </c>
      <c r="E875" s="1">
        <v>9</v>
      </c>
      <c r="F875" s="1">
        <v>18</v>
      </c>
      <c r="G875" s="1">
        <v>8</v>
      </c>
      <c r="H875" s="1">
        <v>1</v>
      </c>
      <c r="I875" s="1">
        <v>1</v>
      </c>
      <c r="J875" s="1">
        <v>0</v>
      </c>
      <c r="K875" s="1">
        <v>0</v>
      </c>
      <c r="L875" s="1">
        <v>0</v>
      </c>
      <c r="M875" s="1">
        <v>0</v>
      </c>
    </row>
    <row r="876" spans="1:13">
      <c r="A876" s="1">
        <v>875</v>
      </c>
      <c r="B876" s="1">
        <v>993773.20570000005</v>
      </c>
      <c r="C876" s="1">
        <v>958847.89498530305</v>
      </c>
      <c r="D876" s="1">
        <f t="shared" si="13"/>
        <v>34925.310714697</v>
      </c>
      <c r="E876" s="1">
        <v>10</v>
      </c>
      <c r="F876" s="1">
        <v>19</v>
      </c>
      <c r="G876" s="1">
        <v>6</v>
      </c>
      <c r="H876" s="1">
        <v>2</v>
      </c>
      <c r="I876" s="1">
        <v>0</v>
      </c>
      <c r="J876" s="1">
        <v>2</v>
      </c>
      <c r="K876" s="1">
        <v>0</v>
      </c>
      <c r="L876" s="1">
        <v>0</v>
      </c>
      <c r="M876" s="1">
        <v>0</v>
      </c>
    </row>
    <row r="877" spans="1:13">
      <c r="A877" s="1">
        <v>876</v>
      </c>
      <c r="B877" s="1">
        <v>986104.35279999999</v>
      </c>
      <c r="C877" s="1">
        <v>1030235.4513388384</v>
      </c>
      <c r="D877" s="1">
        <f t="shared" si="13"/>
        <v>-44131.098538838443</v>
      </c>
      <c r="E877" s="1">
        <v>14</v>
      </c>
      <c r="F877" s="1">
        <v>15</v>
      </c>
      <c r="G877" s="1">
        <v>6</v>
      </c>
      <c r="H877" s="1">
        <v>1</v>
      </c>
      <c r="I877" s="1">
        <v>0</v>
      </c>
      <c r="J877" s="1">
        <v>1</v>
      </c>
      <c r="K877" s="1">
        <v>0</v>
      </c>
      <c r="L877" s="1">
        <v>0</v>
      </c>
      <c r="M877" s="1">
        <v>0</v>
      </c>
    </row>
    <row r="878" spans="1:13">
      <c r="A878" s="1">
        <v>877</v>
      </c>
      <c r="B878" s="1">
        <v>947088.01800000004</v>
      </c>
      <c r="C878" s="1">
        <v>1467211.2026991327</v>
      </c>
      <c r="D878" s="1">
        <f t="shared" si="13"/>
        <v>-520123.18469913269</v>
      </c>
      <c r="E878" s="1">
        <v>15</v>
      </c>
      <c r="F878" s="1">
        <v>13</v>
      </c>
      <c r="G878" s="1">
        <v>7</v>
      </c>
      <c r="H878" s="1">
        <v>0</v>
      </c>
      <c r="I878" s="1">
        <v>0</v>
      </c>
      <c r="J878" s="1">
        <v>0</v>
      </c>
      <c r="K878" s="1">
        <v>2</v>
      </c>
      <c r="L878" s="1">
        <v>0</v>
      </c>
      <c r="M878" s="1">
        <v>0</v>
      </c>
    </row>
    <row r="879" spans="1:13">
      <c r="A879" s="1">
        <v>878</v>
      </c>
      <c r="B879" s="1">
        <v>862400.72750000004</v>
      </c>
      <c r="C879" s="1">
        <v>795555.63069419493</v>
      </c>
      <c r="D879" s="1">
        <f t="shared" si="13"/>
        <v>66845.096805805108</v>
      </c>
      <c r="E879" s="1">
        <v>18</v>
      </c>
      <c r="F879" s="1">
        <v>14</v>
      </c>
      <c r="G879" s="1">
        <v>3</v>
      </c>
      <c r="H879" s="1">
        <v>2</v>
      </c>
      <c r="I879" s="1">
        <v>0</v>
      </c>
      <c r="J879" s="1">
        <v>0</v>
      </c>
      <c r="K879" s="1">
        <v>1</v>
      </c>
      <c r="L879" s="1">
        <v>0</v>
      </c>
      <c r="M879" s="1">
        <v>0</v>
      </c>
    </row>
    <row r="880" spans="1:13">
      <c r="A880" s="1">
        <v>879</v>
      </c>
      <c r="B880" s="1">
        <v>939291.28480000002</v>
      </c>
      <c r="C880" s="1">
        <v>909455.26196145418</v>
      </c>
      <c r="D880" s="1">
        <f t="shared" si="13"/>
        <v>29836.022838545847</v>
      </c>
      <c r="E880" s="1">
        <v>10</v>
      </c>
      <c r="F880" s="1">
        <v>17</v>
      </c>
      <c r="G880" s="1">
        <v>8</v>
      </c>
      <c r="H880" s="1">
        <v>0</v>
      </c>
      <c r="I880" s="1">
        <v>0</v>
      </c>
      <c r="J880" s="1">
        <v>1</v>
      </c>
      <c r="K880" s="1">
        <v>0</v>
      </c>
      <c r="L880" s="1">
        <v>0</v>
      </c>
      <c r="M880" s="1">
        <v>0</v>
      </c>
    </row>
    <row r="881" spans="1:13">
      <c r="A881" s="1">
        <v>880</v>
      </c>
      <c r="B881" s="1">
        <v>895587.35019999999</v>
      </c>
      <c r="C881" s="1">
        <v>599240.91726951872</v>
      </c>
      <c r="D881" s="1">
        <f t="shared" si="13"/>
        <v>296346.43293048127</v>
      </c>
      <c r="E881" s="1">
        <v>22</v>
      </c>
      <c r="F881" s="1">
        <v>12</v>
      </c>
      <c r="G881" s="1">
        <v>1</v>
      </c>
      <c r="H881" s="1">
        <v>0</v>
      </c>
      <c r="I881" s="1">
        <v>0</v>
      </c>
      <c r="J881" s="1">
        <v>0</v>
      </c>
      <c r="K881" s="1">
        <v>1</v>
      </c>
      <c r="L881" s="1">
        <v>0</v>
      </c>
      <c r="M881" s="1">
        <v>1</v>
      </c>
    </row>
    <row r="882" spans="1:13">
      <c r="A882" s="1">
        <v>881</v>
      </c>
      <c r="B882" s="1">
        <v>963548.43169999996</v>
      </c>
      <c r="C882" s="1">
        <v>1099573.8845878351</v>
      </c>
      <c r="D882" s="1">
        <f t="shared" si="13"/>
        <v>-136025.4528878351</v>
      </c>
      <c r="E882" s="1">
        <v>11</v>
      </c>
      <c r="F882" s="1">
        <v>17</v>
      </c>
      <c r="G882" s="1">
        <v>7</v>
      </c>
      <c r="H882" s="1">
        <v>1</v>
      </c>
      <c r="I882" s="1">
        <v>1</v>
      </c>
      <c r="J882" s="1">
        <v>2</v>
      </c>
      <c r="K882" s="1">
        <v>0</v>
      </c>
      <c r="L882" s="1">
        <v>0</v>
      </c>
      <c r="M882" s="1">
        <v>0</v>
      </c>
    </row>
    <row r="883" spans="1:13">
      <c r="A883" s="1">
        <v>882</v>
      </c>
      <c r="B883" s="1">
        <v>903722.0416</v>
      </c>
      <c r="C883" s="1">
        <v>857708.06617388921</v>
      </c>
      <c r="D883" s="1">
        <f t="shared" si="13"/>
        <v>46013.975426110788</v>
      </c>
      <c r="E883" s="1">
        <v>13</v>
      </c>
      <c r="F883" s="1">
        <v>17</v>
      </c>
      <c r="G883" s="1">
        <v>5</v>
      </c>
      <c r="H883" s="1">
        <v>1</v>
      </c>
      <c r="I883" s="1">
        <v>1</v>
      </c>
      <c r="J883" s="1">
        <v>1</v>
      </c>
      <c r="K883" s="1">
        <v>0</v>
      </c>
      <c r="L883" s="1">
        <v>0</v>
      </c>
      <c r="M883" s="1">
        <v>0</v>
      </c>
    </row>
    <row r="884" spans="1:13">
      <c r="A884" s="1">
        <v>883</v>
      </c>
      <c r="B884" s="1">
        <v>973226.94519999996</v>
      </c>
      <c r="C884" s="1">
        <v>842997.18645121879</v>
      </c>
      <c r="D884" s="1">
        <f t="shared" si="13"/>
        <v>130229.75874878117</v>
      </c>
      <c r="E884" s="1">
        <v>14</v>
      </c>
      <c r="F884" s="1">
        <v>17</v>
      </c>
      <c r="G884" s="1">
        <v>4</v>
      </c>
      <c r="H884" s="1">
        <v>1</v>
      </c>
      <c r="I884" s="1">
        <v>1</v>
      </c>
      <c r="J884" s="1">
        <v>2</v>
      </c>
      <c r="K884" s="1">
        <v>0</v>
      </c>
      <c r="L884" s="1">
        <v>0</v>
      </c>
      <c r="M884" s="1">
        <v>0</v>
      </c>
    </row>
    <row r="885" spans="1:13">
      <c r="A885" s="1">
        <v>884</v>
      </c>
      <c r="B885" s="1">
        <v>979899.39859999996</v>
      </c>
      <c r="C885" s="1">
        <v>1027146.1410992872</v>
      </c>
      <c r="D885" s="1">
        <f t="shared" si="13"/>
        <v>-47246.74249928724</v>
      </c>
      <c r="E885" s="1">
        <v>12</v>
      </c>
      <c r="F885" s="1">
        <v>15</v>
      </c>
      <c r="G885" s="1">
        <v>8</v>
      </c>
      <c r="H885" s="1">
        <v>0</v>
      </c>
      <c r="I885" s="1">
        <v>0</v>
      </c>
      <c r="J885" s="1">
        <v>1</v>
      </c>
      <c r="K885" s="1">
        <v>1</v>
      </c>
      <c r="L885" s="1">
        <v>0</v>
      </c>
      <c r="M885" s="1">
        <v>0</v>
      </c>
    </row>
    <row r="886" spans="1:13">
      <c r="A886" s="1">
        <v>885</v>
      </c>
      <c r="B886" s="1">
        <v>1054499.5599</v>
      </c>
      <c r="C886" s="1">
        <v>1922271.023812376</v>
      </c>
      <c r="D886" s="1">
        <f t="shared" si="13"/>
        <v>-867771.46391237597</v>
      </c>
      <c r="E886" s="1">
        <v>11</v>
      </c>
      <c r="F886" s="1">
        <v>18</v>
      </c>
      <c r="G886" s="1">
        <v>6</v>
      </c>
      <c r="H886" s="1">
        <v>0</v>
      </c>
      <c r="I886" s="1">
        <v>0</v>
      </c>
      <c r="J886" s="1">
        <v>1</v>
      </c>
      <c r="K886" s="1">
        <v>1</v>
      </c>
      <c r="L886" s="1">
        <v>0</v>
      </c>
      <c r="M886" s="1">
        <v>1</v>
      </c>
    </row>
    <row r="887" spans="1:13">
      <c r="A887" s="1">
        <v>886</v>
      </c>
      <c r="B887" s="1">
        <v>934967.31819999998</v>
      </c>
      <c r="C887" s="1">
        <v>745934.51209623483</v>
      </c>
      <c r="D887" s="1">
        <f t="shared" si="13"/>
        <v>189032.80610376515</v>
      </c>
      <c r="E887" s="1">
        <v>12</v>
      </c>
      <c r="F887" s="1">
        <v>18</v>
      </c>
      <c r="G887" s="1">
        <v>5</v>
      </c>
      <c r="H887" s="1">
        <v>0</v>
      </c>
      <c r="I887" s="1">
        <v>0</v>
      </c>
      <c r="J887" s="1">
        <v>1</v>
      </c>
      <c r="K887" s="1">
        <v>1</v>
      </c>
      <c r="L887" s="1">
        <v>0</v>
      </c>
      <c r="M887" s="1">
        <v>0</v>
      </c>
    </row>
    <row r="888" spans="1:13">
      <c r="A888" s="1">
        <v>887</v>
      </c>
      <c r="B888" s="1">
        <v>914694.27500000002</v>
      </c>
      <c r="C888" s="1">
        <v>750429.88918057375</v>
      </c>
      <c r="D888" s="1">
        <f t="shared" si="13"/>
        <v>164264.38581942627</v>
      </c>
      <c r="E888" s="1">
        <v>13</v>
      </c>
      <c r="F888" s="1">
        <v>15</v>
      </c>
      <c r="G888" s="1">
        <v>7</v>
      </c>
      <c r="H888" s="1">
        <v>0</v>
      </c>
      <c r="I888" s="1">
        <v>1</v>
      </c>
      <c r="J888" s="1">
        <v>1</v>
      </c>
      <c r="K888" s="1">
        <v>0</v>
      </c>
      <c r="L888" s="1">
        <v>0</v>
      </c>
      <c r="M888" s="1">
        <v>0</v>
      </c>
    </row>
    <row r="889" spans="1:13">
      <c r="A889" s="1">
        <v>888</v>
      </c>
      <c r="B889" s="1">
        <v>881910.44099999999</v>
      </c>
      <c r="C889" s="1">
        <v>1038424.5564316361</v>
      </c>
      <c r="D889" s="1">
        <f t="shared" si="13"/>
        <v>-156514.11543163611</v>
      </c>
      <c r="E889" s="1">
        <v>18</v>
      </c>
      <c r="F889" s="1">
        <v>11</v>
      </c>
      <c r="G889" s="1">
        <v>6</v>
      </c>
      <c r="H889" s="1">
        <v>0</v>
      </c>
      <c r="I889" s="1">
        <v>1</v>
      </c>
      <c r="J889" s="1">
        <v>0</v>
      </c>
      <c r="K889" s="1">
        <v>0</v>
      </c>
      <c r="L889" s="1">
        <v>0</v>
      </c>
      <c r="M889" s="1">
        <v>0</v>
      </c>
    </row>
    <row r="890" spans="1:13">
      <c r="A890" s="1">
        <v>889</v>
      </c>
      <c r="B890" s="1">
        <v>873287.34479999996</v>
      </c>
      <c r="C890" s="1">
        <v>638649.79899526783</v>
      </c>
      <c r="D890" s="1">
        <f t="shared" si="13"/>
        <v>234637.54580473213</v>
      </c>
      <c r="E890" s="1">
        <v>14</v>
      </c>
      <c r="F890" s="1">
        <v>16</v>
      </c>
      <c r="G890" s="1">
        <v>5</v>
      </c>
      <c r="H890" s="1">
        <v>2</v>
      </c>
      <c r="I890" s="1">
        <v>0</v>
      </c>
      <c r="J890" s="1">
        <v>0</v>
      </c>
      <c r="K890" s="1">
        <v>0</v>
      </c>
      <c r="L890" s="1">
        <v>0</v>
      </c>
      <c r="M890" s="1">
        <v>0</v>
      </c>
    </row>
    <row r="891" spans="1:13">
      <c r="A891" s="1">
        <v>890</v>
      </c>
      <c r="B891" s="1">
        <v>984575.9227</v>
      </c>
      <c r="C891" s="1">
        <v>1261992.1409976906</v>
      </c>
      <c r="D891" s="1">
        <f t="shared" si="13"/>
        <v>-277416.21829769062</v>
      </c>
      <c r="E891" s="1">
        <v>9</v>
      </c>
      <c r="F891" s="1">
        <v>21</v>
      </c>
      <c r="G891" s="1">
        <v>5</v>
      </c>
      <c r="H891" s="1">
        <v>0</v>
      </c>
      <c r="I891" s="1">
        <v>0</v>
      </c>
      <c r="J891" s="1">
        <v>0</v>
      </c>
      <c r="K891" s="1">
        <v>1</v>
      </c>
      <c r="L891" s="1">
        <v>1</v>
      </c>
      <c r="M891" s="1">
        <v>0</v>
      </c>
    </row>
    <row r="892" spans="1:13">
      <c r="A892" s="1">
        <v>891</v>
      </c>
      <c r="B892" s="1">
        <v>970353.83270000003</v>
      </c>
      <c r="C892" s="1">
        <v>808255.82134359051</v>
      </c>
      <c r="D892" s="1">
        <f t="shared" si="13"/>
        <v>162098.01135640952</v>
      </c>
      <c r="E892" s="1">
        <v>8</v>
      </c>
      <c r="F892" s="1">
        <v>20</v>
      </c>
      <c r="G892" s="1">
        <v>7</v>
      </c>
      <c r="H892" s="1">
        <v>0</v>
      </c>
      <c r="I892" s="1">
        <v>1</v>
      </c>
      <c r="J892" s="1">
        <v>0</v>
      </c>
      <c r="K892" s="1">
        <v>2</v>
      </c>
      <c r="L892" s="1">
        <v>0</v>
      </c>
      <c r="M892" s="1">
        <v>0</v>
      </c>
    </row>
    <row r="893" spans="1:13">
      <c r="A893" s="1">
        <v>892</v>
      </c>
      <c r="B893" s="1">
        <v>921238.79689999996</v>
      </c>
      <c r="C893" s="1">
        <v>631277.78969880496</v>
      </c>
      <c r="D893" s="1">
        <f t="shared" si="13"/>
        <v>289961.007201195</v>
      </c>
      <c r="E893" s="1">
        <v>10</v>
      </c>
      <c r="F893" s="1">
        <v>19</v>
      </c>
      <c r="G893" s="1">
        <v>6</v>
      </c>
      <c r="H893" s="1">
        <v>2</v>
      </c>
      <c r="I893" s="1">
        <v>0</v>
      </c>
      <c r="J893" s="1">
        <v>0</v>
      </c>
      <c r="K893" s="1">
        <v>2</v>
      </c>
      <c r="L893" s="1">
        <v>0</v>
      </c>
      <c r="M893" s="1">
        <v>0</v>
      </c>
    </row>
    <row r="894" spans="1:13">
      <c r="A894" s="1">
        <v>893</v>
      </c>
      <c r="B894" s="1">
        <v>944705.43900000001</v>
      </c>
      <c r="C894" s="1">
        <v>1040753.762464461</v>
      </c>
      <c r="D894" s="1">
        <f t="shared" si="13"/>
        <v>-96048.32346446102</v>
      </c>
      <c r="E894" s="1">
        <v>14</v>
      </c>
      <c r="F894" s="1">
        <v>17</v>
      </c>
      <c r="G894" s="1">
        <v>4</v>
      </c>
      <c r="H894" s="1">
        <v>0</v>
      </c>
      <c r="I894" s="1">
        <v>0</v>
      </c>
      <c r="J894" s="1">
        <v>0</v>
      </c>
      <c r="K894" s="1">
        <v>0</v>
      </c>
      <c r="L894" s="1">
        <v>0</v>
      </c>
      <c r="M894" s="1">
        <v>0</v>
      </c>
    </row>
    <row r="895" spans="1:13">
      <c r="A895" s="1">
        <v>894</v>
      </c>
      <c r="B895" s="1">
        <v>952074.28989999997</v>
      </c>
      <c r="C895" s="1">
        <v>1115102.4771267134</v>
      </c>
      <c r="D895" s="1">
        <f t="shared" si="13"/>
        <v>-163028.1872267134</v>
      </c>
      <c r="E895" s="1">
        <v>16</v>
      </c>
      <c r="F895" s="1">
        <v>16</v>
      </c>
      <c r="G895" s="1">
        <v>3</v>
      </c>
      <c r="H895" s="1">
        <v>0</v>
      </c>
      <c r="I895" s="1">
        <v>0</v>
      </c>
      <c r="J895" s="1">
        <v>0</v>
      </c>
      <c r="K895" s="1">
        <v>1</v>
      </c>
      <c r="L895" s="1">
        <v>0</v>
      </c>
      <c r="M895" s="1">
        <v>1</v>
      </c>
    </row>
    <row r="896" spans="1:13">
      <c r="A896" s="1">
        <v>895</v>
      </c>
      <c r="B896" s="1">
        <v>895684.64179999998</v>
      </c>
      <c r="C896" s="1">
        <v>785080.17499144177</v>
      </c>
      <c r="D896" s="1">
        <f t="shared" si="13"/>
        <v>110604.46680855821</v>
      </c>
      <c r="E896" s="1">
        <v>6</v>
      </c>
      <c r="F896" s="1">
        <v>26</v>
      </c>
      <c r="G896" s="1">
        <v>3</v>
      </c>
      <c r="H896" s="1">
        <v>0</v>
      </c>
      <c r="I896" s="1">
        <v>0</v>
      </c>
      <c r="J896" s="1">
        <v>0</v>
      </c>
      <c r="K896" s="1">
        <v>2</v>
      </c>
      <c r="L896" s="1">
        <v>0</v>
      </c>
      <c r="M896" s="1">
        <v>0</v>
      </c>
    </row>
    <row r="897" spans="1:13">
      <c r="A897" s="1">
        <v>896</v>
      </c>
      <c r="B897" s="1">
        <v>969169.2169</v>
      </c>
      <c r="C897" s="1">
        <v>716819.324758815</v>
      </c>
      <c r="D897" s="1">
        <f t="shared" si="13"/>
        <v>252349.892141185</v>
      </c>
      <c r="E897" s="1">
        <v>14</v>
      </c>
      <c r="F897" s="1">
        <v>18</v>
      </c>
      <c r="G897" s="1">
        <v>3</v>
      </c>
      <c r="H897" s="1">
        <v>1</v>
      </c>
      <c r="I897" s="1">
        <v>0</v>
      </c>
      <c r="J897" s="1">
        <v>0</v>
      </c>
      <c r="K897" s="1">
        <v>0</v>
      </c>
      <c r="L897" s="1">
        <v>0</v>
      </c>
      <c r="M897" s="1">
        <v>1</v>
      </c>
    </row>
    <row r="898" spans="1:13">
      <c r="A898" s="1">
        <v>897</v>
      </c>
      <c r="B898" s="1">
        <v>1129018.2557000001</v>
      </c>
      <c r="C898" s="1">
        <v>866019.69675583742</v>
      </c>
      <c r="D898" s="1">
        <f t="shared" ref="D898:D961" si="14">B898-C898</f>
        <v>262998.55894416268</v>
      </c>
      <c r="E898" s="1">
        <v>7</v>
      </c>
      <c r="F898" s="1">
        <v>19</v>
      </c>
      <c r="G898" s="1">
        <v>9</v>
      </c>
      <c r="H898" s="1">
        <v>1</v>
      </c>
      <c r="I898" s="1">
        <v>1</v>
      </c>
      <c r="J898" s="1">
        <v>0</v>
      </c>
      <c r="K898" s="1">
        <v>0</v>
      </c>
      <c r="L898" s="1">
        <v>0</v>
      </c>
      <c r="M898" s="1">
        <v>0</v>
      </c>
    </row>
    <row r="899" spans="1:13">
      <c r="A899" s="1">
        <v>898</v>
      </c>
      <c r="B899" s="1">
        <v>962325.05090000003</v>
      </c>
      <c r="C899" s="1">
        <v>1002517.8463524783</v>
      </c>
      <c r="D899" s="1">
        <f t="shared" si="14"/>
        <v>-40192.795452478225</v>
      </c>
      <c r="E899" s="1">
        <v>13</v>
      </c>
      <c r="F899" s="1">
        <v>13</v>
      </c>
      <c r="G899" s="1">
        <v>9</v>
      </c>
      <c r="H899" s="1">
        <v>0</v>
      </c>
      <c r="I899" s="1">
        <v>1</v>
      </c>
      <c r="J899" s="1">
        <v>1</v>
      </c>
      <c r="K899" s="1">
        <v>1</v>
      </c>
      <c r="L899" s="1">
        <v>0</v>
      </c>
      <c r="M899" s="1">
        <v>1</v>
      </c>
    </row>
    <row r="900" spans="1:13">
      <c r="A900" s="1">
        <v>899</v>
      </c>
      <c r="B900" s="1">
        <v>797583.99620000005</v>
      </c>
      <c r="C900" s="1">
        <v>1537273.6833710736</v>
      </c>
      <c r="D900" s="1">
        <f t="shared" si="14"/>
        <v>-739689.68717107351</v>
      </c>
      <c r="E900" s="1">
        <v>17</v>
      </c>
      <c r="F900" s="1">
        <v>15</v>
      </c>
      <c r="G900" s="1">
        <v>3</v>
      </c>
      <c r="H900" s="1">
        <v>2</v>
      </c>
      <c r="I900" s="1">
        <v>0</v>
      </c>
      <c r="J900" s="1">
        <v>0</v>
      </c>
      <c r="K900" s="1">
        <v>0</v>
      </c>
      <c r="L900" s="1">
        <v>2</v>
      </c>
      <c r="M900" s="1">
        <v>0</v>
      </c>
    </row>
    <row r="901" spans="1:13">
      <c r="A901" s="1">
        <v>900</v>
      </c>
      <c r="B901" s="1">
        <v>953360.63060000003</v>
      </c>
      <c r="C901" s="1">
        <v>1092911.6841463817</v>
      </c>
      <c r="D901" s="1">
        <f t="shared" si="14"/>
        <v>-139551.05354638165</v>
      </c>
      <c r="E901" s="1">
        <v>12</v>
      </c>
      <c r="F901" s="1">
        <v>16</v>
      </c>
      <c r="G901" s="1">
        <v>7</v>
      </c>
      <c r="H901" s="1">
        <v>2</v>
      </c>
      <c r="I901" s="1">
        <v>0</v>
      </c>
      <c r="J901" s="1">
        <v>0</v>
      </c>
      <c r="K901" s="1">
        <v>1</v>
      </c>
      <c r="L901" s="1">
        <v>0</v>
      </c>
      <c r="M901" s="1">
        <v>0</v>
      </c>
    </row>
    <row r="902" spans="1:13">
      <c r="A902" s="1">
        <v>901</v>
      </c>
      <c r="B902" s="1">
        <v>934557.5527</v>
      </c>
      <c r="C902" s="1">
        <v>878952.9131054146</v>
      </c>
      <c r="D902" s="1">
        <f t="shared" si="14"/>
        <v>55604.639594585402</v>
      </c>
      <c r="E902" s="1">
        <v>9</v>
      </c>
      <c r="F902" s="1">
        <v>21</v>
      </c>
      <c r="G902" s="1">
        <v>5</v>
      </c>
      <c r="H902" s="1">
        <v>0</v>
      </c>
      <c r="I902" s="1">
        <v>0</v>
      </c>
      <c r="J902" s="1">
        <v>1</v>
      </c>
      <c r="K902" s="1">
        <v>0</v>
      </c>
      <c r="L902" s="1">
        <v>0</v>
      </c>
      <c r="M902" s="1">
        <v>0</v>
      </c>
    </row>
    <row r="903" spans="1:13">
      <c r="A903" s="1">
        <v>902</v>
      </c>
      <c r="B903" s="1">
        <v>941665.51390000002</v>
      </c>
      <c r="C903" s="1">
        <v>997545.33918559202</v>
      </c>
      <c r="D903" s="1">
        <f t="shared" si="14"/>
        <v>-55879.825285592</v>
      </c>
      <c r="E903" s="1">
        <v>7</v>
      </c>
      <c r="F903" s="1">
        <v>25</v>
      </c>
      <c r="G903" s="1">
        <v>3</v>
      </c>
      <c r="H903" s="1">
        <v>2</v>
      </c>
      <c r="I903" s="1">
        <v>0</v>
      </c>
      <c r="J903" s="1">
        <v>0</v>
      </c>
      <c r="K903" s="1">
        <v>2</v>
      </c>
      <c r="L903" s="1">
        <v>0</v>
      </c>
      <c r="M903" s="1">
        <v>0</v>
      </c>
    </row>
    <row r="904" spans="1:13">
      <c r="A904" s="1">
        <v>903</v>
      </c>
      <c r="B904" s="1">
        <v>875989.37679999997</v>
      </c>
      <c r="C904" s="1">
        <v>709423.41926283692</v>
      </c>
      <c r="D904" s="1">
        <f t="shared" si="14"/>
        <v>166565.95753716305</v>
      </c>
      <c r="E904" s="1">
        <v>16</v>
      </c>
      <c r="F904" s="1">
        <v>13</v>
      </c>
      <c r="G904" s="1">
        <v>6</v>
      </c>
      <c r="H904" s="1">
        <v>1</v>
      </c>
      <c r="I904" s="1">
        <v>1</v>
      </c>
      <c r="J904" s="1">
        <v>1</v>
      </c>
      <c r="K904" s="1">
        <v>0</v>
      </c>
      <c r="L904" s="1">
        <v>0</v>
      </c>
      <c r="M904" s="1">
        <v>0</v>
      </c>
    </row>
    <row r="905" spans="1:13">
      <c r="A905" s="1">
        <v>904</v>
      </c>
      <c r="B905" s="1">
        <v>927922.87060000002</v>
      </c>
      <c r="C905" s="1">
        <v>858344.04330763733</v>
      </c>
      <c r="D905" s="1">
        <f t="shared" si="14"/>
        <v>69578.827292362694</v>
      </c>
      <c r="E905" s="1">
        <v>14</v>
      </c>
      <c r="F905" s="1">
        <v>16</v>
      </c>
      <c r="G905" s="1">
        <v>5</v>
      </c>
      <c r="H905" s="1">
        <v>1</v>
      </c>
      <c r="I905" s="1">
        <v>1</v>
      </c>
      <c r="J905" s="1">
        <v>1</v>
      </c>
      <c r="K905" s="1">
        <v>1</v>
      </c>
      <c r="L905" s="1">
        <v>0</v>
      </c>
      <c r="M905" s="1">
        <v>0</v>
      </c>
    </row>
    <row r="906" spans="1:13">
      <c r="A906" s="1">
        <v>905</v>
      </c>
      <c r="B906" s="1">
        <v>952190.61259999999</v>
      </c>
      <c r="C906" s="1">
        <v>865455.21598566626</v>
      </c>
      <c r="D906" s="1">
        <f t="shared" si="14"/>
        <v>86735.396614333731</v>
      </c>
      <c r="E906" s="1">
        <v>12</v>
      </c>
      <c r="F906" s="1">
        <v>18</v>
      </c>
      <c r="G906" s="1">
        <v>5</v>
      </c>
      <c r="H906" s="1">
        <v>1</v>
      </c>
      <c r="I906" s="1">
        <v>0</v>
      </c>
      <c r="J906" s="1">
        <v>0</v>
      </c>
      <c r="K906" s="1">
        <v>0</v>
      </c>
      <c r="L906" s="1">
        <v>0</v>
      </c>
      <c r="M906" s="1">
        <v>1</v>
      </c>
    </row>
    <row r="907" spans="1:13">
      <c r="A907" s="1">
        <v>906</v>
      </c>
      <c r="B907" s="1">
        <v>943257.74769999995</v>
      </c>
      <c r="C907" s="1">
        <v>690640.15921621886</v>
      </c>
      <c r="D907" s="1">
        <f t="shared" si="14"/>
        <v>252617.58848378109</v>
      </c>
      <c r="E907" s="1">
        <v>19</v>
      </c>
      <c r="F907" s="1">
        <v>13</v>
      </c>
      <c r="G907" s="1">
        <v>3</v>
      </c>
      <c r="H907" s="1">
        <v>0</v>
      </c>
      <c r="I907" s="1">
        <v>0</v>
      </c>
      <c r="J907" s="1">
        <v>0</v>
      </c>
      <c r="K907" s="1">
        <v>0</v>
      </c>
      <c r="L907" s="1">
        <v>0</v>
      </c>
      <c r="M907" s="1">
        <v>1</v>
      </c>
    </row>
    <row r="908" spans="1:13">
      <c r="A908" s="1">
        <v>907</v>
      </c>
      <c r="B908" s="1">
        <v>1029265.9389</v>
      </c>
      <c r="C908" s="1">
        <v>592515.05931505607</v>
      </c>
      <c r="D908" s="1">
        <f t="shared" si="14"/>
        <v>436750.87958494388</v>
      </c>
      <c r="E908" s="1">
        <v>5</v>
      </c>
      <c r="F908" s="1">
        <v>22</v>
      </c>
      <c r="G908" s="1">
        <v>8</v>
      </c>
      <c r="H908" s="1">
        <v>1</v>
      </c>
      <c r="I908" s="1">
        <v>0</v>
      </c>
      <c r="J908" s="1">
        <v>1</v>
      </c>
      <c r="K908" s="1">
        <v>0</v>
      </c>
      <c r="L908" s="1">
        <v>0</v>
      </c>
      <c r="M908" s="1">
        <v>0</v>
      </c>
    </row>
    <row r="909" spans="1:13">
      <c r="A909" s="1">
        <v>908</v>
      </c>
      <c r="B909" s="1">
        <v>880389.27</v>
      </c>
      <c r="C909" s="1">
        <v>1155355.7945539127</v>
      </c>
      <c r="D909" s="1">
        <f t="shared" si="14"/>
        <v>-274966.52455391269</v>
      </c>
      <c r="E909" s="1">
        <v>16</v>
      </c>
      <c r="F909" s="1">
        <v>16</v>
      </c>
      <c r="G909" s="1">
        <v>3</v>
      </c>
      <c r="H909" s="1">
        <v>1</v>
      </c>
      <c r="I909" s="1">
        <v>0</v>
      </c>
      <c r="J909" s="1">
        <v>1</v>
      </c>
      <c r="K909" s="1">
        <v>1</v>
      </c>
      <c r="L909" s="1">
        <v>0</v>
      </c>
      <c r="M909" s="1">
        <v>0</v>
      </c>
    </row>
    <row r="910" spans="1:13">
      <c r="A910" s="1">
        <v>909</v>
      </c>
      <c r="B910" s="1">
        <v>932204.82059999998</v>
      </c>
      <c r="C910" s="1">
        <v>642940.21388246317</v>
      </c>
      <c r="D910" s="1">
        <f t="shared" si="14"/>
        <v>289264.60671753681</v>
      </c>
      <c r="E910" s="1">
        <v>16</v>
      </c>
      <c r="F910" s="1">
        <v>10</v>
      </c>
      <c r="G910" s="1">
        <v>9</v>
      </c>
      <c r="H910" s="1">
        <v>1</v>
      </c>
      <c r="I910" s="1">
        <v>0</v>
      </c>
      <c r="J910" s="1">
        <v>0</v>
      </c>
      <c r="K910" s="1">
        <v>0</v>
      </c>
      <c r="L910" s="1">
        <v>0</v>
      </c>
      <c r="M910" s="1">
        <v>0</v>
      </c>
    </row>
    <row r="911" spans="1:13">
      <c r="A911" s="1">
        <v>910</v>
      </c>
      <c r="B911" s="1">
        <v>912553.30740000005</v>
      </c>
      <c r="C911" s="1">
        <v>1141321.6916184353</v>
      </c>
      <c r="D911" s="1">
        <f t="shared" si="14"/>
        <v>-228768.38421843527</v>
      </c>
      <c r="E911" s="1">
        <v>18</v>
      </c>
      <c r="F911" s="1">
        <v>11</v>
      </c>
      <c r="G911" s="1">
        <v>6</v>
      </c>
      <c r="H911" s="1">
        <v>1</v>
      </c>
      <c r="I911" s="1">
        <v>0</v>
      </c>
      <c r="J911" s="1">
        <v>1</v>
      </c>
      <c r="K911" s="1">
        <v>0</v>
      </c>
      <c r="L911" s="1">
        <v>1</v>
      </c>
      <c r="M911" s="1">
        <v>1</v>
      </c>
    </row>
    <row r="912" spans="1:13">
      <c r="A912" s="1">
        <v>911</v>
      </c>
      <c r="B912" s="1">
        <v>842325.5858</v>
      </c>
      <c r="C912" s="1">
        <v>1834567.5100196614</v>
      </c>
      <c r="D912" s="1">
        <f t="shared" si="14"/>
        <v>-992241.92421966139</v>
      </c>
      <c r="E912" s="1">
        <v>14</v>
      </c>
      <c r="F912" s="1">
        <v>17</v>
      </c>
      <c r="G912" s="1">
        <v>4</v>
      </c>
      <c r="H912" s="1">
        <v>0</v>
      </c>
      <c r="I912" s="1">
        <v>0</v>
      </c>
      <c r="J912" s="1">
        <v>1</v>
      </c>
      <c r="K912" s="1">
        <v>0</v>
      </c>
      <c r="L912" s="1">
        <v>0</v>
      </c>
      <c r="M912" s="1">
        <v>1</v>
      </c>
    </row>
    <row r="913" spans="1:13">
      <c r="A913" s="1">
        <v>912</v>
      </c>
      <c r="B913" s="1">
        <v>893019.04029999999</v>
      </c>
      <c r="C913" s="1">
        <v>776184.39722824981</v>
      </c>
      <c r="D913" s="1">
        <f t="shared" si="14"/>
        <v>116834.64307175018</v>
      </c>
      <c r="E913" s="1">
        <v>6</v>
      </c>
      <c r="F913" s="1">
        <v>24</v>
      </c>
      <c r="G913" s="1">
        <v>5</v>
      </c>
      <c r="H913" s="1">
        <v>1</v>
      </c>
      <c r="I913" s="1">
        <v>0</v>
      </c>
      <c r="J913" s="1">
        <v>1</v>
      </c>
      <c r="K913" s="1">
        <v>1</v>
      </c>
      <c r="L913" s="1">
        <v>0</v>
      </c>
      <c r="M913" s="1">
        <v>0</v>
      </c>
    </row>
    <row r="914" spans="1:13">
      <c r="A914" s="1">
        <v>913</v>
      </c>
      <c r="B914" s="1">
        <v>790353.93940000003</v>
      </c>
      <c r="C914" s="1">
        <v>960977.48710997577</v>
      </c>
      <c r="D914" s="1">
        <f t="shared" si="14"/>
        <v>-170623.54770997574</v>
      </c>
      <c r="E914" s="1">
        <v>17</v>
      </c>
      <c r="F914" s="1">
        <v>15</v>
      </c>
      <c r="G914" s="1">
        <v>3</v>
      </c>
      <c r="H914" s="1">
        <v>2</v>
      </c>
      <c r="I914" s="1">
        <v>0</v>
      </c>
      <c r="J914" s="1">
        <v>1</v>
      </c>
      <c r="K914" s="1">
        <v>0</v>
      </c>
      <c r="L914" s="1">
        <v>0</v>
      </c>
      <c r="M914" s="1">
        <v>1</v>
      </c>
    </row>
    <row r="915" spans="1:13">
      <c r="A915" s="1">
        <v>914</v>
      </c>
      <c r="B915" s="1">
        <v>900132.071</v>
      </c>
      <c r="C915" s="1">
        <v>873044.91020763537</v>
      </c>
      <c r="D915" s="1">
        <f t="shared" si="14"/>
        <v>27087.160792364622</v>
      </c>
      <c r="E915" s="1">
        <v>22</v>
      </c>
      <c r="F915" s="1">
        <v>10</v>
      </c>
      <c r="G915" s="1">
        <v>3</v>
      </c>
      <c r="H915" s="1">
        <v>2</v>
      </c>
      <c r="I915" s="1">
        <v>0</v>
      </c>
      <c r="J915" s="1">
        <v>1</v>
      </c>
      <c r="K915" s="1">
        <v>1</v>
      </c>
      <c r="L915" s="1">
        <v>0</v>
      </c>
      <c r="M915" s="1">
        <v>0</v>
      </c>
    </row>
    <row r="916" spans="1:13">
      <c r="A916" s="1">
        <v>915</v>
      </c>
      <c r="B916" s="1">
        <v>1024259.3700999999</v>
      </c>
      <c r="C916" s="1">
        <v>3204401.6495774677</v>
      </c>
      <c r="D916" s="1">
        <f t="shared" si="14"/>
        <v>-2180142.2794774678</v>
      </c>
      <c r="E916" s="1">
        <v>11</v>
      </c>
      <c r="F916" s="1">
        <v>18</v>
      </c>
      <c r="G916" s="1">
        <v>6</v>
      </c>
      <c r="H916" s="1">
        <v>1</v>
      </c>
      <c r="I916" s="1">
        <v>0</v>
      </c>
      <c r="J916" s="1">
        <v>1</v>
      </c>
      <c r="K916" s="1">
        <v>1</v>
      </c>
      <c r="L916" s="1">
        <v>0</v>
      </c>
      <c r="M916" s="1">
        <v>0</v>
      </c>
    </row>
    <row r="917" spans="1:13">
      <c r="A917" s="1">
        <v>916</v>
      </c>
      <c r="B917" s="1">
        <v>890471.5882</v>
      </c>
      <c r="C917" s="1">
        <v>974864.98730419856</v>
      </c>
      <c r="D917" s="1">
        <f t="shared" si="14"/>
        <v>-84393.399104198557</v>
      </c>
      <c r="E917" s="1">
        <v>15</v>
      </c>
      <c r="F917" s="1">
        <v>14</v>
      </c>
      <c r="G917" s="1">
        <v>6</v>
      </c>
      <c r="H917" s="1">
        <v>2</v>
      </c>
      <c r="I917" s="1">
        <v>0</v>
      </c>
      <c r="J917" s="1">
        <v>0</v>
      </c>
      <c r="K917" s="1">
        <v>2</v>
      </c>
      <c r="L917" s="1">
        <v>0</v>
      </c>
      <c r="M917" s="1">
        <v>1</v>
      </c>
    </row>
    <row r="918" spans="1:13">
      <c r="A918" s="1">
        <v>917</v>
      </c>
      <c r="B918" s="1">
        <v>897736.75439999998</v>
      </c>
      <c r="C918" s="1">
        <v>735753.8142288042</v>
      </c>
      <c r="D918" s="1">
        <f t="shared" si="14"/>
        <v>161982.94017119578</v>
      </c>
      <c r="E918" s="1">
        <v>16</v>
      </c>
      <c r="F918" s="1">
        <v>13</v>
      </c>
      <c r="G918" s="1">
        <v>6</v>
      </c>
      <c r="H918" s="1">
        <v>1</v>
      </c>
      <c r="I918" s="1">
        <v>0</v>
      </c>
      <c r="J918" s="1">
        <v>0</v>
      </c>
      <c r="K918" s="1">
        <v>1</v>
      </c>
      <c r="L918" s="1">
        <v>0</v>
      </c>
      <c r="M918" s="1">
        <v>0</v>
      </c>
    </row>
    <row r="919" spans="1:13">
      <c r="A919" s="1">
        <v>918</v>
      </c>
      <c r="B919" s="1">
        <v>1072203.7512000001</v>
      </c>
      <c r="C919" s="1">
        <v>785523.79678268218</v>
      </c>
      <c r="D919" s="1">
        <f t="shared" si="14"/>
        <v>286679.95441731787</v>
      </c>
      <c r="E919" s="1">
        <v>6</v>
      </c>
      <c r="F919" s="1">
        <v>24</v>
      </c>
      <c r="G919" s="1">
        <v>5</v>
      </c>
      <c r="H919" s="1">
        <v>2</v>
      </c>
      <c r="I919" s="1">
        <v>0</v>
      </c>
      <c r="J919" s="1">
        <v>0</v>
      </c>
      <c r="K919" s="1">
        <v>1</v>
      </c>
      <c r="L919" s="1">
        <v>0</v>
      </c>
      <c r="M919" s="1">
        <v>0</v>
      </c>
    </row>
    <row r="920" spans="1:13">
      <c r="A920" s="1">
        <v>919</v>
      </c>
      <c r="B920" s="1">
        <v>932268.15899999999</v>
      </c>
      <c r="C920" s="1">
        <v>1491117.1815210814</v>
      </c>
      <c r="D920" s="1">
        <f t="shared" si="14"/>
        <v>-558849.02252108138</v>
      </c>
      <c r="E920" s="1">
        <v>11</v>
      </c>
      <c r="F920" s="1">
        <v>21</v>
      </c>
      <c r="G920" s="1">
        <v>3</v>
      </c>
      <c r="H920" s="1">
        <v>1</v>
      </c>
      <c r="I920" s="1">
        <v>0</v>
      </c>
      <c r="J920" s="1">
        <v>1</v>
      </c>
      <c r="K920" s="1">
        <v>0</v>
      </c>
      <c r="L920" s="1">
        <v>0</v>
      </c>
      <c r="M920" s="1">
        <v>0</v>
      </c>
    </row>
    <row r="921" spans="1:13">
      <c r="A921" s="1">
        <v>920</v>
      </c>
      <c r="B921" s="1">
        <v>898890.4878</v>
      </c>
      <c r="C921" s="1">
        <v>1254802.2683557014</v>
      </c>
      <c r="D921" s="1">
        <f t="shared" si="14"/>
        <v>-355911.78055570135</v>
      </c>
      <c r="E921" s="1">
        <v>23</v>
      </c>
      <c r="F921" s="1">
        <v>7</v>
      </c>
      <c r="G921" s="1">
        <v>5</v>
      </c>
      <c r="H921" s="1">
        <v>1</v>
      </c>
      <c r="I921" s="1">
        <v>0</v>
      </c>
      <c r="J921" s="1">
        <v>1</v>
      </c>
      <c r="K921" s="1">
        <v>0</v>
      </c>
      <c r="L921" s="1">
        <v>0</v>
      </c>
      <c r="M921" s="1">
        <v>0</v>
      </c>
    </row>
    <row r="922" spans="1:13">
      <c r="A922" s="1">
        <v>921</v>
      </c>
      <c r="B922" s="1">
        <v>930751.90159999998</v>
      </c>
      <c r="C922" s="1">
        <v>1888849.0957031054</v>
      </c>
      <c r="D922" s="1">
        <f t="shared" si="14"/>
        <v>-958097.19410310546</v>
      </c>
      <c r="E922" s="1">
        <v>15</v>
      </c>
      <c r="F922" s="1">
        <v>14</v>
      </c>
      <c r="G922" s="1">
        <v>6</v>
      </c>
      <c r="H922" s="1">
        <v>1</v>
      </c>
      <c r="I922" s="1">
        <v>0</v>
      </c>
      <c r="J922" s="1">
        <v>0</v>
      </c>
      <c r="K922" s="1">
        <v>2</v>
      </c>
      <c r="L922" s="1">
        <v>0</v>
      </c>
      <c r="M922" s="1">
        <v>1</v>
      </c>
    </row>
    <row r="923" spans="1:13">
      <c r="A923" s="1">
        <v>922</v>
      </c>
      <c r="B923" s="1">
        <v>947201.22420000006</v>
      </c>
      <c r="C923" s="1">
        <v>510607.60584747395</v>
      </c>
      <c r="D923" s="1">
        <f t="shared" si="14"/>
        <v>436593.6183525261</v>
      </c>
      <c r="E923" s="1">
        <v>13</v>
      </c>
      <c r="F923" s="1">
        <v>16</v>
      </c>
      <c r="G923" s="1">
        <v>6</v>
      </c>
      <c r="H923" s="1">
        <v>1</v>
      </c>
      <c r="I923" s="1">
        <v>0</v>
      </c>
      <c r="J923" s="1">
        <v>0</v>
      </c>
      <c r="K923" s="1">
        <v>1</v>
      </c>
      <c r="L923" s="1">
        <v>0</v>
      </c>
      <c r="M923" s="1">
        <v>1</v>
      </c>
    </row>
    <row r="924" spans="1:13">
      <c r="A924" s="1">
        <v>923</v>
      </c>
      <c r="B924" s="1">
        <v>976677.76260000002</v>
      </c>
      <c r="C924" s="1">
        <v>757974.2087398686</v>
      </c>
      <c r="D924" s="1">
        <f t="shared" si="14"/>
        <v>218703.55386013142</v>
      </c>
      <c r="E924" s="1">
        <v>10</v>
      </c>
      <c r="F924" s="1">
        <v>17</v>
      </c>
      <c r="G924" s="1">
        <v>8</v>
      </c>
      <c r="H924" s="1">
        <v>2</v>
      </c>
      <c r="I924" s="1">
        <v>0</v>
      </c>
      <c r="J924" s="1">
        <v>0</v>
      </c>
      <c r="K924" s="1">
        <v>1</v>
      </c>
      <c r="L924" s="1">
        <v>0</v>
      </c>
      <c r="M924" s="1">
        <v>1</v>
      </c>
    </row>
    <row r="925" spans="1:13">
      <c r="A925" s="1">
        <v>924</v>
      </c>
      <c r="B925" s="1">
        <v>937826.01040000003</v>
      </c>
      <c r="C925" s="1">
        <v>1538835.2388732922</v>
      </c>
      <c r="D925" s="1">
        <f t="shared" si="14"/>
        <v>-601009.2284732922</v>
      </c>
      <c r="E925" s="1">
        <v>13</v>
      </c>
      <c r="F925" s="1">
        <v>17</v>
      </c>
      <c r="G925" s="1">
        <v>5</v>
      </c>
      <c r="H925" s="1">
        <v>0</v>
      </c>
      <c r="I925" s="1">
        <v>1</v>
      </c>
      <c r="J925" s="1">
        <v>0</v>
      </c>
      <c r="K925" s="1">
        <v>1</v>
      </c>
      <c r="L925" s="1">
        <v>0</v>
      </c>
      <c r="M925" s="1">
        <v>0</v>
      </c>
    </row>
    <row r="926" spans="1:13">
      <c r="A926" s="1">
        <v>925</v>
      </c>
      <c r="B926" s="1">
        <v>929120.9264</v>
      </c>
      <c r="C926" s="1">
        <v>654285.64105358848</v>
      </c>
      <c r="D926" s="1">
        <f t="shared" si="14"/>
        <v>274835.28534641152</v>
      </c>
      <c r="E926" s="1">
        <v>9</v>
      </c>
      <c r="F926" s="1">
        <v>22</v>
      </c>
      <c r="G926" s="1">
        <v>4</v>
      </c>
      <c r="H926" s="1">
        <v>0</v>
      </c>
      <c r="I926" s="1">
        <v>0</v>
      </c>
      <c r="J926" s="1">
        <v>2</v>
      </c>
      <c r="K926" s="1">
        <v>0</v>
      </c>
      <c r="L926" s="1">
        <v>0</v>
      </c>
      <c r="M926" s="1">
        <v>1</v>
      </c>
    </row>
    <row r="927" spans="1:13">
      <c r="A927" s="1">
        <v>926</v>
      </c>
      <c r="B927" s="1">
        <v>908824.62670000002</v>
      </c>
      <c r="C927" s="1">
        <v>974095.13684941584</v>
      </c>
      <c r="D927" s="1">
        <f t="shared" si="14"/>
        <v>-65270.510149415815</v>
      </c>
      <c r="E927" s="1">
        <v>5</v>
      </c>
      <c r="F927" s="1">
        <v>23</v>
      </c>
      <c r="G927" s="1">
        <v>7</v>
      </c>
      <c r="H927" s="1">
        <v>0</v>
      </c>
      <c r="I927" s="1">
        <v>2</v>
      </c>
      <c r="J927" s="1">
        <v>0</v>
      </c>
      <c r="K927" s="1">
        <v>0</v>
      </c>
      <c r="L927" s="1">
        <v>0</v>
      </c>
      <c r="M927" s="1">
        <v>0</v>
      </c>
    </row>
    <row r="928" spans="1:13">
      <c r="A928" s="1">
        <v>927</v>
      </c>
      <c r="B928" s="1">
        <v>1048194.5709</v>
      </c>
      <c r="C928" s="1">
        <v>655743.63870659552</v>
      </c>
      <c r="D928" s="1">
        <f t="shared" si="14"/>
        <v>392450.93219340453</v>
      </c>
      <c r="E928" s="1">
        <v>10</v>
      </c>
      <c r="F928" s="1">
        <v>19</v>
      </c>
      <c r="G928" s="1">
        <v>6</v>
      </c>
      <c r="H928" s="1">
        <v>1</v>
      </c>
      <c r="I928" s="1">
        <v>1</v>
      </c>
      <c r="J928" s="1">
        <v>0</v>
      </c>
      <c r="K928" s="1">
        <v>0</v>
      </c>
      <c r="L928" s="1">
        <v>1</v>
      </c>
      <c r="M928" s="1">
        <v>1</v>
      </c>
    </row>
    <row r="929" spans="1:13">
      <c r="A929" s="1">
        <v>928</v>
      </c>
      <c r="B929" s="1">
        <v>871861.91480000003</v>
      </c>
      <c r="C929" s="1">
        <v>684702.28813392331</v>
      </c>
      <c r="D929" s="1">
        <f t="shared" si="14"/>
        <v>187159.62666607671</v>
      </c>
      <c r="E929" s="1">
        <v>15</v>
      </c>
      <c r="F929" s="1">
        <v>16</v>
      </c>
      <c r="G929" s="1">
        <v>4</v>
      </c>
      <c r="H929" s="1">
        <v>0</v>
      </c>
      <c r="I929" s="1">
        <v>0</v>
      </c>
      <c r="J929" s="1">
        <v>0</v>
      </c>
      <c r="K929" s="1">
        <v>2</v>
      </c>
      <c r="L929" s="1">
        <v>0</v>
      </c>
      <c r="M929" s="1">
        <v>0</v>
      </c>
    </row>
    <row r="930" spans="1:13">
      <c r="A930" s="1">
        <v>929</v>
      </c>
      <c r="B930" s="1">
        <v>890872.26560000004</v>
      </c>
      <c r="C930" s="1">
        <v>643062.43039158965</v>
      </c>
      <c r="D930" s="1">
        <f t="shared" si="14"/>
        <v>247809.8352084104</v>
      </c>
      <c r="E930" s="1">
        <v>12</v>
      </c>
      <c r="F930" s="1">
        <v>19</v>
      </c>
      <c r="G930" s="1">
        <v>4</v>
      </c>
      <c r="H930" s="1">
        <v>1</v>
      </c>
      <c r="I930" s="1">
        <v>1</v>
      </c>
      <c r="J930" s="1">
        <v>2</v>
      </c>
      <c r="K930" s="1">
        <v>0</v>
      </c>
      <c r="L930" s="1">
        <v>0</v>
      </c>
      <c r="M930" s="1">
        <v>0</v>
      </c>
    </row>
    <row r="931" spans="1:13">
      <c r="A931" s="1">
        <v>930</v>
      </c>
      <c r="B931" s="1">
        <v>1117625.5330000001</v>
      </c>
      <c r="C931" s="1">
        <v>854977.26478150988</v>
      </c>
      <c r="D931" s="1">
        <f t="shared" si="14"/>
        <v>262648.26821849018</v>
      </c>
      <c r="E931" s="1">
        <v>1</v>
      </c>
      <c r="F931" s="1">
        <v>30</v>
      </c>
      <c r="G931" s="1">
        <v>4</v>
      </c>
      <c r="H931" s="1">
        <v>1</v>
      </c>
      <c r="I931" s="1">
        <v>0</v>
      </c>
      <c r="J931" s="1">
        <v>2</v>
      </c>
      <c r="K931" s="1">
        <v>0</v>
      </c>
      <c r="L931" s="1">
        <v>0</v>
      </c>
      <c r="M931" s="1">
        <v>0</v>
      </c>
    </row>
    <row r="932" spans="1:13">
      <c r="A932" s="1">
        <v>931</v>
      </c>
      <c r="B932" s="1">
        <v>1031628.0474</v>
      </c>
      <c r="C932" s="1">
        <v>790522.55709780473</v>
      </c>
      <c r="D932" s="1">
        <f t="shared" si="14"/>
        <v>241105.49030219531</v>
      </c>
      <c r="E932" s="1">
        <v>12</v>
      </c>
      <c r="F932" s="1">
        <v>19</v>
      </c>
      <c r="G932" s="1">
        <v>4</v>
      </c>
      <c r="H932" s="1">
        <v>2</v>
      </c>
      <c r="I932" s="1">
        <v>0</v>
      </c>
      <c r="J932" s="1">
        <v>1</v>
      </c>
      <c r="K932" s="1">
        <v>0</v>
      </c>
      <c r="L932" s="1">
        <v>0</v>
      </c>
      <c r="M932" s="1">
        <v>0</v>
      </c>
    </row>
    <row r="933" spans="1:13">
      <c r="A933" s="1">
        <v>932</v>
      </c>
      <c r="B933" s="1">
        <v>986407.12520000001</v>
      </c>
      <c r="C933" s="1">
        <v>680628.42373266327</v>
      </c>
      <c r="D933" s="1">
        <f t="shared" si="14"/>
        <v>305778.70146733674</v>
      </c>
      <c r="E933" s="1">
        <v>14</v>
      </c>
      <c r="F933" s="1">
        <v>17</v>
      </c>
      <c r="G933" s="1">
        <v>4</v>
      </c>
      <c r="H933" s="1">
        <v>1</v>
      </c>
      <c r="I933" s="1">
        <v>1</v>
      </c>
      <c r="J933" s="1">
        <v>2</v>
      </c>
      <c r="K933" s="1">
        <v>0</v>
      </c>
      <c r="L933" s="1">
        <v>0</v>
      </c>
      <c r="M933" s="1">
        <v>0</v>
      </c>
    </row>
    <row r="934" spans="1:13">
      <c r="A934" s="1">
        <v>933</v>
      </c>
      <c r="B934" s="1">
        <v>869427.61060000001</v>
      </c>
      <c r="C934" s="1">
        <v>795688.67325780855</v>
      </c>
      <c r="D934" s="1">
        <f t="shared" si="14"/>
        <v>73738.937342191464</v>
      </c>
      <c r="E934" s="1">
        <v>14</v>
      </c>
      <c r="F934" s="1">
        <v>17</v>
      </c>
      <c r="G934" s="1">
        <v>4</v>
      </c>
      <c r="H934" s="1">
        <v>1</v>
      </c>
      <c r="I934" s="1">
        <v>0</v>
      </c>
      <c r="J934" s="1">
        <v>0</v>
      </c>
      <c r="K934" s="1">
        <v>0</v>
      </c>
      <c r="L934" s="1">
        <v>0</v>
      </c>
      <c r="M934" s="1">
        <v>0</v>
      </c>
    </row>
    <row r="935" spans="1:13">
      <c r="A935" s="1">
        <v>934</v>
      </c>
      <c r="B935" s="1">
        <v>1015338.5476</v>
      </c>
      <c r="C935" s="1">
        <v>1221200.8926949608</v>
      </c>
      <c r="D935" s="1">
        <f t="shared" si="14"/>
        <v>-205862.34509496076</v>
      </c>
      <c r="E935" s="1">
        <v>12</v>
      </c>
      <c r="F935" s="1">
        <v>17</v>
      </c>
      <c r="G935" s="1">
        <v>6</v>
      </c>
      <c r="H935" s="1">
        <v>1</v>
      </c>
      <c r="I935" s="1">
        <v>0</v>
      </c>
      <c r="J935" s="1">
        <v>0</v>
      </c>
      <c r="K935" s="1">
        <v>1</v>
      </c>
      <c r="L935" s="1">
        <v>0</v>
      </c>
      <c r="M935" s="1">
        <v>0</v>
      </c>
    </row>
    <row r="936" spans="1:13">
      <c r="A936" s="1">
        <v>935</v>
      </c>
      <c r="B936" s="1">
        <v>865809.17310000001</v>
      </c>
      <c r="C936" s="1">
        <v>639768.2642767129</v>
      </c>
      <c r="D936" s="1">
        <f t="shared" si="14"/>
        <v>226040.90882328711</v>
      </c>
      <c r="E936" s="1">
        <v>12</v>
      </c>
      <c r="F936" s="1">
        <v>18</v>
      </c>
      <c r="G936" s="1">
        <v>5</v>
      </c>
      <c r="H936" s="1">
        <v>0</v>
      </c>
      <c r="I936" s="1">
        <v>0</v>
      </c>
      <c r="J936" s="1">
        <v>1</v>
      </c>
      <c r="K936" s="1">
        <v>0</v>
      </c>
      <c r="L936" s="1">
        <v>0</v>
      </c>
      <c r="M936" s="1">
        <v>0</v>
      </c>
    </row>
    <row r="937" spans="1:13">
      <c r="A937" s="1">
        <v>936</v>
      </c>
      <c r="B937" s="1">
        <v>913761.36029999994</v>
      </c>
      <c r="C937" s="1">
        <v>767893.14217085473</v>
      </c>
      <c r="D937" s="1">
        <f t="shared" si="14"/>
        <v>145868.21812914521</v>
      </c>
      <c r="E937" s="1">
        <v>6</v>
      </c>
      <c r="F937" s="1">
        <v>23</v>
      </c>
      <c r="G937" s="1">
        <v>6</v>
      </c>
      <c r="H937" s="1">
        <v>1</v>
      </c>
      <c r="I937" s="1">
        <v>0</v>
      </c>
      <c r="J937" s="1">
        <v>0</v>
      </c>
      <c r="K937" s="1">
        <v>0</v>
      </c>
      <c r="L937" s="1">
        <v>1</v>
      </c>
      <c r="M937" s="1">
        <v>0</v>
      </c>
    </row>
    <row r="938" spans="1:13">
      <c r="A938" s="1">
        <v>937</v>
      </c>
      <c r="B938" s="1">
        <v>918851.69279999996</v>
      </c>
      <c r="C938" s="1">
        <v>789818.10956465779</v>
      </c>
      <c r="D938" s="1">
        <f t="shared" si="14"/>
        <v>129033.58323534217</v>
      </c>
      <c r="E938" s="1">
        <v>14</v>
      </c>
      <c r="F938" s="1">
        <v>15</v>
      </c>
      <c r="G938" s="1">
        <v>6</v>
      </c>
      <c r="H938" s="1">
        <v>2</v>
      </c>
      <c r="I938" s="1">
        <v>0</v>
      </c>
      <c r="J938" s="1">
        <v>1</v>
      </c>
      <c r="K938" s="1">
        <v>0</v>
      </c>
      <c r="L938" s="1">
        <v>0</v>
      </c>
      <c r="M938" s="1">
        <v>0</v>
      </c>
    </row>
    <row r="939" spans="1:13">
      <c r="A939" s="1">
        <v>938</v>
      </c>
      <c r="B939" s="1">
        <v>1065297.2296</v>
      </c>
      <c r="C939" s="1">
        <v>524413.23367243796</v>
      </c>
      <c r="D939" s="1">
        <f t="shared" si="14"/>
        <v>540883.99592756201</v>
      </c>
      <c r="E939" s="1">
        <v>5</v>
      </c>
      <c r="F939" s="1">
        <v>27</v>
      </c>
      <c r="G939" s="1">
        <v>3</v>
      </c>
      <c r="H939" s="1">
        <v>2</v>
      </c>
      <c r="I939" s="1">
        <v>0</v>
      </c>
      <c r="J939" s="1">
        <v>0</v>
      </c>
      <c r="K939" s="1">
        <v>0</v>
      </c>
      <c r="L939" s="1">
        <v>0</v>
      </c>
      <c r="M939" s="1">
        <v>0</v>
      </c>
    </row>
    <row r="940" spans="1:13">
      <c r="A940" s="1">
        <v>939</v>
      </c>
      <c r="B940" s="1">
        <v>979585.82530000003</v>
      </c>
      <c r="C940" s="1">
        <v>969769.29816283006</v>
      </c>
      <c r="D940" s="1">
        <f t="shared" si="14"/>
        <v>9816.5271371699637</v>
      </c>
      <c r="E940" s="1">
        <v>13</v>
      </c>
      <c r="F940" s="1">
        <v>15</v>
      </c>
      <c r="G940" s="1">
        <v>7</v>
      </c>
      <c r="H940" s="1">
        <v>1</v>
      </c>
      <c r="I940" s="1">
        <v>0</v>
      </c>
      <c r="J940" s="1">
        <v>0</v>
      </c>
      <c r="K940" s="1">
        <v>0</v>
      </c>
      <c r="L940" s="1">
        <v>0</v>
      </c>
      <c r="M940" s="1">
        <v>0</v>
      </c>
    </row>
    <row r="941" spans="1:13">
      <c r="A941" s="1">
        <v>940</v>
      </c>
      <c r="B941" s="1">
        <v>890798.13359999994</v>
      </c>
      <c r="C941" s="1">
        <v>993380.28145200713</v>
      </c>
      <c r="D941" s="1">
        <f t="shared" si="14"/>
        <v>-102582.14785200718</v>
      </c>
      <c r="E941" s="1">
        <v>23</v>
      </c>
      <c r="F941" s="1">
        <v>8</v>
      </c>
      <c r="G941" s="1">
        <v>4</v>
      </c>
      <c r="H941" s="1">
        <v>2</v>
      </c>
      <c r="I941" s="1">
        <v>0</v>
      </c>
      <c r="J941" s="1">
        <v>0</v>
      </c>
      <c r="K941" s="1">
        <v>2</v>
      </c>
      <c r="L941" s="1">
        <v>0</v>
      </c>
      <c r="M941" s="1">
        <v>0</v>
      </c>
    </row>
    <row r="942" spans="1:13">
      <c r="A942" s="1">
        <v>941</v>
      </c>
      <c r="B942" s="1">
        <v>968216.83440000005</v>
      </c>
      <c r="C942" s="1">
        <v>1085412.7040153174</v>
      </c>
      <c r="D942" s="1">
        <f t="shared" si="14"/>
        <v>-117195.86961531732</v>
      </c>
      <c r="E942" s="1">
        <v>12</v>
      </c>
      <c r="F942" s="1">
        <v>19</v>
      </c>
      <c r="G942" s="1">
        <v>4</v>
      </c>
      <c r="H942" s="1">
        <v>2</v>
      </c>
      <c r="I942" s="1">
        <v>0</v>
      </c>
      <c r="J942" s="1">
        <v>1</v>
      </c>
      <c r="K942" s="1">
        <v>1</v>
      </c>
      <c r="L942" s="1">
        <v>0</v>
      </c>
      <c r="M942" s="1">
        <v>0</v>
      </c>
    </row>
    <row r="943" spans="1:13">
      <c r="A943" s="1">
        <v>942</v>
      </c>
      <c r="B943" s="1">
        <v>1060877.0519000001</v>
      </c>
      <c r="C943" s="1">
        <v>771321.78519196855</v>
      </c>
      <c r="D943" s="1">
        <f t="shared" si="14"/>
        <v>289555.26670803153</v>
      </c>
      <c r="E943" s="1">
        <v>7</v>
      </c>
      <c r="F943" s="1">
        <v>21</v>
      </c>
      <c r="G943" s="1">
        <v>7</v>
      </c>
      <c r="H943" s="1">
        <v>0</v>
      </c>
      <c r="I943" s="1">
        <v>0</v>
      </c>
      <c r="J943" s="1">
        <v>1</v>
      </c>
      <c r="K943" s="1">
        <v>0</v>
      </c>
      <c r="L943" s="1">
        <v>0</v>
      </c>
      <c r="M943" s="1">
        <v>0</v>
      </c>
    </row>
    <row r="944" spans="1:13">
      <c r="A944" s="1">
        <v>943</v>
      </c>
      <c r="B944" s="1">
        <v>867776.06279999996</v>
      </c>
      <c r="C944" s="1">
        <v>1076961.6709261276</v>
      </c>
      <c r="D944" s="1">
        <f t="shared" si="14"/>
        <v>-209185.60812612763</v>
      </c>
      <c r="E944" s="1">
        <v>7</v>
      </c>
      <c r="F944" s="1">
        <v>22</v>
      </c>
      <c r="G944" s="1">
        <v>6</v>
      </c>
      <c r="H944" s="1">
        <v>1</v>
      </c>
      <c r="I944" s="1">
        <v>0</v>
      </c>
      <c r="J944" s="1">
        <v>2</v>
      </c>
      <c r="K944" s="1">
        <v>0</v>
      </c>
      <c r="L944" s="1">
        <v>0</v>
      </c>
      <c r="M944" s="1">
        <v>1</v>
      </c>
    </row>
    <row r="945" spans="1:13">
      <c r="A945" s="1">
        <v>944</v>
      </c>
      <c r="B945" s="1">
        <v>1031610.0638</v>
      </c>
      <c r="C945" s="1">
        <v>987738.97717744461</v>
      </c>
      <c r="D945" s="1">
        <f t="shared" si="14"/>
        <v>43871.086622555391</v>
      </c>
      <c r="E945" s="1">
        <v>6</v>
      </c>
      <c r="F945" s="1">
        <v>23</v>
      </c>
      <c r="G945" s="1">
        <v>6</v>
      </c>
      <c r="H945" s="1">
        <v>1</v>
      </c>
      <c r="I945" s="1">
        <v>0</v>
      </c>
      <c r="J945" s="1">
        <v>0</v>
      </c>
      <c r="K945" s="1">
        <v>0</v>
      </c>
      <c r="L945" s="1">
        <v>0</v>
      </c>
      <c r="M945" s="1">
        <v>0</v>
      </c>
    </row>
    <row r="946" spans="1:13">
      <c r="A946" s="1">
        <v>945</v>
      </c>
      <c r="B946" s="1">
        <v>978184.03090000001</v>
      </c>
      <c r="C946" s="1">
        <v>940468.05507983244</v>
      </c>
      <c r="D946" s="1">
        <f t="shared" si="14"/>
        <v>37715.975820167572</v>
      </c>
      <c r="E946" s="1">
        <v>19</v>
      </c>
      <c r="F946" s="1">
        <v>12</v>
      </c>
      <c r="G946" s="1">
        <v>4</v>
      </c>
      <c r="H946" s="1">
        <v>0</v>
      </c>
      <c r="I946" s="1">
        <v>0</v>
      </c>
      <c r="J946" s="1">
        <v>2</v>
      </c>
      <c r="K946" s="1">
        <v>0</v>
      </c>
      <c r="L946" s="1">
        <v>0</v>
      </c>
      <c r="M946" s="1">
        <v>0</v>
      </c>
    </row>
    <row r="947" spans="1:13">
      <c r="A947" s="1">
        <v>946</v>
      </c>
      <c r="B947" s="1">
        <v>938842.68550000002</v>
      </c>
      <c r="C947" s="1">
        <v>857055.27732192155</v>
      </c>
      <c r="D947" s="1">
        <f t="shared" si="14"/>
        <v>81787.408178078476</v>
      </c>
      <c r="E947" s="1">
        <v>8</v>
      </c>
      <c r="F947" s="1">
        <v>22</v>
      </c>
      <c r="G947" s="1">
        <v>5</v>
      </c>
      <c r="H947" s="1">
        <v>2</v>
      </c>
      <c r="I947" s="1">
        <v>0</v>
      </c>
      <c r="J947" s="1">
        <v>0</v>
      </c>
      <c r="K947" s="1">
        <v>2</v>
      </c>
      <c r="L947" s="1">
        <v>0</v>
      </c>
      <c r="M947" s="1">
        <v>1</v>
      </c>
    </row>
    <row r="948" spans="1:13">
      <c r="A948" s="1">
        <v>947</v>
      </c>
      <c r="B948" s="1">
        <v>998026.73869999999</v>
      </c>
      <c r="C948" s="1">
        <v>1024343.3157753702</v>
      </c>
      <c r="D948" s="1">
        <f t="shared" si="14"/>
        <v>-26316.577075370238</v>
      </c>
      <c r="E948" s="1">
        <v>11</v>
      </c>
      <c r="F948" s="1">
        <v>20</v>
      </c>
      <c r="G948" s="1">
        <v>4</v>
      </c>
      <c r="H948" s="1">
        <v>1</v>
      </c>
      <c r="I948" s="1">
        <v>0</v>
      </c>
      <c r="J948" s="1">
        <v>1</v>
      </c>
      <c r="K948" s="1">
        <v>1</v>
      </c>
      <c r="L948" s="1">
        <v>0</v>
      </c>
      <c r="M948" s="1">
        <v>0</v>
      </c>
    </row>
    <row r="949" spans="1:13">
      <c r="A949" s="1">
        <v>948</v>
      </c>
      <c r="B949" s="1">
        <v>1013738.3964</v>
      </c>
      <c r="C949" s="1">
        <v>564497.94460013113</v>
      </c>
      <c r="D949" s="1">
        <f t="shared" si="14"/>
        <v>449240.45179986884</v>
      </c>
      <c r="E949" s="1">
        <v>11</v>
      </c>
      <c r="F949" s="1">
        <v>19</v>
      </c>
      <c r="G949" s="1">
        <v>5</v>
      </c>
      <c r="H949" s="1">
        <v>1</v>
      </c>
      <c r="I949" s="1">
        <v>1</v>
      </c>
      <c r="J949" s="1">
        <v>0</v>
      </c>
      <c r="K949" s="1">
        <v>2</v>
      </c>
      <c r="L949" s="1">
        <v>0</v>
      </c>
      <c r="M949" s="1">
        <v>0</v>
      </c>
    </row>
    <row r="950" spans="1:13">
      <c r="A950" s="1">
        <v>949</v>
      </c>
      <c r="B950" s="1">
        <v>939648.46979999996</v>
      </c>
      <c r="C950" s="1">
        <v>947911.41160696314</v>
      </c>
      <c r="D950" s="1">
        <f t="shared" si="14"/>
        <v>-8262.9418069631793</v>
      </c>
      <c r="E950" s="1">
        <v>7</v>
      </c>
      <c r="F950" s="1">
        <v>23</v>
      </c>
      <c r="G950" s="1">
        <v>5</v>
      </c>
      <c r="H950" s="1">
        <v>0</v>
      </c>
      <c r="I950" s="1">
        <v>1</v>
      </c>
      <c r="J950" s="1">
        <v>0</v>
      </c>
      <c r="K950" s="1">
        <v>0</v>
      </c>
      <c r="L950" s="1">
        <v>1</v>
      </c>
      <c r="M950" s="1">
        <v>0</v>
      </c>
    </row>
    <row r="951" spans="1:13">
      <c r="A951" s="1">
        <v>950</v>
      </c>
      <c r="B951" s="1">
        <v>1057645.7056</v>
      </c>
      <c r="C951" s="1">
        <v>838682.59483669512</v>
      </c>
      <c r="D951" s="1">
        <f t="shared" si="14"/>
        <v>218963.11076330487</v>
      </c>
      <c r="E951" s="1">
        <v>8</v>
      </c>
      <c r="F951" s="1">
        <v>20</v>
      </c>
      <c r="G951" s="1">
        <v>7</v>
      </c>
      <c r="H951" s="1">
        <v>1</v>
      </c>
      <c r="I951" s="1">
        <v>0</v>
      </c>
      <c r="J951" s="1">
        <v>0</v>
      </c>
      <c r="K951" s="1">
        <v>0</v>
      </c>
      <c r="L951" s="1">
        <v>0</v>
      </c>
      <c r="M951" s="1">
        <v>0</v>
      </c>
    </row>
    <row r="952" spans="1:13">
      <c r="A952" s="1">
        <v>951</v>
      </c>
      <c r="B952" s="1">
        <v>924510.99419999996</v>
      </c>
      <c r="C952" s="1">
        <v>672275.26795198035</v>
      </c>
      <c r="D952" s="1">
        <f t="shared" si="14"/>
        <v>252235.72624801961</v>
      </c>
      <c r="E952" s="1">
        <v>15</v>
      </c>
      <c r="F952" s="1">
        <v>14</v>
      </c>
      <c r="G952" s="1">
        <v>6</v>
      </c>
      <c r="H952" s="1">
        <v>1</v>
      </c>
      <c r="I952" s="1">
        <v>0</v>
      </c>
      <c r="J952" s="1">
        <v>1</v>
      </c>
      <c r="K952" s="1">
        <v>1</v>
      </c>
      <c r="L952" s="1">
        <v>0</v>
      </c>
      <c r="M952" s="1">
        <v>1</v>
      </c>
    </row>
    <row r="953" spans="1:13">
      <c r="A953" s="1">
        <v>952</v>
      </c>
      <c r="B953" s="1">
        <v>896809.62069999997</v>
      </c>
      <c r="C953" s="1">
        <v>1126679.6772222645</v>
      </c>
      <c r="D953" s="1">
        <f t="shared" si="14"/>
        <v>-229870.05652226449</v>
      </c>
      <c r="E953" s="1">
        <v>17</v>
      </c>
      <c r="F953" s="1">
        <v>14</v>
      </c>
      <c r="G953" s="1">
        <v>4</v>
      </c>
      <c r="H953" s="1">
        <v>0</v>
      </c>
      <c r="I953" s="1">
        <v>0</v>
      </c>
      <c r="J953" s="1">
        <v>0</v>
      </c>
      <c r="K953" s="1">
        <v>2</v>
      </c>
      <c r="L953" s="1">
        <v>0</v>
      </c>
      <c r="M953" s="1">
        <v>1</v>
      </c>
    </row>
    <row r="954" spans="1:13">
      <c r="A954" s="1">
        <v>953</v>
      </c>
      <c r="B954" s="1">
        <v>913111.79200000002</v>
      </c>
      <c r="C954" s="1">
        <v>1073856.4156498942</v>
      </c>
      <c r="D954" s="1">
        <f t="shared" si="14"/>
        <v>-160744.62364989414</v>
      </c>
      <c r="E954" s="1">
        <v>9</v>
      </c>
      <c r="F954" s="1">
        <v>24</v>
      </c>
      <c r="G954" s="1">
        <v>2</v>
      </c>
      <c r="H954" s="1">
        <v>0</v>
      </c>
      <c r="I954" s="1">
        <v>0</v>
      </c>
      <c r="J954" s="1">
        <v>1</v>
      </c>
      <c r="K954" s="1">
        <v>1</v>
      </c>
      <c r="L954" s="1">
        <v>0</v>
      </c>
      <c r="M954" s="1">
        <v>1</v>
      </c>
    </row>
    <row r="955" spans="1:13">
      <c r="A955" s="1">
        <v>954</v>
      </c>
      <c r="B955" s="1">
        <v>820901.08050000004</v>
      </c>
      <c r="C955" s="1">
        <v>1433653.3580089437</v>
      </c>
      <c r="D955" s="1">
        <f t="shared" si="14"/>
        <v>-612752.27750894369</v>
      </c>
      <c r="E955" s="1">
        <v>17</v>
      </c>
      <c r="F955" s="1">
        <v>15</v>
      </c>
      <c r="G955" s="1">
        <v>3</v>
      </c>
      <c r="H955" s="1">
        <v>0</v>
      </c>
      <c r="I955" s="1">
        <v>1</v>
      </c>
      <c r="J955" s="1">
        <v>0</v>
      </c>
      <c r="K955" s="1">
        <v>1</v>
      </c>
      <c r="L955" s="1">
        <v>0</v>
      </c>
      <c r="M955" s="1">
        <v>0</v>
      </c>
    </row>
    <row r="956" spans="1:13">
      <c r="A956" s="1">
        <v>955</v>
      </c>
      <c r="B956" s="1">
        <v>975306.67090000003</v>
      </c>
      <c r="C956" s="1">
        <v>1010177.8030834044</v>
      </c>
      <c r="D956" s="1">
        <f t="shared" si="14"/>
        <v>-34871.132183404407</v>
      </c>
      <c r="E956" s="1">
        <v>8</v>
      </c>
      <c r="F956" s="1">
        <v>22</v>
      </c>
      <c r="G956" s="1">
        <v>5</v>
      </c>
      <c r="H956" s="1">
        <v>2</v>
      </c>
      <c r="I956" s="1">
        <v>0</v>
      </c>
      <c r="J956" s="1">
        <v>0</v>
      </c>
      <c r="K956" s="1">
        <v>1</v>
      </c>
      <c r="L956" s="1">
        <v>0</v>
      </c>
      <c r="M956" s="1">
        <v>0</v>
      </c>
    </row>
    <row r="957" spans="1:13">
      <c r="A957" s="1">
        <v>956</v>
      </c>
      <c r="B957" s="1">
        <v>893066.12329999998</v>
      </c>
      <c r="C957" s="1">
        <v>660954.15964570199</v>
      </c>
      <c r="D957" s="1">
        <f t="shared" si="14"/>
        <v>232111.96365429799</v>
      </c>
      <c r="E957" s="1">
        <v>10</v>
      </c>
      <c r="F957" s="1">
        <v>20</v>
      </c>
      <c r="G957" s="1">
        <v>5</v>
      </c>
      <c r="H957" s="1">
        <v>1</v>
      </c>
      <c r="I957" s="1">
        <v>0</v>
      </c>
      <c r="J957" s="1">
        <v>1</v>
      </c>
      <c r="K957" s="1">
        <v>0</v>
      </c>
      <c r="L957" s="1">
        <v>0</v>
      </c>
      <c r="M957" s="1">
        <v>0</v>
      </c>
    </row>
    <row r="958" spans="1:13">
      <c r="A958" s="1">
        <v>957</v>
      </c>
      <c r="B958" s="1">
        <v>865784.87589999998</v>
      </c>
      <c r="C958" s="1">
        <v>812062.21861283993</v>
      </c>
      <c r="D958" s="1">
        <f t="shared" si="14"/>
        <v>53722.657287160051</v>
      </c>
      <c r="E958" s="1">
        <v>16</v>
      </c>
      <c r="F958" s="1">
        <v>17</v>
      </c>
      <c r="G958" s="1">
        <v>2</v>
      </c>
      <c r="H958" s="1">
        <v>1</v>
      </c>
      <c r="I958" s="1">
        <v>0</v>
      </c>
      <c r="J958" s="1">
        <v>0</v>
      </c>
      <c r="K958" s="1">
        <v>1</v>
      </c>
      <c r="L958" s="1">
        <v>0</v>
      </c>
      <c r="M958" s="1">
        <v>0</v>
      </c>
    </row>
    <row r="959" spans="1:13">
      <c r="A959" s="1">
        <v>958</v>
      </c>
      <c r="B959" s="1">
        <v>839253.21459999995</v>
      </c>
      <c r="C959" s="1">
        <v>888611.11054233368</v>
      </c>
      <c r="D959" s="1">
        <f t="shared" si="14"/>
        <v>-49357.895942333736</v>
      </c>
      <c r="E959" s="1">
        <v>16</v>
      </c>
      <c r="F959" s="1">
        <v>17</v>
      </c>
      <c r="G959" s="1">
        <v>2</v>
      </c>
      <c r="H959" s="1">
        <v>2</v>
      </c>
      <c r="I959" s="1">
        <v>0</v>
      </c>
      <c r="J959" s="1">
        <v>0</v>
      </c>
      <c r="K959" s="1">
        <v>0</v>
      </c>
      <c r="L959" s="1">
        <v>1</v>
      </c>
      <c r="M959" s="1">
        <v>0</v>
      </c>
    </row>
    <row r="960" spans="1:13">
      <c r="A960" s="1">
        <v>959</v>
      </c>
      <c r="B960" s="1">
        <v>1113019.4247000001</v>
      </c>
      <c r="C960" s="1">
        <v>457373.30845101655</v>
      </c>
      <c r="D960" s="1">
        <f t="shared" si="14"/>
        <v>655646.11624898354</v>
      </c>
      <c r="E960" s="1">
        <v>8</v>
      </c>
      <c r="F960" s="1">
        <v>23</v>
      </c>
      <c r="G960" s="1">
        <v>4</v>
      </c>
      <c r="H960" s="1">
        <v>1</v>
      </c>
      <c r="I960" s="1">
        <v>0</v>
      </c>
      <c r="J960" s="1">
        <v>2</v>
      </c>
      <c r="K960" s="1">
        <v>0</v>
      </c>
      <c r="L960" s="1">
        <v>0</v>
      </c>
      <c r="M960" s="1">
        <v>0</v>
      </c>
    </row>
    <row r="961" spans="1:13">
      <c r="A961" s="1">
        <v>960</v>
      </c>
      <c r="B961" s="1">
        <v>812669.97739999997</v>
      </c>
      <c r="C961" s="1">
        <v>1506243.989836598</v>
      </c>
      <c r="D961" s="1">
        <f t="shared" si="14"/>
        <v>-693574.01243659807</v>
      </c>
      <c r="E961" s="1">
        <v>15</v>
      </c>
      <c r="F961" s="1">
        <v>15</v>
      </c>
      <c r="G961" s="1">
        <v>5</v>
      </c>
      <c r="H961" s="1">
        <v>1</v>
      </c>
      <c r="I961" s="1">
        <v>0</v>
      </c>
      <c r="J961" s="1">
        <v>0</v>
      </c>
      <c r="K961" s="1">
        <v>0</v>
      </c>
      <c r="L961" s="1">
        <v>0</v>
      </c>
      <c r="M961" s="1">
        <v>0</v>
      </c>
    </row>
    <row r="962" spans="1:13">
      <c r="A962" s="1">
        <v>961</v>
      </c>
      <c r="B962" s="1">
        <v>979245.85340000002</v>
      </c>
      <c r="C962" s="1">
        <v>687068.64249979565</v>
      </c>
      <c r="D962" s="1">
        <f t="shared" ref="D962:D1025" si="15">B962-C962</f>
        <v>292177.21090020437</v>
      </c>
      <c r="E962" s="1">
        <v>17</v>
      </c>
      <c r="F962" s="1">
        <v>13</v>
      </c>
      <c r="G962" s="1">
        <v>5</v>
      </c>
      <c r="H962" s="1">
        <v>1</v>
      </c>
      <c r="I962" s="1">
        <v>0</v>
      </c>
      <c r="J962" s="1">
        <v>0</v>
      </c>
      <c r="K962" s="1">
        <v>1</v>
      </c>
      <c r="L962" s="1">
        <v>1</v>
      </c>
      <c r="M962" s="1">
        <v>1</v>
      </c>
    </row>
    <row r="963" spans="1:13">
      <c r="A963" s="1">
        <v>962</v>
      </c>
      <c r="B963" s="1">
        <v>857202.9068</v>
      </c>
      <c r="C963" s="1">
        <v>1568209.7558302935</v>
      </c>
      <c r="D963" s="1">
        <f t="shared" si="15"/>
        <v>-711006.84903029352</v>
      </c>
      <c r="E963" s="1">
        <v>29</v>
      </c>
      <c r="F963" s="1">
        <v>3</v>
      </c>
      <c r="G963" s="1">
        <v>3</v>
      </c>
      <c r="H963" s="1">
        <v>0</v>
      </c>
      <c r="I963" s="1">
        <v>0</v>
      </c>
      <c r="J963" s="1">
        <v>0</v>
      </c>
      <c r="K963" s="1">
        <v>1</v>
      </c>
      <c r="L963" s="1">
        <v>0</v>
      </c>
      <c r="M963" s="1">
        <v>0</v>
      </c>
    </row>
    <row r="964" spans="1:13">
      <c r="A964" s="1">
        <v>963</v>
      </c>
      <c r="B964" s="1">
        <v>913623.14269999997</v>
      </c>
      <c r="C964" s="1">
        <v>840364.77247469279</v>
      </c>
      <c r="D964" s="1">
        <f t="shared" si="15"/>
        <v>73258.370225307182</v>
      </c>
      <c r="E964" s="1">
        <v>15</v>
      </c>
      <c r="F964" s="1">
        <v>15</v>
      </c>
      <c r="G964" s="1">
        <v>5</v>
      </c>
      <c r="H964" s="1">
        <v>0</v>
      </c>
      <c r="I964" s="1">
        <v>0</v>
      </c>
      <c r="J964" s="1">
        <v>0</v>
      </c>
      <c r="K964" s="1">
        <v>1</v>
      </c>
      <c r="L964" s="1">
        <v>0</v>
      </c>
      <c r="M964" s="1">
        <v>0</v>
      </c>
    </row>
    <row r="965" spans="1:13">
      <c r="A965" s="1">
        <v>964</v>
      </c>
      <c r="B965" s="1">
        <v>832683.4608</v>
      </c>
      <c r="C965" s="1">
        <v>972679.43106694915</v>
      </c>
      <c r="D965" s="1">
        <f t="shared" si="15"/>
        <v>-139995.97026694915</v>
      </c>
      <c r="E965" s="1">
        <v>20</v>
      </c>
      <c r="F965" s="1">
        <v>14</v>
      </c>
      <c r="G965" s="1">
        <v>1</v>
      </c>
      <c r="H965" s="1">
        <v>0</v>
      </c>
      <c r="I965" s="1">
        <v>0</v>
      </c>
      <c r="J965" s="1">
        <v>0</v>
      </c>
      <c r="K965" s="1">
        <v>1</v>
      </c>
      <c r="L965" s="1">
        <v>0</v>
      </c>
      <c r="M965" s="1">
        <v>0</v>
      </c>
    </row>
    <row r="966" spans="1:13">
      <c r="A966" s="1">
        <v>965</v>
      </c>
      <c r="B966" s="1">
        <v>874819.38060000003</v>
      </c>
      <c r="C966" s="1">
        <v>1114309.4638995638</v>
      </c>
      <c r="D966" s="1">
        <f t="shared" si="15"/>
        <v>-239490.08329956373</v>
      </c>
      <c r="E966" s="1">
        <v>13</v>
      </c>
      <c r="F966" s="1">
        <v>17</v>
      </c>
      <c r="G966" s="1">
        <v>5</v>
      </c>
      <c r="H966" s="1">
        <v>1</v>
      </c>
      <c r="I966" s="1">
        <v>0</v>
      </c>
      <c r="J966" s="1">
        <v>2</v>
      </c>
      <c r="K966" s="1">
        <v>0</v>
      </c>
      <c r="L966" s="1">
        <v>0</v>
      </c>
      <c r="M966" s="1">
        <v>0</v>
      </c>
    </row>
    <row r="967" spans="1:13">
      <c r="A967" s="1">
        <v>966</v>
      </c>
      <c r="B967" s="1">
        <v>1037429.4992</v>
      </c>
      <c r="C967" s="1">
        <v>895688.3889886596</v>
      </c>
      <c r="D967" s="1">
        <f t="shared" si="15"/>
        <v>141741.11021134036</v>
      </c>
      <c r="E967" s="1">
        <v>10</v>
      </c>
      <c r="F967" s="1">
        <v>18</v>
      </c>
      <c r="G967" s="1">
        <v>7</v>
      </c>
      <c r="H967" s="1">
        <v>2</v>
      </c>
      <c r="I967" s="1">
        <v>0</v>
      </c>
      <c r="J967" s="1">
        <v>0</v>
      </c>
      <c r="K967" s="1">
        <v>1</v>
      </c>
      <c r="L967" s="1">
        <v>0</v>
      </c>
      <c r="M967" s="1">
        <v>0</v>
      </c>
    </row>
    <row r="968" spans="1:13">
      <c r="A968" s="1">
        <v>967</v>
      </c>
      <c r="B968" s="1">
        <v>1005933.7066</v>
      </c>
      <c r="C968" s="1">
        <v>782366.19722758653</v>
      </c>
      <c r="D968" s="1">
        <f t="shared" si="15"/>
        <v>223567.50937241351</v>
      </c>
      <c r="E968" s="1">
        <v>5</v>
      </c>
      <c r="F968" s="1">
        <v>26</v>
      </c>
      <c r="G968" s="1">
        <v>4</v>
      </c>
      <c r="H968" s="1">
        <v>2</v>
      </c>
      <c r="I968" s="1">
        <v>0</v>
      </c>
      <c r="J968" s="1">
        <v>0</v>
      </c>
      <c r="K968" s="1">
        <v>0</v>
      </c>
      <c r="L968" s="1">
        <v>1</v>
      </c>
      <c r="M968" s="1">
        <v>0</v>
      </c>
    </row>
    <row r="969" spans="1:13">
      <c r="A969" s="1">
        <v>968</v>
      </c>
      <c r="B969" s="1">
        <v>885801.61170000001</v>
      </c>
      <c r="C969" s="1">
        <v>1081658.8415973715</v>
      </c>
      <c r="D969" s="1">
        <f t="shared" si="15"/>
        <v>-195857.22989737149</v>
      </c>
      <c r="E969" s="1">
        <v>14</v>
      </c>
      <c r="F969" s="1">
        <v>17</v>
      </c>
      <c r="G969" s="1">
        <v>4</v>
      </c>
      <c r="H969" s="1">
        <v>0</v>
      </c>
      <c r="I969" s="1">
        <v>0</v>
      </c>
      <c r="J969" s="1">
        <v>0</v>
      </c>
      <c r="K969" s="1">
        <v>0</v>
      </c>
      <c r="L969" s="1">
        <v>0</v>
      </c>
      <c r="M969" s="1">
        <v>0</v>
      </c>
    </row>
    <row r="970" spans="1:13">
      <c r="A970" s="1">
        <v>969</v>
      </c>
      <c r="B970" s="1">
        <v>893385.95140000002</v>
      </c>
      <c r="C970" s="1">
        <v>971515.15318244894</v>
      </c>
      <c r="D970" s="1">
        <f t="shared" si="15"/>
        <v>-78129.201782448916</v>
      </c>
      <c r="E970" s="1">
        <v>10</v>
      </c>
      <c r="F970" s="1">
        <v>19</v>
      </c>
      <c r="G970" s="1">
        <v>6</v>
      </c>
      <c r="H970" s="1">
        <v>0</v>
      </c>
      <c r="I970" s="1">
        <v>0</v>
      </c>
      <c r="J970" s="1">
        <v>0</v>
      </c>
      <c r="K970" s="1">
        <v>1</v>
      </c>
      <c r="L970" s="1">
        <v>0</v>
      </c>
      <c r="M970" s="1">
        <v>0</v>
      </c>
    </row>
    <row r="971" spans="1:13">
      <c r="A971" s="1">
        <v>970</v>
      </c>
      <c r="B971" s="1">
        <v>904618.43370000005</v>
      </c>
      <c r="C971" s="1">
        <v>570026.01535017847</v>
      </c>
      <c r="D971" s="1">
        <f t="shared" si="15"/>
        <v>334592.41834982159</v>
      </c>
      <c r="E971" s="1">
        <v>8</v>
      </c>
      <c r="F971" s="1">
        <v>22</v>
      </c>
      <c r="G971" s="1">
        <v>5</v>
      </c>
      <c r="H971" s="1">
        <v>2</v>
      </c>
      <c r="I971" s="1">
        <v>0</v>
      </c>
      <c r="J971" s="1">
        <v>0</v>
      </c>
      <c r="K971" s="1">
        <v>1</v>
      </c>
      <c r="L971" s="1">
        <v>0</v>
      </c>
      <c r="M971" s="1">
        <v>0</v>
      </c>
    </row>
    <row r="972" spans="1:13">
      <c r="A972" s="1">
        <v>971</v>
      </c>
      <c r="B972" s="1">
        <v>925532.07339999999</v>
      </c>
      <c r="C972" s="1">
        <v>1060301.9447234054</v>
      </c>
      <c r="D972" s="1">
        <f t="shared" si="15"/>
        <v>-134769.87132340542</v>
      </c>
      <c r="E972" s="1">
        <v>18</v>
      </c>
      <c r="F972" s="1">
        <v>14</v>
      </c>
      <c r="G972" s="1">
        <v>3</v>
      </c>
      <c r="H972" s="1">
        <v>1</v>
      </c>
      <c r="I972" s="1">
        <v>0</v>
      </c>
      <c r="J972" s="1">
        <v>1</v>
      </c>
      <c r="K972" s="1">
        <v>0</v>
      </c>
      <c r="L972" s="1">
        <v>0</v>
      </c>
      <c r="M972" s="1">
        <v>0</v>
      </c>
    </row>
    <row r="973" spans="1:13">
      <c r="A973" s="1">
        <v>972</v>
      </c>
      <c r="B973" s="1">
        <v>952104.02709999995</v>
      </c>
      <c r="C973" s="1">
        <v>817257.53725482</v>
      </c>
      <c r="D973" s="1">
        <f t="shared" si="15"/>
        <v>134846.48984517995</v>
      </c>
      <c r="E973" s="1">
        <v>12</v>
      </c>
      <c r="F973" s="1">
        <v>19</v>
      </c>
      <c r="G973" s="1">
        <v>4</v>
      </c>
      <c r="H973" s="1">
        <v>2</v>
      </c>
      <c r="I973" s="1">
        <v>0</v>
      </c>
      <c r="J973" s="1">
        <v>0</v>
      </c>
      <c r="K973" s="1">
        <v>1</v>
      </c>
      <c r="L973" s="1">
        <v>0</v>
      </c>
      <c r="M973" s="1">
        <v>1</v>
      </c>
    </row>
    <row r="974" spans="1:13">
      <c r="A974" s="1">
        <v>973</v>
      </c>
      <c r="B974" s="1">
        <v>966051.14580000006</v>
      </c>
      <c r="C974" s="1">
        <v>1118979.1434193731</v>
      </c>
      <c r="D974" s="1">
        <f t="shared" si="15"/>
        <v>-152927.99761937303</v>
      </c>
      <c r="E974" s="1">
        <v>5</v>
      </c>
      <c r="F974" s="1">
        <v>22</v>
      </c>
      <c r="G974" s="1">
        <v>8</v>
      </c>
      <c r="H974" s="1">
        <v>0</v>
      </c>
      <c r="I974" s="1">
        <v>1</v>
      </c>
      <c r="J974" s="1">
        <v>2</v>
      </c>
      <c r="K974" s="1">
        <v>0</v>
      </c>
      <c r="L974" s="1">
        <v>0</v>
      </c>
      <c r="M974" s="1">
        <v>1</v>
      </c>
    </row>
    <row r="975" spans="1:13">
      <c r="A975" s="1">
        <v>974</v>
      </c>
      <c r="B975" s="1">
        <v>841873.82339999999</v>
      </c>
      <c r="C975" s="1">
        <v>744721.76832913945</v>
      </c>
      <c r="D975" s="1">
        <f t="shared" si="15"/>
        <v>97152.055070860544</v>
      </c>
      <c r="E975" s="1">
        <v>14</v>
      </c>
      <c r="F975" s="1">
        <v>16</v>
      </c>
      <c r="G975" s="1">
        <v>5</v>
      </c>
      <c r="H975" s="1">
        <v>0</v>
      </c>
      <c r="I975" s="1">
        <v>0</v>
      </c>
      <c r="J975" s="1">
        <v>1</v>
      </c>
      <c r="K975" s="1">
        <v>1</v>
      </c>
      <c r="L975" s="1">
        <v>0</v>
      </c>
      <c r="M975" s="1">
        <v>0</v>
      </c>
    </row>
    <row r="976" spans="1:13">
      <c r="A976" s="1">
        <v>975</v>
      </c>
      <c r="B976" s="1">
        <v>884595.03330000001</v>
      </c>
      <c r="C976" s="1">
        <v>723197.0911367262</v>
      </c>
      <c r="D976" s="1">
        <f t="shared" si="15"/>
        <v>161397.94216327381</v>
      </c>
      <c r="E976" s="1">
        <v>9</v>
      </c>
      <c r="F976" s="1">
        <v>20</v>
      </c>
      <c r="G976" s="1">
        <v>6</v>
      </c>
      <c r="H976" s="1">
        <v>2</v>
      </c>
      <c r="I976" s="1">
        <v>0</v>
      </c>
      <c r="J976" s="1">
        <v>0</v>
      </c>
      <c r="K976" s="1">
        <v>0</v>
      </c>
      <c r="L976" s="1">
        <v>0</v>
      </c>
      <c r="M976" s="1">
        <v>1</v>
      </c>
    </row>
    <row r="977" spans="1:13">
      <c r="A977" s="1">
        <v>976</v>
      </c>
      <c r="B977" s="1">
        <v>847881.8946</v>
      </c>
      <c r="C977" s="1">
        <v>1151266.3797391253</v>
      </c>
      <c r="D977" s="1">
        <f t="shared" si="15"/>
        <v>-303384.48513912526</v>
      </c>
      <c r="E977" s="1">
        <v>21</v>
      </c>
      <c r="F977" s="1">
        <v>11</v>
      </c>
      <c r="G977" s="1">
        <v>3</v>
      </c>
      <c r="H977" s="1">
        <v>0</v>
      </c>
      <c r="I977" s="1">
        <v>0</v>
      </c>
      <c r="J977" s="1">
        <v>0</v>
      </c>
      <c r="K977" s="1">
        <v>1</v>
      </c>
      <c r="L977" s="1">
        <v>0</v>
      </c>
      <c r="M977" s="1">
        <v>1</v>
      </c>
    </row>
    <row r="978" spans="1:13">
      <c r="A978" s="1">
        <v>977</v>
      </c>
      <c r="B978" s="1">
        <v>912414.0344</v>
      </c>
      <c r="C978" s="1">
        <v>2733422.8704552026</v>
      </c>
      <c r="D978" s="1">
        <f t="shared" si="15"/>
        <v>-1821008.8360552026</v>
      </c>
      <c r="E978" s="1">
        <v>12</v>
      </c>
      <c r="F978" s="1">
        <v>19</v>
      </c>
      <c r="G978" s="1">
        <v>4</v>
      </c>
      <c r="H978" s="1">
        <v>1</v>
      </c>
      <c r="I978" s="1">
        <v>1</v>
      </c>
      <c r="J978" s="1">
        <v>0</v>
      </c>
      <c r="K978" s="1">
        <v>0</v>
      </c>
      <c r="L978" s="1">
        <v>0</v>
      </c>
      <c r="M978" s="1">
        <v>0</v>
      </c>
    </row>
    <row r="979" spans="1:13">
      <c r="A979" s="1">
        <v>978</v>
      </c>
      <c r="B979" s="1">
        <v>1001344.4125</v>
      </c>
      <c r="C979" s="1">
        <v>776417.3916790603</v>
      </c>
      <c r="D979" s="1">
        <f t="shared" si="15"/>
        <v>224927.02082093968</v>
      </c>
      <c r="E979" s="1">
        <v>12</v>
      </c>
      <c r="F979" s="1">
        <v>19</v>
      </c>
      <c r="G979" s="1">
        <v>4</v>
      </c>
      <c r="H979" s="1">
        <v>0</v>
      </c>
      <c r="I979" s="1">
        <v>1</v>
      </c>
      <c r="J979" s="1">
        <v>2</v>
      </c>
      <c r="K979" s="1">
        <v>0</v>
      </c>
      <c r="L979" s="1">
        <v>0</v>
      </c>
      <c r="M979" s="1">
        <v>0</v>
      </c>
    </row>
    <row r="980" spans="1:13">
      <c r="A980" s="1">
        <v>979</v>
      </c>
      <c r="B980" s="1">
        <v>888698.43980000005</v>
      </c>
      <c r="C980" s="1">
        <v>1034187.9343370649</v>
      </c>
      <c r="D980" s="1">
        <f t="shared" si="15"/>
        <v>-145489.49453706481</v>
      </c>
      <c r="E980" s="1">
        <v>16</v>
      </c>
      <c r="F980" s="1">
        <v>15</v>
      </c>
      <c r="G980" s="1">
        <v>4</v>
      </c>
      <c r="H980" s="1">
        <v>2</v>
      </c>
      <c r="I980" s="1">
        <v>0</v>
      </c>
      <c r="J980" s="1">
        <v>0</v>
      </c>
      <c r="K980" s="1">
        <v>0</v>
      </c>
      <c r="L980" s="1">
        <v>0</v>
      </c>
      <c r="M980" s="1">
        <v>0</v>
      </c>
    </row>
    <row r="981" spans="1:13">
      <c r="A981" s="1">
        <v>980</v>
      </c>
      <c r="B981" s="1">
        <v>945915.58519999997</v>
      </c>
      <c r="C981" s="1">
        <v>1275279.0183894127</v>
      </c>
      <c r="D981" s="1">
        <f t="shared" si="15"/>
        <v>-329363.4331894127</v>
      </c>
      <c r="E981" s="1">
        <v>8</v>
      </c>
      <c r="F981" s="1">
        <v>21</v>
      </c>
      <c r="G981" s="1">
        <v>6</v>
      </c>
      <c r="H981" s="1">
        <v>1</v>
      </c>
      <c r="I981" s="1">
        <v>0</v>
      </c>
      <c r="J981" s="1">
        <v>0</v>
      </c>
      <c r="K981" s="1">
        <v>1</v>
      </c>
      <c r="L981" s="1">
        <v>0</v>
      </c>
      <c r="M981" s="1">
        <v>0</v>
      </c>
    </row>
    <row r="982" spans="1:13">
      <c r="A982" s="1">
        <v>981</v>
      </c>
      <c r="B982" s="1">
        <v>968870.88820000004</v>
      </c>
      <c r="C982" s="1">
        <v>777835.53503979987</v>
      </c>
      <c r="D982" s="1">
        <f t="shared" si="15"/>
        <v>191035.35316020017</v>
      </c>
      <c r="E982" s="1">
        <v>7</v>
      </c>
      <c r="F982" s="1">
        <v>24</v>
      </c>
      <c r="G982" s="1">
        <v>4</v>
      </c>
      <c r="H982" s="1">
        <v>0</v>
      </c>
      <c r="I982" s="1">
        <v>1</v>
      </c>
      <c r="J982" s="1">
        <v>0</v>
      </c>
      <c r="K982" s="1">
        <v>1</v>
      </c>
      <c r="L982" s="1">
        <v>0</v>
      </c>
      <c r="M982" s="1">
        <v>1</v>
      </c>
    </row>
    <row r="983" spans="1:13">
      <c r="A983" s="1">
        <v>982</v>
      </c>
      <c r="B983" s="1">
        <v>946530.92839999998</v>
      </c>
      <c r="C983" s="1">
        <v>1026837.7824454034</v>
      </c>
      <c r="D983" s="1">
        <f t="shared" si="15"/>
        <v>-80306.854045403423</v>
      </c>
      <c r="E983" s="1">
        <v>13</v>
      </c>
      <c r="F983" s="1">
        <v>13</v>
      </c>
      <c r="G983" s="1">
        <v>9</v>
      </c>
      <c r="H983" s="1">
        <v>2</v>
      </c>
      <c r="I983" s="1">
        <v>0</v>
      </c>
      <c r="J983" s="1">
        <v>2</v>
      </c>
      <c r="K983" s="1">
        <v>0</v>
      </c>
      <c r="L983" s="1">
        <v>0</v>
      </c>
      <c r="M983" s="1">
        <v>0</v>
      </c>
    </row>
    <row r="984" spans="1:13">
      <c r="A984" s="1">
        <v>983</v>
      </c>
      <c r="B984" s="1">
        <v>984219.41350000002</v>
      </c>
      <c r="C984" s="1">
        <v>650197.78701912437</v>
      </c>
      <c r="D984" s="1">
        <f t="shared" si="15"/>
        <v>334021.62648087565</v>
      </c>
      <c r="E984" s="1">
        <v>22</v>
      </c>
      <c r="F984" s="1">
        <v>9</v>
      </c>
      <c r="G984" s="1">
        <v>4</v>
      </c>
      <c r="H984" s="1">
        <v>1</v>
      </c>
      <c r="I984" s="1">
        <v>0</v>
      </c>
      <c r="J984" s="1">
        <v>1</v>
      </c>
      <c r="K984" s="1">
        <v>1</v>
      </c>
      <c r="L984" s="1">
        <v>0</v>
      </c>
      <c r="M984" s="1">
        <v>0</v>
      </c>
    </row>
    <row r="985" spans="1:13">
      <c r="A985" s="1">
        <v>984</v>
      </c>
      <c r="B985" s="1">
        <v>899220.38489999995</v>
      </c>
      <c r="C985" s="1">
        <v>1036908.0718348068</v>
      </c>
      <c r="D985" s="1">
        <f t="shared" si="15"/>
        <v>-137687.68693480687</v>
      </c>
      <c r="E985" s="1">
        <v>12</v>
      </c>
      <c r="F985" s="1">
        <v>17</v>
      </c>
      <c r="G985" s="1">
        <v>6</v>
      </c>
      <c r="H985" s="1">
        <v>2</v>
      </c>
      <c r="I985" s="1">
        <v>0</v>
      </c>
      <c r="J985" s="1">
        <v>0</v>
      </c>
      <c r="K985" s="1">
        <v>2</v>
      </c>
      <c r="L985" s="1">
        <v>0</v>
      </c>
      <c r="M985" s="1">
        <v>1</v>
      </c>
    </row>
    <row r="986" spans="1:13">
      <c r="A986" s="1">
        <v>985</v>
      </c>
      <c r="B986" s="1">
        <v>962618.71400000004</v>
      </c>
      <c r="C986" s="1">
        <v>664618.73092274938</v>
      </c>
      <c r="D986" s="1">
        <f t="shared" si="15"/>
        <v>297999.98307725065</v>
      </c>
      <c r="E986" s="1">
        <v>6</v>
      </c>
      <c r="F986" s="1">
        <v>22</v>
      </c>
      <c r="G986" s="1">
        <v>7</v>
      </c>
      <c r="H986" s="1">
        <v>0</v>
      </c>
      <c r="I986" s="1">
        <v>0</v>
      </c>
      <c r="J986" s="1">
        <v>0</v>
      </c>
      <c r="K986" s="1">
        <v>0</v>
      </c>
      <c r="L986" s="1">
        <v>0</v>
      </c>
      <c r="M986" s="1">
        <v>0</v>
      </c>
    </row>
    <row r="987" spans="1:13">
      <c r="A987" s="1">
        <v>986</v>
      </c>
      <c r="B987" s="1">
        <v>911336.73250000004</v>
      </c>
      <c r="C987" s="1">
        <v>850565.25100890582</v>
      </c>
      <c r="D987" s="1">
        <f t="shared" si="15"/>
        <v>60771.481491094222</v>
      </c>
      <c r="E987" s="1">
        <v>8</v>
      </c>
      <c r="F987" s="1">
        <v>18</v>
      </c>
      <c r="G987" s="1">
        <v>9</v>
      </c>
      <c r="H987" s="1">
        <v>2</v>
      </c>
      <c r="I987" s="1">
        <v>0</v>
      </c>
      <c r="J987" s="1">
        <v>0</v>
      </c>
      <c r="K987" s="1">
        <v>0</v>
      </c>
      <c r="L987" s="1">
        <v>0</v>
      </c>
      <c r="M987" s="1">
        <v>0</v>
      </c>
    </row>
    <row r="988" spans="1:13">
      <c r="A988" s="1">
        <v>987</v>
      </c>
      <c r="B988" s="1">
        <v>925586.00490000006</v>
      </c>
      <c r="C988" s="1">
        <v>792111.3034720904</v>
      </c>
      <c r="D988" s="1">
        <f t="shared" si="15"/>
        <v>133474.70142790966</v>
      </c>
      <c r="E988" s="1">
        <v>13</v>
      </c>
      <c r="F988" s="1">
        <v>18</v>
      </c>
      <c r="G988" s="1">
        <v>4</v>
      </c>
      <c r="H988" s="1">
        <v>0</v>
      </c>
      <c r="I988" s="1">
        <v>0</v>
      </c>
      <c r="J988" s="1">
        <v>0</v>
      </c>
      <c r="K988" s="1">
        <v>0</v>
      </c>
      <c r="L988" s="1">
        <v>0</v>
      </c>
      <c r="M988" s="1">
        <v>1</v>
      </c>
    </row>
    <row r="989" spans="1:13">
      <c r="A989" s="1">
        <v>988</v>
      </c>
      <c r="B989" s="1">
        <v>978676.72770000005</v>
      </c>
      <c r="C989" s="1">
        <v>1050350.5498540928</v>
      </c>
      <c r="D989" s="1">
        <f t="shared" si="15"/>
        <v>-71673.822154092719</v>
      </c>
      <c r="E989" s="1">
        <v>11</v>
      </c>
      <c r="F989" s="1">
        <v>16</v>
      </c>
      <c r="G989" s="1">
        <v>8</v>
      </c>
      <c r="H989" s="1">
        <v>1</v>
      </c>
      <c r="I989" s="1">
        <v>0</v>
      </c>
      <c r="J989" s="1">
        <v>1</v>
      </c>
      <c r="K989" s="1">
        <v>1</v>
      </c>
      <c r="L989" s="1">
        <v>0</v>
      </c>
      <c r="M989" s="1">
        <v>0</v>
      </c>
    </row>
    <row r="990" spans="1:13">
      <c r="A990" s="1">
        <v>989</v>
      </c>
      <c r="B990" s="1">
        <v>931564.74939999997</v>
      </c>
      <c r="C990" s="1">
        <v>806830.14102527616</v>
      </c>
      <c r="D990" s="1">
        <f t="shared" si="15"/>
        <v>124734.60837472382</v>
      </c>
      <c r="E990" s="1">
        <v>14</v>
      </c>
      <c r="F990" s="1">
        <v>15</v>
      </c>
      <c r="G990" s="1">
        <v>6</v>
      </c>
      <c r="H990" s="1">
        <v>0</v>
      </c>
      <c r="I990" s="1">
        <v>1</v>
      </c>
      <c r="J990" s="1">
        <v>0</v>
      </c>
      <c r="K990" s="1">
        <v>0</v>
      </c>
      <c r="L990" s="1">
        <v>0</v>
      </c>
      <c r="M990" s="1">
        <v>0</v>
      </c>
    </row>
    <row r="991" spans="1:13">
      <c r="A991" s="1">
        <v>990</v>
      </c>
      <c r="B991" s="1">
        <v>928801.38040000002</v>
      </c>
      <c r="C991" s="1">
        <v>912366.53168413287</v>
      </c>
      <c r="D991" s="1">
        <f t="shared" si="15"/>
        <v>16434.848715867149</v>
      </c>
      <c r="E991" s="1">
        <v>4</v>
      </c>
      <c r="F991" s="1">
        <v>25</v>
      </c>
      <c r="G991" s="1">
        <v>6</v>
      </c>
      <c r="H991" s="1">
        <v>0</v>
      </c>
      <c r="I991" s="1">
        <v>0</v>
      </c>
      <c r="J991" s="1">
        <v>0</v>
      </c>
      <c r="K991" s="1">
        <v>0</v>
      </c>
      <c r="L991" s="1">
        <v>0</v>
      </c>
      <c r="M991" s="1">
        <v>1</v>
      </c>
    </row>
    <row r="992" spans="1:13">
      <c r="A992" s="1">
        <v>991</v>
      </c>
      <c r="B992" s="1">
        <v>1122081.6440000001</v>
      </c>
      <c r="C992" s="1">
        <v>970574.54785044643</v>
      </c>
      <c r="D992" s="1">
        <f t="shared" si="15"/>
        <v>151507.09614955366</v>
      </c>
      <c r="E992" s="1">
        <v>8</v>
      </c>
      <c r="F992" s="1">
        <v>20</v>
      </c>
      <c r="G992" s="1">
        <v>7</v>
      </c>
      <c r="H992" s="1">
        <v>2</v>
      </c>
      <c r="I992" s="1">
        <v>0</v>
      </c>
      <c r="J992" s="1">
        <v>0</v>
      </c>
      <c r="K992" s="1">
        <v>0</v>
      </c>
      <c r="L992" s="1">
        <v>0</v>
      </c>
      <c r="M992" s="1">
        <v>1</v>
      </c>
    </row>
    <row r="993" spans="1:13">
      <c r="A993" s="1">
        <v>992</v>
      </c>
      <c r="B993" s="1">
        <v>1074977.0673</v>
      </c>
      <c r="C993" s="1">
        <v>970108.93465367297</v>
      </c>
      <c r="D993" s="1">
        <f t="shared" si="15"/>
        <v>104868.13264632702</v>
      </c>
      <c r="E993" s="1">
        <v>8</v>
      </c>
      <c r="F993" s="1">
        <v>18</v>
      </c>
      <c r="G993" s="1">
        <v>9</v>
      </c>
      <c r="H993" s="1">
        <v>1</v>
      </c>
      <c r="I993" s="1">
        <v>0</v>
      </c>
      <c r="J993" s="1">
        <v>0</v>
      </c>
      <c r="K993" s="1">
        <v>1</v>
      </c>
      <c r="L993" s="1">
        <v>0</v>
      </c>
      <c r="M993" s="1">
        <v>0</v>
      </c>
    </row>
    <row r="994" spans="1:13">
      <c r="A994" s="1">
        <v>993</v>
      </c>
      <c r="B994" s="1">
        <v>988034.2537</v>
      </c>
      <c r="C994" s="1">
        <v>787074.34535634681</v>
      </c>
      <c r="D994" s="1">
        <f t="shared" si="15"/>
        <v>200959.90834365319</v>
      </c>
      <c r="E994" s="1">
        <v>9</v>
      </c>
      <c r="F994" s="1">
        <v>23</v>
      </c>
      <c r="G994" s="1">
        <v>3</v>
      </c>
      <c r="H994" s="1">
        <v>2</v>
      </c>
      <c r="I994" s="1">
        <v>0</v>
      </c>
      <c r="J994" s="1">
        <v>0</v>
      </c>
      <c r="K994" s="1">
        <v>1</v>
      </c>
      <c r="L994" s="1">
        <v>0</v>
      </c>
      <c r="M994" s="1">
        <v>0</v>
      </c>
    </row>
    <row r="995" spans="1:13">
      <c r="A995" s="1">
        <v>994</v>
      </c>
      <c r="B995" s="1">
        <v>900312.15670000005</v>
      </c>
      <c r="C995" s="1">
        <v>856689.27914796793</v>
      </c>
      <c r="D995" s="1">
        <f t="shared" si="15"/>
        <v>43622.877552032121</v>
      </c>
      <c r="E995" s="1">
        <v>12</v>
      </c>
      <c r="F995" s="1">
        <v>16</v>
      </c>
      <c r="G995" s="1">
        <v>7</v>
      </c>
      <c r="H995" s="1">
        <v>0</v>
      </c>
      <c r="I995" s="1">
        <v>1</v>
      </c>
      <c r="J995" s="1">
        <v>0</v>
      </c>
      <c r="K995" s="1">
        <v>0</v>
      </c>
      <c r="L995" s="1">
        <v>0</v>
      </c>
      <c r="M995" s="1">
        <v>0</v>
      </c>
    </row>
    <row r="996" spans="1:13">
      <c r="A996" s="1">
        <v>995</v>
      </c>
      <c r="B996" s="1">
        <v>907890.47050000005</v>
      </c>
      <c r="C996" s="1">
        <v>1113510.965314304</v>
      </c>
      <c r="D996" s="1">
        <f t="shared" si="15"/>
        <v>-205620.49481430394</v>
      </c>
      <c r="E996" s="1">
        <v>16</v>
      </c>
      <c r="F996" s="1">
        <v>14</v>
      </c>
      <c r="G996" s="1">
        <v>5</v>
      </c>
      <c r="H996" s="1">
        <v>0</v>
      </c>
      <c r="I996" s="1">
        <v>1</v>
      </c>
      <c r="J996" s="1">
        <v>0</v>
      </c>
      <c r="K996" s="1">
        <v>1</v>
      </c>
      <c r="L996" s="1">
        <v>0</v>
      </c>
      <c r="M996" s="1">
        <v>1</v>
      </c>
    </row>
    <row r="997" spans="1:13">
      <c r="A997" s="1">
        <v>996</v>
      </c>
      <c r="B997" s="1">
        <v>929741.94149999996</v>
      </c>
      <c r="C997" s="1">
        <v>944933.76377531094</v>
      </c>
      <c r="D997" s="1">
        <f t="shared" si="15"/>
        <v>-15191.822275310988</v>
      </c>
      <c r="E997" s="1">
        <v>10</v>
      </c>
      <c r="F997" s="1">
        <v>17</v>
      </c>
      <c r="G997" s="1">
        <v>8</v>
      </c>
      <c r="H997" s="1">
        <v>0</v>
      </c>
      <c r="I997" s="1">
        <v>0</v>
      </c>
      <c r="J997" s="1">
        <v>0</v>
      </c>
      <c r="K997" s="1">
        <v>2</v>
      </c>
      <c r="L997" s="1">
        <v>0</v>
      </c>
      <c r="M997" s="1">
        <v>0</v>
      </c>
    </row>
    <row r="998" spans="1:13">
      <c r="A998" s="1">
        <v>997</v>
      </c>
      <c r="B998" s="1">
        <v>928665.86970000004</v>
      </c>
      <c r="C998" s="1">
        <v>729662.17182132765</v>
      </c>
      <c r="D998" s="1">
        <f t="shared" si="15"/>
        <v>199003.69787867239</v>
      </c>
      <c r="E998" s="1">
        <v>14</v>
      </c>
      <c r="F998" s="1">
        <v>19</v>
      </c>
      <c r="G998" s="1">
        <v>2</v>
      </c>
      <c r="H998" s="1">
        <v>1</v>
      </c>
      <c r="I998" s="1">
        <v>0</v>
      </c>
      <c r="J998" s="1">
        <v>0</v>
      </c>
      <c r="K998" s="1">
        <v>0</v>
      </c>
      <c r="L998" s="1">
        <v>0</v>
      </c>
      <c r="M998" s="1">
        <v>0</v>
      </c>
    </row>
    <row r="999" spans="1:13">
      <c r="A999" s="1">
        <v>998</v>
      </c>
      <c r="B999" s="1">
        <v>904461.37990000006</v>
      </c>
      <c r="C999" s="1">
        <v>774069.77926467545</v>
      </c>
      <c r="D999" s="1">
        <f t="shared" si="15"/>
        <v>130391.6006353246</v>
      </c>
      <c r="E999" s="1">
        <v>20</v>
      </c>
      <c r="F999" s="1">
        <v>11</v>
      </c>
      <c r="G999" s="1">
        <v>4</v>
      </c>
      <c r="H999" s="1">
        <v>0</v>
      </c>
      <c r="I999" s="1">
        <v>0</v>
      </c>
      <c r="J999" s="1">
        <v>1</v>
      </c>
      <c r="K999" s="1">
        <v>1</v>
      </c>
      <c r="L999" s="1">
        <v>0</v>
      </c>
      <c r="M999" s="1">
        <v>0</v>
      </c>
    </row>
    <row r="1000" spans="1:13">
      <c r="A1000" s="1">
        <v>999</v>
      </c>
      <c r="B1000" s="1">
        <v>991658.32270000002</v>
      </c>
      <c r="C1000" s="1">
        <v>828157.11306521855</v>
      </c>
      <c r="D1000" s="1">
        <f t="shared" si="15"/>
        <v>163501.20963478147</v>
      </c>
      <c r="E1000" s="1">
        <v>11</v>
      </c>
      <c r="F1000" s="1">
        <v>18</v>
      </c>
      <c r="G1000" s="1">
        <v>6</v>
      </c>
      <c r="H1000" s="1">
        <v>1</v>
      </c>
      <c r="I1000" s="1">
        <v>0</v>
      </c>
      <c r="J1000" s="1">
        <v>0</v>
      </c>
      <c r="K1000" s="1">
        <v>1</v>
      </c>
      <c r="L1000" s="1">
        <v>0</v>
      </c>
      <c r="M1000" s="1">
        <v>1</v>
      </c>
    </row>
    <row r="1001" spans="1:13">
      <c r="A1001" s="1">
        <v>1000</v>
      </c>
      <c r="B1001" s="1">
        <v>907780.78469999996</v>
      </c>
      <c r="C1001" s="1">
        <v>715658.24720413971</v>
      </c>
      <c r="D1001" s="1">
        <f t="shared" si="15"/>
        <v>192122.53749586025</v>
      </c>
      <c r="E1001" s="1">
        <v>7</v>
      </c>
      <c r="F1001" s="1">
        <v>22</v>
      </c>
      <c r="G1001" s="1">
        <v>6</v>
      </c>
      <c r="H1001" s="1">
        <v>2</v>
      </c>
      <c r="I1001" s="1">
        <v>0</v>
      </c>
      <c r="J1001" s="1">
        <v>0</v>
      </c>
      <c r="K1001" s="1">
        <v>0</v>
      </c>
      <c r="L1001" s="1">
        <v>0</v>
      </c>
      <c r="M1001" s="1">
        <v>0</v>
      </c>
    </row>
    <row r="1002" spans="1:13">
      <c r="A1002" s="1">
        <v>1001</v>
      </c>
      <c r="B1002" s="1">
        <v>967022.84730000002</v>
      </c>
      <c r="C1002" s="1">
        <v>813799.27829644224</v>
      </c>
      <c r="D1002" s="1">
        <f t="shared" si="15"/>
        <v>153223.56900355779</v>
      </c>
      <c r="E1002" s="1">
        <v>12</v>
      </c>
      <c r="F1002" s="1">
        <v>17</v>
      </c>
      <c r="G1002" s="1">
        <v>6</v>
      </c>
      <c r="H1002" s="1">
        <v>2</v>
      </c>
      <c r="I1002" s="1">
        <v>0</v>
      </c>
      <c r="J1002" s="1">
        <v>0</v>
      </c>
      <c r="K1002" s="1">
        <v>1</v>
      </c>
      <c r="L1002" s="1">
        <v>0</v>
      </c>
      <c r="M1002" s="1">
        <v>0</v>
      </c>
    </row>
    <row r="1003" spans="1:13">
      <c r="A1003" s="1">
        <v>1002</v>
      </c>
      <c r="B1003" s="1">
        <v>957557.66359999997</v>
      </c>
      <c r="C1003" s="1">
        <v>887609.22351842863</v>
      </c>
      <c r="D1003" s="1">
        <f t="shared" si="15"/>
        <v>69948.440081571345</v>
      </c>
      <c r="E1003" s="1">
        <v>6</v>
      </c>
      <c r="F1003" s="1">
        <v>25</v>
      </c>
      <c r="G1003" s="1">
        <v>4</v>
      </c>
      <c r="H1003" s="1">
        <v>1</v>
      </c>
      <c r="I1003" s="1">
        <v>0</v>
      </c>
      <c r="J1003" s="1">
        <v>1</v>
      </c>
      <c r="K1003" s="1">
        <v>0</v>
      </c>
      <c r="L1003" s="1">
        <v>0</v>
      </c>
      <c r="M1003" s="1">
        <v>0</v>
      </c>
    </row>
    <row r="1004" spans="1:13">
      <c r="A1004" s="1">
        <v>1003</v>
      </c>
      <c r="B1004" s="1">
        <v>1103331.0771000001</v>
      </c>
      <c r="C1004" s="1">
        <v>747183.63377925893</v>
      </c>
      <c r="D1004" s="1">
        <f t="shared" si="15"/>
        <v>356147.44332074118</v>
      </c>
      <c r="E1004" s="1">
        <v>11</v>
      </c>
      <c r="F1004" s="1">
        <v>19</v>
      </c>
      <c r="G1004" s="1">
        <v>5</v>
      </c>
      <c r="H1004" s="1">
        <v>1</v>
      </c>
      <c r="I1004" s="1">
        <v>0</v>
      </c>
      <c r="J1004" s="1">
        <v>2</v>
      </c>
      <c r="K1004" s="1">
        <v>0</v>
      </c>
      <c r="L1004" s="1">
        <v>0</v>
      </c>
      <c r="M1004" s="1">
        <v>0</v>
      </c>
    </row>
    <row r="1005" spans="1:13">
      <c r="A1005" s="1">
        <v>1004</v>
      </c>
      <c r="B1005" s="1">
        <v>833910.51430000004</v>
      </c>
      <c r="C1005" s="1">
        <v>449307.98578943708</v>
      </c>
      <c r="D1005" s="1">
        <f t="shared" si="15"/>
        <v>384602.52851056296</v>
      </c>
      <c r="E1005" s="1">
        <v>16</v>
      </c>
      <c r="F1005" s="1">
        <v>15</v>
      </c>
      <c r="G1005" s="1">
        <v>4</v>
      </c>
      <c r="H1005" s="1">
        <v>2</v>
      </c>
      <c r="I1005" s="1">
        <v>0</v>
      </c>
      <c r="J1005" s="1">
        <v>0</v>
      </c>
      <c r="K1005" s="1">
        <v>1</v>
      </c>
      <c r="L1005" s="1">
        <v>0</v>
      </c>
      <c r="M1005" s="1">
        <v>0</v>
      </c>
    </row>
    <row r="1006" spans="1:13">
      <c r="A1006" s="1">
        <v>1005</v>
      </c>
      <c r="B1006" s="1">
        <v>868855.13899999997</v>
      </c>
      <c r="C1006" s="1">
        <v>961163.1269851051</v>
      </c>
      <c r="D1006" s="1">
        <f t="shared" si="15"/>
        <v>-92307.987985105137</v>
      </c>
      <c r="E1006" s="1">
        <v>19</v>
      </c>
      <c r="F1006" s="1">
        <v>12</v>
      </c>
      <c r="G1006" s="1">
        <v>4</v>
      </c>
      <c r="H1006" s="1">
        <v>2</v>
      </c>
      <c r="I1006" s="1">
        <v>0</v>
      </c>
      <c r="J1006" s="1">
        <v>2</v>
      </c>
      <c r="K1006" s="1">
        <v>0</v>
      </c>
      <c r="L1006" s="1">
        <v>0</v>
      </c>
      <c r="M1006" s="1">
        <v>1</v>
      </c>
    </row>
    <row r="1007" spans="1:13">
      <c r="A1007" s="1">
        <v>1006</v>
      </c>
      <c r="B1007" s="1">
        <v>972160.17020000005</v>
      </c>
      <c r="C1007" s="1">
        <v>1253936.6557327923</v>
      </c>
      <c r="D1007" s="1">
        <f t="shared" si="15"/>
        <v>-281776.48553279229</v>
      </c>
      <c r="E1007" s="1">
        <v>9</v>
      </c>
      <c r="F1007" s="1">
        <v>19</v>
      </c>
      <c r="G1007" s="1">
        <v>7</v>
      </c>
      <c r="H1007" s="1">
        <v>2</v>
      </c>
      <c r="I1007" s="1">
        <v>0</v>
      </c>
      <c r="J1007" s="1">
        <v>0</v>
      </c>
      <c r="K1007" s="1">
        <v>1</v>
      </c>
      <c r="L1007" s="1">
        <v>0</v>
      </c>
      <c r="M1007" s="1">
        <v>1</v>
      </c>
    </row>
    <row r="1008" spans="1:13">
      <c r="A1008" s="1">
        <v>1007</v>
      </c>
      <c r="B1008" s="1">
        <v>938556.72100000002</v>
      </c>
      <c r="C1008" s="1">
        <v>972696.15860254841</v>
      </c>
      <c r="D1008" s="1">
        <f t="shared" si="15"/>
        <v>-34139.437602548394</v>
      </c>
      <c r="E1008" s="1">
        <v>6</v>
      </c>
      <c r="F1008" s="1">
        <v>25</v>
      </c>
      <c r="G1008" s="1">
        <v>4</v>
      </c>
      <c r="H1008" s="1">
        <v>0</v>
      </c>
      <c r="I1008" s="1">
        <v>1</v>
      </c>
      <c r="J1008" s="1">
        <v>1</v>
      </c>
      <c r="K1008" s="1">
        <v>1</v>
      </c>
      <c r="L1008" s="1">
        <v>0</v>
      </c>
      <c r="M1008" s="1">
        <v>0</v>
      </c>
    </row>
    <row r="1009" spans="1:13">
      <c r="A1009" s="1">
        <v>1008</v>
      </c>
      <c r="B1009" s="1">
        <v>862933.21369999996</v>
      </c>
      <c r="C1009" s="1">
        <v>923610.36848436529</v>
      </c>
      <c r="D1009" s="1">
        <f t="shared" si="15"/>
        <v>-60677.154784365324</v>
      </c>
      <c r="E1009" s="1">
        <v>15</v>
      </c>
      <c r="F1009" s="1">
        <v>16</v>
      </c>
      <c r="G1009" s="1">
        <v>4</v>
      </c>
      <c r="H1009" s="1">
        <v>2</v>
      </c>
      <c r="I1009" s="1">
        <v>0</v>
      </c>
      <c r="J1009" s="1">
        <v>0</v>
      </c>
      <c r="K1009" s="1">
        <v>0</v>
      </c>
      <c r="L1009" s="1">
        <v>0</v>
      </c>
      <c r="M1009" s="1">
        <v>0</v>
      </c>
    </row>
    <row r="1010" spans="1:13">
      <c r="A1010" s="1">
        <v>1009</v>
      </c>
      <c r="B1010" s="1">
        <v>945709.60329999996</v>
      </c>
      <c r="C1010" s="1">
        <v>1259043.4765914264</v>
      </c>
      <c r="D1010" s="1">
        <f t="shared" si="15"/>
        <v>-313333.87329142645</v>
      </c>
      <c r="E1010" s="1">
        <v>8</v>
      </c>
      <c r="F1010" s="1">
        <v>25</v>
      </c>
      <c r="G1010" s="1">
        <v>2</v>
      </c>
      <c r="H1010" s="1">
        <v>1</v>
      </c>
      <c r="I1010" s="1">
        <v>0</v>
      </c>
      <c r="J1010" s="1">
        <v>0</v>
      </c>
      <c r="K1010" s="1">
        <v>0</v>
      </c>
      <c r="L1010" s="1">
        <v>0</v>
      </c>
      <c r="M1010" s="1">
        <v>1</v>
      </c>
    </row>
    <row r="1011" spans="1:13">
      <c r="A1011" s="1">
        <v>1010</v>
      </c>
      <c r="B1011" s="1">
        <v>968286.50749999995</v>
      </c>
      <c r="C1011" s="1">
        <v>1083879.021323381</v>
      </c>
      <c r="D1011" s="1">
        <f t="shared" si="15"/>
        <v>-115592.51382338104</v>
      </c>
      <c r="E1011" s="1">
        <v>8</v>
      </c>
      <c r="F1011" s="1">
        <v>23</v>
      </c>
      <c r="G1011" s="1">
        <v>4</v>
      </c>
      <c r="H1011" s="1">
        <v>2</v>
      </c>
      <c r="I1011" s="1">
        <v>0</v>
      </c>
      <c r="J1011" s="1">
        <v>1</v>
      </c>
      <c r="K1011" s="1">
        <v>0</v>
      </c>
      <c r="L1011" s="1">
        <v>0</v>
      </c>
      <c r="M1011" s="1">
        <v>0</v>
      </c>
    </row>
    <row r="1012" spans="1:13">
      <c r="A1012" s="1">
        <v>1011</v>
      </c>
      <c r="B1012" s="1">
        <v>915509.66610000003</v>
      </c>
      <c r="C1012" s="1">
        <v>646206.74563774839</v>
      </c>
      <c r="D1012" s="1">
        <f t="shared" si="15"/>
        <v>269302.92046225164</v>
      </c>
      <c r="E1012" s="1">
        <v>10</v>
      </c>
      <c r="F1012" s="1">
        <v>21</v>
      </c>
      <c r="G1012" s="1">
        <v>4</v>
      </c>
      <c r="H1012" s="1">
        <v>1</v>
      </c>
      <c r="I1012" s="1">
        <v>1</v>
      </c>
      <c r="J1012" s="1">
        <v>0</v>
      </c>
      <c r="K1012" s="1">
        <v>1</v>
      </c>
      <c r="L1012" s="1">
        <v>0</v>
      </c>
      <c r="M1012" s="1">
        <v>0</v>
      </c>
    </row>
    <row r="1013" spans="1:13">
      <c r="A1013" s="1">
        <v>1012</v>
      </c>
      <c r="B1013" s="1">
        <v>899137.04579999996</v>
      </c>
      <c r="C1013" s="1">
        <v>1338375.7680969527</v>
      </c>
      <c r="D1013" s="1">
        <f t="shared" si="15"/>
        <v>-439238.72229695274</v>
      </c>
      <c r="E1013" s="1">
        <v>14</v>
      </c>
      <c r="F1013" s="1">
        <v>15</v>
      </c>
      <c r="G1013" s="1">
        <v>6</v>
      </c>
      <c r="H1013" s="1">
        <v>0</v>
      </c>
      <c r="I1013" s="1">
        <v>0</v>
      </c>
      <c r="J1013" s="1">
        <v>2</v>
      </c>
      <c r="K1013" s="1">
        <v>0</v>
      </c>
      <c r="L1013" s="1">
        <v>0</v>
      </c>
      <c r="M1013" s="1">
        <v>0</v>
      </c>
    </row>
    <row r="1014" spans="1:13">
      <c r="A1014" s="1">
        <v>1013</v>
      </c>
      <c r="B1014" s="1">
        <v>999895.77989999996</v>
      </c>
      <c r="C1014" s="1">
        <v>822591.06807509076</v>
      </c>
      <c r="D1014" s="1">
        <f t="shared" si="15"/>
        <v>177304.7118249092</v>
      </c>
      <c r="E1014" s="1">
        <v>14</v>
      </c>
      <c r="F1014" s="1">
        <v>17</v>
      </c>
      <c r="G1014" s="1">
        <v>4</v>
      </c>
      <c r="H1014" s="1">
        <v>0</v>
      </c>
      <c r="I1014" s="1">
        <v>0</v>
      </c>
      <c r="J1014" s="1">
        <v>1</v>
      </c>
      <c r="K1014" s="1">
        <v>1</v>
      </c>
      <c r="L1014" s="1">
        <v>0</v>
      </c>
      <c r="M1014" s="1">
        <v>0</v>
      </c>
    </row>
    <row r="1015" spans="1:13">
      <c r="A1015" s="1">
        <v>1014</v>
      </c>
      <c r="B1015" s="1">
        <v>892850.03060000006</v>
      </c>
      <c r="C1015" s="1">
        <v>824358.39307542122</v>
      </c>
      <c r="D1015" s="1">
        <f t="shared" si="15"/>
        <v>68491.637524578837</v>
      </c>
      <c r="E1015" s="1">
        <v>14</v>
      </c>
      <c r="F1015" s="1">
        <v>17</v>
      </c>
      <c r="G1015" s="1">
        <v>4</v>
      </c>
      <c r="H1015" s="1">
        <v>2</v>
      </c>
      <c r="I1015" s="1">
        <v>0</v>
      </c>
      <c r="J1015" s="1">
        <v>2</v>
      </c>
      <c r="K1015" s="1">
        <v>0</v>
      </c>
      <c r="L1015" s="1">
        <v>0</v>
      </c>
      <c r="M1015" s="1">
        <v>0</v>
      </c>
    </row>
    <row r="1016" spans="1:13">
      <c r="A1016" s="1">
        <v>1015</v>
      </c>
      <c r="B1016" s="1">
        <v>1019015.2892999999</v>
      </c>
      <c r="C1016" s="1">
        <v>658429.8097606916</v>
      </c>
      <c r="D1016" s="1">
        <f t="shared" si="15"/>
        <v>360585.47953930835</v>
      </c>
      <c r="E1016" s="1">
        <v>3</v>
      </c>
      <c r="F1016" s="1">
        <v>27</v>
      </c>
      <c r="G1016" s="1">
        <v>5</v>
      </c>
      <c r="H1016" s="1">
        <v>1</v>
      </c>
      <c r="I1016" s="1">
        <v>0</v>
      </c>
      <c r="J1016" s="1">
        <v>0</v>
      </c>
      <c r="K1016" s="1">
        <v>1</v>
      </c>
      <c r="L1016" s="1">
        <v>0</v>
      </c>
      <c r="M1016" s="1">
        <v>0</v>
      </c>
    </row>
    <row r="1017" spans="1:13">
      <c r="A1017" s="1">
        <v>1016</v>
      </c>
      <c r="B1017" s="1">
        <v>1013844.7167</v>
      </c>
      <c r="C1017" s="1">
        <v>976207.55091113655</v>
      </c>
      <c r="D1017" s="1">
        <f t="shared" si="15"/>
        <v>37637.165788863436</v>
      </c>
      <c r="E1017" s="1">
        <v>13</v>
      </c>
      <c r="F1017" s="1">
        <v>17</v>
      </c>
      <c r="G1017" s="1">
        <v>5</v>
      </c>
      <c r="H1017" s="1">
        <v>0</v>
      </c>
      <c r="I1017" s="1">
        <v>2</v>
      </c>
      <c r="J1017" s="1">
        <v>1</v>
      </c>
      <c r="K1017" s="1">
        <v>0</v>
      </c>
      <c r="L1017" s="1">
        <v>0</v>
      </c>
      <c r="M1017" s="1">
        <v>0</v>
      </c>
    </row>
    <row r="1018" spans="1:13">
      <c r="A1018" s="1">
        <v>1017</v>
      </c>
      <c r="B1018" s="1">
        <v>838951.00300000003</v>
      </c>
      <c r="C1018" s="1">
        <v>1238888.101099411</v>
      </c>
      <c r="D1018" s="1">
        <f t="shared" si="15"/>
        <v>-399937.098099411</v>
      </c>
      <c r="E1018" s="1">
        <v>18</v>
      </c>
      <c r="F1018" s="1">
        <v>13</v>
      </c>
      <c r="G1018" s="1">
        <v>4</v>
      </c>
      <c r="H1018" s="1">
        <v>1</v>
      </c>
      <c r="I1018" s="1">
        <v>0</v>
      </c>
      <c r="J1018" s="1">
        <v>0</v>
      </c>
      <c r="K1018" s="1">
        <v>1</v>
      </c>
      <c r="L1018" s="1">
        <v>0</v>
      </c>
      <c r="M1018" s="1">
        <v>0</v>
      </c>
    </row>
    <row r="1019" spans="1:13">
      <c r="A1019" s="1">
        <v>1018</v>
      </c>
      <c r="B1019" s="1">
        <v>973990.92379999999</v>
      </c>
      <c r="C1019" s="1">
        <v>906522.30879278982</v>
      </c>
      <c r="D1019" s="1">
        <f t="shared" si="15"/>
        <v>67468.615007210174</v>
      </c>
      <c r="E1019" s="1">
        <v>10</v>
      </c>
      <c r="F1019" s="1">
        <v>19</v>
      </c>
      <c r="G1019" s="1">
        <v>6</v>
      </c>
      <c r="H1019" s="1">
        <v>1</v>
      </c>
      <c r="I1019" s="1">
        <v>0</v>
      </c>
      <c r="J1019" s="1">
        <v>1</v>
      </c>
      <c r="K1019" s="1">
        <v>1</v>
      </c>
      <c r="L1019" s="1">
        <v>0</v>
      </c>
      <c r="M1019" s="1">
        <v>0</v>
      </c>
    </row>
    <row r="1020" spans="1:13">
      <c r="A1020" s="1">
        <v>1019</v>
      </c>
      <c r="B1020" s="1">
        <v>897020.91760000004</v>
      </c>
      <c r="C1020" s="1">
        <v>754776.67806765495</v>
      </c>
      <c r="D1020" s="1">
        <f t="shared" si="15"/>
        <v>142244.23953234509</v>
      </c>
      <c r="E1020" s="1">
        <v>16</v>
      </c>
      <c r="F1020" s="1">
        <v>15</v>
      </c>
      <c r="G1020" s="1">
        <v>4</v>
      </c>
      <c r="H1020" s="1">
        <v>2</v>
      </c>
      <c r="I1020" s="1">
        <v>0</v>
      </c>
      <c r="J1020" s="1">
        <v>2</v>
      </c>
      <c r="K1020" s="1">
        <v>0</v>
      </c>
      <c r="L1020" s="1">
        <v>0</v>
      </c>
      <c r="M1020" s="1">
        <v>0</v>
      </c>
    </row>
    <row r="1021" spans="1:13">
      <c r="A1021" s="1">
        <v>1020</v>
      </c>
      <c r="B1021" s="1">
        <v>940741.69830000005</v>
      </c>
      <c r="C1021" s="1">
        <v>2772587.754752201</v>
      </c>
      <c r="D1021" s="1">
        <f t="shared" si="15"/>
        <v>-1831846.056452201</v>
      </c>
      <c r="E1021" s="1">
        <v>17</v>
      </c>
      <c r="F1021" s="1">
        <v>13</v>
      </c>
      <c r="G1021" s="1">
        <v>5</v>
      </c>
      <c r="H1021" s="1">
        <v>1</v>
      </c>
      <c r="I1021" s="1">
        <v>0</v>
      </c>
      <c r="J1021" s="1">
        <v>0</v>
      </c>
      <c r="K1021" s="1">
        <v>1</v>
      </c>
      <c r="L1021" s="1">
        <v>0</v>
      </c>
      <c r="M1021" s="1">
        <v>0</v>
      </c>
    </row>
    <row r="1022" spans="1:13">
      <c r="A1022" s="1">
        <v>1021</v>
      </c>
      <c r="B1022" s="1">
        <v>862007.49690000003</v>
      </c>
      <c r="C1022" s="1">
        <v>664148.95604567206</v>
      </c>
      <c r="D1022" s="1">
        <f t="shared" si="15"/>
        <v>197858.54085432796</v>
      </c>
      <c r="E1022" s="1">
        <v>23</v>
      </c>
      <c r="F1022" s="1">
        <v>9</v>
      </c>
      <c r="G1022" s="1">
        <v>3</v>
      </c>
      <c r="H1022" s="1">
        <v>0</v>
      </c>
      <c r="I1022" s="1">
        <v>0</v>
      </c>
      <c r="J1022" s="1">
        <v>1</v>
      </c>
      <c r="K1022" s="1">
        <v>1</v>
      </c>
      <c r="L1022" s="1">
        <v>0</v>
      </c>
      <c r="M1022" s="1">
        <v>0</v>
      </c>
    </row>
    <row r="1023" spans="1:13">
      <c r="A1023" s="1">
        <v>1022</v>
      </c>
      <c r="B1023" s="1">
        <v>925584.16390000004</v>
      </c>
      <c r="C1023" s="1">
        <v>1086644.920317349</v>
      </c>
      <c r="D1023" s="1">
        <f t="shared" si="15"/>
        <v>-161060.75641734898</v>
      </c>
      <c r="E1023" s="1">
        <v>15</v>
      </c>
      <c r="F1023" s="1">
        <v>16</v>
      </c>
      <c r="G1023" s="1">
        <v>4</v>
      </c>
      <c r="H1023" s="1">
        <v>2</v>
      </c>
      <c r="I1023" s="1">
        <v>0</v>
      </c>
      <c r="J1023" s="1">
        <v>2</v>
      </c>
      <c r="K1023" s="1">
        <v>0</v>
      </c>
      <c r="L1023" s="1">
        <v>0</v>
      </c>
      <c r="M1023" s="1">
        <v>1</v>
      </c>
    </row>
    <row r="1024" spans="1:13">
      <c r="A1024" s="1">
        <v>1023</v>
      </c>
      <c r="B1024" s="1">
        <v>905092.21039999998</v>
      </c>
      <c r="C1024" s="1">
        <v>827176.78317749605</v>
      </c>
      <c r="D1024" s="1">
        <f t="shared" si="15"/>
        <v>77915.427222503931</v>
      </c>
      <c r="E1024" s="1">
        <v>19</v>
      </c>
      <c r="F1024" s="1">
        <v>13</v>
      </c>
      <c r="G1024" s="1">
        <v>3</v>
      </c>
      <c r="H1024" s="1">
        <v>1</v>
      </c>
      <c r="I1024" s="1">
        <v>0</v>
      </c>
      <c r="J1024" s="1">
        <v>0</v>
      </c>
      <c r="K1024" s="1">
        <v>0</v>
      </c>
      <c r="L1024" s="1">
        <v>0</v>
      </c>
      <c r="M1024" s="1">
        <v>1</v>
      </c>
    </row>
    <row r="1025" spans="1:13">
      <c r="A1025" s="1">
        <v>1024</v>
      </c>
      <c r="B1025" s="1">
        <v>873233.82979999995</v>
      </c>
      <c r="C1025" s="1">
        <v>687752.89079146401</v>
      </c>
      <c r="D1025" s="1">
        <f t="shared" si="15"/>
        <v>185480.93900853593</v>
      </c>
      <c r="E1025" s="1">
        <v>10</v>
      </c>
      <c r="F1025" s="1">
        <v>20</v>
      </c>
      <c r="G1025" s="1">
        <v>5</v>
      </c>
      <c r="H1025" s="1">
        <v>0</v>
      </c>
      <c r="I1025" s="1">
        <v>1</v>
      </c>
      <c r="J1025" s="1">
        <v>1</v>
      </c>
      <c r="K1025" s="1">
        <v>0</v>
      </c>
      <c r="L1025" s="1">
        <v>0</v>
      </c>
      <c r="M1025" s="1">
        <v>0</v>
      </c>
    </row>
    <row r="1026" spans="1:13">
      <c r="A1026" s="1">
        <v>1025</v>
      </c>
      <c r="B1026" s="1">
        <v>968580.08660000004</v>
      </c>
      <c r="C1026" s="1">
        <v>740609.64788228122</v>
      </c>
      <c r="D1026" s="1">
        <f t="shared" ref="D1026:D1089" si="16">B1026-C1026</f>
        <v>227970.43871771882</v>
      </c>
      <c r="E1026" s="1">
        <v>14</v>
      </c>
      <c r="F1026" s="1">
        <v>17</v>
      </c>
      <c r="G1026" s="1">
        <v>4</v>
      </c>
      <c r="H1026" s="1">
        <v>0</v>
      </c>
      <c r="I1026" s="1">
        <v>0</v>
      </c>
      <c r="J1026" s="1">
        <v>1</v>
      </c>
      <c r="K1026" s="1">
        <v>1</v>
      </c>
      <c r="L1026" s="1">
        <v>0</v>
      </c>
      <c r="M1026" s="1">
        <v>0</v>
      </c>
    </row>
    <row r="1027" spans="1:13">
      <c r="A1027" s="1">
        <v>1026</v>
      </c>
      <c r="B1027" s="1">
        <v>806708.85640000005</v>
      </c>
      <c r="C1027" s="1">
        <v>784009.04085906537</v>
      </c>
      <c r="D1027" s="1">
        <f t="shared" si="16"/>
        <v>22699.81554093468</v>
      </c>
      <c r="E1027" s="1">
        <v>25</v>
      </c>
      <c r="F1027" s="1">
        <v>7</v>
      </c>
      <c r="G1027" s="1">
        <v>3</v>
      </c>
      <c r="H1027" s="1">
        <v>2</v>
      </c>
      <c r="I1027" s="1">
        <v>0</v>
      </c>
      <c r="J1027" s="1">
        <v>1</v>
      </c>
      <c r="K1027" s="1">
        <v>1</v>
      </c>
      <c r="L1027" s="1">
        <v>0</v>
      </c>
      <c r="M1027" s="1">
        <v>0</v>
      </c>
    </row>
    <row r="1028" spans="1:13">
      <c r="A1028" s="1">
        <v>1027</v>
      </c>
      <c r="B1028" s="1">
        <v>1087447.5347</v>
      </c>
      <c r="C1028" s="1">
        <v>606682.12114439846</v>
      </c>
      <c r="D1028" s="1">
        <f t="shared" si="16"/>
        <v>480765.4135556015</v>
      </c>
      <c r="E1028" s="1">
        <v>7</v>
      </c>
      <c r="F1028" s="1">
        <v>22</v>
      </c>
      <c r="G1028" s="1">
        <v>6</v>
      </c>
      <c r="H1028" s="1">
        <v>2</v>
      </c>
      <c r="I1028" s="1">
        <v>0</v>
      </c>
      <c r="J1028" s="1">
        <v>0</v>
      </c>
      <c r="K1028" s="1">
        <v>1</v>
      </c>
      <c r="L1028" s="1">
        <v>0</v>
      </c>
      <c r="M1028" s="1">
        <v>0</v>
      </c>
    </row>
    <row r="1029" spans="1:13">
      <c r="A1029" s="1">
        <v>1028</v>
      </c>
      <c r="B1029" s="1">
        <v>971412.97790000006</v>
      </c>
      <c r="C1029" s="1">
        <v>1319972.0745743602</v>
      </c>
      <c r="D1029" s="1">
        <f t="shared" si="16"/>
        <v>-348559.0966743601</v>
      </c>
      <c r="E1029" s="1">
        <v>9</v>
      </c>
      <c r="F1029" s="1">
        <v>20</v>
      </c>
      <c r="G1029" s="1">
        <v>6</v>
      </c>
      <c r="H1029" s="1">
        <v>0</v>
      </c>
      <c r="I1029" s="1">
        <v>0</v>
      </c>
      <c r="J1029" s="1">
        <v>0</v>
      </c>
      <c r="K1029" s="1">
        <v>2</v>
      </c>
      <c r="L1029" s="1">
        <v>0</v>
      </c>
      <c r="M1029" s="1">
        <v>1</v>
      </c>
    </row>
    <row r="1030" spans="1:13">
      <c r="A1030" s="1">
        <v>1029</v>
      </c>
      <c r="B1030" s="1">
        <v>922836.93700000003</v>
      </c>
      <c r="C1030" s="1">
        <v>1052808.6465370208</v>
      </c>
      <c r="D1030" s="1">
        <f t="shared" si="16"/>
        <v>-129971.70953702077</v>
      </c>
      <c r="E1030" s="1">
        <v>16</v>
      </c>
      <c r="F1030" s="1">
        <v>13</v>
      </c>
      <c r="G1030" s="1">
        <v>6</v>
      </c>
      <c r="H1030" s="1">
        <v>1</v>
      </c>
      <c r="I1030" s="1">
        <v>0</v>
      </c>
      <c r="J1030" s="1">
        <v>2</v>
      </c>
      <c r="K1030" s="1">
        <v>0</v>
      </c>
      <c r="L1030" s="1">
        <v>0</v>
      </c>
      <c r="M1030" s="1">
        <v>0</v>
      </c>
    </row>
    <row r="1031" spans="1:13">
      <c r="A1031" s="1">
        <v>1030</v>
      </c>
      <c r="B1031" s="1">
        <v>902790.56129999994</v>
      </c>
      <c r="C1031" s="1">
        <v>729749.29950954753</v>
      </c>
      <c r="D1031" s="1">
        <f t="shared" si="16"/>
        <v>173041.26179045241</v>
      </c>
      <c r="E1031" s="1">
        <v>19</v>
      </c>
      <c r="F1031" s="1">
        <v>9</v>
      </c>
      <c r="G1031" s="1">
        <v>7</v>
      </c>
      <c r="H1031" s="1">
        <v>1</v>
      </c>
      <c r="I1031" s="1">
        <v>0</v>
      </c>
      <c r="J1031" s="1">
        <v>0</v>
      </c>
      <c r="K1031" s="1">
        <v>1</v>
      </c>
      <c r="L1031" s="1">
        <v>0</v>
      </c>
      <c r="M1031" s="1">
        <v>0</v>
      </c>
    </row>
    <row r="1032" spans="1:13">
      <c r="A1032" s="1">
        <v>1031</v>
      </c>
      <c r="B1032" s="1">
        <v>1094005.8489999999</v>
      </c>
      <c r="C1032" s="1">
        <v>666928.08669719496</v>
      </c>
      <c r="D1032" s="1">
        <f t="shared" si="16"/>
        <v>427077.76230280497</v>
      </c>
      <c r="E1032" s="1">
        <v>3</v>
      </c>
      <c r="F1032" s="1">
        <v>26</v>
      </c>
      <c r="G1032" s="1">
        <v>6</v>
      </c>
      <c r="H1032" s="1">
        <v>0</v>
      </c>
      <c r="I1032" s="1">
        <v>0</v>
      </c>
      <c r="J1032" s="1">
        <v>0</v>
      </c>
      <c r="K1032" s="1">
        <v>2</v>
      </c>
      <c r="L1032" s="1">
        <v>0</v>
      </c>
      <c r="M1032" s="1">
        <v>0</v>
      </c>
    </row>
    <row r="1033" spans="1:13">
      <c r="A1033" s="1">
        <v>1032</v>
      </c>
      <c r="B1033" s="1">
        <v>1057906.5482000001</v>
      </c>
      <c r="C1033" s="1">
        <v>708777.22257157136</v>
      </c>
      <c r="D1033" s="1">
        <f t="shared" si="16"/>
        <v>349129.32562842872</v>
      </c>
      <c r="E1033" s="1">
        <v>9</v>
      </c>
      <c r="F1033" s="1">
        <v>17</v>
      </c>
      <c r="G1033" s="1">
        <v>9</v>
      </c>
      <c r="H1033" s="1">
        <v>0</v>
      </c>
      <c r="I1033" s="1">
        <v>0</v>
      </c>
      <c r="J1033" s="1">
        <v>0</v>
      </c>
      <c r="K1033" s="1">
        <v>0</v>
      </c>
      <c r="L1033" s="1">
        <v>0</v>
      </c>
      <c r="M1033" s="1">
        <v>1</v>
      </c>
    </row>
    <row r="1034" spans="1:13">
      <c r="A1034" s="1">
        <v>1033</v>
      </c>
      <c r="B1034" s="1">
        <v>902034.77269999997</v>
      </c>
      <c r="C1034" s="1">
        <v>788447.48508309433</v>
      </c>
      <c r="D1034" s="1">
        <f t="shared" si="16"/>
        <v>113587.28761690564</v>
      </c>
      <c r="E1034" s="1">
        <v>15</v>
      </c>
      <c r="F1034" s="1">
        <v>15</v>
      </c>
      <c r="G1034" s="1">
        <v>5</v>
      </c>
      <c r="H1034" s="1">
        <v>0</v>
      </c>
      <c r="I1034" s="1">
        <v>0</v>
      </c>
      <c r="J1034" s="1">
        <v>1</v>
      </c>
      <c r="K1034" s="1">
        <v>1</v>
      </c>
      <c r="L1034" s="1">
        <v>0</v>
      </c>
      <c r="M1034" s="1">
        <v>1</v>
      </c>
    </row>
    <row r="1035" spans="1:13">
      <c r="A1035" s="1">
        <v>1034</v>
      </c>
      <c r="B1035" s="1">
        <v>976670.01020000002</v>
      </c>
      <c r="C1035" s="1">
        <v>850289.19648393046</v>
      </c>
      <c r="D1035" s="1">
        <f t="shared" si="16"/>
        <v>126380.81371606956</v>
      </c>
      <c r="E1035" s="1">
        <v>18</v>
      </c>
      <c r="F1035" s="1">
        <v>14</v>
      </c>
      <c r="G1035" s="1">
        <v>3</v>
      </c>
      <c r="H1035" s="1">
        <v>1</v>
      </c>
      <c r="I1035" s="1">
        <v>1</v>
      </c>
      <c r="J1035" s="1">
        <v>0</v>
      </c>
      <c r="K1035" s="1">
        <v>1</v>
      </c>
      <c r="L1035" s="1">
        <v>0</v>
      </c>
      <c r="M1035" s="1">
        <v>0</v>
      </c>
    </row>
    <row r="1036" spans="1:13">
      <c r="A1036" s="1">
        <v>1035</v>
      </c>
      <c r="B1036" s="1">
        <v>937848.31850000005</v>
      </c>
      <c r="C1036" s="1">
        <v>1506867.8271924276</v>
      </c>
      <c r="D1036" s="1">
        <f t="shared" si="16"/>
        <v>-569019.50869242754</v>
      </c>
      <c r="E1036" s="1">
        <v>13</v>
      </c>
      <c r="F1036" s="1">
        <v>19</v>
      </c>
      <c r="G1036" s="1">
        <v>3</v>
      </c>
      <c r="H1036" s="1">
        <v>1</v>
      </c>
      <c r="I1036" s="1">
        <v>0</v>
      </c>
      <c r="J1036" s="1">
        <v>0</v>
      </c>
      <c r="K1036" s="1">
        <v>2</v>
      </c>
      <c r="L1036" s="1">
        <v>0</v>
      </c>
      <c r="M1036" s="1">
        <v>0</v>
      </c>
    </row>
    <row r="1037" spans="1:13">
      <c r="A1037" s="1">
        <v>1036</v>
      </c>
      <c r="B1037" s="1">
        <v>967094.47759999998</v>
      </c>
      <c r="C1037" s="1">
        <v>1798698.1849047008</v>
      </c>
      <c r="D1037" s="1">
        <f t="shared" si="16"/>
        <v>-831603.70730470086</v>
      </c>
      <c r="E1037" s="1">
        <v>11</v>
      </c>
      <c r="F1037" s="1">
        <v>20</v>
      </c>
      <c r="G1037" s="1">
        <v>4</v>
      </c>
      <c r="H1037" s="1">
        <v>0</v>
      </c>
      <c r="I1037" s="1">
        <v>1</v>
      </c>
      <c r="J1037" s="1">
        <v>1</v>
      </c>
      <c r="K1037" s="1">
        <v>1</v>
      </c>
      <c r="L1037" s="1">
        <v>0</v>
      </c>
      <c r="M1037" s="1">
        <v>0</v>
      </c>
    </row>
    <row r="1038" spans="1:13">
      <c r="A1038" s="1">
        <v>1037</v>
      </c>
      <c r="B1038" s="1">
        <v>894396.86069999996</v>
      </c>
      <c r="C1038" s="1">
        <v>937953.70757132699</v>
      </c>
      <c r="D1038" s="1">
        <f t="shared" si="16"/>
        <v>-43556.846871327027</v>
      </c>
      <c r="E1038" s="1">
        <v>17</v>
      </c>
      <c r="F1038" s="1">
        <v>14</v>
      </c>
      <c r="G1038" s="1">
        <v>4</v>
      </c>
      <c r="H1038" s="1">
        <v>1</v>
      </c>
      <c r="I1038" s="1">
        <v>1</v>
      </c>
      <c r="J1038" s="1">
        <v>2</v>
      </c>
      <c r="K1038" s="1">
        <v>0</v>
      </c>
      <c r="L1038" s="1">
        <v>0</v>
      </c>
      <c r="M1038" s="1">
        <v>0</v>
      </c>
    </row>
    <row r="1039" spans="1:13">
      <c r="A1039" s="1">
        <v>1038</v>
      </c>
      <c r="B1039" s="1">
        <v>854776.87040000001</v>
      </c>
      <c r="C1039" s="1">
        <v>794092.90896746377</v>
      </c>
      <c r="D1039" s="1">
        <f t="shared" si="16"/>
        <v>60683.961432536249</v>
      </c>
      <c r="E1039" s="1">
        <v>11</v>
      </c>
      <c r="F1039" s="1">
        <v>21</v>
      </c>
      <c r="G1039" s="1">
        <v>3</v>
      </c>
      <c r="H1039" s="1">
        <v>1</v>
      </c>
      <c r="I1039" s="1">
        <v>0</v>
      </c>
      <c r="J1039" s="1">
        <v>0</v>
      </c>
      <c r="K1039" s="1">
        <v>1</v>
      </c>
      <c r="L1039" s="1">
        <v>0</v>
      </c>
      <c r="M1039" s="1">
        <v>0</v>
      </c>
    </row>
    <row r="1040" spans="1:13">
      <c r="A1040" s="1">
        <v>1039</v>
      </c>
      <c r="B1040" s="1">
        <v>1005678.5852</v>
      </c>
      <c r="C1040" s="1">
        <v>953842.18624076201</v>
      </c>
      <c r="D1040" s="1">
        <f t="shared" si="16"/>
        <v>51836.398959237966</v>
      </c>
      <c r="E1040" s="1">
        <v>12</v>
      </c>
      <c r="F1040" s="1">
        <v>15</v>
      </c>
      <c r="G1040" s="1">
        <v>8</v>
      </c>
      <c r="H1040" s="1">
        <v>1</v>
      </c>
      <c r="I1040" s="1">
        <v>0</v>
      </c>
      <c r="J1040" s="1">
        <v>0</v>
      </c>
      <c r="K1040" s="1">
        <v>1</v>
      </c>
      <c r="L1040" s="1">
        <v>0</v>
      </c>
      <c r="M1040" s="1">
        <v>0</v>
      </c>
    </row>
    <row r="1041" spans="1:13">
      <c r="A1041" s="1">
        <v>1040</v>
      </c>
      <c r="B1041" s="1">
        <v>914652.52119999996</v>
      </c>
      <c r="C1041" s="1">
        <v>802129.84124829562</v>
      </c>
      <c r="D1041" s="1">
        <f t="shared" si="16"/>
        <v>112522.67995170434</v>
      </c>
      <c r="E1041" s="1">
        <v>18</v>
      </c>
      <c r="F1041" s="1">
        <v>13</v>
      </c>
      <c r="G1041" s="1">
        <v>4</v>
      </c>
      <c r="H1041" s="1">
        <v>0</v>
      </c>
      <c r="I1041" s="1">
        <v>0</v>
      </c>
      <c r="J1041" s="1">
        <v>0</v>
      </c>
      <c r="K1041" s="1">
        <v>0</v>
      </c>
      <c r="L1041" s="1">
        <v>0</v>
      </c>
      <c r="M1041" s="1">
        <v>0</v>
      </c>
    </row>
    <row r="1042" spans="1:13">
      <c r="A1042" s="1">
        <v>1041</v>
      </c>
      <c r="B1042" s="1">
        <v>933327.12679999997</v>
      </c>
      <c r="C1042" s="1">
        <v>961462.68924359139</v>
      </c>
      <c r="D1042" s="1">
        <f t="shared" si="16"/>
        <v>-28135.562443591421</v>
      </c>
      <c r="E1042" s="1">
        <v>17</v>
      </c>
      <c r="F1042" s="1">
        <v>12</v>
      </c>
      <c r="G1042" s="1">
        <v>6</v>
      </c>
      <c r="H1042" s="1">
        <v>1</v>
      </c>
      <c r="I1042" s="1">
        <v>1</v>
      </c>
      <c r="J1042" s="1">
        <v>0</v>
      </c>
      <c r="K1042" s="1">
        <v>1</v>
      </c>
      <c r="L1042" s="1">
        <v>0</v>
      </c>
      <c r="M1042" s="1">
        <v>1</v>
      </c>
    </row>
    <row r="1043" spans="1:13">
      <c r="A1043" s="1">
        <v>1042</v>
      </c>
      <c r="B1043" s="1">
        <v>1092813.2196</v>
      </c>
      <c r="C1043" s="1">
        <v>929813.25302512373</v>
      </c>
      <c r="D1043" s="1">
        <f t="shared" si="16"/>
        <v>162999.96657487622</v>
      </c>
      <c r="E1043" s="1">
        <v>10</v>
      </c>
      <c r="F1043" s="1">
        <v>18</v>
      </c>
      <c r="G1043" s="1">
        <v>7</v>
      </c>
      <c r="H1043" s="1">
        <v>0</v>
      </c>
      <c r="I1043" s="1">
        <v>0</v>
      </c>
      <c r="J1043" s="1">
        <v>0</v>
      </c>
      <c r="K1043" s="1">
        <v>1</v>
      </c>
      <c r="L1043" s="1">
        <v>0</v>
      </c>
      <c r="M1043" s="1">
        <v>0</v>
      </c>
    </row>
    <row r="1044" spans="1:13">
      <c r="A1044" s="1">
        <v>1043</v>
      </c>
      <c r="B1044" s="1">
        <v>898052.99369999999</v>
      </c>
      <c r="C1044" s="1">
        <v>845292.72963340615</v>
      </c>
      <c r="D1044" s="1">
        <f t="shared" si="16"/>
        <v>52760.264066593838</v>
      </c>
      <c r="E1044" s="1">
        <v>20</v>
      </c>
      <c r="F1044" s="1">
        <v>12</v>
      </c>
      <c r="G1044" s="1">
        <v>3</v>
      </c>
      <c r="H1044" s="1">
        <v>0</v>
      </c>
      <c r="I1044" s="1">
        <v>0</v>
      </c>
      <c r="J1044" s="1">
        <v>1</v>
      </c>
      <c r="K1044" s="1">
        <v>0</v>
      </c>
      <c r="L1044" s="1">
        <v>0</v>
      </c>
      <c r="M1044" s="1">
        <v>0</v>
      </c>
    </row>
    <row r="1045" spans="1:13">
      <c r="A1045" s="1">
        <v>1044</v>
      </c>
      <c r="B1045" s="1">
        <v>985276.79350000003</v>
      </c>
      <c r="C1045" s="1">
        <v>716978.93978518015</v>
      </c>
      <c r="D1045" s="1">
        <f t="shared" si="16"/>
        <v>268297.85371481988</v>
      </c>
      <c r="E1045" s="1">
        <v>8</v>
      </c>
      <c r="F1045" s="1">
        <v>21</v>
      </c>
      <c r="G1045" s="1">
        <v>6</v>
      </c>
      <c r="H1045" s="1">
        <v>0</v>
      </c>
      <c r="I1045" s="1">
        <v>0</v>
      </c>
      <c r="J1045" s="1">
        <v>1</v>
      </c>
      <c r="K1045" s="1">
        <v>1</v>
      </c>
      <c r="L1045" s="1">
        <v>0</v>
      </c>
      <c r="M1045" s="1">
        <v>0</v>
      </c>
    </row>
    <row r="1046" spans="1:13">
      <c r="A1046" s="1">
        <v>1045</v>
      </c>
      <c r="B1046" s="1">
        <v>1087913.7679999999</v>
      </c>
      <c r="C1046" s="1">
        <v>619592.31366128556</v>
      </c>
      <c r="D1046" s="1">
        <f t="shared" si="16"/>
        <v>468321.45433871436</v>
      </c>
      <c r="E1046" s="1">
        <v>11</v>
      </c>
      <c r="F1046" s="1">
        <v>18</v>
      </c>
      <c r="G1046" s="1">
        <v>6</v>
      </c>
      <c r="H1046" s="1">
        <v>1</v>
      </c>
      <c r="I1046" s="1">
        <v>0</v>
      </c>
      <c r="J1046" s="1">
        <v>0</v>
      </c>
      <c r="K1046" s="1">
        <v>0</v>
      </c>
      <c r="L1046" s="1">
        <v>0</v>
      </c>
      <c r="M1046" s="1">
        <v>0</v>
      </c>
    </row>
    <row r="1047" spans="1:13">
      <c r="A1047" s="1">
        <v>1046</v>
      </c>
      <c r="B1047" s="1">
        <v>937892.35210000002</v>
      </c>
      <c r="C1047" s="1">
        <v>762139.13594944903</v>
      </c>
      <c r="D1047" s="1">
        <f t="shared" si="16"/>
        <v>175753.21615055099</v>
      </c>
      <c r="E1047" s="1">
        <v>12</v>
      </c>
      <c r="F1047" s="1">
        <v>19</v>
      </c>
      <c r="G1047" s="1">
        <v>4</v>
      </c>
      <c r="H1047" s="1">
        <v>0</v>
      </c>
      <c r="I1047" s="1">
        <v>0</v>
      </c>
      <c r="J1047" s="1">
        <v>1</v>
      </c>
      <c r="K1047" s="1">
        <v>1</v>
      </c>
      <c r="L1047" s="1">
        <v>0</v>
      </c>
      <c r="M1047" s="1">
        <v>0</v>
      </c>
    </row>
    <row r="1048" spans="1:13">
      <c r="A1048" s="1">
        <v>1047</v>
      </c>
      <c r="B1048" s="1">
        <v>997232.92290000001</v>
      </c>
      <c r="C1048" s="1">
        <v>655325.49358781171</v>
      </c>
      <c r="D1048" s="1">
        <f t="shared" si="16"/>
        <v>341907.42931218829</v>
      </c>
      <c r="E1048" s="1">
        <v>12</v>
      </c>
      <c r="F1048" s="1">
        <v>19</v>
      </c>
      <c r="G1048" s="1">
        <v>4</v>
      </c>
      <c r="H1048" s="1">
        <v>2</v>
      </c>
      <c r="I1048" s="1">
        <v>0</v>
      </c>
      <c r="J1048" s="1">
        <v>1</v>
      </c>
      <c r="K1048" s="1">
        <v>0</v>
      </c>
      <c r="L1048" s="1">
        <v>0</v>
      </c>
      <c r="M1048" s="1">
        <v>0</v>
      </c>
    </row>
    <row r="1049" spans="1:13">
      <c r="A1049" s="1">
        <v>1048</v>
      </c>
      <c r="B1049" s="1">
        <v>942080.76199999999</v>
      </c>
      <c r="C1049" s="1">
        <v>964650.45793825132</v>
      </c>
      <c r="D1049" s="1">
        <f t="shared" si="16"/>
        <v>-22569.695938251331</v>
      </c>
      <c r="E1049" s="1">
        <v>14</v>
      </c>
      <c r="F1049" s="1">
        <v>15</v>
      </c>
      <c r="G1049" s="1">
        <v>6</v>
      </c>
      <c r="H1049" s="1">
        <v>0</v>
      </c>
      <c r="I1049" s="1">
        <v>1</v>
      </c>
      <c r="J1049" s="1">
        <v>0</v>
      </c>
      <c r="K1049" s="1">
        <v>1</v>
      </c>
      <c r="L1049" s="1">
        <v>0</v>
      </c>
      <c r="M1049" s="1">
        <v>1</v>
      </c>
    </row>
    <row r="1050" spans="1:13">
      <c r="A1050" s="1">
        <v>1049</v>
      </c>
      <c r="B1050" s="1">
        <v>938413.80370000005</v>
      </c>
      <c r="C1050" s="1">
        <v>767634.48201148352</v>
      </c>
      <c r="D1050" s="1">
        <f t="shared" si="16"/>
        <v>170779.32168851653</v>
      </c>
      <c r="E1050" s="1">
        <v>14</v>
      </c>
      <c r="F1050" s="1">
        <v>16</v>
      </c>
      <c r="G1050" s="1">
        <v>5</v>
      </c>
      <c r="H1050" s="1">
        <v>1</v>
      </c>
      <c r="I1050" s="1">
        <v>1</v>
      </c>
      <c r="J1050" s="1">
        <v>0</v>
      </c>
      <c r="K1050" s="1">
        <v>1</v>
      </c>
      <c r="L1050" s="1">
        <v>0</v>
      </c>
      <c r="M1050" s="1">
        <v>0</v>
      </c>
    </row>
    <row r="1051" spans="1:13">
      <c r="A1051" s="1">
        <v>1050</v>
      </c>
      <c r="B1051" s="1">
        <v>936532.94550000003</v>
      </c>
      <c r="C1051" s="1">
        <v>1153361.654896121</v>
      </c>
      <c r="D1051" s="1">
        <f t="shared" si="16"/>
        <v>-216828.70939612098</v>
      </c>
      <c r="E1051" s="1">
        <v>12</v>
      </c>
      <c r="F1051" s="1">
        <v>19</v>
      </c>
      <c r="G1051" s="1">
        <v>4</v>
      </c>
      <c r="H1051" s="1">
        <v>1</v>
      </c>
      <c r="I1051" s="1">
        <v>0</v>
      </c>
      <c r="J1051" s="1">
        <v>2</v>
      </c>
      <c r="K1051" s="1">
        <v>0</v>
      </c>
      <c r="L1051" s="1">
        <v>0</v>
      </c>
      <c r="M1051" s="1">
        <v>0</v>
      </c>
    </row>
    <row r="1052" spans="1:13">
      <c r="A1052" s="1">
        <v>1051</v>
      </c>
      <c r="B1052" s="1">
        <v>891031.09770000004</v>
      </c>
      <c r="C1052" s="1">
        <v>616124.47061914415</v>
      </c>
      <c r="D1052" s="1">
        <f t="shared" si="16"/>
        <v>274906.62708085589</v>
      </c>
      <c r="E1052" s="1">
        <v>19</v>
      </c>
      <c r="F1052" s="1">
        <v>9</v>
      </c>
      <c r="G1052" s="1">
        <v>7</v>
      </c>
      <c r="H1052" s="1">
        <v>2</v>
      </c>
      <c r="I1052" s="1">
        <v>0</v>
      </c>
      <c r="J1052" s="1">
        <v>2</v>
      </c>
      <c r="K1052" s="1">
        <v>0</v>
      </c>
      <c r="L1052" s="1">
        <v>0</v>
      </c>
      <c r="M1052" s="1">
        <v>1</v>
      </c>
    </row>
    <row r="1053" spans="1:13">
      <c r="A1053" s="1">
        <v>1052</v>
      </c>
      <c r="B1053" s="1">
        <v>1058008.2427000001</v>
      </c>
      <c r="C1053" s="1">
        <v>897869.01395392139</v>
      </c>
      <c r="D1053" s="1">
        <f t="shared" si="16"/>
        <v>160139.22874607868</v>
      </c>
      <c r="E1053" s="1">
        <v>4</v>
      </c>
      <c r="F1053" s="1">
        <v>26</v>
      </c>
      <c r="G1053" s="1">
        <v>5</v>
      </c>
      <c r="H1053" s="1">
        <v>2</v>
      </c>
      <c r="I1053" s="1">
        <v>0</v>
      </c>
      <c r="J1053" s="1">
        <v>0</v>
      </c>
      <c r="K1053" s="1">
        <v>1</v>
      </c>
      <c r="L1053" s="1">
        <v>0</v>
      </c>
      <c r="M1053" s="1">
        <v>0</v>
      </c>
    </row>
    <row r="1054" spans="1:13">
      <c r="A1054" s="1">
        <v>1053</v>
      </c>
      <c r="B1054" s="1">
        <v>1026000.5694</v>
      </c>
      <c r="C1054" s="1">
        <v>1025973.8912508442</v>
      </c>
      <c r="D1054" s="1">
        <f t="shared" si="16"/>
        <v>26.67814915580675</v>
      </c>
      <c r="E1054" s="1">
        <v>6</v>
      </c>
      <c r="F1054" s="1">
        <v>24</v>
      </c>
      <c r="G1054" s="1">
        <v>5</v>
      </c>
      <c r="H1054" s="1">
        <v>2</v>
      </c>
      <c r="I1054" s="1">
        <v>0</v>
      </c>
      <c r="J1054" s="1">
        <v>2</v>
      </c>
      <c r="K1054" s="1">
        <v>0</v>
      </c>
      <c r="L1054" s="1">
        <v>0</v>
      </c>
      <c r="M1054" s="1">
        <v>0</v>
      </c>
    </row>
    <row r="1055" spans="1:13">
      <c r="A1055" s="1">
        <v>1054</v>
      </c>
      <c r="B1055" s="1">
        <v>965804.84979999997</v>
      </c>
      <c r="C1055" s="1">
        <v>853809.82656843576</v>
      </c>
      <c r="D1055" s="1">
        <f t="shared" si="16"/>
        <v>111995.02323156421</v>
      </c>
      <c r="E1055" s="1">
        <v>6</v>
      </c>
      <c r="F1055" s="1">
        <v>24</v>
      </c>
      <c r="G1055" s="1">
        <v>5</v>
      </c>
      <c r="H1055" s="1">
        <v>0</v>
      </c>
      <c r="I1055" s="1">
        <v>1</v>
      </c>
      <c r="J1055" s="1">
        <v>0</v>
      </c>
      <c r="K1055" s="1">
        <v>1</v>
      </c>
      <c r="L1055" s="1">
        <v>0</v>
      </c>
      <c r="M1055" s="1">
        <v>0</v>
      </c>
    </row>
    <row r="1056" spans="1:13">
      <c r="A1056" s="1">
        <v>1055</v>
      </c>
      <c r="B1056" s="1">
        <v>940400.74959999998</v>
      </c>
      <c r="C1056" s="1">
        <v>872135.97031248338</v>
      </c>
      <c r="D1056" s="1">
        <f t="shared" si="16"/>
        <v>68264.779287516605</v>
      </c>
      <c r="E1056" s="1">
        <v>11</v>
      </c>
      <c r="F1056" s="1">
        <v>20</v>
      </c>
      <c r="G1056" s="1">
        <v>4</v>
      </c>
      <c r="H1056" s="1">
        <v>0</v>
      </c>
      <c r="I1056" s="1">
        <v>0</v>
      </c>
      <c r="J1056" s="1">
        <v>1</v>
      </c>
      <c r="K1056" s="1">
        <v>1</v>
      </c>
      <c r="L1056" s="1">
        <v>0</v>
      </c>
      <c r="M1056" s="1">
        <v>0</v>
      </c>
    </row>
    <row r="1057" spans="1:13">
      <c r="A1057" s="1">
        <v>1056</v>
      </c>
      <c r="B1057" s="1">
        <v>867103.95719999995</v>
      </c>
      <c r="C1057" s="1">
        <v>1028828.4796330349</v>
      </c>
      <c r="D1057" s="1">
        <f t="shared" si="16"/>
        <v>-161724.52243303496</v>
      </c>
      <c r="E1057" s="1">
        <v>16</v>
      </c>
      <c r="F1057" s="1">
        <v>15</v>
      </c>
      <c r="G1057" s="1">
        <v>4</v>
      </c>
      <c r="H1057" s="1">
        <v>2</v>
      </c>
      <c r="I1057" s="1">
        <v>0</v>
      </c>
      <c r="J1057" s="1">
        <v>0</v>
      </c>
      <c r="K1057" s="1">
        <v>2</v>
      </c>
      <c r="L1057" s="1">
        <v>0</v>
      </c>
      <c r="M1057" s="1">
        <v>0</v>
      </c>
    </row>
    <row r="1058" spans="1:13">
      <c r="A1058" s="1">
        <v>1057</v>
      </c>
      <c r="B1058" s="1">
        <v>931454.67480000004</v>
      </c>
      <c r="C1058" s="1">
        <v>1484733.9886644953</v>
      </c>
      <c r="D1058" s="1">
        <f t="shared" si="16"/>
        <v>-553279.31386449526</v>
      </c>
      <c r="E1058" s="1">
        <v>11</v>
      </c>
      <c r="F1058" s="1">
        <v>18</v>
      </c>
      <c r="G1058" s="1">
        <v>6</v>
      </c>
      <c r="H1058" s="1">
        <v>0</v>
      </c>
      <c r="I1058" s="1">
        <v>0</v>
      </c>
      <c r="J1058" s="1">
        <v>1</v>
      </c>
      <c r="K1058" s="1">
        <v>1</v>
      </c>
      <c r="L1058" s="1">
        <v>0</v>
      </c>
      <c r="M1058" s="1">
        <v>0</v>
      </c>
    </row>
    <row r="1059" spans="1:13">
      <c r="A1059" s="1">
        <v>1058</v>
      </c>
      <c r="B1059" s="1">
        <v>774551.08109999995</v>
      </c>
      <c r="C1059" s="1">
        <v>640767.01597163209</v>
      </c>
      <c r="D1059" s="1">
        <f t="shared" si="16"/>
        <v>133784.06512836786</v>
      </c>
      <c r="E1059" s="1">
        <v>12</v>
      </c>
      <c r="F1059" s="1">
        <v>20</v>
      </c>
      <c r="G1059" s="1">
        <v>3</v>
      </c>
      <c r="H1059" s="1">
        <v>0</v>
      </c>
      <c r="I1059" s="1">
        <v>0</v>
      </c>
      <c r="J1059" s="1">
        <v>0</v>
      </c>
      <c r="K1059" s="1">
        <v>1</v>
      </c>
      <c r="L1059" s="1">
        <v>0</v>
      </c>
      <c r="M1059" s="1">
        <v>1</v>
      </c>
    </row>
    <row r="1060" spans="1:13">
      <c r="A1060" s="1">
        <v>1059</v>
      </c>
      <c r="B1060" s="1">
        <v>929445.06279999996</v>
      </c>
      <c r="C1060" s="1">
        <v>475775.11611075257</v>
      </c>
      <c r="D1060" s="1">
        <f t="shared" si="16"/>
        <v>453669.94668924739</v>
      </c>
      <c r="E1060" s="1">
        <v>16</v>
      </c>
      <c r="F1060" s="1">
        <v>16</v>
      </c>
      <c r="G1060" s="1">
        <v>3</v>
      </c>
      <c r="H1060" s="1">
        <v>0</v>
      </c>
      <c r="I1060" s="1">
        <v>1</v>
      </c>
      <c r="J1060" s="1">
        <v>0</v>
      </c>
      <c r="K1060" s="1">
        <v>0</v>
      </c>
      <c r="L1060" s="1">
        <v>0</v>
      </c>
      <c r="M1060" s="1">
        <v>1</v>
      </c>
    </row>
    <row r="1061" spans="1:13">
      <c r="A1061" s="1">
        <v>1060</v>
      </c>
      <c r="B1061" s="1">
        <v>1009251.1882</v>
      </c>
      <c r="C1061" s="1">
        <v>615632.13535896351</v>
      </c>
      <c r="D1061" s="1">
        <f t="shared" si="16"/>
        <v>393619.05284103646</v>
      </c>
      <c r="E1061" s="1">
        <v>12</v>
      </c>
      <c r="F1061" s="1">
        <v>15</v>
      </c>
      <c r="G1061" s="1">
        <v>8</v>
      </c>
      <c r="H1061" s="1">
        <v>0</v>
      </c>
      <c r="I1061" s="1">
        <v>0</v>
      </c>
      <c r="J1061" s="1">
        <v>0</v>
      </c>
      <c r="K1061" s="1">
        <v>1</v>
      </c>
      <c r="L1061" s="1">
        <v>0</v>
      </c>
      <c r="M1061" s="1">
        <v>0</v>
      </c>
    </row>
    <row r="1062" spans="1:13">
      <c r="A1062" s="1">
        <v>1061</v>
      </c>
      <c r="B1062" s="1">
        <v>934024.26560000004</v>
      </c>
      <c r="C1062" s="1">
        <v>605954.62535537081</v>
      </c>
      <c r="D1062" s="1">
        <f t="shared" si="16"/>
        <v>328069.64024462923</v>
      </c>
      <c r="E1062" s="1">
        <v>8</v>
      </c>
      <c r="F1062" s="1">
        <v>20</v>
      </c>
      <c r="G1062" s="1">
        <v>7</v>
      </c>
      <c r="H1062" s="1">
        <v>0</v>
      </c>
      <c r="I1062" s="1">
        <v>1</v>
      </c>
      <c r="J1062" s="1">
        <v>2</v>
      </c>
      <c r="K1062" s="1">
        <v>0</v>
      </c>
      <c r="L1062" s="1">
        <v>0</v>
      </c>
      <c r="M1062" s="1">
        <v>0</v>
      </c>
    </row>
    <row r="1063" spans="1:13">
      <c r="A1063" s="1">
        <v>1062</v>
      </c>
      <c r="B1063" s="1">
        <v>881327.89569999999</v>
      </c>
      <c r="C1063" s="1">
        <v>1561935.3827326172</v>
      </c>
      <c r="D1063" s="1">
        <f t="shared" si="16"/>
        <v>-680607.48703261721</v>
      </c>
      <c r="E1063" s="1">
        <v>19</v>
      </c>
      <c r="F1063" s="1">
        <v>12</v>
      </c>
      <c r="G1063" s="1">
        <v>4</v>
      </c>
      <c r="H1063" s="1">
        <v>0</v>
      </c>
      <c r="I1063" s="1">
        <v>1</v>
      </c>
      <c r="J1063" s="1">
        <v>1</v>
      </c>
      <c r="K1063" s="1">
        <v>0</v>
      </c>
      <c r="L1063" s="1">
        <v>0</v>
      </c>
      <c r="M1063" s="1">
        <v>0</v>
      </c>
    </row>
    <row r="1064" spans="1:13">
      <c r="A1064" s="1">
        <v>1063</v>
      </c>
      <c r="B1064" s="1">
        <v>891944.93050000002</v>
      </c>
      <c r="C1064" s="1">
        <v>2530419.5174792176</v>
      </c>
      <c r="D1064" s="1">
        <f t="shared" si="16"/>
        <v>-1638474.5869792176</v>
      </c>
      <c r="E1064" s="1">
        <v>15</v>
      </c>
      <c r="F1064" s="1">
        <v>17</v>
      </c>
      <c r="G1064" s="1">
        <v>3</v>
      </c>
      <c r="H1064" s="1">
        <v>0</v>
      </c>
      <c r="I1064" s="1">
        <v>0</v>
      </c>
      <c r="J1064" s="1">
        <v>0</v>
      </c>
      <c r="K1064" s="1">
        <v>0</v>
      </c>
      <c r="L1064" s="1">
        <v>0</v>
      </c>
      <c r="M1064" s="1">
        <v>1</v>
      </c>
    </row>
    <row r="1065" spans="1:13">
      <c r="A1065" s="1">
        <v>1064</v>
      </c>
      <c r="B1065" s="1">
        <v>918652.02720000001</v>
      </c>
      <c r="C1065" s="1">
        <v>1032094.0761541642</v>
      </c>
      <c r="D1065" s="1">
        <f t="shared" si="16"/>
        <v>-113442.04895416414</v>
      </c>
      <c r="E1065" s="1">
        <v>15</v>
      </c>
      <c r="F1065" s="1">
        <v>16</v>
      </c>
      <c r="G1065" s="1">
        <v>4</v>
      </c>
      <c r="H1065" s="1">
        <v>1</v>
      </c>
      <c r="I1065" s="1">
        <v>0</v>
      </c>
      <c r="J1065" s="1">
        <v>0</v>
      </c>
      <c r="K1065" s="1">
        <v>2</v>
      </c>
      <c r="L1065" s="1">
        <v>0</v>
      </c>
      <c r="M1065" s="1">
        <v>0</v>
      </c>
    </row>
    <row r="1066" spans="1:13">
      <c r="A1066" s="1">
        <v>1065</v>
      </c>
      <c r="B1066" s="1">
        <v>952271.48400000005</v>
      </c>
      <c r="C1066" s="1">
        <v>799229.70521690429</v>
      </c>
      <c r="D1066" s="1">
        <f t="shared" si="16"/>
        <v>153041.77878309577</v>
      </c>
      <c r="E1066" s="1">
        <v>11</v>
      </c>
      <c r="F1066" s="1">
        <v>21</v>
      </c>
      <c r="G1066" s="1">
        <v>3</v>
      </c>
      <c r="H1066" s="1">
        <v>0</v>
      </c>
      <c r="I1066" s="1">
        <v>0</v>
      </c>
      <c r="J1066" s="1">
        <v>0</v>
      </c>
      <c r="K1066" s="1">
        <v>0</v>
      </c>
      <c r="L1066" s="1">
        <v>0</v>
      </c>
      <c r="M1066" s="1">
        <v>1</v>
      </c>
    </row>
    <row r="1067" spans="1:13">
      <c r="A1067" s="1">
        <v>1066</v>
      </c>
      <c r="B1067" s="1">
        <v>875776.90789999999</v>
      </c>
      <c r="C1067" s="1">
        <v>713154.27825405006</v>
      </c>
      <c r="D1067" s="1">
        <f t="shared" si="16"/>
        <v>162622.62964594993</v>
      </c>
      <c r="E1067" s="1">
        <v>15</v>
      </c>
      <c r="F1067" s="1">
        <v>11</v>
      </c>
      <c r="G1067" s="1">
        <v>9</v>
      </c>
      <c r="H1067" s="1">
        <v>2</v>
      </c>
      <c r="I1067" s="1">
        <v>0</v>
      </c>
      <c r="J1067" s="1">
        <v>0</v>
      </c>
      <c r="K1067" s="1">
        <v>1</v>
      </c>
      <c r="L1067" s="1">
        <v>0</v>
      </c>
      <c r="M1067" s="1">
        <v>1</v>
      </c>
    </row>
    <row r="1068" spans="1:13">
      <c r="A1068" s="1">
        <v>1067</v>
      </c>
      <c r="B1068" s="1">
        <v>877537.1764</v>
      </c>
      <c r="C1068" s="1">
        <v>612819.9153469603</v>
      </c>
      <c r="D1068" s="1">
        <f t="shared" si="16"/>
        <v>264717.26105303969</v>
      </c>
      <c r="E1068" s="1">
        <v>9</v>
      </c>
      <c r="F1068" s="1">
        <v>23</v>
      </c>
      <c r="G1068" s="1">
        <v>3</v>
      </c>
      <c r="H1068" s="1">
        <v>2</v>
      </c>
      <c r="I1068" s="1">
        <v>0</v>
      </c>
      <c r="J1068" s="1">
        <v>2</v>
      </c>
      <c r="K1068" s="1">
        <v>0</v>
      </c>
      <c r="L1068" s="1">
        <v>0</v>
      </c>
      <c r="M1068" s="1">
        <v>1</v>
      </c>
    </row>
    <row r="1069" spans="1:13">
      <c r="A1069" s="1">
        <v>1068</v>
      </c>
      <c r="B1069" s="1">
        <v>887224.34600000002</v>
      </c>
      <c r="C1069" s="1">
        <v>2145138.0389112346</v>
      </c>
      <c r="D1069" s="1">
        <f t="shared" si="16"/>
        <v>-1257913.6929112347</v>
      </c>
      <c r="E1069" s="1">
        <v>21</v>
      </c>
      <c r="F1069" s="1">
        <v>9</v>
      </c>
      <c r="G1069" s="1">
        <v>5</v>
      </c>
      <c r="H1069" s="1">
        <v>1</v>
      </c>
      <c r="I1069" s="1">
        <v>0</v>
      </c>
      <c r="J1069" s="1">
        <v>1</v>
      </c>
      <c r="K1069" s="1">
        <v>1</v>
      </c>
      <c r="L1069" s="1">
        <v>0</v>
      </c>
      <c r="M1069" s="1">
        <v>0</v>
      </c>
    </row>
    <row r="1070" spans="1:13">
      <c r="A1070" s="1">
        <v>1069</v>
      </c>
      <c r="B1070" s="1">
        <v>941575.20660000003</v>
      </c>
      <c r="C1070" s="1">
        <v>622786.68665958417</v>
      </c>
      <c r="D1070" s="1">
        <f t="shared" si="16"/>
        <v>318788.51994041586</v>
      </c>
      <c r="E1070" s="1">
        <v>7</v>
      </c>
      <c r="F1070" s="1">
        <v>23</v>
      </c>
      <c r="G1070" s="1">
        <v>5</v>
      </c>
      <c r="H1070" s="1">
        <v>0</v>
      </c>
      <c r="I1070" s="1">
        <v>1</v>
      </c>
      <c r="J1070" s="1">
        <v>1</v>
      </c>
      <c r="K1070" s="1">
        <v>1</v>
      </c>
      <c r="L1070" s="1">
        <v>0</v>
      </c>
      <c r="M1070" s="1">
        <v>1</v>
      </c>
    </row>
    <row r="1071" spans="1:13">
      <c r="A1071" s="1">
        <v>1070</v>
      </c>
      <c r="B1071" s="1">
        <v>901124.50360000005</v>
      </c>
      <c r="C1071" s="1">
        <v>835521.43057857687</v>
      </c>
      <c r="D1071" s="1">
        <f t="shared" si="16"/>
        <v>65603.073021423188</v>
      </c>
      <c r="E1071" s="1">
        <v>16</v>
      </c>
      <c r="F1071" s="1">
        <v>11</v>
      </c>
      <c r="G1071" s="1">
        <v>8</v>
      </c>
      <c r="H1071" s="1">
        <v>0</v>
      </c>
      <c r="I1071" s="1">
        <v>0</v>
      </c>
      <c r="J1071" s="1">
        <v>0</v>
      </c>
      <c r="K1071" s="1">
        <v>1</v>
      </c>
      <c r="L1071" s="1">
        <v>0</v>
      </c>
      <c r="M1071" s="1">
        <v>0</v>
      </c>
    </row>
    <row r="1072" spans="1:13">
      <c r="A1072" s="1">
        <v>1071</v>
      </c>
      <c r="B1072" s="1">
        <v>868162.72549999994</v>
      </c>
      <c r="C1072" s="1">
        <v>1106594.1782105877</v>
      </c>
      <c r="D1072" s="1">
        <f t="shared" si="16"/>
        <v>-238431.45271058776</v>
      </c>
      <c r="E1072" s="1">
        <v>18</v>
      </c>
      <c r="F1072" s="1">
        <v>14</v>
      </c>
      <c r="G1072" s="1">
        <v>3</v>
      </c>
      <c r="H1072" s="1">
        <v>1</v>
      </c>
      <c r="I1072" s="1">
        <v>1</v>
      </c>
      <c r="J1072" s="1">
        <v>0</v>
      </c>
      <c r="K1072" s="1">
        <v>0</v>
      </c>
      <c r="L1072" s="1">
        <v>1</v>
      </c>
      <c r="M1072" s="1">
        <v>1</v>
      </c>
    </row>
    <row r="1073" spans="1:13">
      <c r="A1073" s="1">
        <v>1072</v>
      </c>
      <c r="B1073" s="1">
        <v>927591.19200000004</v>
      </c>
      <c r="C1073" s="1">
        <v>555595.53835808369</v>
      </c>
      <c r="D1073" s="1">
        <f t="shared" si="16"/>
        <v>371995.65364191635</v>
      </c>
      <c r="E1073" s="1">
        <v>15</v>
      </c>
      <c r="F1073" s="1">
        <v>17</v>
      </c>
      <c r="G1073" s="1">
        <v>3</v>
      </c>
      <c r="H1073" s="1">
        <v>1</v>
      </c>
      <c r="I1073" s="1">
        <v>0</v>
      </c>
      <c r="J1073" s="1">
        <v>1</v>
      </c>
      <c r="K1073" s="1">
        <v>0</v>
      </c>
      <c r="L1073" s="1">
        <v>0</v>
      </c>
      <c r="M1073" s="1">
        <v>0</v>
      </c>
    </row>
    <row r="1074" spans="1:13">
      <c r="A1074" s="1">
        <v>1073</v>
      </c>
      <c r="B1074" s="1">
        <v>934901.49609999999</v>
      </c>
      <c r="C1074" s="1">
        <v>1053239.5482907365</v>
      </c>
      <c r="D1074" s="1">
        <f t="shared" si="16"/>
        <v>-118338.05219073652</v>
      </c>
      <c r="E1074" s="1">
        <v>9</v>
      </c>
      <c r="F1074" s="1">
        <v>23</v>
      </c>
      <c r="G1074" s="1">
        <v>3</v>
      </c>
      <c r="H1074" s="1">
        <v>1</v>
      </c>
      <c r="I1074" s="1">
        <v>0</v>
      </c>
      <c r="J1074" s="1">
        <v>1</v>
      </c>
      <c r="K1074" s="1">
        <v>0</v>
      </c>
      <c r="L1074" s="1">
        <v>0</v>
      </c>
      <c r="M1074" s="1">
        <v>0</v>
      </c>
    </row>
    <row r="1075" spans="1:13">
      <c r="A1075" s="1">
        <v>1074</v>
      </c>
      <c r="B1075" s="1">
        <v>1075389.5944999999</v>
      </c>
      <c r="C1075" s="1">
        <v>1215883.2231090206</v>
      </c>
      <c r="D1075" s="1">
        <f t="shared" si="16"/>
        <v>-140493.62860902073</v>
      </c>
      <c r="E1075" s="1">
        <v>6</v>
      </c>
      <c r="F1075" s="1">
        <v>22</v>
      </c>
      <c r="G1075" s="1">
        <v>7</v>
      </c>
      <c r="H1075" s="1">
        <v>1</v>
      </c>
      <c r="I1075" s="1">
        <v>0</v>
      </c>
      <c r="J1075" s="1">
        <v>0</v>
      </c>
      <c r="K1075" s="1">
        <v>0</v>
      </c>
      <c r="L1075" s="1">
        <v>0</v>
      </c>
      <c r="M1075" s="1">
        <v>1</v>
      </c>
    </row>
    <row r="1076" spans="1:13">
      <c r="A1076" s="1">
        <v>1075</v>
      </c>
      <c r="B1076" s="1">
        <v>962063.52060000005</v>
      </c>
      <c r="C1076" s="1">
        <v>983075.04588223132</v>
      </c>
      <c r="D1076" s="1">
        <f t="shared" si="16"/>
        <v>-21011.525282231276</v>
      </c>
      <c r="E1076" s="1">
        <v>12</v>
      </c>
      <c r="F1076" s="1">
        <v>18</v>
      </c>
      <c r="G1076" s="1">
        <v>5</v>
      </c>
      <c r="H1076" s="1">
        <v>0</v>
      </c>
      <c r="I1076" s="1">
        <v>1</v>
      </c>
      <c r="J1076" s="1">
        <v>1</v>
      </c>
      <c r="K1076" s="1">
        <v>1</v>
      </c>
      <c r="L1076" s="1">
        <v>0</v>
      </c>
      <c r="M1076" s="1">
        <v>0</v>
      </c>
    </row>
    <row r="1077" spans="1:13">
      <c r="A1077" s="1">
        <v>1076</v>
      </c>
      <c r="B1077" s="1">
        <v>940259.15549999999</v>
      </c>
      <c r="C1077" s="1">
        <v>995694.82258724072</v>
      </c>
      <c r="D1077" s="1">
        <f t="shared" si="16"/>
        <v>-55435.667087240727</v>
      </c>
      <c r="E1077" s="1">
        <v>12</v>
      </c>
      <c r="F1077" s="1">
        <v>21</v>
      </c>
      <c r="G1077" s="1">
        <v>2</v>
      </c>
      <c r="H1077" s="1">
        <v>2</v>
      </c>
      <c r="I1077" s="1">
        <v>0</v>
      </c>
      <c r="J1077" s="1">
        <v>1</v>
      </c>
      <c r="K1077" s="1">
        <v>1</v>
      </c>
      <c r="L1077" s="1">
        <v>0</v>
      </c>
      <c r="M1077" s="1">
        <v>0</v>
      </c>
    </row>
    <row r="1078" spans="1:13">
      <c r="A1078" s="1">
        <v>1077</v>
      </c>
      <c r="B1078" s="1">
        <v>836258.16139999998</v>
      </c>
      <c r="C1078" s="1">
        <v>1318565.771545677</v>
      </c>
      <c r="D1078" s="1">
        <f t="shared" si="16"/>
        <v>-482307.610145677</v>
      </c>
      <c r="E1078" s="1">
        <v>16</v>
      </c>
      <c r="F1078" s="1">
        <v>12</v>
      </c>
      <c r="G1078" s="1">
        <v>7</v>
      </c>
      <c r="H1078" s="1">
        <v>1</v>
      </c>
      <c r="I1078" s="1">
        <v>0</v>
      </c>
      <c r="J1078" s="1">
        <v>0</v>
      </c>
      <c r="K1078" s="1">
        <v>1</v>
      </c>
      <c r="L1078" s="1">
        <v>0</v>
      </c>
      <c r="M1078" s="1">
        <v>0</v>
      </c>
    </row>
    <row r="1079" spans="1:13">
      <c r="A1079" s="1">
        <v>1078</v>
      </c>
      <c r="B1079" s="1">
        <v>959595.20259999996</v>
      </c>
      <c r="C1079" s="1">
        <v>975363.88804645918</v>
      </c>
      <c r="D1079" s="1">
        <f t="shared" si="16"/>
        <v>-15768.685446459218</v>
      </c>
      <c r="E1079" s="1">
        <v>7</v>
      </c>
      <c r="F1079" s="1">
        <v>25</v>
      </c>
      <c r="G1079" s="1">
        <v>3</v>
      </c>
      <c r="H1079" s="1">
        <v>1</v>
      </c>
      <c r="I1079" s="1">
        <v>0</v>
      </c>
      <c r="J1079" s="1">
        <v>0</v>
      </c>
      <c r="K1079" s="1">
        <v>0</v>
      </c>
      <c r="L1079" s="1">
        <v>0</v>
      </c>
      <c r="M1079" s="1">
        <v>0</v>
      </c>
    </row>
    <row r="1080" spans="1:13">
      <c r="A1080" s="1">
        <v>1079</v>
      </c>
      <c r="B1080" s="1">
        <v>973749.46010000003</v>
      </c>
      <c r="C1080" s="1">
        <v>1114390.2145130748</v>
      </c>
      <c r="D1080" s="1">
        <f t="shared" si="16"/>
        <v>-140640.75441307481</v>
      </c>
      <c r="E1080" s="1">
        <v>11</v>
      </c>
      <c r="F1080" s="1">
        <v>20</v>
      </c>
      <c r="G1080" s="1">
        <v>4</v>
      </c>
      <c r="H1080" s="1">
        <v>1</v>
      </c>
      <c r="I1080" s="1">
        <v>0</v>
      </c>
      <c r="J1080" s="1">
        <v>1</v>
      </c>
      <c r="K1080" s="1">
        <v>1</v>
      </c>
      <c r="L1080" s="1">
        <v>0</v>
      </c>
      <c r="M1080" s="1">
        <v>1</v>
      </c>
    </row>
    <row r="1081" spans="1:13">
      <c r="A1081" s="1">
        <v>1080</v>
      </c>
      <c r="B1081" s="1">
        <v>906154.21129999997</v>
      </c>
      <c r="C1081" s="1">
        <v>1195382.9881370114</v>
      </c>
      <c r="D1081" s="1">
        <f t="shared" si="16"/>
        <v>-289228.77683701145</v>
      </c>
      <c r="E1081" s="1">
        <v>12</v>
      </c>
      <c r="F1081" s="1">
        <v>20</v>
      </c>
      <c r="G1081" s="1">
        <v>3</v>
      </c>
      <c r="H1081" s="1">
        <v>2</v>
      </c>
      <c r="I1081" s="1">
        <v>0</v>
      </c>
      <c r="J1081" s="1">
        <v>0</v>
      </c>
      <c r="K1081" s="1">
        <v>1</v>
      </c>
      <c r="L1081" s="1">
        <v>0</v>
      </c>
      <c r="M1081" s="1">
        <v>0</v>
      </c>
    </row>
    <row r="1082" spans="1:13">
      <c r="A1082" s="1">
        <v>1081</v>
      </c>
      <c r="B1082" s="1">
        <v>980219.10629999998</v>
      </c>
      <c r="C1082" s="1">
        <v>1311407.5117838313</v>
      </c>
      <c r="D1082" s="1">
        <f t="shared" si="16"/>
        <v>-331188.4054838313</v>
      </c>
      <c r="E1082" s="1">
        <v>11</v>
      </c>
      <c r="F1082" s="1">
        <v>15</v>
      </c>
      <c r="G1082" s="1">
        <v>9</v>
      </c>
      <c r="H1082" s="1">
        <v>1</v>
      </c>
      <c r="I1082" s="1">
        <v>0</v>
      </c>
      <c r="J1082" s="1">
        <v>0</v>
      </c>
      <c r="K1082" s="1">
        <v>1</v>
      </c>
      <c r="L1082" s="1">
        <v>1</v>
      </c>
      <c r="M1082" s="1">
        <v>1</v>
      </c>
    </row>
    <row r="1083" spans="1:13">
      <c r="A1083" s="1">
        <v>1082</v>
      </c>
      <c r="B1083" s="1">
        <v>970667.21829999995</v>
      </c>
      <c r="C1083" s="1">
        <v>928434.01783392706</v>
      </c>
      <c r="D1083" s="1">
        <f t="shared" si="16"/>
        <v>42233.200466072885</v>
      </c>
      <c r="E1083" s="1">
        <v>14</v>
      </c>
      <c r="F1083" s="1">
        <v>15</v>
      </c>
      <c r="G1083" s="1">
        <v>6</v>
      </c>
      <c r="H1083" s="1">
        <v>0</v>
      </c>
      <c r="I1083" s="1">
        <v>0</v>
      </c>
      <c r="J1083" s="1">
        <v>2</v>
      </c>
      <c r="K1083" s="1">
        <v>0</v>
      </c>
      <c r="L1083" s="1">
        <v>0</v>
      </c>
      <c r="M1083" s="1">
        <v>0</v>
      </c>
    </row>
    <row r="1084" spans="1:13">
      <c r="A1084" s="1">
        <v>1083</v>
      </c>
      <c r="B1084" s="1">
        <v>959198.18119999999</v>
      </c>
      <c r="C1084" s="1">
        <v>817659.19620962837</v>
      </c>
      <c r="D1084" s="1">
        <f t="shared" si="16"/>
        <v>141538.98499037162</v>
      </c>
      <c r="E1084" s="1">
        <v>10</v>
      </c>
      <c r="F1084" s="1">
        <v>20</v>
      </c>
      <c r="G1084" s="1">
        <v>5</v>
      </c>
      <c r="H1084" s="1">
        <v>1</v>
      </c>
      <c r="I1084" s="1">
        <v>0</v>
      </c>
      <c r="J1084" s="1">
        <v>0</v>
      </c>
      <c r="K1084" s="1">
        <v>2</v>
      </c>
      <c r="L1084" s="1">
        <v>0</v>
      </c>
      <c r="M1084" s="1">
        <v>1</v>
      </c>
    </row>
    <row r="1085" spans="1:13">
      <c r="A1085" s="1">
        <v>1084</v>
      </c>
      <c r="B1085" s="1">
        <v>996708.2304</v>
      </c>
      <c r="C1085" s="1">
        <v>899009.79846618033</v>
      </c>
      <c r="D1085" s="1">
        <f t="shared" si="16"/>
        <v>97698.431933819666</v>
      </c>
      <c r="E1085" s="1">
        <v>10</v>
      </c>
      <c r="F1085" s="1">
        <v>20</v>
      </c>
      <c r="G1085" s="1">
        <v>5</v>
      </c>
      <c r="H1085" s="1">
        <v>0</v>
      </c>
      <c r="I1085" s="1">
        <v>0</v>
      </c>
      <c r="J1085" s="1">
        <v>0</v>
      </c>
      <c r="K1085" s="1">
        <v>1</v>
      </c>
      <c r="L1085" s="1">
        <v>1</v>
      </c>
      <c r="M1085" s="1">
        <v>0</v>
      </c>
    </row>
    <row r="1086" spans="1:13">
      <c r="A1086" s="1">
        <v>1085</v>
      </c>
      <c r="B1086" s="1">
        <v>956333.92989999999</v>
      </c>
      <c r="C1086" s="1">
        <v>1348142.2147008134</v>
      </c>
      <c r="D1086" s="1">
        <f t="shared" si="16"/>
        <v>-391808.28480081342</v>
      </c>
      <c r="E1086" s="1">
        <v>13</v>
      </c>
      <c r="F1086" s="1">
        <v>17</v>
      </c>
      <c r="G1086" s="1">
        <v>5</v>
      </c>
      <c r="H1086" s="1">
        <v>0</v>
      </c>
      <c r="I1086" s="1">
        <v>0</v>
      </c>
      <c r="J1086" s="1">
        <v>1</v>
      </c>
      <c r="K1086" s="1">
        <v>0</v>
      </c>
      <c r="L1086" s="1">
        <v>0</v>
      </c>
      <c r="M1086" s="1">
        <v>0</v>
      </c>
    </row>
    <row r="1087" spans="1:13">
      <c r="A1087" s="1">
        <v>1086</v>
      </c>
      <c r="B1087" s="1">
        <v>1063960.9254999999</v>
      </c>
      <c r="C1087" s="1">
        <v>794100.61351565109</v>
      </c>
      <c r="D1087" s="1">
        <f t="shared" si="16"/>
        <v>269860.31198434881</v>
      </c>
      <c r="E1087" s="1">
        <v>11</v>
      </c>
      <c r="F1087" s="1">
        <v>19</v>
      </c>
      <c r="G1087" s="1">
        <v>5</v>
      </c>
      <c r="H1087" s="1">
        <v>1</v>
      </c>
      <c r="I1087" s="1">
        <v>0</v>
      </c>
      <c r="J1087" s="1">
        <v>0</v>
      </c>
      <c r="K1087" s="1">
        <v>0</v>
      </c>
      <c r="L1087" s="1">
        <v>0</v>
      </c>
      <c r="M1087" s="1">
        <v>1</v>
      </c>
    </row>
    <row r="1088" spans="1:13">
      <c r="A1088" s="1">
        <v>1087</v>
      </c>
      <c r="B1088" s="1">
        <v>1025589.1308</v>
      </c>
      <c r="C1088" s="1">
        <v>916005.55293725338</v>
      </c>
      <c r="D1088" s="1">
        <f t="shared" si="16"/>
        <v>109583.57786274666</v>
      </c>
      <c r="E1088" s="1">
        <v>5</v>
      </c>
      <c r="F1088" s="1">
        <v>23</v>
      </c>
      <c r="G1088" s="1">
        <v>7</v>
      </c>
      <c r="H1088" s="1">
        <v>1</v>
      </c>
      <c r="I1088" s="1">
        <v>0</v>
      </c>
      <c r="J1088" s="1">
        <v>1</v>
      </c>
      <c r="K1088" s="1">
        <v>0</v>
      </c>
      <c r="L1088" s="1">
        <v>0</v>
      </c>
      <c r="M1088" s="1">
        <v>1</v>
      </c>
    </row>
    <row r="1089" spans="1:13">
      <c r="A1089" s="1">
        <v>1088</v>
      </c>
      <c r="B1089" s="1">
        <v>1003959.9579</v>
      </c>
      <c r="C1089" s="1">
        <v>1389259.7667592331</v>
      </c>
      <c r="D1089" s="1">
        <f t="shared" si="16"/>
        <v>-385299.80885923305</v>
      </c>
      <c r="E1089" s="1">
        <v>19</v>
      </c>
      <c r="F1089" s="1">
        <v>9</v>
      </c>
      <c r="G1089" s="1">
        <v>7</v>
      </c>
      <c r="H1089" s="1">
        <v>0</v>
      </c>
      <c r="I1089" s="1">
        <v>0</v>
      </c>
      <c r="J1089" s="1">
        <v>0</v>
      </c>
      <c r="K1089" s="1">
        <v>1</v>
      </c>
      <c r="L1089" s="1">
        <v>0</v>
      </c>
      <c r="M1089" s="1">
        <v>0</v>
      </c>
    </row>
    <row r="1090" spans="1:13">
      <c r="A1090" s="1">
        <v>1089</v>
      </c>
      <c r="B1090" s="1">
        <v>808644.05920000002</v>
      </c>
      <c r="C1090" s="1">
        <v>572570.7447521725</v>
      </c>
      <c r="D1090" s="1">
        <f t="shared" ref="D1090:D1153" si="17">B1090-C1090</f>
        <v>236073.31444782752</v>
      </c>
      <c r="E1090" s="1">
        <v>19</v>
      </c>
      <c r="F1090" s="1">
        <v>10</v>
      </c>
      <c r="G1090" s="1">
        <v>6</v>
      </c>
      <c r="H1090" s="1">
        <v>0</v>
      </c>
      <c r="I1090" s="1">
        <v>1</v>
      </c>
      <c r="J1090" s="1">
        <v>0</v>
      </c>
      <c r="K1090" s="1">
        <v>1</v>
      </c>
      <c r="L1090" s="1">
        <v>0</v>
      </c>
      <c r="M1090" s="1">
        <v>0</v>
      </c>
    </row>
    <row r="1091" spans="1:13">
      <c r="A1091" s="1">
        <v>1090</v>
      </c>
      <c r="B1091" s="1">
        <v>906009.05980000005</v>
      </c>
      <c r="C1091" s="1">
        <v>876037.26253469638</v>
      </c>
      <c r="D1091" s="1">
        <f t="shared" si="17"/>
        <v>29971.79726530367</v>
      </c>
      <c r="E1091" s="1">
        <v>2</v>
      </c>
      <c r="F1091" s="1">
        <v>27</v>
      </c>
      <c r="G1091" s="1">
        <v>6</v>
      </c>
      <c r="H1091" s="1">
        <v>0</v>
      </c>
      <c r="I1091" s="1">
        <v>0</v>
      </c>
      <c r="J1091" s="1">
        <v>0</v>
      </c>
      <c r="K1091" s="1">
        <v>0</v>
      </c>
      <c r="L1091" s="1">
        <v>1</v>
      </c>
      <c r="M1091" s="1">
        <v>0</v>
      </c>
    </row>
    <row r="1092" spans="1:13">
      <c r="A1092" s="1">
        <v>1091</v>
      </c>
      <c r="B1092" s="1">
        <v>885067.65249999997</v>
      </c>
      <c r="C1092" s="1">
        <v>900435.54413707659</v>
      </c>
      <c r="D1092" s="1">
        <f t="shared" si="17"/>
        <v>-15367.891637076624</v>
      </c>
      <c r="E1092" s="1">
        <v>13</v>
      </c>
      <c r="F1092" s="1">
        <v>15</v>
      </c>
      <c r="G1092" s="1">
        <v>7</v>
      </c>
      <c r="H1092" s="1">
        <v>1</v>
      </c>
      <c r="I1092" s="1">
        <v>1</v>
      </c>
      <c r="J1092" s="1">
        <v>1</v>
      </c>
      <c r="K1092" s="1">
        <v>0</v>
      </c>
      <c r="L1092" s="1">
        <v>0</v>
      </c>
      <c r="M1092" s="1">
        <v>0</v>
      </c>
    </row>
    <row r="1093" spans="1:13">
      <c r="A1093" s="1">
        <v>1092</v>
      </c>
      <c r="B1093" s="1">
        <v>902619.82960000006</v>
      </c>
      <c r="C1093" s="1">
        <v>1165242.5580235417</v>
      </c>
      <c r="D1093" s="1">
        <f t="shared" si="17"/>
        <v>-262622.72842354164</v>
      </c>
      <c r="E1093" s="1">
        <v>10</v>
      </c>
      <c r="F1093" s="1">
        <v>20</v>
      </c>
      <c r="G1093" s="1">
        <v>5</v>
      </c>
      <c r="H1093" s="1">
        <v>1</v>
      </c>
      <c r="I1093" s="1">
        <v>0</v>
      </c>
      <c r="J1093" s="1">
        <v>2</v>
      </c>
      <c r="K1093" s="1">
        <v>0</v>
      </c>
      <c r="L1093" s="1">
        <v>0</v>
      </c>
      <c r="M1093" s="1">
        <v>1</v>
      </c>
    </row>
    <row r="1094" spans="1:13">
      <c r="A1094" s="1">
        <v>1093</v>
      </c>
      <c r="B1094" s="1">
        <v>931150.48939999996</v>
      </c>
      <c r="C1094" s="1">
        <v>958554.25931733602</v>
      </c>
      <c r="D1094" s="1">
        <f t="shared" si="17"/>
        <v>-27403.76991733606</v>
      </c>
      <c r="E1094" s="1">
        <v>15</v>
      </c>
      <c r="F1094" s="1">
        <v>13</v>
      </c>
      <c r="G1094" s="1">
        <v>7</v>
      </c>
      <c r="H1094" s="1">
        <v>1</v>
      </c>
      <c r="I1094" s="1">
        <v>1</v>
      </c>
      <c r="J1094" s="1">
        <v>2</v>
      </c>
      <c r="K1094" s="1">
        <v>0</v>
      </c>
      <c r="L1094" s="1">
        <v>0</v>
      </c>
      <c r="M1094" s="1">
        <v>1</v>
      </c>
    </row>
    <row r="1095" spans="1:13">
      <c r="A1095" s="1">
        <v>1094</v>
      </c>
      <c r="B1095" s="1">
        <v>988627.88020000001</v>
      </c>
      <c r="C1095" s="1">
        <v>883573.5125968745</v>
      </c>
      <c r="D1095" s="1">
        <f t="shared" si="17"/>
        <v>105054.36760312552</v>
      </c>
      <c r="E1095" s="1">
        <v>11</v>
      </c>
      <c r="F1095" s="1">
        <v>21</v>
      </c>
      <c r="G1095" s="1">
        <v>3</v>
      </c>
      <c r="H1095" s="1">
        <v>0</v>
      </c>
      <c r="I1095" s="1">
        <v>0</v>
      </c>
      <c r="J1095" s="1">
        <v>1</v>
      </c>
      <c r="K1095" s="1">
        <v>0</v>
      </c>
      <c r="L1095" s="1">
        <v>0</v>
      </c>
      <c r="M1095" s="1">
        <v>0</v>
      </c>
    </row>
    <row r="1096" spans="1:13">
      <c r="A1096" s="1">
        <v>1095</v>
      </c>
      <c r="B1096" s="1">
        <v>926203.83719999995</v>
      </c>
      <c r="C1096" s="1">
        <v>925654.2486361214</v>
      </c>
      <c r="D1096" s="1">
        <f t="shared" si="17"/>
        <v>549.58856387855485</v>
      </c>
      <c r="E1096" s="1">
        <v>19</v>
      </c>
      <c r="F1096" s="1">
        <v>10</v>
      </c>
      <c r="G1096" s="1">
        <v>6</v>
      </c>
      <c r="H1096" s="1">
        <v>0</v>
      </c>
      <c r="I1096" s="1">
        <v>0</v>
      </c>
      <c r="J1096" s="1">
        <v>0</v>
      </c>
      <c r="K1096" s="1">
        <v>0</v>
      </c>
      <c r="L1096" s="1">
        <v>0</v>
      </c>
      <c r="M1096" s="1">
        <v>0</v>
      </c>
    </row>
    <row r="1097" spans="1:13">
      <c r="A1097" s="1">
        <v>1096</v>
      </c>
      <c r="B1097" s="1">
        <v>833662.01560000004</v>
      </c>
      <c r="C1097" s="1">
        <v>893496.85415053274</v>
      </c>
      <c r="D1097" s="1">
        <f t="shared" si="17"/>
        <v>-59834.838550532702</v>
      </c>
      <c r="E1097" s="1">
        <v>16</v>
      </c>
      <c r="F1097" s="1">
        <v>12</v>
      </c>
      <c r="G1097" s="1">
        <v>7</v>
      </c>
      <c r="H1097" s="1">
        <v>2</v>
      </c>
      <c r="I1097" s="1">
        <v>0</v>
      </c>
      <c r="J1097" s="1">
        <v>0</v>
      </c>
      <c r="K1097" s="1">
        <v>1</v>
      </c>
      <c r="L1097" s="1">
        <v>1</v>
      </c>
      <c r="M1097" s="1">
        <v>0</v>
      </c>
    </row>
    <row r="1098" spans="1:13">
      <c r="A1098" s="1">
        <v>1097</v>
      </c>
      <c r="B1098" s="1">
        <v>982739.63970000006</v>
      </c>
      <c r="C1098" s="1">
        <v>1020950.7129626146</v>
      </c>
      <c r="D1098" s="1">
        <f t="shared" si="17"/>
        <v>-38211.073262614547</v>
      </c>
      <c r="E1098" s="1">
        <v>9</v>
      </c>
      <c r="F1098" s="1">
        <v>22</v>
      </c>
      <c r="G1098" s="1">
        <v>4</v>
      </c>
      <c r="H1098" s="1">
        <v>0</v>
      </c>
      <c r="I1098" s="1">
        <v>1</v>
      </c>
      <c r="J1098" s="1">
        <v>1</v>
      </c>
      <c r="K1098" s="1">
        <v>0</v>
      </c>
      <c r="L1098" s="1">
        <v>0</v>
      </c>
      <c r="M1098" s="1">
        <v>1</v>
      </c>
    </row>
    <row r="1099" spans="1:13">
      <c r="A1099" s="1">
        <v>1098</v>
      </c>
      <c r="B1099" s="1">
        <v>1018651.4762</v>
      </c>
      <c r="C1099" s="1">
        <v>1033609.2387935068</v>
      </c>
      <c r="D1099" s="1">
        <f t="shared" si="17"/>
        <v>-14957.762593506719</v>
      </c>
      <c r="E1099" s="1">
        <v>9</v>
      </c>
      <c r="F1099" s="1">
        <v>20</v>
      </c>
      <c r="G1099" s="1">
        <v>6</v>
      </c>
      <c r="H1099" s="1">
        <v>1</v>
      </c>
      <c r="I1099" s="1">
        <v>0</v>
      </c>
      <c r="J1099" s="1">
        <v>0</v>
      </c>
      <c r="K1099" s="1">
        <v>0</v>
      </c>
      <c r="L1099" s="1">
        <v>1</v>
      </c>
      <c r="M1099" s="1">
        <v>0</v>
      </c>
    </row>
    <row r="1100" spans="1:13">
      <c r="A1100" s="1">
        <v>1099</v>
      </c>
      <c r="B1100" s="1">
        <v>942400.27619999996</v>
      </c>
      <c r="C1100" s="1">
        <v>826247.29481096717</v>
      </c>
      <c r="D1100" s="1">
        <f t="shared" si="17"/>
        <v>116152.98138903279</v>
      </c>
      <c r="E1100" s="1">
        <v>17</v>
      </c>
      <c r="F1100" s="1">
        <v>14</v>
      </c>
      <c r="G1100" s="1">
        <v>4</v>
      </c>
      <c r="H1100" s="1">
        <v>2</v>
      </c>
      <c r="I1100" s="1">
        <v>0</v>
      </c>
      <c r="J1100" s="1">
        <v>1</v>
      </c>
      <c r="K1100" s="1">
        <v>1</v>
      </c>
      <c r="L1100" s="1">
        <v>0</v>
      </c>
      <c r="M1100" s="1">
        <v>0</v>
      </c>
    </row>
    <row r="1101" spans="1:13">
      <c r="A1101" s="1">
        <v>1100</v>
      </c>
      <c r="B1101" s="1">
        <v>886579.78379999998</v>
      </c>
      <c r="C1101" s="1">
        <v>866888.16728381778</v>
      </c>
      <c r="D1101" s="1">
        <f t="shared" si="17"/>
        <v>19691.616516182199</v>
      </c>
      <c r="E1101" s="1">
        <v>17</v>
      </c>
      <c r="F1101" s="1">
        <v>14</v>
      </c>
      <c r="G1101" s="1">
        <v>4</v>
      </c>
      <c r="H1101" s="1">
        <v>2</v>
      </c>
      <c r="I1101" s="1">
        <v>0</v>
      </c>
      <c r="J1101" s="1">
        <v>1</v>
      </c>
      <c r="K1101" s="1">
        <v>1</v>
      </c>
      <c r="L1101" s="1">
        <v>0</v>
      </c>
      <c r="M1101" s="1">
        <v>0</v>
      </c>
    </row>
    <row r="1102" spans="1:13">
      <c r="A1102" s="1">
        <v>1101</v>
      </c>
      <c r="B1102" s="1">
        <v>1032650.7155</v>
      </c>
      <c r="C1102" s="1">
        <v>770954.79171490925</v>
      </c>
      <c r="D1102" s="1">
        <f t="shared" si="17"/>
        <v>261695.9237850908</v>
      </c>
      <c r="E1102" s="1">
        <v>9</v>
      </c>
      <c r="F1102" s="1">
        <v>20</v>
      </c>
      <c r="G1102" s="1">
        <v>6</v>
      </c>
      <c r="H1102" s="1">
        <v>0</v>
      </c>
      <c r="I1102" s="1">
        <v>1</v>
      </c>
      <c r="J1102" s="1">
        <v>1</v>
      </c>
      <c r="K1102" s="1">
        <v>0</v>
      </c>
      <c r="L1102" s="1">
        <v>0</v>
      </c>
      <c r="M1102" s="1">
        <v>0</v>
      </c>
    </row>
    <row r="1103" spans="1:13">
      <c r="A1103" s="1">
        <v>1102</v>
      </c>
      <c r="B1103" s="1">
        <v>1001760.1164000001</v>
      </c>
      <c r="C1103" s="1">
        <v>1354383.6512090892</v>
      </c>
      <c r="D1103" s="1">
        <f t="shared" si="17"/>
        <v>-352623.53480908915</v>
      </c>
      <c r="E1103" s="1">
        <v>13</v>
      </c>
      <c r="F1103" s="1">
        <v>17</v>
      </c>
      <c r="G1103" s="1">
        <v>5</v>
      </c>
      <c r="H1103" s="1">
        <v>0</v>
      </c>
      <c r="I1103" s="1">
        <v>0</v>
      </c>
      <c r="J1103" s="1">
        <v>1</v>
      </c>
      <c r="K1103" s="1">
        <v>1</v>
      </c>
      <c r="L1103" s="1">
        <v>0</v>
      </c>
      <c r="M1103" s="1">
        <v>0</v>
      </c>
    </row>
    <row r="1104" spans="1:13">
      <c r="A1104" s="1">
        <v>1103</v>
      </c>
      <c r="B1104" s="1">
        <v>999188.20810000005</v>
      </c>
      <c r="C1104" s="1">
        <v>967903.87854520371</v>
      </c>
      <c r="D1104" s="1">
        <f t="shared" si="17"/>
        <v>31284.329554796335</v>
      </c>
      <c r="E1104" s="1">
        <v>8</v>
      </c>
      <c r="F1104" s="1">
        <v>23</v>
      </c>
      <c r="G1104" s="1">
        <v>4</v>
      </c>
      <c r="H1104" s="1">
        <v>1</v>
      </c>
      <c r="I1104" s="1">
        <v>0</v>
      </c>
      <c r="J1104" s="1">
        <v>0</v>
      </c>
      <c r="K1104" s="1">
        <v>1</v>
      </c>
      <c r="L1104" s="1">
        <v>0</v>
      </c>
      <c r="M1104" s="1">
        <v>0</v>
      </c>
    </row>
    <row r="1105" spans="1:13">
      <c r="A1105" s="1">
        <v>1104</v>
      </c>
      <c r="B1105" s="1">
        <v>847293.86170000001</v>
      </c>
      <c r="C1105" s="1">
        <v>1093210.9214128931</v>
      </c>
      <c r="D1105" s="1">
        <f t="shared" si="17"/>
        <v>-245917.0597128931</v>
      </c>
      <c r="E1105" s="1">
        <v>9</v>
      </c>
      <c r="F1105" s="1">
        <v>22</v>
      </c>
      <c r="G1105" s="1">
        <v>4</v>
      </c>
      <c r="H1105" s="1">
        <v>2</v>
      </c>
      <c r="I1105" s="1">
        <v>0</v>
      </c>
      <c r="J1105" s="1">
        <v>2</v>
      </c>
      <c r="K1105" s="1">
        <v>0</v>
      </c>
      <c r="L1105" s="1">
        <v>0</v>
      </c>
      <c r="M1105" s="1">
        <v>0</v>
      </c>
    </row>
    <row r="1106" spans="1:13">
      <c r="A1106" s="1">
        <v>1105</v>
      </c>
      <c r="B1106" s="1">
        <v>929724.56779999996</v>
      </c>
      <c r="C1106" s="1">
        <v>913509.20189111889</v>
      </c>
      <c r="D1106" s="1">
        <f t="shared" si="17"/>
        <v>16215.365908881067</v>
      </c>
      <c r="E1106" s="1">
        <v>7</v>
      </c>
      <c r="F1106" s="1">
        <v>21</v>
      </c>
      <c r="G1106" s="1">
        <v>7</v>
      </c>
      <c r="H1106" s="1">
        <v>1</v>
      </c>
      <c r="I1106" s="1">
        <v>0</v>
      </c>
      <c r="J1106" s="1">
        <v>0</v>
      </c>
      <c r="K1106" s="1">
        <v>0</v>
      </c>
      <c r="L1106" s="1">
        <v>0</v>
      </c>
      <c r="M1106" s="1">
        <v>1</v>
      </c>
    </row>
    <row r="1107" spans="1:13">
      <c r="A1107" s="1">
        <v>1106</v>
      </c>
      <c r="B1107" s="1">
        <v>847216.16410000005</v>
      </c>
      <c r="C1107" s="1">
        <v>574512.85180299019</v>
      </c>
      <c r="D1107" s="1">
        <f t="shared" si="17"/>
        <v>272703.31229700986</v>
      </c>
      <c r="E1107" s="1">
        <v>16</v>
      </c>
      <c r="F1107" s="1">
        <v>17</v>
      </c>
      <c r="G1107" s="1">
        <v>2</v>
      </c>
      <c r="H1107" s="1">
        <v>2</v>
      </c>
      <c r="I1107" s="1">
        <v>0</v>
      </c>
      <c r="J1107" s="1">
        <v>1</v>
      </c>
      <c r="K1107" s="1">
        <v>1</v>
      </c>
      <c r="L1107" s="1">
        <v>0</v>
      </c>
      <c r="M1107" s="1">
        <v>1</v>
      </c>
    </row>
    <row r="1108" spans="1:13">
      <c r="A1108" s="1">
        <v>1107</v>
      </c>
      <c r="B1108" s="1">
        <v>915700.11589999998</v>
      </c>
      <c r="C1108" s="1">
        <v>886825.57011670887</v>
      </c>
      <c r="D1108" s="1">
        <f t="shared" si="17"/>
        <v>28874.545783291105</v>
      </c>
      <c r="E1108" s="1">
        <v>3</v>
      </c>
      <c r="F1108" s="1">
        <v>27</v>
      </c>
      <c r="G1108" s="1">
        <v>5</v>
      </c>
      <c r="H1108" s="1">
        <v>1</v>
      </c>
      <c r="I1108" s="1">
        <v>0</v>
      </c>
      <c r="J1108" s="1">
        <v>0</v>
      </c>
      <c r="K1108" s="1">
        <v>1</v>
      </c>
      <c r="L1108" s="1">
        <v>0</v>
      </c>
      <c r="M1108" s="1">
        <v>0</v>
      </c>
    </row>
    <row r="1109" spans="1:13">
      <c r="A1109" s="1">
        <v>1108</v>
      </c>
      <c r="B1109" s="1">
        <v>966142.48499999999</v>
      </c>
      <c r="C1109" s="1">
        <v>895964.63424722967</v>
      </c>
      <c r="D1109" s="1">
        <f t="shared" si="17"/>
        <v>70177.850752770319</v>
      </c>
      <c r="E1109" s="1">
        <v>10</v>
      </c>
      <c r="F1109" s="1">
        <v>19</v>
      </c>
      <c r="G1109" s="1">
        <v>6</v>
      </c>
      <c r="H1109" s="1">
        <v>0</v>
      </c>
      <c r="I1109" s="1">
        <v>0</v>
      </c>
      <c r="J1109" s="1">
        <v>0</v>
      </c>
      <c r="K1109" s="1">
        <v>0</v>
      </c>
      <c r="L1109" s="1">
        <v>0</v>
      </c>
      <c r="M1109" s="1">
        <v>1</v>
      </c>
    </row>
    <row r="1110" spans="1:13">
      <c r="A1110" s="1">
        <v>1109</v>
      </c>
      <c r="B1110" s="1">
        <v>891189.97039999999</v>
      </c>
      <c r="C1110" s="1">
        <v>492268.7815685689</v>
      </c>
      <c r="D1110" s="1">
        <f t="shared" si="17"/>
        <v>398921.18883143109</v>
      </c>
      <c r="E1110" s="1">
        <v>14</v>
      </c>
      <c r="F1110" s="1">
        <v>18</v>
      </c>
      <c r="G1110" s="1">
        <v>3</v>
      </c>
      <c r="H1110" s="1">
        <v>1</v>
      </c>
      <c r="I1110" s="1">
        <v>1</v>
      </c>
      <c r="J1110" s="1">
        <v>1</v>
      </c>
      <c r="K1110" s="1">
        <v>0</v>
      </c>
      <c r="L1110" s="1">
        <v>0</v>
      </c>
      <c r="M1110" s="1">
        <v>0</v>
      </c>
    </row>
    <row r="1111" spans="1:13">
      <c r="A1111" s="1">
        <v>1110</v>
      </c>
      <c r="B1111" s="1">
        <v>905833.86829999997</v>
      </c>
      <c r="C1111" s="1">
        <v>1275239.9554530303</v>
      </c>
      <c r="D1111" s="1">
        <f t="shared" si="17"/>
        <v>-369406.08715303033</v>
      </c>
      <c r="E1111" s="1">
        <v>12</v>
      </c>
      <c r="F1111" s="1">
        <v>20</v>
      </c>
      <c r="G1111" s="1">
        <v>3</v>
      </c>
      <c r="H1111" s="1">
        <v>0</v>
      </c>
      <c r="I1111" s="1">
        <v>0</v>
      </c>
      <c r="J1111" s="1">
        <v>0</v>
      </c>
      <c r="K1111" s="1">
        <v>2</v>
      </c>
      <c r="L1111" s="1">
        <v>0</v>
      </c>
      <c r="M1111" s="1">
        <v>0</v>
      </c>
    </row>
    <row r="1112" spans="1:13">
      <c r="A1112" s="1">
        <v>1111</v>
      </c>
      <c r="B1112" s="1">
        <v>907343.38729999994</v>
      </c>
      <c r="C1112" s="1">
        <v>824877.54091750004</v>
      </c>
      <c r="D1112" s="1">
        <f t="shared" si="17"/>
        <v>82465.846382499905</v>
      </c>
      <c r="E1112" s="1">
        <v>7</v>
      </c>
      <c r="F1112" s="1">
        <v>22</v>
      </c>
      <c r="G1112" s="1">
        <v>6</v>
      </c>
      <c r="H1112" s="1">
        <v>0</v>
      </c>
      <c r="I1112" s="1">
        <v>1</v>
      </c>
      <c r="J1112" s="1">
        <v>2</v>
      </c>
      <c r="K1112" s="1">
        <v>0</v>
      </c>
      <c r="L1112" s="1">
        <v>0</v>
      </c>
      <c r="M1112" s="1">
        <v>0</v>
      </c>
    </row>
    <row r="1113" spans="1:13">
      <c r="A1113" s="1">
        <v>1112</v>
      </c>
      <c r="B1113" s="1">
        <v>1024261.8778</v>
      </c>
      <c r="C1113" s="1">
        <v>944779.61710014031</v>
      </c>
      <c r="D1113" s="1">
        <f t="shared" si="17"/>
        <v>79482.260699859704</v>
      </c>
      <c r="E1113" s="1">
        <v>6</v>
      </c>
      <c r="F1113" s="1">
        <v>23</v>
      </c>
      <c r="G1113" s="1">
        <v>6</v>
      </c>
      <c r="H1113" s="1">
        <v>0</v>
      </c>
      <c r="I1113" s="1">
        <v>1</v>
      </c>
      <c r="J1113" s="1">
        <v>0</v>
      </c>
      <c r="K1113" s="1">
        <v>0</v>
      </c>
      <c r="L1113" s="1">
        <v>0</v>
      </c>
      <c r="M1113" s="1">
        <v>0</v>
      </c>
    </row>
    <row r="1114" spans="1:13">
      <c r="A1114" s="1">
        <v>1113</v>
      </c>
      <c r="B1114" s="1">
        <v>924423.26399999997</v>
      </c>
      <c r="C1114" s="1">
        <v>961033.12737534463</v>
      </c>
      <c r="D1114" s="1">
        <f t="shared" si="17"/>
        <v>-36609.863375344663</v>
      </c>
      <c r="E1114" s="1">
        <v>10</v>
      </c>
      <c r="F1114" s="1">
        <v>19</v>
      </c>
      <c r="G1114" s="1">
        <v>6</v>
      </c>
      <c r="H1114" s="1">
        <v>1</v>
      </c>
      <c r="I1114" s="1">
        <v>0</v>
      </c>
      <c r="J1114" s="1">
        <v>0</v>
      </c>
      <c r="K1114" s="1">
        <v>1</v>
      </c>
      <c r="L1114" s="1">
        <v>0</v>
      </c>
      <c r="M1114" s="1">
        <v>0</v>
      </c>
    </row>
    <row r="1115" spans="1:13">
      <c r="A1115" s="1">
        <v>1114</v>
      </c>
      <c r="B1115" s="1">
        <v>864508.52919999999</v>
      </c>
      <c r="C1115" s="1">
        <v>871226.7294500256</v>
      </c>
      <c r="D1115" s="1">
        <f t="shared" si="17"/>
        <v>-6718.2002500256058</v>
      </c>
      <c r="E1115" s="1">
        <v>11</v>
      </c>
      <c r="F1115" s="1">
        <v>19</v>
      </c>
      <c r="G1115" s="1">
        <v>5</v>
      </c>
      <c r="H1115" s="1">
        <v>2</v>
      </c>
      <c r="I1115" s="1">
        <v>0</v>
      </c>
      <c r="J1115" s="1">
        <v>1</v>
      </c>
      <c r="K1115" s="1">
        <v>0</v>
      </c>
      <c r="L1115" s="1">
        <v>0</v>
      </c>
      <c r="M1115" s="1">
        <v>0</v>
      </c>
    </row>
    <row r="1116" spans="1:13">
      <c r="A1116" s="1">
        <v>1115</v>
      </c>
      <c r="B1116" s="1">
        <v>965111.41280000005</v>
      </c>
      <c r="C1116" s="1">
        <v>1121171.9375464011</v>
      </c>
      <c r="D1116" s="1">
        <f t="shared" si="17"/>
        <v>-156060.524746401</v>
      </c>
      <c r="E1116" s="1">
        <v>12</v>
      </c>
      <c r="F1116" s="1">
        <v>15</v>
      </c>
      <c r="G1116" s="1">
        <v>8</v>
      </c>
      <c r="H1116" s="1">
        <v>0</v>
      </c>
      <c r="I1116" s="1">
        <v>0</v>
      </c>
      <c r="J1116" s="1">
        <v>0</v>
      </c>
      <c r="K1116" s="1">
        <v>1</v>
      </c>
      <c r="L1116" s="1">
        <v>0</v>
      </c>
      <c r="M1116" s="1">
        <v>0</v>
      </c>
    </row>
    <row r="1117" spans="1:13">
      <c r="A1117" s="1">
        <v>1116</v>
      </c>
      <c r="B1117" s="1">
        <v>882548.3628</v>
      </c>
      <c r="C1117" s="1">
        <v>717529.1267099519</v>
      </c>
      <c r="D1117" s="1">
        <f t="shared" si="17"/>
        <v>165019.2360900481</v>
      </c>
      <c r="E1117" s="1">
        <v>13</v>
      </c>
      <c r="F1117" s="1">
        <v>16</v>
      </c>
      <c r="G1117" s="1">
        <v>6</v>
      </c>
      <c r="H1117" s="1">
        <v>1</v>
      </c>
      <c r="I1117" s="1">
        <v>0</v>
      </c>
      <c r="J1117" s="1">
        <v>0</v>
      </c>
      <c r="K1117" s="1">
        <v>0</v>
      </c>
      <c r="L1117" s="1">
        <v>0</v>
      </c>
      <c r="M1117" s="1">
        <v>0</v>
      </c>
    </row>
    <row r="1118" spans="1:13">
      <c r="A1118" s="1">
        <v>1117</v>
      </c>
      <c r="B1118" s="1">
        <v>945355.08990000002</v>
      </c>
      <c r="C1118" s="1">
        <v>682965.49729954847</v>
      </c>
      <c r="D1118" s="1">
        <f t="shared" si="17"/>
        <v>262389.59260045155</v>
      </c>
      <c r="E1118" s="1">
        <v>9</v>
      </c>
      <c r="F1118" s="1">
        <v>22</v>
      </c>
      <c r="G1118" s="1">
        <v>4</v>
      </c>
      <c r="H1118" s="1">
        <v>1</v>
      </c>
      <c r="I1118" s="1">
        <v>0</v>
      </c>
      <c r="J1118" s="1">
        <v>1</v>
      </c>
      <c r="K1118" s="1">
        <v>0</v>
      </c>
      <c r="L1118" s="1">
        <v>1</v>
      </c>
      <c r="M1118" s="1">
        <v>1</v>
      </c>
    </row>
    <row r="1119" spans="1:13">
      <c r="A1119" s="1">
        <v>1118</v>
      </c>
      <c r="B1119" s="1">
        <v>924669.11</v>
      </c>
      <c r="C1119" s="1">
        <v>792214.12134944752</v>
      </c>
      <c r="D1119" s="1">
        <f t="shared" si="17"/>
        <v>132454.98865055246</v>
      </c>
      <c r="E1119" s="1">
        <v>18</v>
      </c>
      <c r="F1119" s="1">
        <v>12</v>
      </c>
      <c r="G1119" s="1">
        <v>5</v>
      </c>
      <c r="H1119" s="1">
        <v>0</v>
      </c>
      <c r="I1119" s="1">
        <v>0</v>
      </c>
      <c r="J1119" s="1">
        <v>0</v>
      </c>
      <c r="K1119" s="1">
        <v>0</v>
      </c>
      <c r="L1119" s="1">
        <v>0</v>
      </c>
      <c r="M1119" s="1">
        <v>1</v>
      </c>
    </row>
    <row r="1120" spans="1:13">
      <c r="A1120" s="1">
        <v>1119</v>
      </c>
      <c r="B1120" s="1">
        <v>840889.48990000004</v>
      </c>
      <c r="C1120" s="1">
        <v>602014.95975753688</v>
      </c>
      <c r="D1120" s="1">
        <f t="shared" si="17"/>
        <v>238874.53014246316</v>
      </c>
      <c r="E1120" s="1">
        <v>16</v>
      </c>
      <c r="F1120" s="1">
        <v>15</v>
      </c>
      <c r="G1120" s="1">
        <v>4</v>
      </c>
      <c r="H1120" s="1">
        <v>0</v>
      </c>
      <c r="I1120" s="1">
        <v>0</v>
      </c>
      <c r="J1120" s="1">
        <v>0</v>
      </c>
      <c r="K1120" s="1">
        <v>1</v>
      </c>
      <c r="L1120" s="1">
        <v>1</v>
      </c>
      <c r="M1120" s="1">
        <v>0</v>
      </c>
    </row>
    <row r="1121" spans="1:13">
      <c r="A1121" s="1">
        <v>1120</v>
      </c>
      <c r="B1121" s="1">
        <v>931624.22389999998</v>
      </c>
      <c r="C1121" s="1">
        <v>767637.54671244544</v>
      </c>
      <c r="D1121" s="1">
        <f t="shared" si="17"/>
        <v>163986.67718755454</v>
      </c>
      <c r="E1121" s="1">
        <v>11</v>
      </c>
      <c r="F1121" s="1">
        <v>16</v>
      </c>
      <c r="G1121" s="1">
        <v>8</v>
      </c>
      <c r="H1121" s="1">
        <v>0</v>
      </c>
      <c r="I1121" s="1">
        <v>0</v>
      </c>
      <c r="J1121" s="1">
        <v>1</v>
      </c>
      <c r="K1121" s="1">
        <v>0</v>
      </c>
      <c r="L1121" s="1">
        <v>0</v>
      </c>
      <c r="M1121" s="1">
        <v>1</v>
      </c>
    </row>
    <row r="1122" spans="1:13">
      <c r="A1122" s="1">
        <v>1121</v>
      </c>
      <c r="B1122" s="1">
        <v>965735.33360000001</v>
      </c>
      <c r="C1122" s="1">
        <v>1043096.2542007969</v>
      </c>
      <c r="D1122" s="1">
        <f t="shared" si="17"/>
        <v>-77360.920600796933</v>
      </c>
      <c r="E1122" s="1">
        <v>12</v>
      </c>
      <c r="F1122" s="1">
        <v>15</v>
      </c>
      <c r="G1122" s="1">
        <v>8</v>
      </c>
      <c r="H1122" s="1">
        <v>1</v>
      </c>
      <c r="I1122" s="1">
        <v>0</v>
      </c>
      <c r="J1122" s="1">
        <v>0</v>
      </c>
      <c r="K1122" s="1">
        <v>0</v>
      </c>
      <c r="L1122" s="1">
        <v>0</v>
      </c>
      <c r="M1122" s="1">
        <v>0</v>
      </c>
    </row>
    <row r="1123" spans="1:13">
      <c r="A1123" s="1">
        <v>1122</v>
      </c>
      <c r="B1123" s="1">
        <v>1001249.7878</v>
      </c>
      <c r="C1123" s="1">
        <v>767262.28800595307</v>
      </c>
      <c r="D1123" s="1">
        <f t="shared" si="17"/>
        <v>233987.49979404698</v>
      </c>
      <c r="E1123" s="1">
        <v>11</v>
      </c>
      <c r="F1123" s="1">
        <v>18</v>
      </c>
      <c r="G1123" s="1">
        <v>6</v>
      </c>
      <c r="H1123" s="1">
        <v>2</v>
      </c>
      <c r="I1123" s="1">
        <v>0</v>
      </c>
      <c r="J1123" s="1">
        <v>1</v>
      </c>
      <c r="K1123" s="1">
        <v>1</v>
      </c>
      <c r="L1123" s="1">
        <v>0</v>
      </c>
      <c r="M1123" s="1">
        <v>0</v>
      </c>
    </row>
    <row r="1124" spans="1:13">
      <c r="A1124" s="1">
        <v>1123</v>
      </c>
      <c r="B1124" s="1">
        <v>900688.66020000004</v>
      </c>
      <c r="C1124" s="1">
        <v>590090.6989110189</v>
      </c>
      <c r="D1124" s="1">
        <f t="shared" si="17"/>
        <v>310597.96128898114</v>
      </c>
      <c r="E1124" s="1">
        <v>15</v>
      </c>
      <c r="F1124" s="1">
        <v>12</v>
      </c>
      <c r="G1124" s="1">
        <v>8</v>
      </c>
      <c r="H1124" s="1">
        <v>2</v>
      </c>
      <c r="I1124" s="1">
        <v>0</v>
      </c>
      <c r="J1124" s="1">
        <v>0</v>
      </c>
      <c r="K1124" s="1">
        <v>0</v>
      </c>
      <c r="L1124" s="1">
        <v>1</v>
      </c>
      <c r="M1124" s="1">
        <v>0</v>
      </c>
    </row>
    <row r="1125" spans="1:13">
      <c r="A1125" s="1">
        <v>1124</v>
      </c>
      <c r="B1125" s="1">
        <v>915681.40469999996</v>
      </c>
      <c r="C1125" s="1">
        <v>764828.10973526619</v>
      </c>
      <c r="D1125" s="1">
        <f t="shared" si="17"/>
        <v>150853.29496473377</v>
      </c>
      <c r="E1125" s="1">
        <v>18</v>
      </c>
      <c r="F1125" s="1">
        <v>13</v>
      </c>
      <c r="G1125" s="1">
        <v>4</v>
      </c>
      <c r="H1125" s="1">
        <v>0</v>
      </c>
      <c r="I1125" s="1">
        <v>1</v>
      </c>
      <c r="J1125" s="1">
        <v>0</v>
      </c>
      <c r="K1125" s="1">
        <v>1</v>
      </c>
      <c r="L1125" s="1">
        <v>0</v>
      </c>
      <c r="M1125" s="1">
        <v>0</v>
      </c>
    </row>
    <row r="1126" spans="1:13">
      <c r="A1126" s="1">
        <v>1125</v>
      </c>
      <c r="B1126" s="1">
        <v>879776.13100000005</v>
      </c>
      <c r="C1126" s="1">
        <v>1486746.9388917873</v>
      </c>
      <c r="D1126" s="1">
        <f t="shared" si="17"/>
        <v>-606970.80789178726</v>
      </c>
      <c r="E1126" s="1">
        <v>18</v>
      </c>
      <c r="F1126" s="1">
        <v>12</v>
      </c>
      <c r="G1126" s="1">
        <v>5</v>
      </c>
      <c r="H1126" s="1">
        <v>1</v>
      </c>
      <c r="I1126" s="1">
        <v>1</v>
      </c>
      <c r="J1126" s="1">
        <v>0</v>
      </c>
      <c r="K1126" s="1">
        <v>1</v>
      </c>
      <c r="L1126" s="1">
        <v>0</v>
      </c>
      <c r="M1126" s="1">
        <v>1</v>
      </c>
    </row>
    <row r="1127" spans="1:13">
      <c r="A1127" s="1">
        <v>1126</v>
      </c>
      <c r="B1127" s="1">
        <v>862643.29700000002</v>
      </c>
      <c r="C1127" s="1">
        <v>1024962.0480960802</v>
      </c>
      <c r="D1127" s="1">
        <f t="shared" si="17"/>
        <v>-162318.75109608017</v>
      </c>
      <c r="E1127" s="1">
        <v>18</v>
      </c>
      <c r="F1127" s="1">
        <v>12</v>
      </c>
      <c r="G1127" s="1">
        <v>5</v>
      </c>
      <c r="H1127" s="1">
        <v>0</v>
      </c>
      <c r="I1127" s="1">
        <v>0</v>
      </c>
      <c r="J1127" s="1">
        <v>0</v>
      </c>
      <c r="K1127" s="1">
        <v>0</v>
      </c>
      <c r="L1127" s="1">
        <v>0</v>
      </c>
      <c r="M1127" s="1">
        <v>0</v>
      </c>
    </row>
    <row r="1128" spans="1:13">
      <c r="A1128" s="1">
        <v>1127</v>
      </c>
      <c r="B1128" s="1">
        <v>883756.26240000001</v>
      </c>
      <c r="C1128" s="1">
        <v>1746913.4661366167</v>
      </c>
      <c r="D1128" s="1">
        <f t="shared" si="17"/>
        <v>-863157.20373661665</v>
      </c>
      <c r="E1128" s="1">
        <v>15</v>
      </c>
      <c r="F1128" s="1">
        <v>20</v>
      </c>
      <c r="G1128" s="1">
        <v>0</v>
      </c>
      <c r="H1128" s="1">
        <v>0</v>
      </c>
      <c r="I1128" s="1">
        <v>0</v>
      </c>
      <c r="J1128" s="1">
        <v>1</v>
      </c>
      <c r="K1128" s="1">
        <v>0</v>
      </c>
      <c r="L1128" s="1">
        <v>0</v>
      </c>
      <c r="M1128" s="1">
        <v>0</v>
      </c>
    </row>
    <row r="1129" spans="1:13">
      <c r="A1129" s="1">
        <v>1128</v>
      </c>
      <c r="B1129" s="1">
        <v>911016.37120000005</v>
      </c>
      <c r="C1129" s="1">
        <v>979771.1883937926</v>
      </c>
      <c r="D1129" s="1">
        <f t="shared" si="17"/>
        <v>-68754.817193792551</v>
      </c>
      <c r="E1129" s="1">
        <v>14</v>
      </c>
      <c r="F1129" s="1">
        <v>17</v>
      </c>
      <c r="G1129" s="1">
        <v>4</v>
      </c>
      <c r="H1129" s="1">
        <v>0</v>
      </c>
      <c r="I1129" s="1">
        <v>0</v>
      </c>
      <c r="J1129" s="1">
        <v>0</v>
      </c>
      <c r="K1129" s="1">
        <v>1</v>
      </c>
      <c r="L1129" s="1">
        <v>1</v>
      </c>
      <c r="M1129" s="1">
        <v>0</v>
      </c>
    </row>
    <row r="1130" spans="1:13">
      <c r="A1130" s="1">
        <v>1129</v>
      </c>
      <c r="B1130" s="1">
        <v>907918.49219999998</v>
      </c>
      <c r="C1130" s="1">
        <v>1023589.6429494303</v>
      </c>
      <c r="D1130" s="1">
        <f t="shared" si="17"/>
        <v>-115671.15074943029</v>
      </c>
      <c r="E1130" s="1">
        <v>17</v>
      </c>
      <c r="F1130" s="1">
        <v>12</v>
      </c>
      <c r="G1130" s="1">
        <v>6</v>
      </c>
      <c r="H1130" s="1">
        <v>1</v>
      </c>
      <c r="I1130" s="1">
        <v>1</v>
      </c>
      <c r="J1130" s="1">
        <v>0</v>
      </c>
      <c r="K1130" s="1">
        <v>0</v>
      </c>
      <c r="L1130" s="1">
        <v>1</v>
      </c>
      <c r="M1130" s="1">
        <v>1</v>
      </c>
    </row>
    <row r="1131" spans="1:13">
      <c r="A1131" s="1">
        <v>1130</v>
      </c>
      <c r="B1131" s="1">
        <v>861301.94750000001</v>
      </c>
      <c r="C1131" s="1">
        <v>659640.67249895737</v>
      </c>
      <c r="D1131" s="1">
        <f t="shared" si="17"/>
        <v>201661.27500104264</v>
      </c>
      <c r="E1131" s="1">
        <v>14</v>
      </c>
      <c r="F1131" s="1">
        <v>14</v>
      </c>
      <c r="G1131" s="1">
        <v>7</v>
      </c>
      <c r="H1131" s="1">
        <v>1</v>
      </c>
      <c r="I1131" s="1">
        <v>0</v>
      </c>
      <c r="J1131" s="1">
        <v>0</v>
      </c>
      <c r="K1131" s="1">
        <v>1</v>
      </c>
      <c r="L1131" s="1">
        <v>1</v>
      </c>
      <c r="M1131" s="1">
        <v>0</v>
      </c>
    </row>
    <row r="1132" spans="1:13">
      <c r="A1132" s="1">
        <v>1131</v>
      </c>
      <c r="B1132" s="1">
        <v>931576.32169999997</v>
      </c>
      <c r="C1132" s="1">
        <v>1017524.1102197303</v>
      </c>
      <c r="D1132" s="1">
        <f t="shared" si="17"/>
        <v>-85947.788519730326</v>
      </c>
      <c r="E1132" s="1">
        <v>11</v>
      </c>
      <c r="F1132" s="1">
        <v>20</v>
      </c>
      <c r="G1132" s="1">
        <v>4</v>
      </c>
      <c r="H1132" s="1">
        <v>0</v>
      </c>
      <c r="I1132" s="1">
        <v>0</v>
      </c>
      <c r="J1132" s="1">
        <v>1</v>
      </c>
      <c r="K1132" s="1">
        <v>1</v>
      </c>
      <c r="L1132" s="1">
        <v>0</v>
      </c>
      <c r="M1132" s="1">
        <v>1</v>
      </c>
    </row>
    <row r="1133" spans="1:13">
      <c r="A1133" s="1">
        <v>1132</v>
      </c>
      <c r="B1133" s="1">
        <v>910508.70940000005</v>
      </c>
      <c r="C1133" s="1">
        <v>837203.04039889132</v>
      </c>
      <c r="D1133" s="1">
        <f t="shared" si="17"/>
        <v>73305.669001108734</v>
      </c>
      <c r="E1133" s="1">
        <v>10</v>
      </c>
      <c r="F1133" s="1">
        <v>19</v>
      </c>
      <c r="G1133" s="1">
        <v>6</v>
      </c>
      <c r="H1133" s="1">
        <v>1</v>
      </c>
      <c r="I1133" s="1">
        <v>0</v>
      </c>
      <c r="J1133" s="1">
        <v>0</v>
      </c>
      <c r="K1133" s="1">
        <v>1</v>
      </c>
      <c r="L1133" s="1">
        <v>0</v>
      </c>
      <c r="M1133" s="1">
        <v>1</v>
      </c>
    </row>
    <row r="1134" spans="1:13">
      <c r="A1134" s="1">
        <v>1133</v>
      </c>
      <c r="B1134" s="1">
        <v>864596.66139999998</v>
      </c>
      <c r="C1134" s="1">
        <v>826467.39416689996</v>
      </c>
      <c r="D1134" s="1">
        <f t="shared" si="17"/>
        <v>38129.267233100021</v>
      </c>
      <c r="E1134" s="1">
        <v>13</v>
      </c>
      <c r="F1134" s="1">
        <v>19</v>
      </c>
      <c r="G1134" s="1">
        <v>3</v>
      </c>
      <c r="H1134" s="1">
        <v>0</v>
      </c>
      <c r="I1134" s="1">
        <v>0</v>
      </c>
      <c r="J1134" s="1">
        <v>0</v>
      </c>
      <c r="K1134" s="1">
        <v>1</v>
      </c>
      <c r="L1134" s="1">
        <v>0</v>
      </c>
      <c r="M1134" s="1">
        <v>1</v>
      </c>
    </row>
    <row r="1135" spans="1:13">
      <c r="A1135" s="1">
        <v>1134</v>
      </c>
      <c r="B1135" s="1">
        <v>959818.94629999995</v>
      </c>
      <c r="C1135" s="1">
        <v>1257356.892975077</v>
      </c>
      <c r="D1135" s="1">
        <f t="shared" si="17"/>
        <v>-297537.94667507708</v>
      </c>
      <c r="E1135" s="1">
        <v>18</v>
      </c>
      <c r="F1135" s="1">
        <v>12</v>
      </c>
      <c r="G1135" s="1">
        <v>5</v>
      </c>
      <c r="H1135" s="1">
        <v>2</v>
      </c>
      <c r="I1135" s="1">
        <v>0</v>
      </c>
      <c r="J1135" s="1">
        <v>1</v>
      </c>
      <c r="K1135" s="1">
        <v>1</v>
      </c>
      <c r="L1135" s="1">
        <v>0</v>
      </c>
      <c r="M1135" s="1">
        <v>1</v>
      </c>
    </row>
    <row r="1136" spans="1:13">
      <c r="A1136" s="1">
        <v>1135</v>
      </c>
      <c r="B1136" s="1">
        <v>872963.75780000002</v>
      </c>
      <c r="C1136" s="1">
        <v>1346746.8312743297</v>
      </c>
      <c r="D1136" s="1">
        <f t="shared" si="17"/>
        <v>-473783.07347432966</v>
      </c>
      <c r="E1136" s="1">
        <v>17</v>
      </c>
      <c r="F1136" s="1">
        <v>16</v>
      </c>
      <c r="G1136" s="1">
        <v>2</v>
      </c>
      <c r="H1136" s="1">
        <v>2</v>
      </c>
      <c r="I1136" s="1">
        <v>0</v>
      </c>
      <c r="J1136" s="1">
        <v>0</v>
      </c>
      <c r="K1136" s="1">
        <v>2</v>
      </c>
      <c r="L1136" s="1">
        <v>0</v>
      </c>
      <c r="M1136" s="1">
        <v>0</v>
      </c>
    </row>
    <row r="1137" spans="1:13">
      <c r="A1137" s="1">
        <v>1136</v>
      </c>
      <c r="B1137" s="1">
        <v>861417.57030000002</v>
      </c>
      <c r="C1137" s="1">
        <v>642742.08080539922</v>
      </c>
      <c r="D1137" s="1">
        <f t="shared" si="17"/>
        <v>218675.4894946008</v>
      </c>
      <c r="E1137" s="1">
        <v>21</v>
      </c>
      <c r="F1137" s="1">
        <v>10</v>
      </c>
      <c r="G1137" s="1">
        <v>4</v>
      </c>
      <c r="H1137" s="1">
        <v>0</v>
      </c>
      <c r="I1137" s="1">
        <v>0</v>
      </c>
      <c r="J1137" s="1">
        <v>0</v>
      </c>
      <c r="K1137" s="1">
        <v>0</v>
      </c>
      <c r="L1137" s="1">
        <v>1</v>
      </c>
      <c r="M1137" s="1">
        <v>0</v>
      </c>
    </row>
    <row r="1138" spans="1:13">
      <c r="A1138" s="1">
        <v>1137</v>
      </c>
      <c r="B1138" s="1">
        <v>853381.23930000002</v>
      </c>
      <c r="C1138" s="1">
        <v>941559.0379754178</v>
      </c>
      <c r="D1138" s="1">
        <f t="shared" si="17"/>
        <v>-88177.798675417784</v>
      </c>
      <c r="E1138" s="1">
        <v>16</v>
      </c>
      <c r="F1138" s="1">
        <v>14</v>
      </c>
      <c r="G1138" s="1">
        <v>5</v>
      </c>
      <c r="H1138" s="1">
        <v>1</v>
      </c>
      <c r="I1138" s="1">
        <v>0</v>
      </c>
      <c r="J1138" s="1">
        <v>0</v>
      </c>
      <c r="K1138" s="1">
        <v>2</v>
      </c>
      <c r="L1138" s="1">
        <v>0</v>
      </c>
      <c r="M1138" s="1">
        <v>0</v>
      </c>
    </row>
    <row r="1139" spans="1:13">
      <c r="A1139" s="1">
        <v>1138</v>
      </c>
      <c r="B1139" s="1">
        <v>910365.08299999998</v>
      </c>
      <c r="C1139" s="1">
        <v>1043691.4633314584</v>
      </c>
      <c r="D1139" s="1">
        <f t="shared" si="17"/>
        <v>-133326.38033145841</v>
      </c>
      <c r="E1139" s="1">
        <v>9</v>
      </c>
      <c r="F1139" s="1">
        <v>23</v>
      </c>
      <c r="G1139" s="1">
        <v>3</v>
      </c>
      <c r="H1139" s="1">
        <v>0</v>
      </c>
      <c r="I1139" s="1">
        <v>0</v>
      </c>
      <c r="J1139" s="1">
        <v>0</v>
      </c>
      <c r="K1139" s="1">
        <v>2</v>
      </c>
      <c r="L1139" s="1">
        <v>0</v>
      </c>
      <c r="M1139" s="1">
        <v>0</v>
      </c>
    </row>
    <row r="1140" spans="1:13">
      <c r="A1140" s="1">
        <v>1139</v>
      </c>
      <c r="B1140" s="1">
        <v>1016984.3514</v>
      </c>
      <c r="C1140" s="1">
        <v>1039620.7237220096</v>
      </c>
      <c r="D1140" s="1">
        <f t="shared" si="17"/>
        <v>-22636.372322009527</v>
      </c>
      <c r="E1140" s="1">
        <v>8</v>
      </c>
      <c r="F1140" s="1">
        <v>22</v>
      </c>
      <c r="G1140" s="1">
        <v>5</v>
      </c>
      <c r="H1140" s="1">
        <v>1</v>
      </c>
      <c r="I1140" s="1">
        <v>0</v>
      </c>
      <c r="J1140" s="1">
        <v>1</v>
      </c>
      <c r="K1140" s="1">
        <v>1</v>
      </c>
      <c r="L1140" s="1">
        <v>0</v>
      </c>
      <c r="M1140" s="1">
        <v>0</v>
      </c>
    </row>
    <row r="1141" spans="1:13">
      <c r="A1141" s="1">
        <v>1140</v>
      </c>
      <c r="B1141" s="1">
        <v>925862.30889999995</v>
      </c>
      <c r="C1141" s="1">
        <v>703476.2187310711</v>
      </c>
      <c r="D1141" s="1">
        <f t="shared" si="17"/>
        <v>222386.09016892884</v>
      </c>
      <c r="E1141" s="1">
        <v>16</v>
      </c>
      <c r="F1141" s="1">
        <v>14</v>
      </c>
      <c r="G1141" s="1">
        <v>5</v>
      </c>
      <c r="H1141" s="1">
        <v>1</v>
      </c>
      <c r="I1141" s="1">
        <v>0</v>
      </c>
      <c r="J1141" s="1">
        <v>0</v>
      </c>
      <c r="K1141" s="1">
        <v>0</v>
      </c>
      <c r="L1141" s="1">
        <v>0</v>
      </c>
      <c r="M1141" s="1">
        <v>0</v>
      </c>
    </row>
    <row r="1142" spans="1:13">
      <c r="A1142" s="1">
        <v>1141</v>
      </c>
      <c r="B1142" s="1">
        <v>864281.72219999996</v>
      </c>
      <c r="C1142" s="1">
        <v>846968.07637481333</v>
      </c>
      <c r="D1142" s="1">
        <f t="shared" si="17"/>
        <v>17313.645825186628</v>
      </c>
      <c r="E1142" s="1">
        <v>17</v>
      </c>
      <c r="F1142" s="1">
        <v>13</v>
      </c>
      <c r="G1142" s="1">
        <v>5</v>
      </c>
      <c r="H1142" s="1">
        <v>1</v>
      </c>
      <c r="I1142" s="1">
        <v>0</v>
      </c>
      <c r="J1142" s="1">
        <v>1</v>
      </c>
      <c r="K1142" s="1">
        <v>1</v>
      </c>
      <c r="L1142" s="1">
        <v>0</v>
      </c>
      <c r="M1142" s="1">
        <v>1</v>
      </c>
    </row>
    <row r="1143" spans="1:13">
      <c r="A1143" s="1">
        <v>1142</v>
      </c>
      <c r="B1143" s="1">
        <v>853927.12219999998</v>
      </c>
      <c r="C1143" s="1">
        <v>1135560.2095890408</v>
      </c>
      <c r="D1143" s="1">
        <f t="shared" si="17"/>
        <v>-281633.08738904085</v>
      </c>
      <c r="E1143" s="1">
        <v>13</v>
      </c>
      <c r="F1143" s="1">
        <v>18</v>
      </c>
      <c r="G1143" s="1">
        <v>4</v>
      </c>
      <c r="H1143" s="1">
        <v>0</v>
      </c>
      <c r="I1143" s="1">
        <v>0</v>
      </c>
      <c r="J1143" s="1">
        <v>1</v>
      </c>
      <c r="K1143" s="1">
        <v>1</v>
      </c>
      <c r="L1143" s="1">
        <v>0</v>
      </c>
      <c r="M1143" s="1">
        <v>0</v>
      </c>
    </row>
    <row r="1144" spans="1:13">
      <c r="A1144" s="1">
        <v>1143</v>
      </c>
      <c r="B1144" s="1">
        <v>902368.47019999998</v>
      </c>
      <c r="C1144" s="1">
        <v>884415.41440282692</v>
      </c>
      <c r="D1144" s="1">
        <f t="shared" si="17"/>
        <v>17953.05579717306</v>
      </c>
      <c r="E1144" s="1">
        <v>10</v>
      </c>
      <c r="F1144" s="1">
        <v>22</v>
      </c>
      <c r="G1144" s="1">
        <v>3</v>
      </c>
      <c r="H1144" s="1">
        <v>1</v>
      </c>
      <c r="I1144" s="1">
        <v>0</v>
      </c>
      <c r="J1144" s="1">
        <v>1</v>
      </c>
      <c r="K1144" s="1">
        <v>1</v>
      </c>
      <c r="L1144" s="1">
        <v>0</v>
      </c>
      <c r="M1144" s="1">
        <v>1</v>
      </c>
    </row>
    <row r="1145" spans="1:13">
      <c r="A1145" s="1">
        <v>1144</v>
      </c>
      <c r="B1145" s="1">
        <v>903199.89610000001</v>
      </c>
      <c r="C1145" s="1">
        <v>947890.30582755932</v>
      </c>
      <c r="D1145" s="1">
        <f t="shared" si="17"/>
        <v>-44690.409727559309</v>
      </c>
      <c r="E1145" s="1">
        <v>13</v>
      </c>
      <c r="F1145" s="1">
        <v>17</v>
      </c>
      <c r="G1145" s="1">
        <v>5</v>
      </c>
      <c r="H1145" s="1">
        <v>0</v>
      </c>
      <c r="I1145" s="1">
        <v>0</v>
      </c>
      <c r="J1145" s="1">
        <v>1</v>
      </c>
      <c r="K1145" s="1">
        <v>1</v>
      </c>
      <c r="L1145" s="1">
        <v>0</v>
      </c>
      <c r="M1145" s="1">
        <v>0</v>
      </c>
    </row>
    <row r="1146" spans="1:13">
      <c r="A1146" s="1">
        <v>1145</v>
      </c>
      <c r="B1146" s="1">
        <v>972825.13740000001</v>
      </c>
      <c r="C1146" s="1">
        <v>684739.64369710162</v>
      </c>
      <c r="D1146" s="1">
        <f t="shared" si="17"/>
        <v>288085.49370289838</v>
      </c>
      <c r="E1146" s="1">
        <v>3</v>
      </c>
      <c r="F1146" s="1">
        <v>26</v>
      </c>
      <c r="G1146" s="1">
        <v>6</v>
      </c>
      <c r="H1146" s="1">
        <v>0</v>
      </c>
      <c r="I1146" s="1">
        <v>1</v>
      </c>
      <c r="J1146" s="1">
        <v>2</v>
      </c>
      <c r="K1146" s="1">
        <v>0</v>
      </c>
      <c r="L1146" s="1">
        <v>0</v>
      </c>
      <c r="M1146" s="1">
        <v>0</v>
      </c>
    </row>
    <row r="1147" spans="1:13">
      <c r="A1147" s="1">
        <v>1146</v>
      </c>
      <c r="B1147" s="1">
        <v>958964.12309999997</v>
      </c>
      <c r="C1147" s="1">
        <v>517688.53234734584</v>
      </c>
      <c r="D1147" s="1">
        <f t="shared" si="17"/>
        <v>441275.59075265413</v>
      </c>
      <c r="E1147" s="1">
        <v>12</v>
      </c>
      <c r="F1147" s="1">
        <v>16</v>
      </c>
      <c r="G1147" s="1">
        <v>7</v>
      </c>
      <c r="H1147" s="1">
        <v>0</v>
      </c>
      <c r="I1147" s="1">
        <v>1</v>
      </c>
      <c r="J1147" s="1">
        <v>1</v>
      </c>
      <c r="K1147" s="1">
        <v>1</v>
      </c>
      <c r="L1147" s="1">
        <v>0</v>
      </c>
      <c r="M1147" s="1">
        <v>0</v>
      </c>
    </row>
    <row r="1148" spans="1:13">
      <c r="A1148" s="1">
        <v>1147</v>
      </c>
      <c r="B1148" s="1">
        <v>1020914.3942</v>
      </c>
      <c r="C1148" s="1">
        <v>2070735.7732455693</v>
      </c>
      <c r="D1148" s="1">
        <f t="shared" si="17"/>
        <v>-1049821.3790455693</v>
      </c>
      <c r="E1148" s="1">
        <v>6</v>
      </c>
      <c r="F1148" s="1">
        <v>22</v>
      </c>
      <c r="G1148" s="1">
        <v>7</v>
      </c>
      <c r="H1148" s="1">
        <v>1</v>
      </c>
      <c r="I1148" s="1">
        <v>0</v>
      </c>
      <c r="J1148" s="1">
        <v>1</v>
      </c>
      <c r="K1148" s="1">
        <v>0</v>
      </c>
      <c r="L1148" s="1">
        <v>0</v>
      </c>
      <c r="M1148" s="1">
        <v>1</v>
      </c>
    </row>
    <row r="1149" spans="1:13">
      <c r="A1149" s="1">
        <v>1148</v>
      </c>
      <c r="B1149" s="1">
        <v>925007.61349999998</v>
      </c>
      <c r="C1149" s="1">
        <v>990254.5947826067</v>
      </c>
      <c r="D1149" s="1">
        <f t="shared" si="17"/>
        <v>-65246.981282606721</v>
      </c>
      <c r="E1149" s="1">
        <v>11</v>
      </c>
      <c r="F1149" s="1">
        <v>19</v>
      </c>
      <c r="G1149" s="1">
        <v>5</v>
      </c>
      <c r="H1149" s="1">
        <v>1</v>
      </c>
      <c r="I1149" s="1">
        <v>0</v>
      </c>
      <c r="J1149" s="1">
        <v>1</v>
      </c>
      <c r="K1149" s="1">
        <v>1</v>
      </c>
      <c r="L1149" s="1">
        <v>0</v>
      </c>
      <c r="M1149" s="1">
        <v>0</v>
      </c>
    </row>
    <row r="1150" spans="1:13">
      <c r="A1150" s="1">
        <v>1149</v>
      </c>
      <c r="B1150" s="1">
        <v>921276.97880000004</v>
      </c>
      <c r="C1150" s="1">
        <v>872385.65239453665</v>
      </c>
      <c r="D1150" s="1">
        <f t="shared" si="17"/>
        <v>48891.326405463391</v>
      </c>
      <c r="E1150" s="1">
        <v>5</v>
      </c>
      <c r="F1150" s="1">
        <v>27</v>
      </c>
      <c r="G1150" s="1">
        <v>3</v>
      </c>
      <c r="H1150" s="1">
        <v>0</v>
      </c>
      <c r="I1150" s="1">
        <v>1</v>
      </c>
      <c r="J1150" s="1">
        <v>1</v>
      </c>
      <c r="K1150" s="1">
        <v>0</v>
      </c>
      <c r="L1150" s="1">
        <v>0</v>
      </c>
      <c r="M1150" s="1">
        <v>1</v>
      </c>
    </row>
    <row r="1151" spans="1:13">
      <c r="A1151" s="1">
        <v>1150</v>
      </c>
      <c r="B1151" s="1">
        <v>959728.35829999996</v>
      </c>
      <c r="C1151" s="1">
        <v>774705.28126547334</v>
      </c>
      <c r="D1151" s="1">
        <f t="shared" si="17"/>
        <v>185023.07703452662</v>
      </c>
      <c r="E1151" s="1">
        <v>10</v>
      </c>
      <c r="F1151" s="1">
        <v>21</v>
      </c>
      <c r="G1151" s="1">
        <v>4</v>
      </c>
      <c r="H1151" s="1">
        <v>0</v>
      </c>
      <c r="I1151" s="1">
        <v>1</v>
      </c>
      <c r="J1151" s="1">
        <v>2</v>
      </c>
      <c r="K1151" s="1">
        <v>0</v>
      </c>
      <c r="L1151" s="1">
        <v>0</v>
      </c>
      <c r="M1151" s="1">
        <v>0</v>
      </c>
    </row>
    <row r="1152" spans="1:13">
      <c r="A1152" s="1">
        <v>1151</v>
      </c>
      <c r="B1152" s="1">
        <v>898518.42729999998</v>
      </c>
      <c r="C1152" s="1">
        <v>647305.87521028728</v>
      </c>
      <c r="D1152" s="1">
        <f t="shared" si="17"/>
        <v>251212.5520897127</v>
      </c>
      <c r="E1152" s="1">
        <v>12</v>
      </c>
      <c r="F1152" s="1">
        <v>19</v>
      </c>
      <c r="G1152" s="1">
        <v>4</v>
      </c>
      <c r="H1152" s="1">
        <v>0</v>
      </c>
      <c r="I1152" s="1">
        <v>0</v>
      </c>
      <c r="J1152" s="1">
        <v>1</v>
      </c>
      <c r="K1152" s="1">
        <v>1</v>
      </c>
      <c r="L1152" s="1">
        <v>0</v>
      </c>
      <c r="M1152" s="1">
        <v>0</v>
      </c>
    </row>
    <row r="1153" spans="1:13">
      <c r="A1153" s="1">
        <v>1152</v>
      </c>
      <c r="B1153" s="1">
        <v>853189.15159999998</v>
      </c>
      <c r="C1153" s="1">
        <v>797964.35827893659</v>
      </c>
      <c r="D1153" s="1">
        <f t="shared" si="17"/>
        <v>55224.793321063393</v>
      </c>
      <c r="E1153" s="1">
        <v>17</v>
      </c>
      <c r="F1153" s="1">
        <v>14</v>
      </c>
      <c r="G1153" s="1">
        <v>4</v>
      </c>
      <c r="H1153" s="1">
        <v>1</v>
      </c>
      <c r="I1153" s="1">
        <v>1</v>
      </c>
      <c r="J1153" s="1">
        <v>1</v>
      </c>
      <c r="K1153" s="1">
        <v>1</v>
      </c>
      <c r="L1153" s="1">
        <v>0</v>
      </c>
      <c r="M1153" s="1">
        <v>1</v>
      </c>
    </row>
    <row r="1154" spans="1:13">
      <c r="A1154" s="1">
        <v>1153</v>
      </c>
      <c r="B1154" s="1">
        <v>975353.09120000002</v>
      </c>
      <c r="C1154" s="1">
        <v>1072503.6229501404</v>
      </c>
      <c r="D1154" s="1">
        <f t="shared" ref="D1154:D1217" si="18">B1154-C1154</f>
        <v>-97150.531750140362</v>
      </c>
      <c r="E1154" s="1">
        <v>11</v>
      </c>
      <c r="F1154" s="1">
        <v>19</v>
      </c>
      <c r="G1154" s="1">
        <v>5</v>
      </c>
      <c r="H1154" s="1">
        <v>1</v>
      </c>
      <c r="I1154" s="1">
        <v>1</v>
      </c>
      <c r="J1154" s="1">
        <v>0</v>
      </c>
      <c r="K1154" s="1">
        <v>1</v>
      </c>
      <c r="L1154" s="1">
        <v>0</v>
      </c>
      <c r="M1154" s="1">
        <v>1</v>
      </c>
    </row>
    <row r="1155" spans="1:13">
      <c r="A1155" s="1">
        <v>1154</v>
      </c>
      <c r="B1155" s="1">
        <v>888270.57940000005</v>
      </c>
      <c r="C1155" s="1">
        <v>588564.70739482064</v>
      </c>
      <c r="D1155" s="1">
        <f t="shared" si="18"/>
        <v>299705.87200517941</v>
      </c>
      <c r="E1155" s="1">
        <v>14</v>
      </c>
      <c r="F1155" s="1">
        <v>17</v>
      </c>
      <c r="G1155" s="1">
        <v>4</v>
      </c>
      <c r="H1155" s="1">
        <v>0</v>
      </c>
      <c r="I1155" s="1">
        <v>0</v>
      </c>
      <c r="J1155" s="1">
        <v>0</v>
      </c>
      <c r="K1155" s="1">
        <v>1</v>
      </c>
      <c r="L1155" s="1">
        <v>0</v>
      </c>
      <c r="M1155" s="1">
        <v>1</v>
      </c>
    </row>
    <row r="1156" spans="1:13">
      <c r="A1156" s="1">
        <v>1155</v>
      </c>
      <c r="B1156" s="1">
        <v>842773.43559999997</v>
      </c>
      <c r="C1156" s="1">
        <v>764893.74548346724</v>
      </c>
      <c r="D1156" s="1">
        <f t="shared" si="18"/>
        <v>77879.690116532729</v>
      </c>
      <c r="E1156" s="1">
        <v>17</v>
      </c>
      <c r="F1156" s="1">
        <v>16</v>
      </c>
      <c r="G1156" s="1">
        <v>2</v>
      </c>
      <c r="H1156" s="1">
        <v>1</v>
      </c>
      <c r="I1156" s="1">
        <v>1</v>
      </c>
      <c r="J1156" s="1">
        <v>1</v>
      </c>
      <c r="K1156" s="1">
        <v>0</v>
      </c>
      <c r="L1156" s="1">
        <v>0</v>
      </c>
      <c r="M1156" s="1">
        <v>0</v>
      </c>
    </row>
    <row r="1157" spans="1:13">
      <c r="A1157" s="1">
        <v>1156</v>
      </c>
      <c r="B1157" s="1">
        <v>997532.34479999996</v>
      </c>
      <c r="C1157" s="1">
        <v>951661.33173184982</v>
      </c>
      <c r="D1157" s="1">
        <f t="shared" si="18"/>
        <v>45871.013068150147</v>
      </c>
      <c r="E1157" s="1">
        <v>8</v>
      </c>
      <c r="F1157" s="1">
        <v>21</v>
      </c>
      <c r="G1157" s="1">
        <v>6</v>
      </c>
      <c r="H1157" s="1">
        <v>0</v>
      </c>
      <c r="I1157" s="1">
        <v>1</v>
      </c>
      <c r="J1157" s="1">
        <v>1</v>
      </c>
      <c r="K1157" s="1">
        <v>1</v>
      </c>
      <c r="L1157" s="1">
        <v>0</v>
      </c>
      <c r="M1157" s="1">
        <v>0</v>
      </c>
    </row>
    <row r="1158" spans="1:13">
      <c r="A1158" s="1">
        <v>1157</v>
      </c>
      <c r="B1158" s="1">
        <v>972082.87509999995</v>
      </c>
      <c r="C1158" s="1">
        <v>518015.67872048123</v>
      </c>
      <c r="D1158" s="1">
        <f t="shared" si="18"/>
        <v>454067.19637951872</v>
      </c>
      <c r="E1158" s="1">
        <v>18</v>
      </c>
      <c r="F1158" s="1">
        <v>11</v>
      </c>
      <c r="G1158" s="1">
        <v>6</v>
      </c>
      <c r="H1158" s="1">
        <v>1</v>
      </c>
      <c r="I1158" s="1">
        <v>0</v>
      </c>
      <c r="J1158" s="1">
        <v>0</v>
      </c>
      <c r="K1158" s="1">
        <v>2</v>
      </c>
      <c r="L1158" s="1">
        <v>0</v>
      </c>
      <c r="M1158" s="1">
        <v>0</v>
      </c>
    </row>
    <row r="1159" spans="1:13">
      <c r="A1159" s="1">
        <v>1158</v>
      </c>
      <c r="B1159" s="1">
        <v>932581.76320000004</v>
      </c>
      <c r="C1159" s="1">
        <v>1170508.1042152881</v>
      </c>
      <c r="D1159" s="1">
        <f t="shared" si="18"/>
        <v>-237926.34101528802</v>
      </c>
      <c r="E1159" s="1">
        <v>11</v>
      </c>
      <c r="F1159" s="1">
        <v>18</v>
      </c>
      <c r="G1159" s="1">
        <v>6</v>
      </c>
      <c r="H1159" s="1">
        <v>1</v>
      </c>
      <c r="I1159" s="1">
        <v>0</v>
      </c>
      <c r="J1159" s="1">
        <v>0</v>
      </c>
      <c r="K1159" s="1">
        <v>0</v>
      </c>
      <c r="L1159" s="1">
        <v>0</v>
      </c>
      <c r="M1159" s="1">
        <v>1</v>
      </c>
    </row>
    <row r="1160" spans="1:13">
      <c r="A1160" s="1">
        <v>1159</v>
      </c>
      <c r="B1160" s="1">
        <v>931355.14020000002</v>
      </c>
      <c r="C1160" s="1">
        <v>1080384.1526568383</v>
      </c>
      <c r="D1160" s="1">
        <f t="shared" si="18"/>
        <v>-149029.01245683827</v>
      </c>
      <c r="E1160" s="1">
        <v>16</v>
      </c>
      <c r="F1160" s="1">
        <v>11</v>
      </c>
      <c r="G1160" s="1">
        <v>8</v>
      </c>
      <c r="H1160" s="1">
        <v>1</v>
      </c>
      <c r="I1160" s="1">
        <v>0</v>
      </c>
      <c r="J1160" s="1">
        <v>0</v>
      </c>
      <c r="K1160" s="1">
        <v>0</v>
      </c>
      <c r="L1160" s="1">
        <v>0</v>
      </c>
      <c r="M1160" s="1">
        <v>0</v>
      </c>
    </row>
    <row r="1161" spans="1:13">
      <c r="A1161" s="1">
        <v>1160</v>
      </c>
      <c r="B1161" s="1">
        <v>1069714.1838</v>
      </c>
      <c r="C1161" s="1">
        <v>886878.02356585604</v>
      </c>
      <c r="D1161" s="1">
        <f t="shared" si="18"/>
        <v>182836.16023414396</v>
      </c>
      <c r="E1161" s="1">
        <v>10</v>
      </c>
      <c r="F1161" s="1">
        <v>16</v>
      </c>
      <c r="G1161" s="1">
        <v>9</v>
      </c>
      <c r="H1161" s="1">
        <v>1</v>
      </c>
      <c r="I1161" s="1">
        <v>0</v>
      </c>
      <c r="J1161" s="1">
        <v>1</v>
      </c>
      <c r="K1161" s="1">
        <v>1</v>
      </c>
      <c r="L1161" s="1">
        <v>0</v>
      </c>
      <c r="M1161" s="1">
        <v>1</v>
      </c>
    </row>
    <row r="1162" spans="1:13">
      <c r="A1162" s="1">
        <v>1161</v>
      </c>
      <c r="B1162" s="1">
        <v>971466.37430000002</v>
      </c>
      <c r="C1162" s="1">
        <v>1058343.1431614279</v>
      </c>
      <c r="D1162" s="1">
        <f t="shared" si="18"/>
        <v>-86876.768861427903</v>
      </c>
      <c r="E1162" s="1">
        <v>11</v>
      </c>
      <c r="F1162" s="1">
        <v>23</v>
      </c>
      <c r="G1162" s="1">
        <v>1</v>
      </c>
      <c r="H1162" s="1">
        <v>1</v>
      </c>
      <c r="I1162" s="1">
        <v>1</v>
      </c>
      <c r="J1162" s="1">
        <v>1</v>
      </c>
      <c r="K1162" s="1">
        <v>1</v>
      </c>
      <c r="L1162" s="1">
        <v>0</v>
      </c>
      <c r="M1162" s="1">
        <v>1</v>
      </c>
    </row>
    <row r="1163" spans="1:13">
      <c r="A1163" s="1">
        <v>1162</v>
      </c>
      <c r="B1163" s="1">
        <v>841454.52789999999</v>
      </c>
      <c r="C1163" s="1">
        <v>705289.44833498076</v>
      </c>
      <c r="D1163" s="1">
        <f t="shared" si="18"/>
        <v>136165.07956501923</v>
      </c>
      <c r="E1163" s="1">
        <v>5</v>
      </c>
      <c r="F1163" s="1">
        <v>25</v>
      </c>
      <c r="G1163" s="1">
        <v>5</v>
      </c>
      <c r="H1163" s="1">
        <v>1</v>
      </c>
      <c r="I1163" s="1">
        <v>0</v>
      </c>
      <c r="J1163" s="1">
        <v>0</v>
      </c>
      <c r="K1163" s="1">
        <v>0</v>
      </c>
      <c r="L1163" s="1">
        <v>0</v>
      </c>
      <c r="M1163" s="1">
        <v>0</v>
      </c>
    </row>
    <row r="1164" spans="1:13">
      <c r="A1164" s="1">
        <v>1163</v>
      </c>
      <c r="B1164" s="1">
        <v>995684.57259999996</v>
      </c>
      <c r="C1164" s="1">
        <v>824227.00685240782</v>
      </c>
      <c r="D1164" s="1">
        <f t="shared" si="18"/>
        <v>171457.56574759213</v>
      </c>
      <c r="E1164" s="1">
        <v>11</v>
      </c>
      <c r="F1164" s="1">
        <v>20</v>
      </c>
      <c r="G1164" s="1">
        <v>4</v>
      </c>
      <c r="H1164" s="1">
        <v>2</v>
      </c>
      <c r="I1164" s="1">
        <v>0</v>
      </c>
      <c r="J1164" s="1">
        <v>0</v>
      </c>
      <c r="K1164" s="1">
        <v>1</v>
      </c>
      <c r="L1164" s="1">
        <v>0</v>
      </c>
      <c r="M1164" s="1">
        <v>1</v>
      </c>
    </row>
    <row r="1165" spans="1:13">
      <c r="A1165" s="1">
        <v>1164</v>
      </c>
      <c r="B1165" s="1">
        <v>983580.40749999997</v>
      </c>
      <c r="C1165" s="1">
        <v>1108505.6182394363</v>
      </c>
      <c r="D1165" s="1">
        <f t="shared" si="18"/>
        <v>-124925.21073943633</v>
      </c>
      <c r="E1165" s="1">
        <v>10</v>
      </c>
      <c r="F1165" s="1">
        <v>21</v>
      </c>
      <c r="G1165" s="1">
        <v>4</v>
      </c>
      <c r="H1165" s="1">
        <v>1</v>
      </c>
      <c r="I1165" s="1">
        <v>0</v>
      </c>
      <c r="J1165" s="1">
        <v>0</v>
      </c>
      <c r="K1165" s="1">
        <v>1</v>
      </c>
      <c r="L1165" s="1">
        <v>0</v>
      </c>
      <c r="M1165" s="1">
        <v>0</v>
      </c>
    </row>
    <row r="1166" spans="1:13">
      <c r="A1166" s="1">
        <v>1165</v>
      </c>
      <c r="B1166" s="1">
        <v>1017438.3598</v>
      </c>
      <c r="C1166" s="1">
        <v>1018088.4576292018</v>
      </c>
      <c r="D1166" s="1">
        <f t="shared" si="18"/>
        <v>-650.0978292018408</v>
      </c>
      <c r="E1166" s="1">
        <v>7</v>
      </c>
      <c r="F1166" s="1">
        <v>22</v>
      </c>
      <c r="G1166" s="1">
        <v>6</v>
      </c>
      <c r="H1166" s="1">
        <v>2</v>
      </c>
      <c r="I1166" s="1">
        <v>0</v>
      </c>
      <c r="J1166" s="1">
        <v>1</v>
      </c>
      <c r="K1166" s="1">
        <v>1</v>
      </c>
      <c r="L1166" s="1">
        <v>0</v>
      </c>
      <c r="M1166" s="1">
        <v>0</v>
      </c>
    </row>
    <row r="1167" spans="1:13">
      <c r="A1167" s="1">
        <v>1166</v>
      </c>
      <c r="B1167" s="1">
        <v>840658.01190000004</v>
      </c>
      <c r="C1167" s="1">
        <v>527928.91476985486</v>
      </c>
      <c r="D1167" s="1">
        <f t="shared" si="18"/>
        <v>312729.09713014518</v>
      </c>
      <c r="E1167" s="1">
        <v>12</v>
      </c>
      <c r="F1167" s="1">
        <v>18</v>
      </c>
      <c r="G1167" s="1">
        <v>5</v>
      </c>
      <c r="H1167" s="1">
        <v>1</v>
      </c>
      <c r="I1167" s="1">
        <v>0</v>
      </c>
      <c r="J1167" s="1">
        <v>0</v>
      </c>
      <c r="K1167" s="1">
        <v>1</v>
      </c>
      <c r="L1167" s="1">
        <v>0</v>
      </c>
      <c r="M1167" s="1">
        <v>0</v>
      </c>
    </row>
    <row r="1168" spans="1:13">
      <c r="A1168" s="1">
        <v>1167</v>
      </c>
      <c r="B1168" s="1">
        <v>843224.92740000004</v>
      </c>
      <c r="C1168" s="1">
        <v>709404.26424013521</v>
      </c>
      <c r="D1168" s="1">
        <f t="shared" si="18"/>
        <v>133820.66315986484</v>
      </c>
      <c r="E1168" s="1">
        <v>21</v>
      </c>
      <c r="F1168" s="1">
        <v>11</v>
      </c>
      <c r="G1168" s="1">
        <v>3</v>
      </c>
      <c r="H1168" s="1">
        <v>1</v>
      </c>
      <c r="I1168" s="1">
        <v>0</v>
      </c>
      <c r="J1168" s="1">
        <v>1</v>
      </c>
      <c r="K1168" s="1">
        <v>1</v>
      </c>
      <c r="L1168" s="1">
        <v>0</v>
      </c>
      <c r="M1168" s="1">
        <v>0</v>
      </c>
    </row>
    <row r="1169" spans="1:13">
      <c r="A1169" s="1">
        <v>1168</v>
      </c>
      <c r="B1169" s="1">
        <v>846159.06129999994</v>
      </c>
      <c r="C1169" s="1">
        <v>719205.38298574486</v>
      </c>
      <c r="D1169" s="1">
        <f t="shared" si="18"/>
        <v>126953.67831425508</v>
      </c>
      <c r="E1169" s="1">
        <v>18</v>
      </c>
      <c r="F1169" s="1">
        <v>10</v>
      </c>
      <c r="G1169" s="1">
        <v>7</v>
      </c>
      <c r="H1169" s="1">
        <v>0</v>
      </c>
      <c r="I1169" s="1">
        <v>0</v>
      </c>
      <c r="J1169" s="1">
        <v>1</v>
      </c>
      <c r="K1169" s="1">
        <v>0</v>
      </c>
      <c r="L1169" s="1">
        <v>0</v>
      </c>
      <c r="M1169" s="1">
        <v>1</v>
      </c>
    </row>
    <row r="1170" spans="1:13">
      <c r="A1170" s="1">
        <v>1169</v>
      </c>
      <c r="B1170" s="1">
        <v>1012805.7402</v>
      </c>
      <c r="C1170" s="1">
        <v>699732.48919195333</v>
      </c>
      <c r="D1170" s="1">
        <f t="shared" si="18"/>
        <v>313073.25100804667</v>
      </c>
      <c r="E1170" s="1">
        <v>7</v>
      </c>
      <c r="F1170" s="1">
        <v>23</v>
      </c>
      <c r="G1170" s="1">
        <v>5</v>
      </c>
      <c r="H1170" s="1">
        <v>0</v>
      </c>
      <c r="I1170" s="1">
        <v>1</v>
      </c>
      <c r="J1170" s="1">
        <v>1</v>
      </c>
      <c r="K1170" s="1">
        <v>0</v>
      </c>
      <c r="L1170" s="1">
        <v>0</v>
      </c>
      <c r="M1170" s="1">
        <v>0</v>
      </c>
    </row>
    <row r="1171" spans="1:13">
      <c r="A1171" s="1">
        <v>1170</v>
      </c>
      <c r="B1171" s="1">
        <v>930941.09210000001</v>
      </c>
      <c r="C1171" s="1">
        <v>985228.73862242245</v>
      </c>
      <c r="D1171" s="1">
        <f t="shared" si="18"/>
        <v>-54287.646522422438</v>
      </c>
      <c r="E1171" s="1">
        <v>8</v>
      </c>
      <c r="F1171" s="1">
        <v>25</v>
      </c>
      <c r="G1171" s="1">
        <v>2</v>
      </c>
      <c r="H1171" s="1">
        <v>2</v>
      </c>
      <c r="I1171" s="1">
        <v>0</v>
      </c>
      <c r="J1171" s="1">
        <v>1</v>
      </c>
      <c r="K1171" s="1">
        <v>0</v>
      </c>
      <c r="L1171" s="1">
        <v>0</v>
      </c>
      <c r="M1171" s="1">
        <v>0</v>
      </c>
    </row>
    <row r="1172" spans="1:13">
      <c r="A1172" s="1">
        <v>1171</v>
      </c>
      <c r="B1172" s="1">
        <v>1021114.1975</v>
      </c>
      <c r="C1172" s="1">
        <v>1111822.9612935535</v>
      </c>
      <c r="D1172" s="1">
        <f t="shared" si="18"/>
        <v>-90708.763793553459</v>
      </c>
      <c r="E1172" s="1">
        <v>8</v>
      </c>
      <c r="F1172" s="1">
        <v>18</v>
      </c>
      <c r="G1172" s="1">
        <v>9</v>
      </c>
      <c r="H1172" s="1">
        <v>2</v>
      </c>
      <c r="I1172" s="1">
        <v>0</v>
      </c>
      <c r="J1172" s="1">
        <v>1</v>
      </c>
      <c r="K1172" s="1">
        <v>1</v>
      </c>
      <c r="L1172" s="1">
        <v>0</v>
      </c>
      <c r="M1172" s="1">
        <v>0</v>
      </c>
    </row>
    <row r="1173" spans="1:13">
      <c r="A1173" s="1">
        <v>1172</v>
      </c>
      <c r="B1173" s="1">
        <v>978098.53139999998</v>
      </c>
      <c r="C1173" s="1">
        <v>904855.23638911615</v>
      </c>
      <c r="D1173" s="1">
        <f t="shared" si="18"/>
        <v>73243.295010883827</v>
      </c>
      <c r="E1173" s="1">
        <v>10</v>
      </c>
      <c r="F1173" s="1">
        <v>20</v>
      </c>
      <c r="G1173" s="1">
        <v>5</v>
      </c>
      <c r="H1173" s="1">
        <v>2</v>
      </c>
      <c r="I1173" s="1">
        <v>0</v>
      </c>
      <c r="J1173" s="1">
        <v>0</v>
      </c>
      <c r="K1173" s="1">
        <v>0</v>
      </c>
      <c r="L1173" s="1">
        <v>0</v>
      </c>
      <c r="M1173" s="1">
        <v>0</v>
      </c>
    </row>
    <row r="1174" spans="1:13">
      <c r="A1174" s="1">
        <v>1173</v>
      </c>
      <c r="B1174" s="1">
        <v>895497.39859999996</v>
      </c>
      <c r="C1174" s="1">
        <v>635927.42971504305</v>
      </c>
      <c r="D1174" s="1">
        <f t="shared" si="18"/>
        <v>259569.96888495691</v>
      </c>
      <c r="E1174" s="1">
        <v>14</v>
      </c>
      <c r="F1174" s="1">
        <v>15</v>
      </c>
      <c r="G1174" s="1">
        <v>6</v>
      </c>
      <c r="H1174" s="1">
        <v>2</v>
      </c>
      <c r="I1174" s="1">
        <v>0</v>
      </c>
      <c r="J1174" s="1">
        <v>0</v>
      </c>
      <c r="K1174" s="1">
        <v>0</v>
      </c>
      <c r="L1174" s="1">
        <v>0</v>
      </c>
      <c r="M1174" s="1">
        <v>0</v>
      </c>
    </row>
    <row r="1175" spans="1:13">
      <c r="A1175" s="1">
        <v>1174</v>
      </c>
      <c r="B1175" s="1">
        <v>1063604.4643000001</v>
      </c>
      <c r="C1175" s="1">
        <v>789474.08036728436</v>
      </c>
      <c r="D1175" s="1">
        <f t="shared" si="18"/>
        <v>274130.38393271575</v>
      </c>
      <c r="E1175" s="1">
        <v>11</v>
      </c>
      <c r="F1175" s="1">
        <v>21</v>
      </c>
      <c r="G1175" s="1">
        <v>3</v>
      </c>
      <c r="H1175" s="1">
        <v>0</v>
      </c>
      <c r="I1175" s="1">
        <v>1</v>
      </c>
      <c r="J1175" s="1">
        <v>2</v>
      </c>
      <c r="K1175" s="1">
        <v>0</v>
      </c>
      <c r="L1175" s="1">
        <v>0</v>
      </c>
      <c r="M1175" s="1">
        <v>0</v>
      </c>
    </row>
    <row r="1176" spans="1:13">
      <c r="A1176" s="1">
        <v>1175</v>
      </c>
      <c r="B1176" s="1">
        <v>902200.87230000005</v>
      </c>
      <c r="C1176" s="1">
        <v>793535.88900531875</v>
      </c>
      <c r="D1176" s="1">
        <f t="shared" si="18"/>
        <v>108664.9832946813</v>
      </c>
      <c r="E1176" s="1">
        <v>17</v>
      </c>
      <c r="F1176" s="1">
        <v>13</v>
      </c>
      <c r="G1176" s="1">
        <v>5</v>
      </c>
      <c r="H1176" s="1">
        <v>1</v>
      </c>
      <c r="I1176" s="1">
        <v>0</v>
      </c>
      <c r="J1176" s="1">
        <v>0</v>
      </c>
      <c r="K1176" s="1">
        <v>0</v>
      </c>
      <c r="L1176" s="1">
        <v>0</v>
      </c>
      <c r="M1176" s="1">
        <v>0</v>
      </c>
    </row>
    <row r="1177" spans="1:13">
      <c r="A1177" s="1">
        <v>1176</v>
      </c>
      <c r="B1177" s="1">
        <v>951408.00029999996</v>
      </c>
      <c r="C1177" s="1">
        <v>803276.62795584765</v>
      </c>
      <c r="D1177" s="1">
        <f t="shared" si="18"/>
        <v>148131.3723441523</v>
      </c>
      <c r="E1177" s="1">
        <v>9</v>
      </c>
      <c r="F1177" s="1">
        <v>20</v>
      </c>
      <c r="G1177" s="1">
        <v>6</v>
      </c>
      <c r="H1177" s="1">
        <v>1</v>
      </c>
      <c r="I1177" s="1">
        <v>0</v>
      </c>
      <c r="J1177" s="1">
        <v>0</v>
      </c>
      <c r="K1177" s="1">
        <v>1</v>
      </c>
      <c r="L1177" s="1">
        <v>0</v>
      </c>
      <c r="M1177" s="1">
        <v>0</v>
      </c>
    </row>
    <row r="1178" spans="1:13">
      <c r="A1178" s="1">
        <v>1177</v>
      </c>
      <c r="B1178" s="1">
        <v>1164939.7023</v>
      </c>
      <c r="C1178" s="1">
        <v>1460272.9465174768</v>
      </c>
      <c r="D1178" s="1">
        <f t="shared" si="18"/>
        <v>-295333.24421747681</v>
      </c>
      <c r="E1178" s="1">
        <v>4</v>
      </c>
      <c r="F1178" s="1">
        <v>23</v>
      </c>
      <c r="G1178" s="1">
        <v>8</v>
      </c>
      <c r="H1178" s="1">
        <v>1</v>
      </c>
      <c r="I1178" s="1">
        <v>1</v>
      </c>
      <c r="J1178" s="1">
        <v>1</v>
      </c>
      <c r="K1178" s="1">
        <v>1</v>
      </c>
      <c r="L1178" s="1">
        <v>0</v>
      </c>
      <c r="M1178" s="1">
        <v>0</v>
      </c>
    </row>
    <row r="1179" spans="1:13">
      <c r="A1179" s="1">
        <v>1178</v>
      </c>
      <c r="B1179" s="1">
        <v>910910.06900000002</v>
      </c>
      <c r="C1179" s="1">
        <v>639683.78385693359</v>
      </c>
      <c r="D1179" s="1">
        <f t="shared" si="18"/>
        <v>271226.28514306643</v>
      </c>
      <c r="E1179" s="1">
        <v>12</v>
      </c>
      <c r="F1179" s="1">
        <v>19</v>
      </c>
      <c r="G1179" s="1">
        <v>4</v>
      </c>
      <c r="H1179" s="1">
        <v>1</v>
      </c>
      <c r="I1179" s="1">
        <v>0</v>
      </c>
      <c r="J1179" s="1">
        <v>0</v>
      </c>
      <c r="K1179" s="1">
        <v>0</v>
      </c>
      <c r="L1179" s="1">
        <v>0</v>
      </c>
      <c r="M1179" s="1">
        <v>0</v>
      </c>
    </row>
    <row r="1180" spans="1:13">
      <c r="A1180" s="1">
        <v>1179</v>
      </c>
      <c r="B1180" s="1">
        <v>895123.70200000005</v>
      </c>
      <c r="C1180" s="1">
        <v>1834131.9732472938</v>
      </c>
      <c r="D1180" s="1">
        <f t="shared" si="18"/>
        <v>-939008.2712472938</v>
      </c>
      <c r="E1180" s="1">
        <v>15</v>
      </c>
      <c r="F1180" s="1">
        <v>15</v>
      </c>
      <c r="G1180" s="1">
        <v>5</v>
      </c>
      <c r="H1180" s="1">
        <v>1</v>
      </c>
      <c r="I1180" s="1">
        <v>1</v>
      </c>
      <c r="J1180" s="1">
        <v>1</v>
      </c>
      <c r="K1180" s="1">
        <v>0</v>
      </c>
      <c r="L1180" s="1">
        <v>0</v>
      </c>
      <c r="M1180" s="1">
        <v>1</v>
      </c>
    </row>
    <row r="1181" spans="1:13">
      <c r="A1181" s="1">
        <v>1180</v>
      </c>
      <c r="B1181" s="1">
        <v>907598.45090000005</v>
      </c>
      <c r="C1181" s="1">
        <v>808887.63286333741</v>
      </c>
      <c r="D1181" s="1">
        <f t="shared" si="18"/>
        <v>98710.818036662648</v>
      </c>
      <c r="E1181" s="1">
        <v>13</v>
      </c>
      <c r="F1181" s="1">
        <v>16</v>
      </c>
      <c r="G1181" s="1">
        <v>6</v>
      </c>
      <c r="H1181" s="1">
        <v>0</v>
      </c>
      <c r="I1181" s="1">
        <v>0</v>
      </c>
      <c r="J1181" s="1">
        <v>0</v>
      </c>
      <c r="K1181" s="1">
        <v>2</v>
      </c>
      <c r="L1181" s="1">
        <v>0</v>
      </c>
      <c r="M1181" s="1">
        <v>0</v>
      </c>
    </row>
    <row r="1182" spans="1:13">
      <c r="A1182" s="1">
        <v>1181</v>
      </c>
      <c r="B1182" s="1">
        <v>1002519.3541999999</v>
      </c>
      <c r="C1182" s="1">
        <v>721109.08060690796</v>
      </c>
      <c r="D1182" s="1">
        <f t="shared" si="18"/>
        <v>281410.27359309199</v>
      </c>
      <c r="E1182" s="1">
        <v>5</v>
      </c>
      <c r="F1182" s="1">
        <v>24</v>
      </c>
      <c r="G1182" s="1">
        <v>6</v>
      </c>
      <c r="H1182" s="1">
        <v>1</v>
      </c>
      <c r="I1182" s="1">
        <v>1</v>
      </c>
      <c r="J1182" s="1">
        <v>0</v>
      </c>
      <c r="K1182" s="1">
        <v>1</v>
      </c>
      <c r="L1182" s="1">
        <v>0</v>
      </c>
      <c r="M1182" s="1">
        <v>0</v>
      </c>
    </row>
    <row r="1183" spans="1:13">
      <c r="A1183" s="1">
        <v>1182</v>
      </c>
      <c r="B1183" s="1">
        <v>1031693.9097</v>
      </c>
      <c r="C1183" s="1">
        <v>846650.41437890043</v>
      </c>
      <c r="D1183" s="1">
        <f t="shared" si="18"/>
        <v>185043.49532109953</v>
      </c>
      <c r="E1183" s="1">
        <v>7</v>
      </c>
      <c r="F1183" s="1">
        <v>23</v>
      </c>
      <c r="G1183" s="1">
        <v>5</v>
      </c>
      <c r="H1183" s="1">
        <v>1</v>
      </c>
      <c r="I1183" s="1">
        <v>0</v>
      </c>
      <c r="J1183" s="1">
        <v>0</v>
      </c>
      <c r="K1183" s="1">
        <v>0</v>
      </c>
      <c r="L1183" s="1">
        <v>0</v>
      </c>
      <c r="M1183" s="1">
        <v>0</v>
      </c>
    </row>
    <row r="1184" spans="1:13">
      <c r="A1184" s="1">
        <v>1183</v>
      </c>
      <c r="B1184" s="1">
        <v>838910.73459999997</v>
      </c>
      <c r="C1184" s="1">
        <v>873733.44429158163</v>
      </c>
      <c r="D1184" s="1">
        <f t="shared" si="18"/>
        <v>-34822.709691581666</v>
      </c>
      <c r="E1184" s="1">
        <v>10</v>
      </c>
      <c r="F1184" s="1">
        <v>20</v>
      </c>
      <c r="G1184" s="1">
        <v>5</v>
      </c>
      <c r="H1184" s="1">
        <v>1</v>
      </c>
      <c r="I1184" s="1">
        <v>0</v>
      </c>
      <c r="J1184" s="1">
        <v>2</v>
      </c>
      <c r="K1184" s="1">
        <v>0</v>
      </c>
      <c r="L1184" s="1">
        <v>0</v>
      </c>
      <c r="M1184" s="1">
        <v>1</v>
      </c>
    </row>
    <row r="1185" spans="1:13">
      <c r="A1185" s="1">
        <v>1184</v>
      </c>
      <c r="B1185" s="1">
        <v>982033.29489999998</v>
      </c>
      <c r="C1185" s="1">
        <v>1255292.7689115223</v>
      </c>
      <c r="D1185" s="1">
        <f t="shared" si="18"/>
        <v>-273259.47401152237</v>
      </c>
      <c r="E1185" s="1">
        <v>11</v>
      </c>
      <c r="F1185" s="1">
        <v>17</v>
      </c>
      <c r="G1185" s="1">
        <v>7</v>
      </c>
      <c r="H1185" s="1">
        <v>0</v>
      </c>
      <c r="I1185" s="1">
        <v>1</v>
      </c>
      <c r="J1185" s="1">
        <v>0</v>
      </c>
      <c r="K1185" s="1">
        <v>0</v>
      </c>
      <c r="L1185" s="1">
        <v>0</v>
      </c>
      <c r="M1185" s="1">
        <v>0</v>
      </c>
    </row>
    <row r="1186" spans="1:13">
      <c r="A1186" s="1">
        <v>1185</v>
      </c>
      <c r="B1186" s="1">
        <v>932521.99899999995</v>
      </c>
      <c r="C1186" s="1">
        <v>4072864.5001013102</v>
      </c>
      <c r="D1186" s="1">
        <f t="shared" si="18"/>
        <v>-3140342.5011013104</v>
      </c>
      <c r="E1186" s="1">
        <v>17</v>
      </c>
      <c r="F1186" s="1">
        <v>14</v>
      </c>
      <c r="G1186" s="1">
        <v>4</v>
      </c>
      <c r="H1186" s="1">
        <v>2</v>
      </c>
      <c r="I1186" s="1">
        <v>0</v>
      </c>
      <c r="J1186" s="1">
        <v>1</v>
      </c>
      <c r="K1186" s="1">
        <v>0</v>
      </c>
      <c r="L1186" s="1">
        <v>0</v>
      </c>
      <c r="M1186" s="1">
        <v>1</v>
      </c>
    </row>
    <row r="1187" spans="1:13">
      <c r="A1187" s="1">
        <v>1186</v>
      </c>
      <c r="B1187" s="1">
        <v>978636.34199999995</v>
      </c>
      <c r="C1187" s="1">
        <v>702897.04303606146</v>
      </c>
      <c r="D1187" s="1">
        <f t="shared" si="18"/>
        <v>275739.29896393849</v>
      </c>
      <c r="E1187" s="1">
        <v>11</v>
      </c>
      <c r="F1187" s="1">
        <v>19</v>
      </c>
      <c r="G1187" s="1">
        <v>5</v>
      </c>
      <c r="H1187" s="1">
        <v>1</v>
      </c>
      <c r="I1187" s="1">
        <v>0</v>
      </c>
      <c r="J1187" s="1">
        <v>0</v>
      </c>
      <c r="K1187" s="1">
        <v>1</v>
      </c>
      <c r="L1187" s="1">
        <v>0</v>
      </c>
      <c r="M1187" s="1">
        <v>0</v>
      </c>
    </row>
    <row r="1188" spans="1:13">
      <c r="A1188" s="1">
        <v>1187</v>
      </c>
      <c r="B1188" s="1">
        <v>859823.69310000003</v>
      </c>
      <c r="C1188" s="1">
        <v>698028.86527410557</v>
      </c>
      <c r="D1188" s="1">
        <f t="shared" si="18"/>
        <v>161794.82782589446</v>
      </c>
      <c r="E1188" s="1">
        <v>15</v>
      </c>
      <c r="F1188" s="1">
        <v>14</v>
      </c>
      <c r="G1188" s="1">
        <v>6</v>
      </c>
      <c r="H1188" s="1">
        <v>0</v>
      </c>
      <c r="I1188" s="1">
        <v>0</v>
      </c>
      <c r="J1188" s="1">
        <v>2</v>
      </c>
      <c r="K1188" s="1">
        <v>0</v>
      </c>
      <c r="L1188" s="1">
        <v>0</v>
      </c>
      <c r="M1188" s="1">
        <v>0</v>
      </c>
    </row>
    <row r="1189" spans="1:13">
      <c r="A1189" s="1">
        <v>1188</v>
      </c>
      <c r="B1189" s="1">
        <v>922665.85439999995</v>
      </c>
      <c r="C1189" s="1">
        <v>1101683.0422991493</v>
      </c>
      <c r="D1189" s="1">
        <f t="shared" si="18"/>
        <v>-179017.18789914937</v>
      </c>
      <c r="E1189" s="1">
        <v>11</v>
      </c>
      <c r="F1189" s="1">
        <v>19</v>
      </c>
      <c r="G1189" s="1">
        <v>5</v>
      </c>
      <c r="H1189" s="1">
        <v>2</v>
      </c>
      <c r="I1189" s="1">
        <v>0</v>
      </c>
      <c r="J1189" s="1">
        <v>0</v>
      </c>
      <c r="K1189" s="1">
        <v>0</v>
      </c>
      <c r="L1189" s="1">
        <v>0</v>
      </c>
      <c r="M1189" s="1">
        <v>0</v>
      </c>
    </row>
    <row r="1190" spans="1:13">
      <c r="A1190" s="1">
        <v>1189</v>
      </c>
      <c r="B1190" s="1">
        <v>912794.88800000004</v>
      </c>
      <c r="C1190" s="1">
        <v>716766.38626520976</v>
      </c>
      <c r="D1190" s="1">
        <f t="shared" si="18"/>
        <v>196028.50173479028</v>
      </c>
      <c r="E1190" s="1">
        <v>15</v>
      </c>
      <c r="F1190" s="1">
        <v>16</v>
      </c>
      <c r="G1190" s="1">
        <v>4</v>
      </c>
      <c r="H1190" s="1">
        <v>0</v>
      </c>
      <c r="I1190" s="1">
        <v>1</v>
      </c>
      <c r="J1190" s="1">
        <v>0</v>
      </c>
      <c r="K1190" s="1">
        <v>0</v>
      </c>
      <c r="L1190" s="1">
        <v>0</v>
      </c>
      <c r="M1190" s="1">
        <v>0</v>
      </c>
    </row>
    <row r="1191" spans="1:13">
      <c r="A1191" s="1">
        <v>1190</v>
      </c>
      <c r="B1191" s="1">
        <v>931555.40159999998</v>
      </c>
      <c r="C1191" s="1">
        <v>679245.6188162429</v>
      </c>
      <c r="D1191" s="1">
        <f t="shared" si="18"/>
        <v>252309.78278375708</v>
      </c>
      <c r="E1191" s="1">
        <v>14</v>
      </c>
      <c r="F1191" s="1">
        <v>16</v>
      </c>
      <c r="G1191" s="1">
        <v>5</v>
      </c>
      <c r="H1191" s="1">
        <v>0</v>
      </c>
      <c r="I1191" s="1">
        <v>1</v>
      </c>
      <c r="J1191" s="1">
        <v>1</v>
      </c>
      <c r="K1191" s="1">
        <v>1</v>
      </c>
      <c r="L1191" s="1">
        <v>0</v>
      </c>
      <c r="M1191" s="1">
        <v>0</v>
      </c>
    </row>
    <row r="1192" spans="1:13">
      <c r="A1192" s="1">
        <v>1191</v>
      </c>
      <c r="B1192" s="1">
        <v>852035.82090000005</v>
      </c>
      <c r="C1192" s="1">
        <v>530240.89407491183</v>
      </c>
      <c r="D1192" s="1">
        <f t="shared" si="18"/>
        <v>321794.92682508822</v>
      </c>
      <c r="E1192" s="1">
        <v>14</v>
      </c>
      <c r="F1192" s="1">
        <v>15</v>
      </c>
      <c r="G1192" s="1">
        <v>6</v>
      </c>
      <c r="H1192" s="1">
        <v>0</v>
      </c>
      <c r="I1192" s="1">
        <v>0</v>
      </c>
      <c r="J1192" s="1">
        <v>1</v>
      </c>
      <c r="K1192" s="1">
        <v>0</v>
      </c>
      <c r="L1192" s="1">
        <v>0</v>
      </c>
      <c r="M1192" s="1">
        <v>0</v>
      </c>
    </row>
    <row r="1193" spans="1:13">
      <c r="A1193" s="1">
        <v>1192</v>
      </c>
      <c r="B1193" s="1">
        <v>999402.62639999995</v>
      </c>
      <c r="C1193" s="1">
        <v>1343323.1035449458</v>
      </c>
      <c r="D1193" s="1">
        <f t="shared" si="18"/>
        <v>-343920.47714494588</v>
      </c>
      <c r="E1193" s="1">
        <v>12</v>
      </c>
      <c r="F1193" s="1">
        <v>17</v>
      </c>
      <c r="G1193" s="1">
        <v>6</v>
      </c>
      <c r="H1193" s="1">
        <v>0</v>
      </c>
      <c r="I1193" s="1">
        <v>0</v>
      </c>
      <c r="J1193" s="1">
        <v>0</v>
      </c>
      <c r="K1193" s="1">
        <v>1</v>
      </c>
      <c r="L1193" s="1">
        <v>0</v>
      </c>
      <c r="M1193" s="1">
        <v>0</v>
      </c>
    </row>
    <row r="1194" spans="1:13">
      <c r="A1194" s="1">
        <v>1193</v>
      </c>
      <c r="B1194" s="1">
        <v>1129211.3540000001</v>
      </c>
      <c r="C1194" s="1">
        <v>770439.6980014093</v>
      </c>
      <c r="D1194" s="1">
        <f t="shared" si="18"/>
        <v>358771.65599859075</v>
      </c>
      <c r="E1194" s="1">
        <v>9</v>
      </c>
      <c r="F1194" s="1">
        <v>19</v>
      </c>
      <c r="G1194" s="1">
        <v>7</v>
      </c>
      <c r="H1194" s="1">
        <v>1</v>
      </c>
      <c r="I1194" s="1">
        <v>1</v>
      </c>
      <c r="J1194" s="1">
        <v>2</v>
      </c>
      <c r="K1194" s="1">
        <v>0</v>
      </c>
      <c r="L1194" s="1">
        <v>0</v>
      </c>
      <c r="M1194" s="1">
        <v>0</v>
      </c>
    </row>
    <row r="1195" spans="1:13">
      <c r="A1195" s="1">
        <v>1194</v>
      </c>
      <c r="B1195" s="1">
        <v>888938.89879999997</v>
      </c>
      <c r="C1195" s="1">
        <v>1228479.8153613403</v>
      </c>
      <c r="D1195" s="1">
        <f t="shared" si="18"/>
        <v>-339540.91656134033</v>
      </c>
      <c r="E1195" s="1">
        <v>19</v>
      </c>
      <c r="F1195" s="1">
        <v>14</v>
      </c>
      <c r="G1195" s="1">
        <v>2</v>
      </c>
      <c r="H1195" s="1">
        <v>1</v>
      </c>
      <c r="I1195" s="1">
        <v>0</v>
      </c>
      <c r="J1195" s="1">
        <v>2</v>
      </c>
      <c r="K1195" s="1">
        <v>0</v>
      </c>
      <c r="L1195" s="1">
        <v>0</v>
      </c>
      <c r="M1195" s="1">
        <v>0</v>
      </c>
    </row>
    <row r="1196" spans="1:13">
      <c r="A1196" s="1">
        <v>1195</v>
      </c>
      <c r="B1196" s="1">
        <v>902694.61800000002</v>
      </c>
      <c r="C1196" s="1">
        <v>707547.76719200518</v>
      </c>
      <c r="D1196" s="1">
        <f t="shared" si="18"/>
        <v>195146.85080799484</v>
      </c>
      <c r="E1196" s="1">
        <v>17</v>
      </c>
      <c r="F1196" s="1">
        <v>14</v>
      </c>
      <c r="G1196" s="1">
        <v>4</v>
      </c>
      <c r="H1196" s="1">
        <v>0</v>
      </c>
      <c r="I1196" s="1">
        <v>0</v>
      </c>
      <c r="J1196" s="1">
        <v>1</v>
      </c>
      <c r="K1196" s="1">
        <v>0</v>
      </c>
      <c r="L1196" s="1">
        <v>0</v>
      </c>
      <c r="M1196" s="1">
        <v>1</v>
      </c>
    </row>
    <row r="1197" spans="1:13">
      <c r="A1197" s="1">
        <v>1196</v>
      </c>
      <c r="B1197" s="1">
        <v>1041192.2918</v>
      </c>
      <c r="C1197" s="1">
        <v>1059755.1430555359</v>
      </c>
      <c r="D1197" s="1">
        <f t="shared" si="18"/>
        <v>-18562.851255535847</v>
      </c>
      <c r="E1197" s="1">
        <v>13</v>
      </c>
      <c r="F1197" s="1">
        <v>15</v>
      </c>
      <c r="G1197" s="1">
        <v>7</v>
      </c>
      <c r="H1197" s="1">
        <v>1</v>
      </c>
      <c r="I1197" s="1">
        <v>1</v>
      </c>
      <c r="J1197" s="1">
        <v>1</v>
      </c>
      <c r="K1197" s="1">
        <v>0</v>
      </c>
      <c r="L1197" s="1">
        <v>0</v>
      </c>
      <c r="M1197" s="1">
        <v>0</v>
      </c>
    </row>
    <row r="1198" spans="1:13">
      <c r="A1198" s="1">
        <v>1197</v>
      </c>
      <c r="B1198" s="1">
        <v>922477.70460000006</v>
      </c>
      <c r="C1198" s="1">
        <v>739935.72899470734</v>
      </c>
      <c r="D1198" s="1">
        <f t="shared" si="18"/>
        <v>182541.97560529271</v>
      </c>
      <c r="E1198" s="1">
        <v>20</v>
      </c>
      <c r="F1198" s="1">
        <v>11</v>
      </c>
      <c r="G1198" s="1">
        <v>4</v>
      </c>
      <c r="H1198" s="1">
        <v>0</v>
      </c>
      <c r="I1198" s="1">
        <v>0</v>
      </c>
      <c r="J1198" s="1">
        <v>0</v>
      </c>
      <c r="K1198" s="1">
        <v>0</v>
      </c>
      <c r="L1198" s="1">
        <v>0</v>
      </c>
      <c r="M1198" s="1">
        <v>0</v>
      </c>
    </row>
    <row r="1199" spans="1:13">
      <c r="A1199" s="1">
        <v>1198</v>
      </c>
      <c r="B1199" s="1">
        <v>1053979.4291999999</v>
      </c>
      <c r="C1199" s="1">
        <v>909496.61996417027</v>
      </c>
      <c r="D1199" s="1">
        <f t="shared" si="18"/>
        <v>144482.80923582963</v>
      </c>
      <c r="E1199" s="1">
        <v>9</v>
      </c>
      <c r="F1199" s="1">
        <v>21</v>
      </c>
      <c r="G1199" s="1">
        <v>5</v>
      </c>
      <c r="H1199" s="1">
        <v>1</v>
      </c>
      <c r="I1199" s="1">
        <v>0</v>
      </c>
      <c r="J1199" s="1">
        <v>1</v>
      </c>
      <c r="K1199" s="1">
        <v>1</v>
      </c>
      <c r="L1199" s="1">
        <v>0</v>
      </c>
      <c r="M1199" s="1">
        <v>0</v>
      </c>
    </row>
    <row r="1200" spans="1:13">
      <c r="A1200" s="1">
        <v>1199</v>
      </c>
      <c r="B1200" s="1">
        <v>1065934.9080000001</v>
      </c>
      <c r="C1200" s="1">
        <v>1198123.4881871343</v>
      </c>
      <c r="D1200" s="1">
        <f t="shared" si="18"/>
        <v>-132188.58018713421</v>
      </c>
      <c r="E1200" s="1">
        <v>5</v>
      </c>
      <c r="F1200" s="1">
        <v>24</v>
      </c>
      <c r="G1200" s="1">
        <v>6</v>
      </c>
      <c r="H1200" s="1">
        <v>0</v>
      </c>
      <c r="I1200" s="1">
        <v>0</v>
      </c>
      <c r="J1200" s="1">
        <v>0</v>
      </c>
      <c r="K1200" s="1">
        <v>0</v>
      </c>
      <c r="L1200" s="1">
        <v>0</v>
      </c>
      <c r="M1200" s="1">
        <v>1</v>
      </c>
    </row>
    <row r="1201" spans="1:13">
      <c r="A1201" s="1">
        <v>1200</v>
      </c>
      <c r="B1201" s="1">
        <v>942976.01289999997</v>
      </c>
      <c r="C1201" s="1">
        <v>717408.31769362814</v>
      </c>
      <c r="D1201" s="1">
        <f t="shared" si="18"/>
        <v>225567.69520637183</v>
      </c>
      <c r="E1201" s="1">
        <v>7</v>
      </c>
      <c r="F1201" s="1">
        <v>24</v>
      </c>
      <c r="G1201" s="1">
        <v>4</v>
      </c>
      <c r="H1201" s="1">
        <v>0</v>
      </c>
      <c r="I1201" s="1">
        <v>0</v>
      </c>
      <c r="J1201" s="1">
        <v>1</v>
      </c>
      <c r="K1201" s="1">
        <v>0</v>
      </c>
      <c r="L1201" s="1">
        <v>0</v>
      </c>
      <c r="M1201" s="1">
        <v>0</v>
      </c>
    </row>
    <row r="1202" spans="1:13">
      <c r="A1202" s="1">
        <v>1201</v>
      </c>
      <c r="B1202" s="1">
        <v>1106448.4332000001</v>
      </c>
      <c r="C1202" s="1">
        <v>543996.77097965183</v>
      </c>
      <c r="D1202" s="1">
        <f t="shared" si="18"/>
        <v>562451.66222034825</v>
      </c>
      <c r="E1202" s="1">
        <v>8</v>
      </c>
      <c r="F1202" s="1">
        <v>21</v>
      </c>
      <c r="G1202" s="1">
        <v>6</v>
      </c>
      <c r="H1202" s="1">
        <v>0</v>
      </c>
      <c r="I1202" s="1">
        <v>0</v>
      </c>
      <c r="J1202" s="1">
        <v>0</v>
      </c>
      <c r="K1202" s="1">
        <v>1</v>
      </c>
      <c r="L1202" s="1">
        <v>0</v>
      </c>
      <c r="M1202" s="1">
        <v>0</v>
      </c>
    </row>
    <row r="1203" spans="1:13">
      <c r="A1203" s="1">
        <v>1202</v>
      </c>
      <c r="B1203" s="1">
        <v>874759.21140000003</v>
      </c>
      <c r="C1203" s="1">
        <v>755894.26188063365</v>
      </c>
      <c r="D1203" s="1">
        <f t="shared" si="18"/>
        <v>118864.94951936638</v>
      </c>
      <c r="E1203" s="1">
        <v>11</v>
      </c>
      <c r="F1203" s="1">
        <v>17</v>
      </c>
      <c r="G1203" s="1">
        <v>7</v>
      </c>
      <c r="H1203" s="1">
        <v>1</v>
      </c>
      <c r="I1203" s="1">
        <v>0</v>
      </c>
      <c r="J1203" s="1">
        <v>0</v>
      </c>
      <c r="K1203" s="1">
        <v>0</v>
      </c>
      <c r="L1203" s="1">
        <v>0</v>
      </c>
      <c r="M1203" s="1">
        <v>0</v>
      </c>
    </row>
    <row r="1204" spans="1:13">
      <c r="A1204" s="1">
        <v>1203</v>
      </c>
      <c r="B1204" s="1">
        <v>957698.52469999995</v>
      </c>
      <c r="C1204" s="1">
        <v>601244.65592157247</v>
      </c>
      <c r="D1204" s="1">
        <f t="shared" si="18"/>
        <v>356453.86877842748</v>
      </c>
      <c r="E1204" s="1">
        <v>18</v>
      </c>
      <c r="F1204" s="1">
        <v>12</v>
      </c>
      <c r="G1204" s="1">
        <v>5</v>
      </c>
      <c r="H1204" s="1">
        <v>1</v>
      </c>
      <c r="I1204" s="1">
        <v>1</v>
      </c>
      <c r="J1204" s="1">
        <v>0</v>
      </c>
      <c r="K1204" s="1">
        <v>1</v>
      </c>
      <c r="L1204" s="1">
        <v>1</v>
      </c>
      <c r="M1204" s="1">
        <v>1</v>
      </c>
    </row>
    <row r="1205" spans="1:13">
      <c r="A1205" s="1">
        <v>1204</v>
      </c>
      <c r="B1205" s="1">
        <v>1016343.6886</v>
      </c>
      <c r="C1205" s="1">
        <v>802098.77957059606</v>
      </c>
      <c r="D1205" s="1">
        <f t="shared" si="18"/>
        <v>214244.90902940393</v>
      </c>
      <c r="E1205" s="1">
        <v>5</v>
      </c>
      <c r="F1205" s="1">
        <v>23</v>
      </c>
      <c r="G1205" s="1">
        <v>7</v>
      </c>
      <c r="H1205" s="1">
        <v>1</v>
      </c>
      <c r="I1205" s="1">
        <v>0</v>
      </c>
      <c r="J1205" s="1">
        <v>0</v>
      </c>
      <c r="K1205" s="1">
        <v>1</v>
      </c>
      <c r="L1205" s="1">
        <v>1</v>
      </c>
      <c r="M1205" s="1">
        <v>0</v>
      </c>
    </row>
    <row r="1206" spans="1:13">
      <c r="A1206" s="1">
        <v>1205</v>
      </c>
      <c r="B1206" s="1">
        <v>910806.64769999997</v>
      </c>
      <c r="C1206" s="1">
        <v>845154.3026135898</v>
      </c>
      <c r="D1206" s="1">
        <f t="shared" si="18"/>
        <v>65652.345086410176</v>
      </c>
      <c r="E1206" s="1">
        <v>12</v>
      </c>
      <c r="F1206" s="1">
        <v>20</v>
      </c>
      <c r="G1206" s="1">
        <v>3</v>
      </c>
      <c r="H1206" s="1">
        <v>1</v>
      </c>
      <c r="I1206" s="1">
        <v>0</v>
      </c>
      <c r="J1206" s="1">
        <v>0</v>
      </c>
      <c r="K1206" s="1">
        <v>0</v>
      </c>
      <c r="L1206" s="1">
        <v>0</v>
      </c>
      <c r="M1206" s="1">
        <v>1</v>
      </c>
    </row>
    <row r="1207" spans="1:13">
      <c r="A1207" s="1">
        <v>1206</v>
      </c>
      <c r="B1207" s="1">
        <v>933604.67460000003</v>
      </c>
      <c r="C1207" s="1">
        <v>710643.56053446745</v>
      </c>
      <c r="D1207" s="1">
        <f t="shared" si="18"/>
        <v>222961.11406553257</v>
      </c>
      <c r="E1207" s="1">
        <v>15</v>
      </c>
      <c r="F1207" s="1">
        <v>12</v>
      </c>
      <c r="G1207" s="1">
        <v>8</v>
      </c>
      <c r="H1207" s="1">
        <v>1</v>
      </c>
      <c r="I1207" s="1">
        <v>1</v>
      </c>
      <c r="J1207" s="1">
        <v>1</v>
      </c>
      <c r="K1207" s="1">
        <v>1</v>
      </c>
      <c r="L1207" s="1">
        <v>0</v>
      </c>
      <c r="M1207" s="1">
        <v>0</v>
      </c>
    </row>
    <row r="1208" spans="1:13">
      <c r="A1208" s="1">
        <v>1207</v>
      </c>
      <c r="B1208" s="1">
        <v>1047440.6561</v>
      </c>
      <c r="C1208" s="1">
        <v>629248.63690103951</v>
      </c>
      <c r="D1208" s="1">
        <f t="shared" si="18"/>
        <v>418192.01919896051</v>
      </c>
      <c r="E1208" s="1">
        <v>5</v>
      </c>
      <c r="F1208" s="1">
        <v>24</v>
      </c>
      <c r="G1208" s="1">
        <v>6</v>
      </c>
      <c r="H1208" s="1">
        <v>1</v>
      </c>
      <c r="I1208" s="1">
        <v>0</v>
      </c>
      <c r="J1208" s="1">
        <v>0</v>
      </c>
      <c r="K1208" s="1">
        <v>0</v>
      </c>
      <c r="L1208" s="1">
        <v>0</v>
      </c>
      <c r="M1208" s="1">
        <v>0</v>
      </c>
    </row>
    <row r="1209" spans="1:13">
      <c r="A1209" s="1">
        <v>1208</v>
      </c>
      <c r="B1209" s="1">
        <v>914687.56189999997</v>
      </c>
      <c r="C1209" s="1">
        <v>856693.62985200959</v>
      </c>
      <c r="D1209" s="1">
        <f t="shared" si="18"/>
        <v>57993.932047990384</v>
      </c>
      <c r="E1209" s="1">
        <v>7</v>
      </c>
      <c r="F1209" s="1">
        <v>21</v>
      </c>
      <c r="G1209" s="1">
        <v>7</v>
      </c>
      <c r="H1209" s="1">
        <v>2</v>
      </c>
      <c r="I1209" s="1">
        <v>0</v>
      </c>
      <c r="J1209" s="1">
        <v>0</v>
      </c>
      <c r="K1209" s="1">
        <v>1</v>
      </c>
      <c r="L1209" s="1">
        <v>0</v>
      </c>
      <c r="M1209" s="1">
        <v>1</v>
      </c>
    </row>
    <row r="1210" spans="1:13">
      <c r="A1210" s="1">
        <v>1209</v>
      </c>
      <c r="B1210" s="1">
        <v>896744.15599999996</v>
      </c>
      <c r="C1210" s="1">
        <v>839833.27425756631</v>
      </c>
      <c r="D1210" s="1">
        <f t="shared" si="18"/>
        <v>56910.881742433645</v>
      </c>
      <c r="E1210" s="1">
        <v>21</v>
      </c>
      <c r="F1210" s="1">
        <v>9</v>
      </c>
      <c r="G1210" s="1">
        <v>5</v>
      </c>
      <c r="H1210" s="1">
        <v>0</v>
      </c>
      <c r="I1210" s="1">
        <v>0</v>
      </c>
      <c r="J1210" s="1">
        <v>1</v>
      </c>
      <c r="K1210" s="1">
        <v>1</v>
      </c>
      <c r="L1210" s="1">
        <v>0</v>
      </c>
      <c r="M1210" s="1">
        <v>0</v>
      </c>
    </row>
    <row r="1211" spans="1:13">
      <c r="A1211" s="1">
        <v>1210</v>
      </c>
      <c r="B1211" s="1">
        <v>1059586.3376</v>
      </c>
      <c r="C1211" s="1">
        <v>763919.05535826797</v>
      </c>
      <c r="D1211" s="1">
        <f t="shared" si="18"/>
        <v>295667.282241732</v>
      </c>
      <c r="E1211" s="1">
        <v>10</v>
      </c>
      <c r="F1211" s="1">
        <v>20</v>
      </c>
      <c r="G1211" s="1">
        <v>5</v>
      </c>
      <c r="H1211" s="1">
        <v>0</v>
      </c>
      <c r="I1211" s="1">
        <v>1</v>
      </c>
      <c r="J1211" s="1">
        <v>0</v>
      </c>
      <c r="K1211" s="1">
        <v>0</v>
      </c>
      <c r="L1211" s="1">
        <v>1</v>
      </c>
      <c r="M1211" s="1">
        <v>0</v>
      </c>
    </row>
    <row r="1212" spans="1:13">
      <c r="A1212" s="1">
        <v>1211</v>
      </c>
      <c r="B1212" s="1">
        <v>961446.83219999995</v>
      </c>
      <c r="C1212" s="1">
        <v>791336.19785058976</v>
      </c>
      <c r="D1212" s="1">
        <f t="shared" si="18"/>
        <v>170110.63434941019</v>
      </c>
      <c r="E1212" s="1">
        <v>15</v>
      </c>
      <c r="F1212" s="1">
        <v>14</v>
      </c>
      <c r="G1212" s="1">
        <v>6</v>
      </c>
      <c r="H1212" s="1">
        <v>2</v>
      </c>
      <c r="I1212" s="1">
        <v>0</v>
      </c>
      <c r="J1212" s="1">
        <v>2</v>
      </c>
      <c r="K1212" s="1">
        <v>0</v>
      </c>
      <c r="L1212" s="1">
        <v>0</v>
      </c>
      <c r="M1212" s="1">
        <v>1</v>
      </c>
    </row>
    <row r="1213" spans="1:13">
      <c r="A1213" s="1">
        <v>1212</v>
      </c>
      <c r="B1213" s="1">
        <v>1072902.2361000001</v>
      </c>
      <c r="C1213" s="1">
        <v>954337.51856511179</v>
      </c>
      <c r="D1213" s="1">
        <f t="shared" si="18"/>
        <v>118564.7175348883</v>
      </c>
      <c r="E1213" s="1">
        <v>6</v>
      </c>
      <c r="F1213" s="1">
        <v>22</v>
      </c>
      <c r="G1213" s="1">
        <v>7</v>
      </c>
      <c r="H1213" s="1">
        <v>1</v>
      </c>
      <c r="I1213" s="1">
        <v>0</v>
      </c>
      <c r="J1213" s="1">
        <v>0</v>
      </c>
      <c r="K1213" s="1">
        <v>0</v>
      </c>
      <c r="L1213" s="1">
        <v>0</v>
      </c>
      <c r="M1213" s="1">
        <v>0</v>
      </c>
    </row>
    <row r="1214" spans="1:13">
      <c r="A1214" s="1">
        <v>1213</v>
      </c>
      <c r="B1214" s="1">
        <v>1046936.7753</v>
      </c>
      <c r="C1214" s="1">
        <v>948241.94720930094</v>
      </c>
      <c r="D1214" s="1">
        <f t="shared" si="18"/>
        <v>98694.82809069904</v>
      </c>
      <c r="E1214" s="1">
        <v>12</v>
      </c>
      <c r="F1214" s="1">
        <v>17</v>
      </c>
      <c r="G1214" s="1">
        <v>6</v>
      </c>
      <c r="H1214" s="1">
        <v>2</v>
      </c>
      <c r="I1214" s="1">
        <v>0</v>
      </c>
      <c r="J1214" s="1">
        <v>0</v>
      </c>
      <c r="K1214" s="1">
        <v>0</v>
      </c>
      <c r="L1214" s="1">
        <v>0</v>
      </c>
      <c r="M1214" s="1">
        <v>1</v>
      </c>
    </row>
    <row r="1215" spans="1:13">
      <c r="A1215" s="1">
        <v>1214</v>
      </c>
      <c r="B1215" s="1">
        <v>963925.28469999996</v>
      </c>
      <c r="C1215" s="1">
        <v>803633.63765095884</v>
      </c>
      <c r="D1215" s="1">
        <f t="shared" si="18"/>
        <v>160291.64704904112</v>
      </c>
      <c r="E1215" s="1">
        <v>17</v>
      </c>
      <c r="F1215" s="1">
        <v>12</v>
      </c>
      <c r="G1215" s="1">
        <v>6</v>
      </c>
      <c r="H1215" s="1">
        <v>1</v>
      </c>
      <c r="I1215" s="1">
        <v>0</v>
      </c>
      <c r="J1215" s="1">
        <v>0</v>
      </c>
      <c r="K1215" s="1">
        <v>1</v>
      </c>
      <c r="L1215" s="1">
        <v>0</v>
      </c>
      <c r="M1215" s="1">
        <v>0</v>
      </c>
    </row>
    <row r="1216" spans="1:13">
      <c r="A1216" s="1">
        <v>1215</v>
      </c>
      <c r="B1216" s="1">
        <v>773769.29619999998</v>
      </c>
      <c r="C1216" s="1">
        <v>887735.80799383763</v>
      </c>
      <c r="D1216" s="1">
        <f t="shared" si="18"/>
        <v>-113966.51179383765</v>
      </c>
      <c r="E1216" s="1">
        <v>22</v>
      </c>
      <c r="F1216" s="1">
        <v>9</v>
      </c>
      <c r="G1216" s="1">
        <v>4</v>
      </c>
      <c r="H1216" s="1">
        <v>1</v>
      </c>
      <c r="I1216" s="1">
        <v>1</v>
      </c>
      <c r="J1216" s="1">
        <v>1</v>
      </c>
      <c r="K1216" s="1">
        <v>1</v>
      </c>
      <c r="L1216" s="1">
        <v>0</v>
      </c>
      <c r="M1216" s="1">
        <v>0</v>
      </c>
    </row>
    <row r="1217" spans="1:13">
      <c r="A1217" s="1">
        <v>1216</v>
      </c>
      <c r="B1217" s="1">
        <v>1012437.3519</v>
      </c>
      <c r="C1217" s="1">
        <v>630600.13621444127</v>
      </c>
      <c r="D1217" s="1">
        <f t="shared" si="18"/>
        <v>381837.21568555874</v>
      </c>
      <c r="E1217" s="1">
        <v>9</v>
      </c>
      <c r="F1217" s="1">
        <v>22</v>
      </c>
      <c r="G1217" s="1">
        <v>4</v>
      </c>
      <c r="H1217" s="1">
        <v>1</v>
      </c>
      <c r="I1217" s="1">
        <v>0</v>
      </c>
      <c r="J1217" s="1">
        <v>0</v>
      </c>
      <c r="K1217" s="1">
        <v>1</v>
      </c>
      <c r="L1217" s="1">
        <v>0</v>
      </c>
      <c r="M1217" s="1">
        <v>0</v>
      </c>
    </row>
    <row r="1218" spans="1:13">
      <c r="A1218" s="1">
        <v>1217</v>
      </c>
      <c r="B1218" s="1">
        <v>1059064.0747</v>
      </c>
      <c r="C1218" s="1">
        <v>1183581.3622020737</v>
      </c>
      <c r="D1218" s="1">
        <f t="shared" ref="D1218:D1281" si="19">B1218-C1218</f>
        <v>-124517.28750207368</v>
      </c>
      <c r="E1218" s="1">
        <v>2</v>
      </c>
      <c r="F1218" s="1">
        <v>28</v>
      </c>
      <c r="G1218" s="1">
        <v>5</v>
      </c>
      <c r="H1218" s="1">
        <v>1</v>
      </c>
      <c r="I1218" s="1">
        <v>1</v>
      </c>
      <c r="J1218" s="1">
        <v>1</v>
      </c>
      <c r="K1218" s="1">
        <v>1</v>
      </c>
      <c r="L1218" s="1">
        <v>0</v>
      </c>
      <c r="M1218" s="1">
        <v>0</v>
      </c>
    </row>
    <row r="1219" spans="1:13">
      <c r="A1219" s="1">
        <v>1218</v>
      </c>
      <c r="B1219" s="1">
        <v>987556.10530000005</v>
      </c>
      <c r="C1219" s="1">
        <v>953120.65439345629</v>
      </c>
      <c r="D1219" s="1">
        <f t="shared" si="19"/>
        <v>34435.45090654376</v>
      </c>
      <c r="E1219" s="1">
        <v>11</v>
      </c>
      <c r="F1219" s="1">
        <v>18</v>
      </c>
      <c r="G1219" s="1">
        <v>6</v>
      </c>
      <c r="H1219" s="1">
        <v>1</v>
      </c>
      <c r="I1219" s="1">
        <v>0</v>
      </c>
      <c r="J1219" s="1">
        <v>1</v>
      </c>
      <c r="K1219" s="1">
        <v>0</v>
      </c>
      <c r="L1219" s="1">
        <v>0</v>
      </c>
      <c r="M1219" s="1">
        <v>0</v>
      </c>
    </row>
    <row r="1220" spans="1:13">
      <c r="A1220" s="1">
        <v>1219</v>
      </c>
      <c r="B1220" s="1">
        <v>826108.63659999997</v>
      </c>
      <c r="C1220" s="1">
        <v>749886.06495068874</v>
      </c>
      <c r="D1220" s="1">
        <f t="shared" si="19"/>
        <v>76222.571649311227</v>
      </c>
      <c r="E1220" s="1">
        <v>14</v>
      </c>
      <c r="F1220" s="1">
        <v>17</v>
      </c>
      <c r="G1220" s="1">
        <v>4</v>
      </c>
      <c r="H1220" s="1">
        <v>0</v>
      </c>
      <c r="I1220" s="1">
        <v>1</v>
      </c>
      <c r="J1220" s="1">
        <v>0</v>
      </c>
      <c r="K1220" s="1">
        <v>0</v>
      </c>
      <c r="L1220" s="1">
        <v>0</v>
      </c>
      <c r="M1220" s="1">
        <v>0</v>
      </c>
    </row>
    <row r="1221" spans="1:13">
      <c r="A1221" s="1">
        <v>1220</v>
      </c>
      <c r="B1221" s="1">
        <v>879351.39500000002</v>
      </c>
      <c r="C1221" s="1">
        <v>825464.33242948109</v>
      </c>
      <c r="D1221" s="1">
        <f t="shared" si="19"/>
        <v>53887.06257051893</v>
      </c>
      <c r="E1221" s="1">
        <v>21</v>
      </c>
      <c r="F1221" s="1">
        <v>8</v>
      </c>
      <c r="G1221" s="1">
        <v>6</v>
      </c>
      <c r="H1221" s="1">
        <v>2</v>
      </c>
      <c r="I1221" s="1">
        <v>0</v>
      </c>
      <c r="J1221" s="1">
        <v>1</v>
      </c>
      <c r="K1221" s="1">
        <v>1</v>
      </c>
      <c r="L1221" s="1">
        <v>0</v>
      </c>
      <c r="M1221" s="1">
        <v>0</v>
      </c>
    </row>
    <row r="1222" spans="1:13">
      <c r="A1222" s="1">
        <v>1221</v>
      </c>
      <c r="B1222" s="1">
        <v>908629.08829999994</v>
      </c>
      <c r="C1222" s="1">
        <v>967248.0430817873</v>
      </c>
      <c r="D1222" s="1">
        <f t="shared" si="19"/>
        <v>-58618.954781787354</v>
      </c>
      <c r="E1222" s="1">
        <v>16</v>
      </c>
      <c r="F1222" s="1">
        <v>15</v>
      </c>
      <c r="G1222" s="1">
        <v>4</v>
      </c>
      <c r="H1222" s="1">
        <v>1</v>
      </c>
      <c r="I1222" s="1">
        <v>0</v>
      </c>
      <c r="J1222" s="1">
        <v>0</v>
      </c>
      <c r="K1222" s="1">
        <v>0</v>
      </c>
      <c r="L1222" s="1">
        <v>0</v>
      </c>
      <c r="M1222" s="1">
        <v>0</v>
      </c>
    </row>
    <row r="1223" spans="1:13">
      <c r="A1223" s="1">
        <v>1222</v>
      </c>
      <c r="B1223" s="1">
        <v>1010437.5898</v>
      </c>
      <c r="C1223" s="1">
        <v>815197.72174230975</v>
      </c>
      <c r="D1223" s="1">
        <f t="shared" si="19"/>
        <v>195239.86805769021</v>
      </c>
      <c r="E1223" s="1">
        <v>6</v>
      </c>
      <c r="F1223" s="1">
        <v>23</v>
      </c>
      <c r="G1223" s="1">
        <v>6</v>
      </c>
      <c r="H1223" s="1">
        <v>1</v>
      </c>
      <c r="I1223" s="1">
        <v>0</v>
      </c>
      <c r="J1223" s="1">
        <v>0</v>
      </c>
      <c r="K1223" s="1">
        <v>1</v>
      </c>
      <c r="L1223" s="1">
        <v>0</v>
      </c>
      <c r="M1223" s="1">
        <v>0</v>
      </c>
    </row>
    <row r="1224" spans="1:13">
      <c r="A1224" s="1">
        <v>1223</v>
      </c>
      <c r="B1224" s="1">
        <v>847679.55390000006</v>
      </c>
      <c r="C1224" s="1">
        <v>718630.41709995025</v>
      </c>
      <c r="D1224" s="1">
        <f t="shared" si="19"/>
        <v>129049.1368000498</v>
      </c>
      <c r="E1224" s="1">
        <v>17</v>
      </c>
      <c r="F1224" s="1">
        <v>10</v>
      </c>
      <c r="G1224" s="1">
        <v>8</v>
      </c>
      <c r="H1224" s="1">
        <v>2</v>
      </c>
      <c r="I1224" s="1">
        <v>0</v>
      </c>
      <c r="J1224" s="1">
        <v>0</v>
      </c>
      <c r="K1224" s="1">
        <v>1</v>
      </c>
      <c r="L1224" s="1">
        <v>0</v>
      </c>
      <c r="M1224" s="1">
        <v>0</v>
      </c>
    </row>
    <row r="1225" spans="1:13">
      <c r="A1225" s="1">
        <v>1224</v>
      </c>
      <c r="B1225" s="1">
        <v>987015.43530000001</v>
      </c>
      <c r="C1225" s="1">
        <v>584654.76576042047</v>
      </c>
      <c r="D1225" s="1">
        <f t="shared" si="19"/>
        <v>402360.66953957954</v>
      </c>
      <c r="E1225" s="1">
        <v>8</v>
      </c>
      <c r="F1225" s="1">
        <v>21</v>
      </c>
      <c r="G1225" s="1">
        <v>6</v>
      </c>
      <c r="H1225" s="1">
        <v>1</v>
      </c>
      <c r="I1225" s="1">
        <v>1</v>
      </c>
      <c r="J1225" s="1">
        <v>0</v>
      </c>
      <c r="K1225" s="1">
        <v>1</v>
      </c>
      <c r="L1225" s="1">
        <v>0</v>
      </c>
      <c r="M1225" s="1">
        <v>0</v>
      </c>
    </row>
    <row r="1226" spans="1:13">
      <c r="A1226" s="1">
        <v>1225</v>
      </c>
      <c r="B1226" s="1">
        <v>880204.15740000003</v>
      </c>
      <c r="C1226" s="1">
        <v>1069588.3026767105</v>
      </c>
      <c r="D1226" s="1">
        <f t="shared" si="19"/>
        <v>-189384.14527671051</v>
      </c>
      <c r="E1226" s="1">
        <v>18</v>
      </c>
      <c r="F1226" s="1">
        <v>13</v>
      </c>
      <c r="G1226" s="1">
        <v>4</v>
      </c>
      <c r="H1226" s="1">
        <v>0</v>
      </c>
      <c r="I1226" s="1">
        <v>0</v>
      </c>
      <c r="J1226" s="1">
        <v>1</v>
      </c>
      <c r="K1226" s="1">
        <v>1</v>
      </c>
      <c r="L1226" s="1">
        <v>0</v>
      </c>
      <c r="M1226" s="1">
        <v>0</v>
      </c>
    </row>
    <row r="1227" spans="1:13">
      <c r="A1227" s="1">
        <v>1226</v>
      </c>
      <c r="B1227" s="1">
        <v>881788.74349999998</v>
      </c>
      <c r="C1227" s="1">
        <v>851282.46452014346</v>
      </c>
      <c r="D1227" s="1">
        <f t="shared" si="19"/>
        <v>30506.278979856521</v>
      </c>
      <c r="E1227" s="1">
        <v>23</v>
      </c>
      <c r="F1227" s="1">
        <v>9</v>
      </c>
      <c r="G1227" s="1">
        <v>3</v>
      </c>
      <c r="H1227" s="1">
        <v>1</v>
      </c>
      <c r="I1227" s="1">
        <v>0</v>
      </c>
      <c r="J1227" s="1">
        <v>0</v>
      </c>
      <c r="K1227" s="1">
        <v>0</v>
      </c>
      <c r="L1227" s="1">
        <v>1</v>
      </c>
      <c r="M1227" s="1">
        <v>1</v>
      </c>
    </row>
    <row r="1228" spans="1:13">
      <c r="A1228" s="1">
        <v>1227</v>
      </c>
      <c r="B1228" s="1">
        <v>1107928.4924999999</v>
      </c>
      <c r="C1228" s="1">
        <v>1122790.2868544939</v>
      </c>
      <c r="D1228" s="1">
        <f t="shared" si="19"/>
        <v>-14861.794354493963</v>
      </c>
      <c r="E1228" s="1">
        <v>6</v>
      </c>
      <c r="F1228" s="1">
        <v>23</v>
      </c>
      <c r="G1228" s="1">
        <v>6</v>
      </c>
      <c r="H1228" s="1">
        <v>1</v>
      </c>
      <c r="I1228" s="1">
        <v>0</v>
      </c>
      <c r="J1228" s="1">
        <v>1</v>
      </c>
      <c r="K1228" s="1">
        <v>1</v>
      </c>
      <c r="L1228" s="1">
        <v>0</v>
      </c>
      <c r="M1228" s="1">
        <v>0</v>
      </c>
    </row>
    <row r="1229" spans="1:13">
      <c r="A1229" s="1">
        <v>1228</v>
      </c>
      <c r="B1229" s="1">
        <v>903893.38780000003</v>
      </c>
      <c r="C1229" s="1">
        <v>751147.54289070715</v>
      </c>
      <c r="D1229" s="1">
        <f t="shared" si="19"/>
        <v>152745.84490929288</v>
      </c>
      <c r="E1229" s="1">
        <v>4</v>
      </c>
      <c r="F1229" s="1">
        <v>26</v>
      </c>
      <c r="G1229" s="1">
        <v>5</v>
      </c>
      <c r="H1229" s="1">
        <v>2</v>
      </c>
      <c r="I1229" s="1">
        <v>0</v>
      </c>
      <c r="J1229" s="1">
        <v>0</v>
      </c>
      <c r="K1229" s="1">
        <v>0</v>
      </c>
      <c r="L1229" s="1">
        <v>0</v>
      </c>
      <c r="M1229" s="1">
        <v>0</v>
      </c>
    </row>
    <row r="1230" spans="1:13">
      <c r="A1230" s="1">
        <v>1229</v>
      </c>
      <c r="B1230" s="1">
        <v>920604.73710000003</v>
      </c>
      <c r="C1230" s="1">
        <v>1108832.5109072379</v>
      </c>
      <c r="D1230" s="1">
        <f t="shared" si="19"/>
        <v>-188227.77380723786</v>
      </c>
      <c r="E1230" s="1">
        <v>10</v>
      </c>
      <c r="F1230" s="1">
        <v>19</v>
      </c>
      <c r="G1230" s="1">
        <v>6</v>
      </c>
      <c r="H1230" s="1">
        <v>1</v>
      </c>
      <c r="I1230" s="1">
        <v>0</v>
      </c>
      <c r="J1230" s="1">
        <v>1</v>
      </c>
      <c r="K1230" s="1">
        <v>0</v>
      </c>
      <c r="L1230" s="1">
        <v>1</v>
      </c>
      <c r="M1230" s="1">
        <v>0</v>
      </c>
    </row>
    <row r="1231" spans="1:13">
      <c r="A1231" s="1">
        <v>1230</v>
      </c>
      <c r="B1231" s="1">
        <v>927465.35129999998</v>
      </c>
      <c r="C1231" s="1">
        <v>1616106.0805390477</v>
      </c>
      <c r="D1231" s="1">
        <f t="shared" si="19"/>
        <v>-688640.72923904774</v>
      </c>
      <c r="E1231" s="1">
        <v>6</v>
      </c>
      <c r="F1231" s="1">
        <v>23</v>
      </c>
      <c r="G1231" s="1">
        <v>6</v>
      </c>
      <c r="H1231" s="1">
        <v>1</v>
      </c>
      <c r="I1231" s="1">
        <v>0</v>
      </c>
      <c r="J1231" s="1">
        <v>0</v>
      </c>
      <c r="K1231" s="1">
        <v>1</v>
      </c>
      <c r="L1231" s="1">
        <v>0</v>
      </c>
      <c r="M1231" s="1">
        <v>0</v>
      </c>
    </row>
    <row r="1232" spans="1:13">
      <c r="A1232" s="1">
        <v>1231</v>
      </c>
      <c r="B1232" s="1">
        <v>923325.45330000005</v>
      </c>
      <c r="C1232" s="1">
        <v>720049.81665625435</v>
      </c>
      <c r="D1232" s="1">
        <f t="shared" si="19"/>
        <v>203275.6366437457</v>
      </c>
      <c r="E1232" s="1">
        <v>13</v>
      </c>
      <c r="F1232" s="1">
        <v>19</v>
      </c>
      <c r="G1232" s="1">
        <v>3</v>
      </c>
      <c r="H1232" s="1">
        <v>1</v>
      </c>
      <c r="I1232" s="1">
        <v>1</v>
      </c>
      <c r="J1232" s="1">
        <v>1</v>
      </c>
      <c r="K1232" s="1">
        <v>0</v>
      </c>
      <c r="L1232" s="1">
        <v>0</v>
      </c>
      <c r="M1232" s="1">
        <v>0</v>
      </c>
    </row>
    <row r="1233" spans="1:13">
      <c r="A1233" s="1">
        <v>1232</v>
      </c>
      <c r="B1233" s="1">
        <v>966460.45189999999</v>
      </c>
      <c r="C1233" s="1">
        <v>1786524.2608869169</v>
      </c>
      <c r="D1233" s="1">
        <f t="shared" si="19"/>
        <v>-820063.80898691691</v>
      </c>
      <c r="E1233" s="1">
        <v>11</v>
      </c>
      <c r="F1233" s="1">
        <v>21</v>
      </c>
      <c r="G1233" s="1">
        <v>3</v>
      </c>
      <c r="H1233" s="1">
        <v>2</v>
      </c>
      <c r="I1233" s="1">
        <v>0</v>
      </c>
      <c r="J1233" s="1">
        <v>2</v>
      </c>
      <c r="K1233" s="1">
        <v>0</v>
      </c>
      <c r="L1233" s="1">
        <v>0</v>
      </c>
      <c r="M1233" s="1">
        <v>1</v>
      </c>
    </row>
    <row r="1234" spans="1:13">
      <c r="A1234" s="1">
        <v>1233</v>
      </c>
      <c r="B1234" s="1">
        <v>1038852.6862</v>
      </c>
      <c r="C1234" s="1">
        <v>1190823.9576021838</v>
      </c>
      <c r="D1234" s="1">
        <f t="shared" si="19"/>
        <v>-151971.2714021838</v>
      </c>
      <c r="E1234" s="1">
        <v>14</v>
      </c>
      <c r="F1234" s="1">
        <v>14</v>
      </c>
      <c r="G1234" s="1">
        <v>7</v>
      </c>
      <c r="H1234" s="1">
        <v>1</v>
      </c>
      <c r="I1234" s="1">
        <v>0</v>
      </c>
      <c r="J1234" s="1">
        <v>0</v>
      </c>
      <c r="K1234" s="1">
        <v>0</v>
      </c>
      <c r="L1234" s="1">
        <v>0</v>
      </c>
      <c r="M1234" s="1">
        <v>0</v>
      </c>
    </row>
    <row r="1235" spans="1:13">
      <c r="A1235" s="1">
        <v>1234</v>
      </c>
      <c r="B1235" s="1">
        <v>986527.44270000001</v>
      </c>
      <c r="C1235" s="1">
        <v>963510.69723371998</v>
      </c>
      <c r="D1235" s="1">
        <f t="shared" si="19"/>
        <v>23016.74546628003</v>
      </c>
      <c r="E1235" s="1">
        <v>10</v>
      </c>
      <c r="F1235" s="1">
        <v>21</v>
      </c>
      <c r="G1235" s="1">
        <v>4</v>
      </c>
      <c r="H1235" s="1">
        <v>1</v>
      </c>
      <c r="I1235" s="1">
        <v>1</v>
      </c>
      <c r="J1235" s="1">
        <v>2</v>
      </c>
      <c r="K1235" s="1">
        <v>0</v>
      </c>
      <c r="L1235" s="1">
        <v>0</v>
      </c>
      <c r="M1235" s="1">
        <v>0</v>
      </c>
    </row>
    <row r="1236" spans="1:13">
      <c r="A1236" s="1">
        <v>1235</v>
      </c>
      <c r="B1236" s="1">
        <v>916991.13670000003</v>
      </c>
      <c r="C1236" s="1">
        <v>607522.6888183956</v>
      </c>
      <c r="D1236" s="1">
        <f t="shared" si="19"/>
        <v>309468.44788160443</v>
      </c>
      <c r="E1236" s="1">
        <v>14</v>
      </c>
      <c r="F1236" s="1">
        <v>17</v>
      </c>
      <c r="G1236" s="1">
        <v>4</v>
      </c>
      <c r="H1236" s="1">
        <v>0</v>
      </c>
      <c r="I1236" s="1">
        <v>0</v>
      </c>
      <c r="J1236" s="1">
        <v>0</v>
      </c>
      <c r="K1236" s="1">
        <v>2</v>
      </c>
      <c r="L1236" s="1">
        <v>0</v>
      </c>
      <c r="M1236" s="1">
        <v>0</v>
      </c>
    </row>
    <row r="1237" spans="1:13">
      <c r="A1237" s="1">
        <v>1236</v>
      </c>
      <c r="B1237" s="1">
        <v>1060151.7936</v>
      </c>
      <c r="C1237" s="1">
        <v>1027916.1950451868</v>
      </c>
      <c r="D1237" s="1">
        <f t="shared" si="19"/>
        <v>32235.598554813187</v>
      </c>
      <c r="E1237" s="1">
        <v>16</v>
      </c>
      <c r="F1237" s="1">
        <v>14</v>
      </c>
      <c r="G1237" s="1">
        <v>5</v>
      </c>
      <c r="H1237" s="1">
        <v>0</v>
      </c>
      <c r="I1237" s="1">
        <v>1</v>
      </c>
      <c r="J1237" s="1">
        <v>2</v>
      </c>
      <c r="K1237" s="1">
        <v>0</v>
      </c>
      <c r="L1237" s="1">
        <v>0</v>
      </c>
      <c r="M1237" s="1">
        <v>1</v>
      </c>
    </row>
    <row r="1238" spans="1:13">
      <c r="A1238" s="1">
        <v>1237</v>
      </c>
      <c r="B1238" s="1">
        <v>968069.86179999996</v>
      </c>
      <c r="C1238" s="1">
        <v>1064458.8983116508</v>
      </c>
      <c r="D1238" s="1">
        <f t="shared" si="19"/>
        <v>-96389.036511650891</v>
      </c>
      <c r="E1238" s="1">
        <v>12</v>
      </c>
      <c r="F1238" s="1">
        <v>19</v>
      </c>
      <c r="G1238" s="1">
        <v>4</v>
      </c>
      <c r="H1238" s="1">
        <v>1</v>
      </c>
      <c r="I1238" s="1">
        <v>0</v>
      </c>
      <c r="J1238" s="1">
        <v>0</v>
      </c>
      <c r="K1238" s="1">
        <v>0</v>
      </c>
      <c r="L1238" s="1">
        <v>0</v>
      </c>
      <c r="M1238" s="1">
        <v>0</v>
      </c>
    </row>
    <row r="1239" spans="1:13">
      <c r="A1239" s="1">
        <v>1238</v>
      </c>
      <c r="B1239" s="1">
        <v>919809.70010000002</v>
      </c>
      <c r="C1239" s="1">
        <v>1099233.3920908363</v>
      </c>
      <c r="D1239" s="1">
        <f t="shared" si="19"/>
        <v>-179423.69199083629</v>
      </c>
      <c r="E1239" s="1">
        <v>10</v>
      </c>
      <c r="F1239" s="1">
        <v>21</v>
      </c>
      <c r="G1239" s="1">
        <v>4</v>
      </c>
      <c r="H1239" s="1">
        <v>1</v>
      </c>
      <c r="I1239" s="1">
        <v>1</v>
      </c>
      <c r="J1239" s="1">
        <v>0</v>
      </c>
      <c r="K1239" s="1">
        <v>1</v>
      </c>
      <c r="L1239" s="1">
        <v>1</v>
      </c>
      <c r="M1239" s="1">
        <v>0</v>
      </c>
    </row>
    <row r="1240" spans="1:13">
      <c r="A1240" s="1">
        <v>1239</v>
      </c>
      <c r="B1240" s="1">
        <v>912544.48439999996</v>
      </c>
      <c r="C1240" s="1">
        <v>731126.9921626671</v>
      </c>
      <c r="D1240" s="1">
        <f t="shared" si="19"/>
        <v>181417.49223733286</v>
      </c>
      <c r="E1240" s="1">
        <v>17</v>
      </c>
      <c r="F1240" s="1">
        <v>14</v>
      </c>
      <c r="G1240" s="1">
        <v>4</v>
      </c>
      <c r="H1240" s="1">
        <v>1</v>
      </c>
      <c r="I1240" s="1">
        <v>0</v>
      </c>
      <c r="J1240" s="1">
        <v>1</v>
      </c>
      <c r="K1240" s="1">
        <v>1</v>
      </c>
      <c r="L1240" s="1">
        <v>0</v>
      </c>
      <c r="M1240" s="1">
        <v>0</v>
      </c>
    </row>
    <row r="1241" spans="1:13">
      <c r="A1241" s="1">
        <v>1240</v>
      </c>
      <c r="B1241" s="1">
        <v>890975.77870000002</v>
      </c>
      <c r="C1241" s="1">
        <v>612271.36707748938</v>
      </c>
      <c r="D1241" s="1">
        <f t="shared" si="19"/>
        <v>278704.41162251064</v>
      </c>
      <c r="E1241" s="1">
        <v>16</v>
      </c>
      <c r="F1241" s="1">
        <v>15</v>
      </c>
      <c r="G1241" s="1">
        <v>4</v>
      </c>
      <c r="H1241" s="1">
        <v>1</v>
      </c>
      <c r="I1241" s="1">
        <v>0</v>
      </c>
      <c r="J1241" s="1">
        <v>0</v>
      </c>
      <c r="K1241" s="1">
        <v>1</v>
      </c>
      <c r="L1241" s="1">
        <v>0</v>
      </c>
      <c r="M1241" s="1">
        <v>1</v>
      </c>
    </row>
    <row r="1242" spans="1:13">
      <c r="A1242" s="1">
        <v>1241</v>
      </c>
      <c r="B1242" s="1">
        <v>968620.08030000003</v>
      </c>
      <c r="C1242" s="1">
        <v>1273795.7647063858</v>
      </c>
      <c r="D1242" s="1">
        <f t="shared" si="19"/>
        <v>-305175.68440638576</v>
      </c>
      <c r="E1242" s="1">
        <v>13</v>
      </c>
      <c r="F1242" s="1">
        <v>16</v>
      </c>
      <c r="G1242" s="1">
        <v>6</v>
      </c>
      <c r="H1242" s="1">
        <v>2</v>
      </c>
      <c r="I1242" s="1">
        <v>0</v>
      </c>
      <c r="J1242" s="1">
        <v>0</v>
      </c>
      <c r="K1242" s="1">
        <v>1</v>
      </c>
      <c r="L1242" s="1">
        <v>0</v>
      </c>
      <c r="M1242" s="1">
        <v>0</v>
      </c>
    </row>
    <row r="1243" spans="1:13">
      <c r="A1243" s="1">
        <v>1242</v>
      </c>
      <c r="B1243" s="1">
        <v>971679.94440000004</v>
      </c>
      <c r="C1243" s="1">
        <v>346884.66416005546</v>
      </c>
      <c r="D1243" s="1">
        <f t="shared" si="19"/>
        <v>624795.28023994458</v>
      </c>
      <c r="E1243" s="1">
        <v>9</v>
      </c>
      <c r="F1243" s="1">
        <v>21</v>
      </c>
      <c r="G1243" s="1">
        <v>5</v>
      </c>
      <c r="H1243" s="1">
        <v>1</v>
      </c>
      <c r="I1243" s="1">
        <v>0</v>
      </c>
      <c r="J1243" s="1">
        <v>1</v>
      </c>
      <c r="K1243" s="1">
        <v>0</v>
      </c>
      <c r="L1243" s="1">
        <v>0</v>
      </c>
      <c r="M1243" s="1">
        <v>0</v>
      </c>
    </row>
    <row r="1244" spans="1:13">
      <c r="A1244" s="1">
        <v>1243</v>
      </c>
      <c r="B1244" s="1">
        <v>957888.85389999999</v>
      </c>
      <c r="C1244" s="1">
        <v>685001.8322388964</v>
      </c>
      <c r="D1244" s="1">
        <f t="shared" si="19"/>
        <v>272887.02166110359</v>
      </c>
      <c r="E1244" s="1">
        <v>9</v>
      </c>
      <c r="F1244" s="1">
        <v>21</v>
      </c>
      <c r="G1244" s="1">
        <v>5</v>
      </c>
      <c r="H1244" s="1">
        <v>0</v>
      </c>
      <c r="I1244" s="1">
        <v>2</v>
      </c>
      <c r="J1244" s="1">
        <v>0</v>
      </c>
      <c r="K1244" s="1">
        <v>1</v>
      </c>
      <c r="L1244" s="1">
        <v>1</v>
      </c>
      <c r="M1244" s="1">
        <v>1</v>
      </c>
    </row>
    <row r="1245" spans="1:13">
      <c r="A1245" s="1">
        <v>1244</v>
      </c>
      <c r="B1245" s="1">
        <v>889962.35750000004</v>
      </c>
      <c r="C1245" s="1">
        <v>743660.07741429051</v>
      </c>
      <c r="D1245" s="1">
        <f t="shared" si="19"/>
        <v>146302.28008570953</v>
      </c>
      <c r="E1245" s="1">
        <v>8</v>
      </c>
      <c r="F1245" s="1">
        <v>21</v>
      </c>
      <c r="G1245" s="1">
        <v>6</v>
      </c>
      <c r="H1245" s="1">
        <v>2</v>
      </c>
      <c r="I1245" s="1">
        <v>0</v>
      </c>
      <c r="J1245" s="1">
        <v>0</v>
      </c>
      <c r="K1245" s="1">
        <v>0</v>
      </c>
      <c r="L1245" s="1">
        <v>0</v>
      </c>
      <c r="M1245" s="1">
        <v>0</v>
      </c>
    </row>
    <row r="1246" spans="1:13">
      <c r="A1246" s="1">
        <v>1245</v>
      </c>
      <c r="B1246" s="1">
        <v>872323.3077</v>
      </c>
      <c r="C1246" s="1">
        <v>1753009.0844407934</v>
      </c>
      <c r="D1246" s="1">
        <f t="shared" si="19"/>
        <v>-880685.77674079337</v>
      </c>
      <c r="E1246" s="1">
        <v>16</v>
      </c>
      <c r="F1246" s="1">
        <v>12</v>
      </c>
      <c r="G1246" s="1">
        <v>7</v>
      </c>
      <c r="H1246" s="1">
        <v>1</v>
      </c>
      <c r="I1246" s="1">
        <v>1</v>
      </c>
      <c r="J1246" s="1">
        <v>0</v>
      </c>
      <c r="K1246" s="1">
        <v>1</v>
      </c>
      <c r="L1246" s="1">
        <v>0</v>
      </c>
      <c r="M1246" s="1">
        <v>1</v>
      </c>
    </row>
    <row r="1247" spans="1:13">
      <c r="A1247" s="1">
        <v>1246</v>
      </c>
      <c r="B1247" s="1">
        <v>968468.59880000004</v>
      </c>
      <c r="C1247" s="1">
        <v>1204581.1540130144</v>
      </c>
      <c r="D1247" s="1">
        <f t="shared" si="19"/>
        <v>-236112.55521301436</v>
      </c>
      <c r="E1247" s="1">
        <v>12</v>
      </c>
      <c r="F1247" s="1">
        <v>20</v>
      </c>
      <c r="G1247" s="1">
        <v>3</v>
      </c>
      <c r="H1247" s="1">
        <v>2</v>
      </c>
      <c r="I1247" s="1">
        <v>0</v>
      </c>
      <c r="J1247" s="1">
        <v>0</v>
      </c>
      <c r="K1247" s="1">
        <v>1</v>
      </c>
      <c r="L1247" s="1">
        <v>1</v>
      </c>
      <c r="M1247" s="1">
        <v>0</v>
      </c>
    </row>
    <row r="1248" spans="1:13">
      <c r="A1248" s="1">
        <v>1247</v>
      </c>
      <c r="B1248" s="1">
        <v>946998.49089999998</v>
      </c>
      <c r="C1248" s="1">
        <v>965848.85078985326</v>
      </c>
      <c r="D1248" s="1">
        <f t="shared" si="19"/>
        <v>-18850.35988985328</v>
      </c>
      <c r="E1248" s="1">
        <v>15</v>
      </c>
      <c r="F1248" s="1">
        <v>18</v>
      </c>
      <c r="G1248" s="1">
        <v>2</v>
      </c>
      <c r="H1248" s="1">
        <v>1</v>
      </c>
      <c r="I1248" s="1">
        <v>0</v>
      </c>
      <c r="J1248" s="1">
        <v>0</v>
      </c>
      <c r="K1248" s="1">
        <v>1</v>
      </c>
      <c r="L1248" s="1">
        <v>0</v>
      </c>
      <c r="M1248" s="1">
        <v>0</v>
      </c>
    </row>
    <row r="1249" spans="1:13">
      <c r="A1249" s="1">
        <v>1248</v>
      </c>
      <c r="B1249" s="1">
        <v>1005964.1993</v>
      </c>
      <c r="C1249" s="1">
        <v>749755.08594270702</v>
      </c>
      <c r="D1249" s="1">
        <f t="shared" si="19"/>
        <v>256209.11335729295</v>
      </c>
      <c r="E1249" s="1">
        <v>10</v>
      </c>
      <c r="F1249" s="1">
        <v>21</v>
      </c>
      <c r="G1249" s="1">
        <v>4</v>
      </c>
      <c r="H1249" s="1">
        <v>1</v>
      </c>
      <c r="I1249" s="1">
        <v>0</v>
      </c>
      <c r="J1249" s="1">
        <v>0</v>
      </c>
      <c r="K1249" s="1">
        <v>2</v>
      </c>
      <c r="L1249" s="1">
        <v>0</v>
      </c>
      <c r="M1249" s="1">
        <v>0</v>
      </c>
    </row>
    <row r="1250" spans="1:13">
      <c r="A1250" s="1">
        <v>1249</v>
      </c>
      <c r="B1250" s="1">
        <v>971919.89890000003</v>
      </c>
      <c r="C1250" s="1">
        <v>740545.45828148525</v>
      </c>
      <c r="D1250" s="1">
        <f t="shared" si="19"/>
        <v>231374.44061851478</v>
      </c>
      <c r="E1250" s="1">
        <v>9</v>
      </c>
      <c r="F1250" s="1">
        <v>21</v>
      </c>
      <c r="G1250" s="1">
        <v>5</v>
      </c>
      <c r="H1250" s="1">
        <v>0</v>
      </c>
      <c r="I1250" s="1">
        <v>1</v>
      </c>
      <c r="J1250" s="1">
        <v>0</v>
      </c>
      <c r="K1250" s="1">
        <v>0</v>
      </c>
      <c r="L1250" s="1">
        <v>0</v>
      </c>
      <c r="M1250" s="1">
        <v>0</v>
      </c>
    </row>
    <row r="1251" spans="1:13">
      <c r="A1251" s="1">
        <v>1250</v>
      </c>
      <c r="B1251" s="1">
        <v>906016.62540000002</v>
      </c>
      <c r="C1251" s="1">
        <v>1039331.8707631084</v>
      </c>
      <c r="D1251" s="1">
        <f t="shared" si="19"/>
        <v>-133315.24536310835</v>
      </c>
      <c r="E1251" s="1">
        <v>12</v>
      </c>
      <c r="F1251" s="1">
        <v>16</v>
      </c>
      <c r="G1251" s="1">
        <v>7</v>
      </c>
      <c r="H1251" s="1">
        <v>1</v>
      </c>
      <c r="I1251" s="1">
        <v>1</v>
      </c>
      <c r="J1251" s="1">
        <v>0</v>
      </c>
      <c r="K1251" s="1">
        <v>1</v>
      </c>
      <c r="L1251" s="1">
        <v>0</v>
      </c>
      <c r="M1251" s="1">
        <v>0</v>
      </c>
    </row>
    <row r="1252" spans="1:13">
      <c r="A1252" s="1">
        <v>1251</v>
      </c>
      <c r="B1252" s="1">
        <v>894176.72549999994</v>
      </c>
      <c r="C1252" s="1">
        <v>1407019.4782123677</v>
      </c>
      <c r="D1252" s="1">
        <f t="shared" si="19"/>
        <v>-512842.7527123678</v>
      </c>
      <c r="E1252" s="1">
        <v>11</v>
      </c>
      <c r="F1252" s="1">
        <v>19</v>
      </c>
      <c r="G1252" s="1">
        <v>5</v>
      </c>
      <c r="H1252" s="1">
        <v>0</v>
      </c>
      <c r="I1252" s="1">
        <v>0</v>
      </c>
      <c r="J1252" s="1">
        <v>1</v>
      </c>
      <c r="K1252" s="1">
        <v>1</v>
      </c>
      <c r="L1252" s="1">
        <v>0</v>
      </c>
      <c r="M1252" s="1">
        <v>0</v>
      </c>
    </row>
    <row r="1253" spans="1:13">
      <c r="A1253" s="1">
        <v>1252</v>
      </c>
      <c r="B1253" s="1">
        <v>797116.80759999994</v>
      </c>
      <c r="C1253" s="1">
        <v>899538.16303565551</v>
      </c>
      <c r="D1253" s="1">
        <f t="shared" si="19"/>
        <v>-102421.35543565557</v>
      </c>
      <c r="E1253" s="1">
        <v>17</v>
      </c>
      <c r="F1253" s="1">
        <v>15</v>
      </c>
      <c r="G1253" s="1">
        <v>3</v>
      </c>
      <c r="H1253" s="1">
        <v>0</v>
      </c>
      <c r="I1253" s="1">
        <v>1</v>
      </c>
      <c r="J1253" s="1">
        <v>2</v>
      </c>
      <c r="K1253" s="1">
        <v>0</v>
      </c>
      <c r="L1253" s="1">
        <v>0</v>
      </c>
      <c r="M1253" s="1">
        <v>1</v>
      </c>
    </row>
    <row r="1254" spans="1:13">
      <c r="A1254" s="1">
        <v>1253</v>
      </c>
      <c r="B1254" s="1">
        <v>872673.80630000005</v>
      </c>
      <c r="C1254" s="1">
        <v>1313581.0002192687</v>
      </c>
      <c r="D1254" s="1">
        <f t="shared" si="19"/>
        <v>-440907.19391926867</v>
      </c>
      <c r="E1254" s="1">
        <v>16</v>
      </c>
      <c r="F1254" s="1">
        <v>16</v>
      </c>
      <c r="G1254" s="1">
        <v>3</v>
      </c>
      <c r="H1254" s="1">
        <v>1</v>
      </c>
      <c r="I1254" s="1">
        <v>0</v>
      </c>
      <c r="J1254" s="1">
        <v>1</v>
      </c>
      <c r="K1254" s="1">
        <v>1</v>
      </c>
      <c r="L1254" s="1">
        <v>0</v>
      </c>
      <c r="M1254" s="1">
        <v>0</v>
      </c>
    </row>
    <row r="1255" spans="1:13">
      <c r="A1255" s="1">
        <v>1254</v>
      </c>
      <c r="B1255" s="1">
        <v>912425.29969999997</v>
      </c>
      <c r="C1255" s="1">
        <v>1039935.9799885054</v>
      </c>
      <c r="D1255" s="1">
        <f t="shared" si="19"/>
        <v>-127510.68028850539</v>
      </c>
      <c r="E1255" s="1">
        <v>13</v>
      </c>
      <c r="F1255" s="1">
        <v>16</v>
      </c>
      <c r="G1255" s="1">
        <v>6</v>
      </c>
      <c r="H1255" s="1">
        <v>0</v>
      </c>
      <c r="I1255" s="1">
        <v>1</v>
      </c>
      <c r="J1255" s="1">
        <v>0</v>
      </c>
      <c r="K1255" s="1">
        <v>1</v>
      </c>
      <c r="L1255" s="1">
        <v>0</v>
      </c>
      <c r="M1255" s="1">
        <v>1</v>
      </c>
    </row>
    <row r="1256" spans="1:13">
      <c r="A1256" s="1">
        <v>1255</v>
      </c>
      <c r="B1256" s="1">
        <v>861559.22840000002</v>
      </c>
      <c r="C1256" s="1">
        <v>773396.98372187477</v>
      </c>
      <c r="D1256" s="1">
        <f t="shared" si="19"/>
        <v>88162.244678125251</v>
      </c>
      <c r="E1256" s="1">
        <v>20</v>
      </c>
      <c r="F1256" s="1">
        <v>8</v>
      </c>
      <c r="G1256" s="1">
        <v>7</v>
      </c>
      <c r="H1256" s="1">
        <v>1</v>
      </c>
      <c r="I1256" s="1">
        <v>0</v>
      </c>
      <c r="J1256" s="1">
        <v>0</v>
      </c>
      <c r="K1256" s="1">
        <v>0</v>
      </c>
      <c r="L1256" s="1">
        <v>0</v>
      </c>
      <c r="M1256" s="1">
        <v>0</v>
      </c>
    </row>
    <row r="1257" spans="1:13">
      <c r="A1257" s="1">
        <v>1256</v>
      </c>
      <c r="B1257" s="1">
        <v>856243.91850000003</v>
      </c>
      <c r="C1257" s="1">
        <v>1687010.7573221186</v>
      </c>
      <c r="D1257" s="1">
        <f t="shared" si="19"/>
        <v>-830766.83882211859</v>
      </c>
      <c r="E1257" s="1">
        <v>21</v>
      </c>
      <c r="F1257" s="1">
        <v>9</v>
      </c>
      <c r="G1257" s="1">
        <v>5</v>
      </c>
      <c r="H1257" s="1">
        <v>0</v>
      </c>
      <c r="I1257" s="1">
        <v>0</v>
      </c>
      <c r="J1257" s="1">
        <v>0</v>
      </c>
      <c r="K1257" s="1">
        <v>0</v>
      </c>
      <c r="L1257" s="1">
        <v>0</v>
      </c>
      <c r="M1257" s="1">
        <v>0</v>
      </c>
    </row>
    <row r="1258" spans="1:13">
      <c r="A1258" s="1">
        <v>1257</v>
      </c>
      <c r="B1258" s="1">
        <v>888536.55660000001</v>
      </c>
      <c r="C1258" s="1">
        <v>558456.735257591</v>
      </c>
      <c r="D1258" s="1">
        <f t="shared" si="19"/>
        <v>330079.82134240901</v>
      </c>
      <c r="E1258" s="1">
        <v>16</v>
      </c>
      <c r="F1258" s="1">
        <v>15</v>
      </c>
      <c r="G1258" s="1">
        <v>4</v>
      </c>
      <c r="H1258" s="1">
        <v>1</v>
      </c>
      <c r="I1258" s="1">
        <v>1</v>
      </c>
      <c r="J1258" s="1">
        <v>2</v>
      </c>
      <c r="K1258" s="1">
        <v>0</v>
      </c>
      <c r="L1258" s="1">
        <v>0</v>
      </c>
      <c r="M1258" s="1">
        <v>0</v>
      </c>
    </row>
    <row r="1259" spans="1:13">
      <c r="A1259" s="1">
        <v>1258</v>
      </c>
      <c r="B1259" s="1">
        <v>946850.95609999995</v>
      </c>
      <c r="C1259" s="1">
        <v>482028.53187070659</v>
      </c>
      <c r="D1259" s="1">
        <f t="shared" si="19"/>
        <v>464822.42422929336</v>
      </c>
      <c r="E1259" s="1">
        <v>12</v>
      </c>
      <c r="F1259" s="1">
        <v>20</v>
      </c>
      <c r="G1259" s="1">
        <v>3</v>
      </c>
      <c r="H1259" s="1">
        <v>0</v>
      </c>
      <c r="I1259" s="1">
        <v>1</v>
      </c>
      <c r="J1259" s="1">
        <v>0</v>
      </c>
      <c r="K1259" s="1">
        <v>0</v>
      </c>
      <c r="L1259" s="1">
        <v>0</v>
      </c>
      <c r="M1259" s="1">
        <v>0</v>
      </c>
    </row>
    <row r="1260" spans="1:13">
      <c r="A1260" s="1">
        <v>1259</v>
      </c>
      <c r="B1260" s="1">
        <v>949021.45070000004</v>
      </c>
      <c r="C1260" s="1">
        <v>850246.70571502927</v>
      </c>
      <c r="D1260" s="1">
        <f t="shared" si="19"/>
        <v>98774.744984970777</v>
      </c>
      <c r="E1260" s="1">
        <v>9</v>
      </c>
      <c r="F1260" s="1">
        <v>23</v>
      </c>
      <c r="G1260" s="1">
        <v>3</v>
      </c>
      <c r="H1260" s="1">
        <v>0</v>
      </c>
      <c r="I1260" s="1">
        <v>1</v>
      </c>
      <c r="J1260" s="1">
        <v>0</v>
      </c>
      <c r="K1260" s="1">
        <v>2</v>
      </c>
      <c r="L1260" s="1">
        <v>0</v>
      </c>
      <c r="M1260" s="1">
        <v>0</v>
      </c>
    </row>
    <row r="1261" spans="1:13">
      <c r="A1261" s="1">
        <v>1260</v>
      </c>
      <c r="B1261" s="1">
        <v>973870.25060000003</v>
      </c>
      <c r="C1261" s="1">
        <v>1163576.0787299825</v>
      </c>
      <c r="D1261" s="1">
        <f t="shared" si="19"/>
        <v>-189705.82812998246</v>
      </c>
      <c r="E1261" s="1">
        <v>10</v>
      </c>
      <c r="F1261" s="1">
        <v>17</v>
      </c>
      <c r="G1261" s="1">
        <v>8</v>
      </c>
      <c r="H1261" s="1">
        <v>1</v>
      </c>
      <c r="I1261" s="1">
        <v>0</v>
      </c>
      <c r="J1261" s="1">
        <v>1</v>
      </c>
      <c r="K1261" s="1">
        <v>0</v>
      </c>
      <c r="L1261" s="1">
        <v>0</v>
      </c>
      <c r="M1261" s="1">
        <v>0</v>
      </c>
    </row>
    <row r="1262" spans="1:13">
      <c r="A1262" s="1">
        <v>1261</v>
      </c>
      <c r="B1262" s="1">
        <v>983912.76370000001</v>
      </c>
      <c r="C1262" s="1">
        <v>835927.57775152614</v>
      </c>
      <c r="D1262" s="1">
        <f t="shared" si="19"/>
        <v>147985.18594847387</v>
      </c>
      <c r="E1262" s="1">
        <v>15</v>
      </c>
      <c r="F1262" s="1">
        <v>17</v>
      </c>
      <c r="G1262" s="1">
        <v>3</v>
      </c>
      <c r="H1262" s="1">
        <v>1</v>
      </c>
      <c r="I1262" s="1">
        <v>0</v>
      </c>
      <c r="J1262" s="1">
        <v>2</v>
      </c>
      <c r="K1262" s="1">
        <v>0</v>
      </c>
      <c r="L1262" s="1">
        <v>0</v>
      </c>
      <c r="M1262" s="1">
        <v>1</v>
      </c>
    </row>
    <row r="1263" spans="1:13">
      <c r="A1263" s="1">
        <v>1262</v>
      </c>
      <c r="B1263" s="1">
        <v>894003.79249999998</v>
      </c>
      <c r="C1263" s="1">
        <v>836453.409746391</v>
      </c>
      <c r="D1263" s="1">
        <f t="shared" si="19"/>
        <v>57550.382753608981</v>
      </c>
      <c r="E1263" s="1">
        <v>7</v>
      </c>
      <c r="F1263" s="1">
        <v>19</v>
      </c>
      <c r="G1263" s="1">
        <v>9</v>
      </c>
      <c r="H1263" s="1">
        <v>1</v>
      </c>
      <c r="I1263" s="1">
        <v>1</v>
      </c>
      <c r="J1263" s="1">
        <v>1</v>
      </c>
      <c r="K1263" s="1">
        <v>1</v>
      </c>
      <c r="L1263" s="1">
        <v>0</v>
      </c>
      <c r="M1263" s="1">
        <v>0</v>
      </c>
    </row>
    <row r="1264" spans="1:13">
      <c r="A1264" s="1">
        <v>1263</v>
      </c>
      <c r="B1264" s="1">
        <v>1097342.8395</v>
      </c>
      <c r="C1264" s="1">
        <v>1440751.7589411438</v>
      </c>
      <c r="D1264" s="1">
        <f t="shared" si="19"/>
        <v>-343408.91944114375</v>
      </c>
      <c r="E1264" s="1">
        <v>12</v>
      </c>
      <c r="F1264" s="1">
        <v>15</v>
      </c>
      <c r="G1264" s="1">
        <v>8</v>
      </c>
      <c r="H1264" s="1">
        <v>0</v>
      </c>
      <c r="I1264" s="1">
        <v>0</v>
      </c>
      <c r="J1264" s="1">
        <v>0</v>
      </c>
      <c r="K1264" s="1">
        <v>1</v>
      </c>
      <c r="L1264" s="1">
        <v>0</v>
      </c>
      <c r="M1264" s="1">
        <v>0</v>
      </c>
    </row>
    <row r="1265" spans="1:13">
      <c r="A1265" s="1">
        <v>1264</v>
      </c>
      <c r="B1265" s="1">
        <v>891954.85490000003</v>
      </c>
      <c r="C1265" s="1">
        <v>808905.07147404086</v>
      </c>
      <c r="D1265" s="1">
        <f t="shared" si="19"/>
        <v>83049.783425959176</v>
      </c>
      <c r="E1265" s="1">
        <v>17</v>
      </c>
      <c r="F1265" s="1">
        <v>14</v>
      </c>
      <c r="G1265" s="1">
        <v>4</v>
      </c>
      <c r="H1265" s="1">
        <v>2</v>
      </c>
      <c r="I1265" s="1">
        <v>0</v>
      </c>
      <c r="J1265" s="1">
        <v>2</v>
      </c>
      <c r="K1265" s="1">
        <v>0</v>
      </c>
      <c r="L1265" s="1">
        <v>0</v>
      </c>
      <c r="M1265" s="1">
        <v>0</v>
      </c>
    </row>
    <row r="1266" spans="1:13">
      <c r="A1266" s="1">
        <v>1265</v>
      </c>
      <c r="B1266" s="1">
        <v>972067.56510000001</v>
      </c>
      <c r="C1266" s="1">
        <v>709512.878591466</v>
      </c>
      <c r="D1266" s="1">
        <f t="shared" si="19"/>
        <v>262554.68650853401</v>
      </c>
      <c r="E1266" s="1">
        <v>9</v>
      </c>
      <c r="F1266" s="1">
        <v>19</v>
      </c>
      <c r="G1266" s="1">
        <v>7</v>
      </c>
      <c r="H1266" s="1">
        <v>0</v>
      </c>
      <c r="I1266" s="1">
        <v>0</v>
      </c>
      <c r="J1266" s="1">
        <v>0</v>
      </c>
      <c r="K1266" s="1">
        <v>0</v>
      </c>
      <c r="L1266" s="1">
        <v>0</v>
      </c>
      <c r="M1266" s="1">
        <v>0</v>
      </c>
    </row>
    <row r="1267" spans="1:13">
      <c r="A1267" s="1">
        <v>1266</v>
      </c>
      <c r="B1267" s="1">
        <v>1044500.0936</v>
      </c>
      <c r="C1267" s="1">
        <v>939430.63226174598</v>
      </c>
      <c r="D1267" s="1">
        <f t="shared" si="19"/>
        <v>105069.46133825404</v>
      </c>
      <c r="E1267" s="1">
        <v>5</v>
      </c>
      <c r="F1267" s="1">
        <v>23</v>
      </c>
      <c r="G1267" s="1">
        <v>7</v>
      </c>
      <c r="H1267" s="1">
        <v>0</v>
      </c>
      <c r="I1267" s="1">
        <v>0</v>
      </c>
      <c r="J1267" s="1">
        <v>0</v>
      </c>
      <c r="K1267" s="1">
        <v>0</v>
      </c>
      <c r="L1267" s="1">
        <v>0</v>
      </c>
      <c r="M1267" s="1">
        <v>0</v>
      </c>
    </row>
    <row r="1268" spans="1:13">
      <c r="A1268" s="1">
        <v>1267</v>
      </c>
      <c r="B1268" s="1">
        <v>864497.51910000003</v>
      </c>
      <c r="C1268" s="1">
        <v>1024379.5327663894</v>
      </c>
      <c r="D1268" s="1">
        <f t="shared" si="19"/>
        <v>-159882.01366638939</v>
      </c>
      <c r="E1268" s="1">
        <v>13</v>
      </c>
      <c r="F1268" s="1">
        <v>17</v>
      </c>
      <c r="G1268" s="1">
        <v>5</v>
      </c>
      <c r="H1268" s="1">
        <v>0</v>
      </c>
      <c r="I1268" s="1">
        <v>0</v>
      </c>
      <c r="J1268" s="1">
        <v>1</v>
      </c>
      <c r="K1268" s="1">
        <v>0</v>
      </c>
      <c r="L1268" s="1">
        <v>0</v>
      </c>
      <c r="M1268" s="1">
        <v>0</v>
      </c>
    </row>
    <row r="1269" spans="1:13">
      <c r="A1269" s="1">
        <v>1268</v>
      </c>
      <c r="B1269" s="1">
        <v>903360.1324</v>
      </c>
      <c r="C1269" s="1">
        <v>562480.58728599537</v>
      </c>
      <c r="D1269" s="1">
        <f t="shared" si="19"/>
        <v>340879.54511400464</v>
      </c>
      <c r="E1269" s="1">
        <v>19</v>
      </c>
      <c r="F1269" s="1">
        <v>11</v>
      </c>
      <c r="G1269" s="1">
        <v>5</v>
      </c>
      <c r="H1269" s="1">
        <v>2</v>
      </c>
      <c r="I1269" s="1">
        <v>0</v>
      </c>
      <c r="J1269" s="1">
        <v>1</v>
      </c>
      <c r="K1269" s="1">
        <v>0</v>
      </c>
      <c r="L1269" s="1">
        <v>0</v>
      </c>
      <c r="M1269" s="1">
        <v>0</v>
      </c>
    </row>
    <row r="1270" spans="1:13">
      <c r="A1270" s="1">
        <v>1269</v>
      </c>
      <c r="B1270" s="1">
        <v>872985.94770000002</v>
      </c>
      <c r="C1270" s="1">
        <v>898690.36509796488</v>
      </c>
      <c r="D1270" s="1">
        <f t="shared" si="19"/>
        <v>-25704.417397964862</v>
      </c>
      <c r="E1270" s="1">
        <v>23</v>
      </c>
      <c r="F1270" s="1">
        <v>11</v>
      </c>
      <c r="G1270" s="1">
        <v>1</v>
      </c>
      <c r="H1270" s="1">
        <v>1</v>
      </c>
      <c r="I1270" s="1">
        <v>1</v>
      </c>
      <c r="J1270" s="1">
        <v>0</v>
      </c>
      <c r="K1270" s="1">
        <v>0</v>
      </c>
      <c r="L1270" s="1">
        <v>0</v>
      </c>
      <c r="M1270" s="1">
        <v>0</v>
      </c>
    </row>
    <row r="1271" spans="1:13">
      <c r="A1271" s="1">
        <v>1270</v>
      </c>
      <c r="B1271" s="1">
        <v>887444.18050000002</v>
      </c>
      <c r="C1271" s="1">
        <v>928924.11690131191</v>
      </c>
      <c r="D1271" s="1">
        <f t="shared" si="19"/>
        <v>-41479.93640131189</v>
      </c>
      <c r="E1271" s="1">
        <v>18</v>
      </c>
      <c r="F1271" s="1">
        <v>9</v>
      </c>
      <c r="G1271" s="1">
        <v>8</v>
      </c>
      <c r="H1271" s="1">
        <v>1</v>
      </c>
      <c r="I1271" s="1">
        <v>0</v>
      </c>
      <c r="J1271" s="1">
        <v>0</v>
      </c>
      <c r="K1271" s="1">
        <v>1</v>
      </c>
      <c r="L1271" s="1">
        <v>0</v>
      </c>
      <c r="M1271" s="1">
        <v>1</v>
      </c>
    </row>
    <row r="1272" spans="1:13">
      <c r="A1272" s="1">
        <v>1271</v>
      </c>
      <c r="B1272" s="1">
        <v>904680.18489999999</v>
      </c>
      <c r="C1272" s="1">
        <v>735872.22334635432</v>
      </c>
      <c r="D1272" s="1">
        <f t="shared" si="19"/>
        <v>168807.96155364567</v>
      </c>
      <c r="E1272" s="1">
        <v>13</v>
      </c>
      <c r="F1272" s="1">
        <v>19</v>
      </c>
      <c r="G1272" s="1">
        <v>3</v>
      </c>
      <c r="H1272" s="1">
        <v>0</v>
      </c>
      <c r="I1272" s="1">
        <v>0</v>
      </c>
      <c r="J1272" s="1">
        <v>1</v>
      </c>
      <c r="K1272" s="1">
        <v>0</v>
      </c>
      <c r="L1272" s="1">
        <v>0</v>
      </c>
      <c r="M1272" s="1">
        <v>0</v>
      </c>
    </row>
    <row r="1273" spans="1:13">
      <c r="A1273" s="1">
        <v>1272</v>
      </c>
      <c r="B1273" s="1">
        <v>1049059.1439</v>
      </c>
      <c r="C1273" s="1">
        <v>591990.97768978996</v>
      </c>
      <c r="D1273" s="1">
        <f t="shared" si="19"/>
        <v>457068.16621021007</v>
      </c>
      <c r="E1273" s="1">
        <v>11</v>
      </c>
      <c r="F1273" s="1">
        <v>18</v>
      </c>
      <c r="G1273" s="1">
        <v>6</v>
      </c>
      <c r="H1273" s="1">
        <v>1</v>
      </c>
      <c r="I1273" s="1">
        <v>0</v>
      </c>
      <c r="J1273" s="1">
        <v>0</v>
      </c>
      <c r="K1273" s="1">
        <v>2</v>
      </c>
      <c r="L1273" s="1">
        <v>0</v>
      </c>
      <c r="M1273" s="1">
        <v>0</v>
      </c>
    </row>
    <row r="1274" spans="1:13">
      <c r="A1274" s="1">
        <v>1273</v>
      </c>
      <c r="B1274" s="1">
        <v>994772.8861</v>
      </c>
      <c r="C1274" s="1">
        <v>563568.33101631398</v>
      </c>
      <c r="D1274" s="1">
        <f t="shared" si="19"/>
        <v>431204.55508368602</v>
      </c>
      <c r="E1274" s="1">
        <v>11</v>
      </c>
      <c r="F1274" s="1">
        <v>20</v>
      </c>
      <c r="G1274" s="1">
        <v>4</v>
      </c>
      <c r="H1274" s="1">
        <v>1</v>
      </c>
      <c r="I1274" s="1">
        <v>0</v>
      </c>
      <c r="J1274" s="1">
        <v>1</v>
      </c>
      <c r="K1274" s="1">
        <v>1</v>
      </c>
      <c r="L1274" s="1">
        <v>0</v>
      </c>
      <c r="M1274" s="1">
        <v>0</v>
      </c>
    </row>
    <row r="1275" spans="1:13">
      <c r="A1275" s="1">
        <v>1274</v>
      </c>
      <c r="B1275" s="1">
        <v>984495.33550000004</v>
      </c>
      <c r="C1275" s="1">
        <v>1222386.4557915777</v>
      </c>
      <c r="D1275" s="1">
        <f t="shared" si="19"/>
        <v>-237891.12029157765</v>
      </c>
      <c r="E1275" s="1">
        <v>7</v>
      </c>
      <c r="F1275" s="1">
        <v>23</v>
      </c>
      <c r="G1275" s="1">
        <v>5</v>
      </c>
      <c r="H1275" s="1">
        <v>2</v>
      </c>
      <c r="I1275" s="1">
        <v>0</v>
      </c>
      <c r="J1275" s="1">
        <v>1</v>
      </c>
      <c r="K1275" s="1">
        <v>1</v>
      </c>
      <c r="L1275" s="1">
        <v>0</v>
      </c>
      <c r="M1275" s="1">
        <v>0</v>
      </c>
    </row>
    <row r="1276" spans="1:13">
      <c r="A1276" s="1">
        <v>1275</v>
      </c>
      <c r="B1276" s="1">
        <v>816918.61419999995</v>
      </c>
      <c r="C1276" s="1">
        <v>900715.16614462051</v>
      </c>
      <c r="D1276" s="1">
        <f t="shared" si="19"/>
        <v>-83796.551944620558</v>
      </c>
      <c r="E1276" s="1">
        <v>23</v>
      </c>
      <c r="F1276" s="1">
        <v>9</v>
      </c>
      <c r="G1276" s="1">
        <v>3</v>
      </c>
      <c r="H1276" s="1">
        <v>0</v>
      </c>
      <c r="I1276" s="1">
        <v>0</v>
      </c>
      <c r="J1276" s="1">
        <v>0</v>
      </c>
      <c r="K1276" s="1">
        <v>1</v>
      </c>
      <c r="L1276" s="1">
        <v>0</v>
      </c>
      <c r="M1276" s="1">
        <v>0</v>
      </c>
    </row>
    <row r="1277" spans="1:13">
      <c r="A1277" s="1">
        <v>1276</v>
      </c>
      <c r="B1277" s="1">
        <v>950155.21070000005</v>
      </c>
      <c r="C1277" s="1">
        <v>764566.67800039984</v>
      </c>
      <c r="D1277" s="1">
        <f t="shared" si="19"/>
        <v>185588.53269960021</v>
      </c>
      <c r="E1277" s="1">
        <v>16</v>
      </c>
      <c r="F1277" s="1">
        <v>14</v>
      </c>
      <c r="G1277" s="1">
        <v>5</v>
      </c>
      <c r="H1277" s="1">
        <v>1</v>
      </c>
      <c r="I1277" s="1">
        <v>1</v>
      </c>
      <c r="J1277" s="1">
        <v>0</v>
      </c>
      <c r="K1277" s="1">
        <v>2</v>
      </c>
      <c r="L1277" s="1">
        <v>0</v>
      </c>
      <c r="M1277" s="1">
        <v>0</v>
      </c>
    </row>
    <row r="1278" spans="1:13">
      <c r="A1278" s="1">
        <v>1277</v>
      </c>
      <c r="B1278" s="1">
        <v>963020.13540000003</v>
      </c>
      <c r="C1278" s="1">
        <v>849581.7792160922</v>
      </c>
      <c r="D1278" s="1">
        <f t="shared" si="19"/>
        <v>113438.35618390783</v>
      </c>
      <c r="E1278" s="1">
        <v>11</v>
      </c>
      <c r="F1278" s="1">
        <v>18</v>
      </c>
      <c r="G1278" s="1">
        <v>6</v>
      </c>
      <c r="H1278" s="1">
        <v>1</v>
      </c>
      <c r="I1278" s="1">
        <v>1</v>
      </c>
      <c r="J1278" s="1">
        <v>1</v>
      </c>
      <c r="K1278" s="1">
        <v>1</v>
      </c>
      <c r="L1278" s="1">
        <v>0</v>
      </c>
      <c r="M1278" s="1">
        <v>1</v>
      </c>
    </row>
    <row r="1279" spans="1:13">
      <c r="A1279" s="1">
        <v>1278</v>
      </c>
      <c r="B1279" s="1">
        <v>1033760.5873</v>
      </c>
      <c r="C1279" s="1">
        <v>820098.03260217851</v>
      </c>
      <c r="D1279" s="1">
        <f t="shared" si="19"/>
        <v>213662.5546978215</v>
      </c>
      <c r="E1279" s="1">
        <v>7</v>
      </c>
      <c r="F1279" s="1">
        <v>20</v>
      </c>
      <c r="G1279" s="1">
        <v>8</v>
      </c>
      <c r="H1279" s="1">
        <v>2</v>
      </c>
      <c r="I1279" s="1">
        <v>0</v>
      </c>
      <c r="J1279" s="1">
        <v>0</v>
      </c>
      <c r="K1279" s="1">
        <v>0</v>
      </c>
      <c r="L1279" s="1">
        <v>0</v>
      </c>
      <c r="M1279" s="1">
        <v>1</v>
      </c>
    </row>
    <row r="1280" spans="1:13">
      <c r="A1280" s="1">
        <v>1279</v>
      </c>
      <c r="B1280" s="1">
        <v>1017329.6151000001</v>
      </c>
      <c r="C1280" s="1">
        <v>998412.74902500596</v>
      </c>
      <c r="D1280" s="1">
        <f t="shared" si="19"/>
        <v>18916.86607499409</v>
      </c>
      <c r="E1280" s="1">
        <v>17</v>
      </c>
      <c r="F1280" s="1">
        <v>13</v>
      </c>
      <c r="G1280" s="1">
        <v>5</v>
      </c>
      <c r="H1280" s="1">
        <v>1</v>
      </c>
      <c r="I1280" s="1">
        <v>0</v>
      </c>
      <c r="J1280" s="1">
        <v>0</v>
      </c>
      <c r="K1280" s="1">
        <v>1</v>
      </c>
      <c r="L1280" s="1">
        <v>0</v>
      </c>
      <c r="M1280" s="1">
        <v>0</v>
      </c>
    </row>
    <row r="1281" spans="1:13">
      <c r="A1281" s="1">
        <v>1280</v>
      </c>
      <c r="B1281" s="1">
        <v>907130.31420000002</v>
      </c>
      <c r="C1281" s="1">
        <v>707686.07821887697</v>
      </c>
      <c r="D1281" s="1">
        <f t="shared" si="19"/>
        <v>199444.23598112306</v>
      </c>
      <c r="E1281" s="1">
        <v>8</v>
      </c>
      <c r="F1281" s="1">
        <v>23</v>
      </c>
      <c r="G1281" s="1">
        <v>4</v>
      </c>
      <c r="H1281" s="1">
        <v>2</v>
      </c>
      <c r="I1281" s="1">
        <v>0</v>
      </c>
      <c r="J1281" s="1">
        <v>1</v>
      </c>
      <c r="K1281" s="1">
        <v>0</v>
      </c>
      <c r="L1281" s="1">
        <v>0</v>
      </c>
      <c r="M1281" s="1">
        <v>1</v>
      </c>
    </row>
    <row r="1282" spans="1:13">
      <c r="A1282" s="1">
        <v>1281</v>
      </c>
      <c r="B1282" s="1">
        <v>845368.74950000003</v>
      </c>
      <c r="C1282" s="1">
        <v>1613244.6584909656</v>
      </c>
      <c r="D1282" s="1">
        <f t="shared" ref="D1282:D1345" si="20">B1282-C1282</f>
        <v>-767875.90899096557</v>
      </c>
      <c r="E1282" s="1">
        <v>13</v>
      </c>
      <c r="F1282" s="1">
        <v>18</v>
      </c>
      <c r="G1282" s="1">
        <v>4</v>
      </c>
      <c r="H1282" s="1">
        <v>0</v>
      </c>
      <c r="I1282" s="1">
        <v>0</v>
      </c>
      <c r="J1282" s="1">
        <v>0</v>
      </c>
      <c r="K1282" s="1">
        <v>1</v>
      </c>
      <c r="L1282" s="1">
        <v>0</v>
      </c>
      <c r="M1282" s="1">
        <v>0</v>
      </c>
    </row>
    <row r="1283" spans="1:13">
      <c r="A1283" s="1">
        <v>1282</v>
      </c>
      <c r="B1283" s="1">
        <v>950619.42330000002</v>
      </c>
      <c r="C1283" s="1">
        <v>768781.09540741693</v>
      </c>
      <c r="D1283" s="1">
        <f t="shared" si="20"/>
        <v>181838.3278925831</v>
      </c>
      <c r="E1283" s="1">
        <v>4</v>
      </c>
      <c r="F1283" s="1">
        <v>25</v>
      </c>
      <c r="G1283" s="1">
        <v>6</v>
      </c>
      <c r="H1283" s="1">
        <v>0</v>
      </c>
      <c r="I1283" s="1">
        <v>1</v>
      </c>
      <c r="J1283" s="1">
        <v>0</v>
      </c>
      <c r="K1283" s="1">
        <v>1</v>
      </c>
      <c r="L1283" s="1">
        <v>1</v>
      </c>
      <c r="M1283" s="1">
        <v>0</v>
      </c>
    </row>
    <row r="1284" spans="1:13">
      <c r="A1284" s="1">
        <v>1283</v>
      </c>
      <c r="B1284" s="1">
        <v>986805.69499999995</v>
      </c>
      <c r="C1284" s="1">
        <v>759665.24113766162</v>
      </c>
      <c r="D1284" s="1">
        <f t="shared" si="20"/>
        <v>227140.45386233833</v>
      </c>
      <c r="E1284" s="1">
        <v>4</v>
      </c>
      <c r="F1284" s="1">
        <v>23</v>
      </c>
      <c r="G1284" s="1">
        <v>8</v>
      </c>
      <c r="H1284" s="1">
        <v>0</v>
      </c>
      <c r="I1284" s="1">
        <v>0</v>
      </c>
      <c r="J1284" s="1">
        <v>1</v>
      </c>
      <c r="K1284" s="1">
        <v>1</v>
      </c>
      <c r="L1284" s="1">
        <v>0</v>
      </c>
      <c r="M1284" s="1">
        <v>0</v>
      </c>
    </row>
    <row r="1285" spans="1:13">
      <c r="A1285" s="1">
        <v>1284</v>
      </c>
      <c r="B1285" s="1">
        <v>1001772.5645</v>
      </c>
      <c r="C1285" s="1">
        <v>887845.63250011136</v>
      </c>
      <c r="D1285" s="1">
        <f t="shared" si="20"/>
        <v>113926.93199988862</v>
      </c>
      <c r="E1285" s="1">
        <v>12</v>
      </c>
      <c r="F1285" s="1">
        <v>19</v>
      </c>
      <c r="G1285" s="1">
        <v>4</v>
      </c>
      <c r="H1285" s="1">
        <v>1</v>
      </c>
      <c r="I1285" s="1">
        <v>0</v>
      </c>
      <c r="J1285" s="1">
        <v>0</v>
      </c>
      <c r="K1285" s="1">
        <v>1</v>
      </c>
      <c r="L1285" s="1">
        <v>0</v>
      </c>
      <c r="M1285" s="1">
        <v>0</v>
      </c>
    </row>
    <row r="1286" spans="1:13">
      <c r="A1286" s="1">
        <v>1285</v>
      </c>
      <c r="B1286" s="1">
        <v>948357.03630000004</v>
      </c>
      <c r="C1286" s="1">
        <v>875318.79086619394</v>
      </c>
      <c r="D1286" s="1">
        <f t="shared" si="20"/>
        <v>73038.245433806092</v>
      </c>
      <c r="E1286" s="1">
        <v>15</v>
      </c>
      <c r="F1286" s="1">
        <v>15</v>
      </c>
      <c r="G1286" s="1">
        <v>5</v>
      </c>
      <c r="H1286" s="1">
        <v>0</v>
      </c>
      <c r="I1286" s="1">
        <v>1</v>
      </c>
      <c r="J1286" s="1">
        <v>2</v>
      </c>
      <c r="K1286" s="1">
        <v>0</v>
      </c>
      <c r="L1286" s="1">
        <v>0</v>
      </c>
      <c r="M1286" s="1">
        <v>0</v>
      </c>
    </row>
    <row r="1287" spans="1:13">
      <c r="A1287" s="1">
        <v>1286</v>
      </c>
      <c r="B1287" s="1">
        <v>951249.47690000001</v>
      </c>
      <c r="C1287" s="1">
        <v>1116397.8261108585</v>
      </c>
      <c r="D1287" s="1">
        <f t="shared" si="20"/>
        <v>-165148.34921085846</v>
      </c>
      <c r="E1287" s="1">
        <v>15</v>
      </c>
      <c r="F1287" s="1">
        <v>15</v>
      </c>
      <c r="G1287" s="1">
        <v>5</v>
      </c>
      <c r="H1287" s="1">
        <v>1</v>
      </c>
      <c r="I1287" s="1">
        <v>1</v>
      </c>
      <c r="J1287" s="1">
        <v>0</v>
      </c>
      <c r="K1287" s="1">
        <v>0</v>
      </c>
      <c r="L1287" s="1">
        <v>0</v>
      </c>
      <c r="M1287" s="1">
        <v>0</v>
      </c>
    </row>
    <row r="1288" spans="1:13">
      <c r="A1288" s="1">
        <v>1287</v>
      </c>
      <c r="B1288" s="1">
        <v>838171.5098</v>
      </c>
      <c r="C1288" s="1">
        <v>784693.10110784287</v>
      </c>
      <c r="D1288" s="1">
        <f t="shared" si="20"/>
        <v>53478.408692157129</v>
      </c>
      <c r="E1288" s="1">
        <v>14</v>
      </c>
      <c r="F1288" s="1">
        <v>17</v>
      </c>
      <c r="G1288" s="1">
        <v>4</v>
      </c>
      <c r="H1288" s="1">
        <v>1</v>
      </c>
      <c r="I1288" s="1">
        <v>0</v>
      </c>
      <c r="J1288" s="1">
        <v>1</v>
      </c>
      <c r="K1288" s="1">
        <v>1</v>
      </c>
      <c r="L1288" s="1">
        <v>0</v>
      </c>
      <c r="M1288" s="1">
        <v>0</v>
      </c>
    </row>
    <row r="1289" spans="1:13">
      <c r="A1289" s="1">
        <v>1288</v>
      </c>
      <c r="B1289" s="1">
        <v>960716.79980000004</v>
      </c>
      <c r="C1289" s="1">
        <v>636699.80451225338</v>
      </c>
      <c r="D1289" s="1">
        <f t="shared" si="20"/>
        <v>324016.99528774666</v>
      </c>
      <c r="E1289" s="1">
        <v>14</v>
      </c>
      <c r="F1289" s="1">
        <v>17</v>
      </c>
      <c r="G1289" s="1">
        <v>4</v>
      </c>
      <c r="H1289" s="1">
        <v>1</v>
      </c>
      <c r="I1289" s="1">
        <v>0</v>
      </c>
      <c r="J1289" s="1">
        <v>1</v>
      </c>
      <c r="K1289" s="1">
        <v>0</v>
      </c>
      <c r="L1289" s="1">
        <v>0</v>
      </c>
      <c r="M1289" s="1">
        <v>0</v>
      </c>
    </row>
    <row r="1290" spans="1:13">
      <c r="A1290" s="1">
        <v>1289</v>
      </c>
      <c r="B1290" s="1">
        <v>960741.18579999998</v>
      </c>
      <c r="C1290" s="1">
        <v>593646.1537891702</v>
      </c>
      <c r="D1290" s="1">
        <f t="shared" si="20"/>
        <v>367095.03201082977</v>
      </c>
      <c r="E1290" s="1">
        <v>9</v>
      </c>
      <c r="F1290" s="1">
        <v>21</v>
      </c>
      <c r="G1290" s="1">
        <v>5</v>
      </c>
      <c r="H1290" s="1">
        <v>1</v>
      </c>
      <c r="I1290" s="1">
        <v>0</v>
      </c>
      <c r="J1290" s="1">
        <v>0</v>
      </c>
      <c r="K1290" s="1">
        <v>0</v>
      </c>
      <c r="L1290" s="1">
        <v>0</v>
      </c>
      <c r="M1290" s="1">
        <v>0</v>
      </c>
    </row>
    <row r="1291" spans="1:13">
      <c r="A1291" s="1">
        <v>1290</v>
      </c>
      <c r="B1291" s="1">
        <v>955376.43740000005</v>
      </c>
      <c r="C1291" s="1">
        <v>791787.60411971982</v>
      </c>
      <c r="D1291" s="1">
        <f t="shared" si="20"/>
        <v>163588.83328028023</v>
      </c>
      <c r="E1291" s="1">
        <v>13</v>
      </c>
      <c r="F1291" s="1">
        <v>17</v>
      </c>
      <c r="G1291" s="1">
        <v>5</v>
      </c>
      <c r="H1291" s="1">
        <v>0</v>
      </c>
      <c r="I1291" s="1">
        <v>0</v>
      </c>
      <c r="J1291" s="1">
        <v>0</v>
      </c>
      <c r="K1291" s="1">
        <v>1</v>
      </c>
      <c r="L1291" s="1">
        <v>0</v>
      </c>
      <c r="M1291" s="1">
        <v>0</v>
      </c>
    </row>
    <row r="1292" spans="1:13">
      <c r="A1292" s="1">
        <v>1291</v>
      </c>
      <c r="B1292" s="1">
        <v>893286.27289999998</v>
      </c>
      <c r="C1292" s="1">
        <v>380488.18398708152</v>
      </c>
      <c r="D1292" s="1">
        <f t="shared" si="20"/>
        <v>512798.08891291847</v>
      </c>
      <c r="E1292" s="1">
        <v>14</v>
      </c>
      <c r="F1292" s="1">
        <v>17</v>
      </c>
      <c r="G1292" s="1">
        <v>4</v>
      </c>
      <c r="H1292" s="1">
        <v>0</v>
      </c>
      <c r="I1292" s="1">
        <v>0</v>
      </c>
      <c r="J1292" s="1">
        <v>1</v>
      </c>
      <c r="K1292" s="1">
        <v>0</v>
      </c>
      <c r="L1292" s="1">
        <v>0</v>
      </c>
      <c r="M1292" s="1">
        <v>1</v>
      </c>
    </row>
    <row r="1293" spans="1:13">
      <c r="A1293" s="1">
        <v>1292</v>
      </c>
      <c r="B1293" s="1">
        <v>926770.50020000001</v>
      </c>
      <c r="C1293" s="1">
        <v>1241243.28266417</v>
      </c>
      <c r="D1293" s="1">
        <f t="shared" si="20"/>
        <v>-314472.78246417001</v>
      </c>
      <c r="E1293" s="1">
        <v>12</v>
      </c>
      <c r="F1293" s="1">
        <v>20</v>
      </c>
      <c r="G1293" s="1">
        <v>3</v>
      </c>
      <c r="H1293" s="1">
        <v>1</v>
      </c>
      <c r="I1293" s="1">
        <v>0</v>
      </c>
      <c r="J1293" s="1">
        <v>0</v>
      </c>
      <c r="K1293" s="1">
        <v>1</v>
      </c>
      <c r="L1293" s="1">
        <v>0</v>
      </c>
      <c r="M1293" s="1">
        <v>0</v>
      </c>
    </row>
    <row r="1294" spans="1:13">
      <c r="A1294" s="1">
        <v>1293</v>
      </c>
      <c r="B1294" s="1">
        <v>880015.18409999995</v>
      </c>
      <c r="C1294" s="1">
        <v>1356348.7126546726</v>
      </c>
      <c r="D1294" s="1">
        <f t="shared" si="20"/>
        <v>-476333.52855467261</v>
      </c>
      <c r="E1294" s="1">
        <v>15</v>
      </c>
      <c r="F1294" s="1">
        <v>17</v>
      </c>
      <c r="G1294" s="1">
        <v>3</v>
      </c>
      <c r="H1294" s="1">
        <v>2</v>
      </c>
      <c r="I1294" s="1">
        <v>0</v>
      </c>
      <c r="J1294" s="1">
        <v>1</v>
      </c>
      <c r="K1294" s="1">
        <v>0</v>
      </c>
      <c r="L1294" s="1">
        <v>1</v>
      </c>
      <c r="M1294" s="1">
        <v>0</v>
      </c>
    </row>
    <row r="1295" spans="1:13">
      <c r="A1295" s="1">
        <v>1294</v>
      </c>
      <c r="B1295" s="1">
        <v>874846.57609999995</v>
      </c>
      <c r="C1295" s="1">
        <v>1679429.3745277084</v>
      </c>
      <c r="D1295" s="1">
        <f t="shared" si="20"/>
        <v>-804582.79842770845</v>
      </c>
      <c r="E1295" s="1">
        <v>16</v>
      </c>
      <c r="F1295" s="1">
        <v>15</v>
      </c>
      <c r="G1295" s="1">
        <v>4</v>
      </c>
      <c r="H1295" s="1">
        <v>0</v>
      </c>
      <c r="I1295" s="1">
        <v>0</v>
      </c>
      <c r="J1295" s="1">
        <v>0</v>
      </c>
      <c r="K1295" s="1">
        <v>0</v>
      </c>
      <c r="L1295" s="1">
        <v>0</v>
      </c>
      <c r="M1295" s="1">
        <v>1</v>
      </c>
    </row>
    <row r="1296" spans="1:13">
      <c r="A1296" s="1">
        <v>1295</v>
      </c>
      <c r="B1296" s="1">
        <v>876868.17740000004</v>
      </c>
      <c r="C1296" s="1">
        <v>1387602.1626906749</v>
      </c>
      <c r="D1296" s="1">
        <f t="shared" si="20"/>
        <v>-510733.98529067484</v>
      </c>
      <c r="E1296" s="1">
        <v>12</v>
      </c>
      <c r="F1296" s="1">
        <v>15</v>
      </c>
      <c r="G1296" s="1">
        <v>8</v>
      </c>
      <c r="H1296" s="1">
        <v>2</v>
      </c>
      <c r="I1296" s="1">
        <v>0</v>
      </c>
      <c r="J1296" s="1">
        <v>1</v>
      </c>
      <c r="K1296" s="1">
        <v>1</v>
      </c>
      <c r="L1296" s="1">
        <v>0</v>
      </c>
      <c r="M1296" s="1">
        <v>0</v>
      </c>
    </row>
    <row r="1297" spans="1:13">
      <c r="A1297" s="1">
        <v>1296</v>
      </c>
      <c r="B1297" s="1">
        <v>979104.30440000002</v>
      </c>
      <c r="C1297" s="1">
        <v>3375696.5344838281</v>
      </c>
      <c r="D1297" s="1">
        <f t="shared" si="20"/>
        <v>-2396592.2300838279</v>
      </c>
      <c r="E1297" s="1">
        <v>7</v>
      </c>
      <c r="F1297" s="1">
        <v>24</v>
      </c>
      <c r="G1297" s="1">
        <v>4</v>
      </c>
      <c r="H1297" s="1">
        <v>1</v>
      </c>
      <c r="I1297" s="1">
        <v>1</v>
      </c>
      <c r="J1297" s="1">
        <v>0</v>
      </c>
      <c r="K1297" s="1">
        <v>0</v>
      </c>
      <c r="L1297" s="1">
        <v>0</v>
      </c>
      <c r="M1297" s="1">
        <v>1</v>
      </c>
    </row>
    <row r="1298" spans="1:13">
      <c r="A1298" s="1">
        <v>1297</v>
      </c>
      <c r="B1298" s="1">
        <v>876573.11349999998</v>
      </c>
      <c r="C1298" s="1">
        <v>567216.18058437901</v>
      </c>
      <c r="D1298" s="1">
        <f t="shared" si="20"/>
        <v>309356.93291562097</v>
      </c>
      <c r="E1298" s="1">
        <v>10</v>
      </c>
      <c r="F1298" s="1">
        <v>20</v>
      </c>
      <c r="G1298" s="1">
        <v>5</v>
      </c>
      <c r="H1298" s="1">
        <v>0</v>
      </c>
      <c r="I1298" s="1">
        <v>0</v>
      </c>
      <c r="J1298" s="1">
        <v>1</v>
      </c>
      <c r="K1298" s="1">
        <v>0</v>
      </c>
      <c r="L1298" s="1">
        <v>0</v>
      </c>
      <c r="M1298" s="1">
        <v>1</v>
      </c>
    </row>
    <row r="1299" spans="1:13">
      <c r="A1299" s="1">
        <v>1298</v>
      </c>
      <c r="B1299" s="1">
        <v>888558.04989999998</v>
      </c>
      <c r="C1299" s="1">
        <v>1140991.8961663973</v>
      </c>
      <c r="D1299" s="1">
        <f t="shared" si="20"/>
        <v>-252433.84626639728</v>
      </c>
      <c r="E1299" s="1">
        <v>17</v>
      </c>
      <c r="F1299" s="1">
        <v>13</v>
      </c>
      <c r="G1299" s="1">
        <v>5</v>
      </c>
      <c r="H1299" s="1">
        <v>2</v>
      </c>
      <c r="I1299" s="1">
        <v>0</v>
      </c>
      <c r="J1299" s="1">
        <v>0</v>
      </c>
      <c r="K1299" s="1">
        <v>0</v>
      </c>
      <c r="L1299" s="1">
        <v>0</v>
      </c>
      <c r="M1299" s="1">
        <v>0</v>
      </c>
    </row>
    <row r="1300" spans="1:13">
      <c r="A1300" s="1">
        <v>1299</v>
      </c>
      <c r="B1300" s="1">
        <v>954435.67709999997</v>
      </c>
      <c r="C1300" s="1">
        <v>618432.49508965726</v>
      </c>
      <c r="D1300" s="1">
        <f t="shared" si="20"/>
        <v>336003.18201034272</v>
      </c>
      <c r="E1300" s="1">
        <v>10</v>
      </c>
      <c r="F1300" s="1">
        <v>22</v>
      </c>
      <c r="G1300" s="1">
        <v>3</v>
      </c>
      <c r="H1300" s="1">
        <v>1</v>
      </c>
      <c r="I1300" s="1">
        <v>0</v>
      </c>
      <c r="J1300" s="1">
        <v>1</v>
      </c>
      <c r="K1300" s="1">
        <v>0</v>
      </c>
      <c r="L1300" s="1">
        <v>0</v>
      </c>
      <c r="M1300" s="1">
        <v>0</v>
      </c>
    </row>
    <row r="1301" spans="1:13">
      <c r="A1301" s="1">
        <v>1300</v>
      </c>
      <c r="B1301" s="1">
        <v>902142.33440000005</v>
      </c>
      <c r="C1301" s="1">
        <v>889491.53981931659</v>
      </c>
      <c r="D1301" s="1">
        <f t="shared" si="20"/>
        <v>12650.794580683461</v>
      </c>
      <c r="E1301" s="1">
        <v>17</v>
      </c>
      <c r="F1301" s="1">
        <v>14</v>
      </c>
      <c r="G1301" s="1">
        <v>4</v>
      </c>
      <c r="H1301" s="1">
        <v>1</v>
      </c>
      <c r="I1301" s="1">
        <v>0</v>
      </c>
      <c r="J1301" s="1">
        <v>0</v>
      </c>
      <c r="K1301" s="1">
        <v>0</v>
      </c>
      <c r="L1301" s="1">
        <v>0</v>
      </c>
      <c r="M1301" s="1">
        <v>1</v>
      </c>
    </row>
    <row r="1302" spans="1:13">
      <c r="A1302" s="1">
        <v>1301</v>
      </c>
      <c r="B1302" s="1">
        <v>872538.06720000005</v>
      </c>
      <c r="C1302" s="1">
        <v>1144655.0620169558</v>
      </c>
      <c r="D1302" s="1">
        <f t="shared" si="20"/>
        <v>-272116.99481695576</v>
      </c>
      <c r="E1302" s="1">
        <v>17</v>
      </c>
      <c r="F1302" s="1">
        <v>12</v>
      </c>
      <c r="G1302" s="1">
        <v>6</v>
      </c>
      <c r="H1302" s="1">
        <v>1</v>
      </c>
      <c r="I1302" s="1">
        <v>1</v>
      </c>
      <c r="J1302" s="1">
        <v>0</v>
      </c>
      <c r="K1302" s="1">
        <v>0</v>
      </c>
      <c r="L1302" s="1">
        <v>0</v>
      </c>
      <c r="M1302" s="1">
        <v>0</v>
      </c>
    </row>
    <row r="1303" spans="1:13">
      <c r="A1303" s="1">
        <v>1302</v>
      </c>
      <c r="B1303" s="1">
        <v>960682.58470000001</v>
      </c>
      <c r="C1303" s="1">
        <v>650932.10376412002</v>
      </c>
      <c r="D1303" s="1">
        <f t="shared" si="20"/>
        <v>309750.48093587998</v>
      </c>
      <c r="E1303" s="1">
        <v>13</v>
      </c>
      <c r="F1303" s="1">
        <v>17</v>
      </c>
      <c r="G1303" s="1">
        <v>5</v>
      </c>
      <c r="H1303" s="1">
        <v>0</v>
      </c>
      <c r="I1303" s="1">
        <v>0</v>
      </c>
      <c r="J1303" s="1">
        <v>0</v>
      </c>
      <c r="K1303" s="1">
        <v>0</v>
      </c>
      <c r="L1303" s="1">
        <v>0</v>
      </c>
      <c r="M1303" s="1">
        <v>0</v>
      </c>
    </row>
    <row r="1304" spans="1:13">
      <c r="A1304" s="1">
        <v>1303</v>
      </c>
      <c r="B1304" s="1">
        <v>986919.08239999996</v>
      </c>
      <c r="C1304" s="1">
        <v>711899.60789743077</v>
      </c>
      <c r="D1304" s="1">
        <f t="shared" si="20"/>
        <v>275019.47450256918</v>
      </c>
      <c r="E1304" s="1">
        <v>17</v>
      </c>
      <c r="F1304" s="1">
        <v>15</v>
      </c>
      <c r="G1304" s="1">
        <v>3</v>
      </c>
      <c r="H1304" s="1">
        <v>0</v>
      </c>
      <c r="I1304" s="1">
        <v>0</v>
      </c>
      <c r="J1304" s="1">
        <v>1</v>
      </c>
      <c r="K1304" s="1">
        <v>0</v>
      </c>
      <c r="L1304" s="1">
        <v>0</v>
      </c>
      <c r="M1304" s="1">
        <v>0</v>
      </c>
    </row>
    <row r="1305" spans="1:13">
      <c r="A1305" s="1">
        <v>1304</v>
      </c>
      <c r="B1305" s="1">
        <v>885430.92209999997</v>
      </c>
      <c r="C1305" s="1">
        <v>1122753.5395734527</v>
      </c>
      <c r="D1305" s="1">
        <f t="shared" si="20"/>
        <v>-237322.6174734527</v>
      </c>
      <c r="E1305" s="1">
        <v>8</v>
      </c>
      <c r="F1305" s="1">
        <v>19</v>
      </c>
      <c r="G1305" s="1">
        <v>8</v>
      </c>
      <c r="H1305" s="1">
        <v>0</v>
      </c>
      <c r="I1305" s="1">
        <v>0</v>
      </c>
      <c r="J1305" s="1">
        <v>0</v>
      </c>
      <c r="K1305" s="1">
        <v>1</v>
      </c>
      <c r="L1305" s="1">
        <v>0</v>
      </c>
      <c r="M1305" s="1">
        <v>1</v>
      </c>
    </row>
    <row r="1306" spans="1:13">
      <c r="A1306" s="1">
        <v>1305</v>
      </c>
      <c r="B1306" s="1">
        <v>869961.68960000004</v>
      </c>
      <c r="C1306" s="1">
        <v>685790.69133727869</v>
      </c>
      <c r="D1306" s="1">
        <f t="shared" si="20"/>
        <v>184170.99826272135</v>
      </c>
      <c r="E1306" s="1">
        <v>18</v>
      </c>
      <c r="F1306" s="1">
        <v>13</v>
      </c>
      <c r="G1306" s="1">
        <v>4</v>
      </c>
      <c r="H1306" s="1">
        <v>0</v>
      </c>
      <c r="I1306" s="1">
        <v>2</v>
      </c>
      <c r="J1306" s="1">
        <v>1</v>
      </c>
      <c r="K1306" s="1">
        <v>0</v>
      </c>
      <c r="L1306" s="1">
        <v>0</v>
      </c>
      <c r="M1306" s="1">
        <v>0</v>
      </c>
    </row>
    <row r="1307" spans="1:13">
      <c r="A1307" s="1">
        <v>1306</v>
      </c>
      <c r="B1307" s="1">
        <v>922720.8469</v>
      </c>
      <c r="C1307" s="1">
        <v>556898.6330262766</v>
      </c>
      <c r="D1307" s="1">
        <f t="shared" si="20"/>
        <v>365822.21387372341</v>
      </c>
      <c r="E1307" s="1">
        <v>11</v>
      </c>
      <c r="F1307" s="1">
        <v>16</v>
      </c>
      <c r="G1307" s="1">
        <v>8</v>
      </c>
      <c r="H1307" s="1">
        <v>1</v>
      </c>
      <c r="I1307" s="1">
        <v>0</v>
      </c>
      <c r="J1307" s="1">
        <v>1</v>
      </c>
      <c r="K1307" s="1">
        <v>1</v>
      </c>
      <c r="L1307" s="1">
        <v>0</v>
      </c>
      <c r="M1307" s="1">
        <v>0</v>
      </c>
    </row>
    <row r="1308" spans="1:13">
      <c r="A1308" s="1">
        <v>1307</v>
      </c>
      <c r="B1308" s="1">
        <v>846447.57079999999</v>
      </c>
      <c r="C1308" s="1">
        <v>2471102.3616446918</v>
      </c>
      <c r="D1308" s="1">
        <f t="shared" si="20"/>
        <v>-1624654.7908446919</v>
      </c>
      <c r="E1308" s="1">
        <v>13</v>
      </c>
      <c r="F1308" s="1">
        <v>20</v>
      </c>
      <c r="G1308" s="1">
        <v>2</v>
      </c>
      <c r="H1308" s="1">
        <v>0</v>
      </c>
      <c r="I1308" s="1">
        <v>0</v>
      </c>
      <c r="J1308" s="1">
        <v>0</v>
      </c>
      <c r="K1308" s="1">
        <v>0</v>
      </c>
      <c r="L1308" s="1">
        <v>0</v>
      </c>
      <c r="M1308" s="1">
        <v>1</v>
      </c>
    </row>
    <row r="1309" spans="1:13">
      <c r="A1309" s="1">
        <v>1308</v>
      </c>
      <c r="B1309" s="1">
        <v>915691.35479999997</v>
      </c>
      <c r="C1309" s="1">
        <v>948987.377317996</v>
      </c>
      <c r="D1309" s="1">
        <f t="shared" si="20"/>
        <v>-33296.022517996025</v>
      </c>
      <c r="E1309" s="1">
        <v>12</v>
      </c>
      <c r="F1309" s="1">
        <v>21</v>
      </c>
      <c r="G1309" s="1">
        <v>2</v>
      </c>
      <c r="H1309" s="1">
        <v>1</v>
      </c>
      <c r="I1309" s="1">
        <v>0</v>
      </c>
      <c r="J1309" s="1">
        <v>1</v>
      </c>
      <c r="K1309" s="1">
        <v>1</v>
      </c>
      <c r="L1309" s="1">
        <v>0</v>
      </c>
      <c r="M1309" s="1">
        <v>0</v>
      </c>
    </row>
    <row r="1310" spans="1:13">
      <c r="A1310" s="1">
        <v>1309</v>
      </c>
      <c r="B1310" s="1">
        <v>966171.04599999997</v>
      </c>
      <c r="C1310" s="1">
        <v>650228.9165917763</v>
      </c>
      <c r="D1310" s="1">
        <f t="shared" si="20"/>
        <v>315942.12940822367</v>
      </c>
      <c r="E1310" s="1">
        <v>12</v>
      </c>
      <c r="F1310" s="1">
        <v>16</v>
      </c>
      <c r="G1310" s="1">
        <v>7</v>
      </c>
      <c r="H1310" s="1">
        <v>1</v>
      </c>
      <c r="I1310" s="1">
        <v>0</v>
      </c>
      <c r="J1310" s="1">
        <v>0</v>
      </c>
      <c r="K1310" s="1">
        <v>1</v>
      </c>
      <c r="L1310" s="1">
        <v>0</v>
      </c>
      <c r="M1310" s="1">
        <v>0</v>
      </c>
    </row>
    <row r="1311" spans="1:13">
      <c r="A1311" s="1">
        <v>1310</v>
      </c>
      <c r="B1311" s="1">
        <v>967198.8419</v>
      </c>
      <c r="C1311" s="1">
        <v>1195193.2957590241</v>
      </c>
      <c r="D1311" s="1">
        <f t="shared" si="20"/>
        <v>-227994.4538590241</v>
      </c>
      <c r="E1311" s="1">
        <v>6</v>
      </c>
      <c r="F1311" s="1">
        <v>27</v>
      </c>
      <c r="G1311" s="1">
        <v>2</v>
      </c>
      <c r="H1311" s="1">
        <v>1</v>
      </c>
      <c r="I1311" s="1">
        <v>0</v>
      </c>
      <c r="J1311" s="1">
        <v>0</v>
      </c>
      <c r="K1311" s="1">
        <v>1</v>
      </c>
      <c r="L1311" s="1">
        <v>0</v>
      </c>
      <c r="M1311" s="1">
        <v>0</v>
      </c>
    </row>
    <row r="1312" spans="1:13">
      <c r="A1312" s="1">
        <v>1311</v>
      </c>
      <c r="B1312" s="1">
        <v>900002.76199999999</v>
      </c>
      <c r="C1312" s="1">
        <v>742070.49685884803</v>
      </c>
      <c r="D1312" s="1">
        <f t="shared" si="20"/>
        <v>157932.26514115196</v>
      </c>
      <c r="E1312" s="1">
        <v>12</v>
      </c>
      <c r="F1312" s="1">
        <v>19</v>
      </c>
      <c r="G1312" s="1">
        <v>4</v>
      </c>
      <c r="H1312" s="1">
        <v>1</v>
      </c>
      <c r="I1312" s="1">
        <v>0</v>
      </c>
      <c r="J1312" s="1">
        <v>1</v>
      </c>
      <c r="K1312" s="1">
        <v>1</v>
      </c>
      <c r="L1312" s="1">
        <v>0</v>
      </c>
      <c r="M1312" s="1">
        <v>0</v>
      </c>
    </row>
    <row r="1313" spans="1:13">
      <c r="A1313" s="1">
        <v>1312</v>
      </c>
      <c r="B1313" s="1">
        <v>875332.03350000002</v>
      </c>
      <c r="C1313" s="1">
        <v>633054.51644210517</v>
      </c>
      <c r="D1313" s="1">
        <f t="shared" si="20"/>
        <v>242277.51705789485</v>
      </c>
      <c r="E1313" s="1">
        <v>16</v>
      </c>
      <c r="F1313" s="1">
        <v>13</v>
      </c>
      <c r="G1313" s="1">
        <v>6</v>
      </c>
      <c r="H1313" s="1">
        <v>0</v>
      </c>
      <c r="I1313" s="1">
        <v>1</v>
      </c>
      <c r="J1313" s="1">
        <v>0</v>
      </c>
      <c r="K1313" s="1">
        <v>2</v>
      </c>
      <c r="L1313" s="1">
        <v>0</v>
      </c>
      <c r="M1313" s="1">
        <v>0</v>
      </c>
    </row>
    <row r="1314" spans="1:13">
      <c r="A1314" s="1">
        <v>1313</v>
      </c>
      <c r="B1314" s="1">
        <v>885076.31629999995</v>
      </c>
      <c r="C1314" s="1">
        <v>815635.37144393963</v>
      </c>
      <c r="D1314" s="1">
        <f t="shared" si="20"/>
        <v>69440.94485606032</v>
      </c>
      <c r="E1314" s="1">
        <v>6</v>
      </c>
      <c r="F1314" s="1">
        <v>24</v>
      </c>
      <c r="G1314" s="1">
        <v>5</v>
      </c>
      <c r="H1314" s="1">
        <v>0</v>
      </c>
      <c r="I1314" s="1">
        <v>0</v>
      </c>
      <c r="J1314" s="1">
        <v>1</v>
      </c>
      <c r="K1314" s="1">
        <v>1</v>
      </c>
      <c r="L1314" s="1">
        <v>0</v>
      </c>
      <c r="M1314" s="1">
        <v>0</v>
      </c>
    </row>
    <row r="1315" spans="1:13">
      <c r="A1315" s="1">
        <v>1314</v>
      </c>
      <c r="B1315" s="1">
        <v>983963.45010000002</v>
      </c>
      <c r="C1315" s="1">
        <v>1030509.3919692006</v>
      </c>
      <c r="D1315" s="1">
        <f t="shared" si="20"/>
        <v>-46545.941869200557</v>
      </c>
      <c r="E1315" s="1">
        <v>5</v>
      </c>
      <c r="F1315" s="1">
        <v>25</v>
      </c>
      <c r="G1315" s="1">
        <v>5</v>
      </c>
      <c r="H1315" s="1">
        <v>0</v>
      </c>
      <c r="I1315" s="1">
        <v>0</v>
      </c>
      <c r="J1315" s="1">
        <v>1</v>
      </c>
      <c r="K1315" s="1">
        <v>1</v>
      </c>
      <c r="L1315" s="1">
        <v>0</v>
      </c>
      <c r="M1315" s="1">
        <v>0</v>
      </c>
    </row>
    <row r="1316" spans="1:13">
      <c r="A1316" s="1">
        <v>1315</v>
      </c>
      <c r="B1316" s="1">
        <v>923927.55660000001</v>
      </c>
      <c r="C1316" s="1">
        <v>568331.31232935307</v>
      </c>
      <c r="D1316" s="1">
        <f t="shared" si="20"/>
        <v>355596.24427064694</v>
      </c>
      <c r="E1316" s="1">
        <v>17</v>
      </c>
      <c r="F1316" s="1">
        <v>14</v>
      </c>
      <c r="G1316" s="1">
        <v>4</v>
      </c>
      <c r="H1316" s="1">
        <v>2</v>
      </c>
      <c r="I1316" s="1">
        <v>0</v>
      </c>
      <c r="J1316" s="1">
        <v>1</v>
      </c>
      <c r="K1316" s="1">
        <v>0</v>
      </c>
      <c r="L1316" s="1">
        <v>0</v>
      </c>
      <c r="M1316" s="1">
        <v>0</v>
      </c>
    </row>
    <row r="1317" spans="1:13">
      <c r="A1317" s="1">
        <v>1316</v>
      </c>
      <c r="B1317" s="1">
        <v>883242.43079999997</v>
      </c>
      <c r="C1317" s="1">
        <v>775665.10665252851</v>
      </c>
      <c r="D1317" s="1">
        <f t="shared" si="20"/>
        <v>107577.32414747146</v>
      </c>
      <c r="E1317" s="1">
        <v>21</v>
      </c>
      <c r="F1317" s="1">
        <v>9</v>
      </c>
      <c r="G1317" s="1">
        <v>5</v>
      </c>
      <c r="H1317" s="1">
        <v>1</v>
      </c>
      <c r="I1317" s="1">
        <v>0</v>
      </c>
      <c r="J1317" s="1">
        <v>1</v>
      </c>
      <c r="K1317" s="1">
        <v>0</v>
      </c>
      <c r="L1317" s="1">
        <v>0</v>
      </c>
      <c r="M1317" s="1">
        <v>0</v>
      </c>
    </row>
    <row r="1318" spans="1:13">
      <c r="A1318" s="1">
        <v>1317</v>
      </c>
      <c r="B1318" s="1">
        <v>984335.6655</v>
      </c>
      <c r="C1318" s="1">
        <v>821113.93563090917</v>
      </c>
      <c r="D1318" s="1">
        <f t="shared" si="20"/>
        <v>163221.72986909084</v>
      </c>
      <c r="E1318" s="1">
        <v>6</v>
      </c>
      <c r="F1318" s="1">
        <v>21</v>
      </c>
      <c r="G1318" s="1">
        <v>8</v>
      </c>
      <c r="H1318" s="1">
        <v>1</v>
      </c>
      <c r="I1318" s="1">
        <v>0</v>
      </c>
      <c r="J1318" s="1">
        <v>1</v>
      </c>
      <c r="K1318" s="1">
        <v>1</v>
      </c>
      <c r="L1318" s="1">
        <v>0</v>
      </c>
      <c r="M1318" s="1">
        <v>0</v>
      </c>
    </row>
    <row r="1319" spans="1:13">
      <c r="A1319" s="1">
        <v>1318</v>
      </c>
      <c r="B1319" s="1">
        <v>829178.99300000002</v>
      </c>
      <c r="C1319" s="1">
        <v>976279.40612784575</v>
      </c>
      <c r="D1319" s="1">
        <f t="shared" si="20"/>
        <v>-147100.41312784574</v>
      </c>
      <c r="E1319" s="1">
        <v>16</v>
      </c>
      <c r="F1319" s="1">
        <v>15</v>
      </c>
      <c r="G1319" s="1">
        <v>4</v>
      </c>
      <c r="H1319" s="1">
        <v>1</v>
      </c>
      <c r="I1319" s="1">
        <v>0</v>
      </c>
      <c r="J1319" s="1">
        <v>0</v>
      </c>
      <c r="K1319" s="1">
        <v>1</v>
      </c>
      <c r="L1319" s="1">
        <v>0</v>
      </c>
      <c r="M1319" s="1">
        <v>0</v>
      </c>
    </row>
    <row r="1320" spans="1:13">
      <c r="A1320" s="1">
        <v>1319</v>
      </c>
      <c r="B1320" s="1">
        <v>926574.76729999995</v>
      </c>
      <c r="C1320" s="1">
        <v>815951.0825434057</v>
      </c>
      <c r="D1320" s="1">
        <f t="shared" si="20"/>
        <v>110623.68475659424</v>
      </c>
      <c r="E1320" s="1">
        <v>10</v>
      </c>
      <c r="F1320" s="1">
        <v>17</v>
      </c>
      <c r="G1320" s="1">
        <v>8</v>
      </c>
      <c r="H1320" s="1">
        <v>1</v>
      </c>
      <c r="I1320" s="1">
        <v>1</v>
      </c>
      <c r="J1320" s="1">
        <v>0</v>
      </c>
      <c r="K1320" s="1">
        <v>0</v>
      </c>
      <c r="L1320" s="1">
        <v>0</v>
      </c>
      <c r="M1320" s="1">
        <v>0</v>
      </c>
    </row>
    <row r="1321" spans="1:13">
      <c r="A1321" s="1">
        <v>1320</v>
      </c>
      <c r="B1321" s="1">
        <v>921866.22719999996</v>
      </c>
      <c r="C1321" s="1">
        <v>990614.37232716125</v>
      </c>
      <c r="D1321" s="1">
        <f t="shared" si="20"/>
        <v>-68748.14512716129</v>
      </c>
      <c r="E1321" s="1">
        <v>11</v>
      </c>
      <c r="F1321" s="1">
        <v>20</v>
      </c>
      <c r="G1321" s="1">
        <v>4</v>
      </c>
      <c r="H1321" s="1">
        <v>1</v>
      </c>
      <c r="I1321" s="1">
        <v>1</v>
      </c>
      <c r="J1321" s="1">
        <v>0</v>
      </c>
      <c r="K1321" s="1">
        <v>0</v>
      </c>
      <c r="L1321" s="1">
        <v>0</v>
      </c>
      <c r="M1321" s="1">
        <v>1</v>
      </c>
    </row>
    <row r="1322" spans="1:13">
      <c r="A1322" s="1">
        <v>1321</v>
      </c>
      <c r="B1322" s="1">
        <v>899077.98899999994</v>
      </c>
      <c r="C1322" s="1">
        <v>907946.59327447729</v>
      </c>
      <c r="D1322" s="1">
        <f t="shared" si="20"/>
        <v>-8868.604274477344</v>
      </c>
      <c r="E1322" s="1">
        <v>15</v>
      </c>
      <c r="F1322" s="1">
        <v>15</v>
      </c>
      <c r="G1322" s="1">
        <v>5</v>
      </c>
      <c r="H1322" s="1">
        <v>0</v>
      </c>
      <c r="I1322" s="1">
        <v>0</v>
      </c>
      <c r="J1322" s="1">
        <v>2</v>
      </c>
      <c r="K1322" s="1">
        <v>0</v>
      </c>
      <c r="L1322" s="1">
        <v>0</v>
      </c>
      <c r="M1322" s="1">
        <v>0</v>
      </c>
    </row>
    <row r="1323" spans="1:13">
      <c r="A1323" s="1">
        <v>1322</v>
      </c>
      <c r="B1323" s="1">
        <v>1004953.3166</v>
      </c>
      <c r="C1323" s="1">
        <v>810735.7517690229</v>
      </c>
      <c r="D1323" s="1">
        <f t="shared" si="20"/>
        <v>194217.56483097712</v>
      </c>
      <c r="E1323" s="1">
        <v>13</v>
      </c>
      <c r="F1323" s="1">
        <v>18</v>
      </c>
      <c r="G1323" s="1">
        <v>4</v>
      </c>
      <c r="H1323" s="1">
        <v>2</v>
      </c>
      <c r="I1323" s="1">
        <v>0</v>
      </c>
      <c r="J1323" s="1">
        <v>1</v>
      </c>
      <c r="K1323" s="1">
        <v>1</v>
      </c>
      <c r="L1323" s="1">
        <v>0</v>
      </c>
      <c r="M1323" s="1">
        <v>0</v>
      </c>
    </row>
    <row r="1324" spans="1:13">
      <c r="A1324" s="1">
        <v>1323</v>
      </c>
      <c r="B1324" s="1">
        <v>971772.82479999994</v>
      </c>
      <c r="C1324" s="1">
        <v>1171679.1740394779</v>
      </c>
      <c r="D1324" s="1">
        <f t="shared" si="20"/>
        <v>-199906.349239478</v>
      </c>
      <c r="E1324" s="1">
        <v>17</v>
      </c>
      <c r="F1324" s="1">
        <v>17</v>
      </c>
      <c r="G1324" s="1">
        <v>1</v>
      </c>
      <c r="H1324" s="1">
        <v>0</v>
      </c>
      <c r="I1324" s="1">
        <v>0</v>
      </c>
      <c r="J1324" s="1">
        <v>1</v>
      </c>
      <c r="K1324" s="1">
        <v>1</v>
      </c>
      <c r="L1324" s="1">
        <v>0</v>
      </c>
      <c r="M1324" s="1">
        <v>0</v>
      </c>
    </row>
    <row r="1325" spans="1:13">
      <c r="A1325" s="1">
        <v>1324</v>
      </c>
      <c r="B1325" s="1">
        <v>865346.78379999998</v>
      </c>
      <c r="C1325" s="1">
        <v>1116588.0083823642</v>
      </c>
      <c r="D1325" s="1">
        <f t="shared" si="20"/>
        <v>-251241.2245823642</v>
      </c>
      <c r="E1325" s="1">
        <v>13</v>
      </c>
      <c r="F1325" s="1">
        <v>20</v>
      </c>
      <c r="G1325" s="1">
        <v>2</v>
      </c>
      <c r="H1325" s="1">
        <v>0</v>
      </c>
      <c r="I1325" s="1">
        <v>0</v>
      </c>
      <c r="J1325" s="1">
        <v>0</v>
      </c>
      <c r="K1325" s="1">
        <v>0</v>
      </c>
      <c r="L1325" s="1">
        <v>1</v>
      </c>
      <c r="M1325" s="1">
        <v>0</v>
      </c>
    </row>
    <row r="1326" spans="1:13">
      <c r="A1326" s="1">
        <v>1325</v>
      </c>
      <c r="B1326" s="1">
        <v>1043894.2836</v>
      </c>
      <c r="C1326" s="1">
        <v>712732.35568864923</v>
      </c>
      <c r="D1326" s="1">
        <f t="shared" si="20"/>
        <v>331161.92791135074</v>
      </c>
      <c r="E1326" s="1">
        <v>12</v>
      </c>
      <c r="F1326" s="1">
        <v>15</v>
      </c>
      <c r="G1326" s="1">
        <v>8</v>
      </c>
      <c r="H1326" s="1">
        <v>0</v>
      </c>
      <c r="I1326" s="1">
        <v>0</v>
      </c>
      <c r="J1326" s="1">
        <v>0</v>
      </c>
      <c r="K1326" s="1">
        <v>1</v>
      </c>
      <c r="L1326" s="1">
        <v>0</v>
      </c>
      <c r="M1326" s="1">
        <v>0</v>
      </c>
    </row>
    <row r="1327" spans="1:13">
      <c r="A1327" s="1">
        <v>1326</v>
      </c>
      <c r="B1327" s="1">
        <v>955578.47860000003</v>
      </c>
      <c r="C1327" s="1">
        <v>717218.00442794897</v>
      </c>
      <c r="D1327" s="1">
        <f t="shared" si="20"/>
        <v>238360.47417205106</v>
      </c>
      <c r="E1327" s="1">
        <v>13</v>
      </c>
      <c r="F1327" s="1">
        <v>14</v>
      </c>
      <c r="G1327" s="1">
        <v>8</v>
      </c>
      <c r="H1327" s="1">
        <v>0</v>
      </c>
      <c r="I1327" s="1">
        <v>0</v>
      </c>
      <c r="J1327" s="1">
        <v>0</v>
      </c>
      <c r="K1327" s="1">
        <v>2</v>
      </c>
      <c r="L1327" s="1">
        <v>0</v>
      </c>
      <c r="M1327" s="1">
        <v>1</v>
      </c>
    </row>
    <row r="1328" spans="1:13">
      <c r="A1328" s="1">
        <v>1327</v>
      </c>
      <c r="B1328" s="1">
        <v>1035391.0562</v>
      </c>
      <c r="C1328" s="1">
        <v>1126890.068364338</v>
      </c>
      <c r="D1328" s="1">
        <f t="shared" si="20"/>
        <v>-91499.012164338026</v>
      </c>
      <c r="E1328" s="1">
        <v>11</v>
      </c>
      <c r="F1328" s="1">
        <v>17</v>
      </c>
      <c r="G1328" s="1">
        <v>7</v>
      </c>
      <c r="H1328" s="1">
        <v>1</v>
      </c>
      <c r="I1328" s="1">
        <v>0</v>
      </c>
      <c r="J1328" s="1">
        <v>1</v>
      </c>
      <c r="K1328" s="1">
        <v>0</v>
      </c>
      <c r="L1328" s="1">
        <v>0</v>
      </c>
      <c r="M1328" s="1">
        <v>1</v>
      </c>
    </row>
    <row r="1329" spans="1:13">
      <c r="A1329" s="1">
        <v>1328</v>
      </c>
      <c r="B1329" s="1">
        <v>860387.79960000003</v>
      </c>
      <c r="C1329" s="1">
        <v>962516.46472352918</v>
      </c>
      <c r="D1329" s="1">
        <f t="shared" si="20"/>
        <v>-102128.66512352915</v>
      </c>
      <c r="E1329" s="1">
        <v>13</v>
      </c>
      <c r="F1329" s="1">
        <v>19</v>
      </c>
      <c r="G1329" s="1">
        <v>3</v>
      </c>
      <c r="H1329" s="1">
        <v>0</v>
      </c>
      <c r="I1329" s="1">
        <v>0</v>
      </c>
      <c r="J1329" s="1">
        <v>0</v>
      </c>
      <c r="K1329" s="1">
        <v>1</v>
      </c>
      <c r="L1329" s="1">
        <v>0</v>
      </c>
      <c r="M1329" s="1">
        <v>0</v>
      </c>
    </row>
    <row r="1330" spans="1:13">
      <c r="A1330" s="1">
        <v>1329</v>
      </c>
      <c r="B1330" s="1">
        <v>853915.40469999996</v>
      </c>
      <c r="C1330" s="1">
        <v>1112903.214149964</v>
      </c>
      <c r="D1330" s="1">
        <f t="shared" si="20"/>
        <v>-258987.80944996409</v>
      </c>
      <c r="E1330" s="1">
        <v>13</v>
      </c>
      <c r="F1330" s="1">
        <v>18</v>
      </c>
      <c r="G1330" s="1">
        <v>4</v>
      </c>
      <c r="H1330" s="1">
        <v>2</v>
      </c>
      <c r="I1330" s="1">
        <v>0</v>
      </c>
      <c r="J1330" s="1">
        <v>0</v>
      </c>
      <c r="K1330" s="1">
        <v>1</v>
      </c>
      <c r="L1330" s="1">
        <v>0</v>
      </c>
      <c r="M1330" s="1">
        <v>0</v>
      </c>
    </row>
    <row r="1331" spans="1:13">
      <c r="A1331" s="1">
        <v>1330</v>
      </c>
      <c r="B1331" s="1">
        <v>926176.61990000005</v>
      </c>
      <c r="C1331" s="1">
        <v>679026.0433136822</v>
      </c>
      <c r="D1331" s="1">
        <f t="shared" si="20"/>
        <v>247150.57658631785</v>
      </c>
      <c r="E1331" s="1">
        <v>12</v>
      </c>
      <c r="F1331" s="1">
        <v>18</v>
      </c>
      <c r="G1331" s="1">
        <v>5</v>
      </c>
      <c r="H1331" s="1">
        <v>1</v>
      </c>
      <c r="I1331" s="1">
        <v>0</v>
      </c>
      <c r="J1331" s="1">
        <v>1</v>
      </c>
      <c r="K1331" s="1">
        <v>1</v>
      </c>
      <c r="L1331" s="1">
        <v>0</v>
      </c>
      <c r="M1331" s="1">
        <v>0</v>
      </c>
    </row>
    <row r="1332" spans="1:13">
      <c r="A1332" s="1">
        <v>1331</v>
      </c>
      <c r="B1332" s="1">
        <v>799931.63150000002</v>
      </c>
      <c r="C1332" s="1">
        <v>701349.34798651235</v>
      </c>
      <c r="D1332" s="1">
        <f t="shared" si="20"/>
        <v>98582.283513487666</v>
      </c>
      <c r="E1332" s="1">
        <v>16</v>
      </c>
      <c r="F1332" s="1">
        <v>13</v>
      </c>
      <c r="G1332" s="1">
        <v>6</v>
      </c>
      <c r="H1332" s="1">
        <v>1</v>
      </c>
      <c r="I1332" s="1">
        <v>0</v>
      </c>
      <c r="J1332" s="1">
        <v>1</v>
      </c>
      <c r="K1332" s="1">
        <v>0</v>
      </c>
      <c r="L1332" s="1">
        <v>0</v>
      </c>
      <c r="M1332" s="1">
        <v>0</v>
      </c>
    </row>
    <row r="1333" spans="1:13">
      <c r="A1333" s="1">
        <v>1332</v>
      </c>
      <c r="B1333" s="1">
        <v>1009950.7043</v>
      </c>
      <c r="C1333" s="1">
        <v>951483.17891962256</v>
      </c>
      <c r="D1333" s="1">
        <f t="shared" si="20"/>
        <v>58467.525380377425</v>
      </c>
      <c r="E1333" s="1">
        <v>8</v>
      </c>
      <c r="F1333" s="1">
        <v>20</v>
      </c>
      <c r="G1333" s="1">
        <v>7</v>
      </c>
      <c r="H1333" s="1">
        <v>0</v>
      </c>
      <c r="I1333" s="1">
        <v>0</v>
      </c>
      <c r="J1333" s="1">
        <v>0</v>
      </c>
      <c r="K1333" s="1">
        <v>2</v>
      </c>
      <c r="L1333" s="1">
        <v>0</v>
      </c>
      <c r="M1333" s="1">
        <v>0</v>
      </c>
    </row>
    <row r="1334" spans="1:13">
      <c r="A1334" s="1">
        <v>1333</v>
      </c>
      <c r="B1334" s="1">
        <v>846918.4118</v>
      </c>
      <c r="C1334" s="1">
        <v>697635.99771262554</v>
      </c>
      <c r="D1334" s="1">
        <f t="shared" si="20"/>
        <v>149282.41408737446</v>
      </c>
      <c r="E1334" s="1">
        <v>20</v>
      </c>
      <c r="F1334" s="1">
        <v>10</v>
      </c>
      <c r="G1334" s="1">
        <v>5</v>
      </c>
      <c r="H1334" s="1">
        <v>1</v>
      </c>
      <c r="I1334" s="1">
        <v>0</v>
      </c>
      <c r="J1334" s="1">
        <v>0</v>
      </c>
      <c r="K1334" s="1">
        <v>0</v>
      </c>
      <c r="L1334" s="1">
        <v>0</v>
      </c>
      <c r="M1334" s="1">
        <v>0</v>
      </c>
    </row>
    <row r="1335" spans="1:13">
      <c r="A1335" s="1">
        <v>1334</v>
      </c>
      <c r="B1335" s="1">
        <v>916180.00249999994</v>
      </c>
      <c r="C1335" s="1">
        <v>743897.89450801746</v>
      </c>
      <c r="D1335" s="1">
        <f t="shared" si="20"/>
        <v>172282.10799198248</v>
      </c>
      <c r="E1335" s="1">
        <v>11</v>
      </c>
      <c r="F1335" s="1">
        <v>20</v>
      </c>
      <c r="G1335" s="1">
        <v>4</v>
      </c>
      <c r="H1335" s="1">
        <v>1</v>
      </c>
      <c r="I1335" s="1">
        <v>1</v>
      </c>
      <c r="J1335" s="1">
        <v>0</v>
      </c>
      <c r="K1335" s="1">
        <v>2</v>
      </c>
      <c r="L1335" s="1">
        <v>0</v>
      </c>
      <c r="M1335" s="1">
        <v>0</v>
      </c>
    </row>
    <row r="1336" spans="1:13">
      <c r="A1336" s="1">
        <v>1335</v>
      </c>
      <c r="B1336" s="1">
        <v>906059.31869999995</v>
      </c>
      <c r="C1336" s="1">
        <v>967014.26489095029</v>
      </c>
      <c r="D1336" s="1">
        <f t="shared" si="20"/>
        <v>-60954.946190950344</v>
      </c>
      <c r="E1336" s="1">
        <v>6</v>
      </c>
      <c r="F1336" s="1">
        <v>24</v>
      </c>
      <c r="G1336" s="1">
        <v>5</v>
      </c>
      <c r="H1336" s="1">
        <v>2</v>
      </c>
      <c r="I1336" s="1">
        <v>0</v>
      </c>
      <c r="J1336" s="1">
        <v>0</v>
      </c>
      <c r="K1336" s="1">
        <v>0</v>
      </c>
      <c r="L1336" s="1">
        <v>0</v>
      </c>
      <c r="M1336" s="1">
        <v>0</v>
      </c>
    </row>
    <row r="1337" spans="1:13">
      <c r="A1337" s="1">
        <v>1336</v>
      </c>
      <c r="B1337" s="1">
        <v>958434.04299999995</v>
      </c>
      <c r="C1337" s="1">
        <v>1714322.7342639412</v>
      </c>
      <c r="D1337" s="1">
        <f t="shared" si="20"/>
        <v>-755888.69126394123</v>
      </c>
      <c r="E1337" s="1">
        <v>14</v>
      </c>
      <c r="F1337" s="1">
        <v>17</v>
      </c>
      <c r="G1337" s="1">
        <v>4</v>
      </c>
      <c r="H1337" s="1">
        <v>1</v>
      </c>
      <c r="I1337" s="1">
        <v>0</v>
      </c>
      <c r="J1337" s="1">
        <v>0</v>
      </c>
      <c r="K1337" s="1">
        <v>2</v>
      </c>
      <c r="L1337" s="1">
        <v>0</v>
      </c>
      <c r="M1337" s="1">
        <v>1</v>
      </c>
    </row>
    <row r="1338" spans="1:13">
      <c r="A1338" s="1">
        <v>1337</v>
      </c>
      <c r="B1338" s="1">
        <v>883540.65949999995</v>
      </c>
      <c r="C1338" s="1">
        <v>1600168.665372231</v>
      </c>
      <c r="D1338" s="1">
        <f t="shared" si="20"/>
        <v>-716628.00587223109</v>
      </c>
      <c r="E1338" s="1">
        <v>14</v>
      </c>
      <c r="F1338" s="1">
        <v>17</v>
      </c>
      <c r="G1338" s="1">
        <v>4</v>
      </c>
      <c r="H1338" s="1">
        <v>0</v>
      </c>
      <c r="I1338" s="1">
        <v>0</v>
      </c>
      <c r="J1338" s="1">
        <v>1</v>
      </c>
      <c r="K1338" s="1">
        <v>0</v>
      </c>
      <c r="L1338" s="1">
        <v>0</v>
      </c>
      <c r="M1338" s="1">
        <v>0</v>
      </c>
    </row>
    <row r="1339" spans="1:13">
      <c r="A1339" s="1">
        <v>1338</v>
      </c>
      <c r="B1339" s="1">
        <v>910330.50470000005</v>
      </c>
      <c r="C1339" s="1">
        <v>714065.46641787409</v>
      </c>
      <c r="D1339" s="1">
        <f t="shared" si="20"/>
        <v>196265.03828212596</v>
      </c>
      <c r="E1339" s="1">
        <v>17</v>
      </c>
      <c r="F1339" s="1">
        <v>12</v>
      </c>
      <c r="G1339" s="1">
        <v>6</v>
      </c>
      <c r="H1339" s="1">
        <v>2</v>
      </c>
      <c r="I1339" s="1">
        <v>0</v>
      </c>
      <c r="J1339" s="1">
        <v>1</v>
      </c>
      <c r="K1339" s="1">
        <v>0</v>
      </c>
      <c r="L1339" s="1">
        <v>0</v>
      </c>
      <c r="M1339" s="1">
        <v>0</v>
      </c>
    </row>
    <row r="1340" spans="1:13">
      <c r="A1340" s="1">
        <v>1339</v>
      </c>
      <c r="B1340" s="1">
        <v>974378.12560000003</v>
      </c>
      <c r="C1340" s="1">
        <v>422887.19331368606</v>
      </c>
      <c r="D1340" s="1">
        <f t="shared" si="20"/>
        <v>551490.93228631397</v>
      </c>
      <c r="E1340" s="1">
        <v>9</v>
      </c>
      <c r="F1340" s="1">
        <v>20</v>
      </c>
      <c r="G1340" s="1">
        <v>6</v>
      </c>
      <c r="H1340" s="1">
        <v>1</v>
      </c>
      <c r="I1340" s="1">
        <v>0</v>
      </c>
      <c r="J1340" s="1">
        <v>0</v>
      </c>
      <c r="K1340" s="1">
        <v>0</v>
      </c>
      <c r="L1340" s="1">
        <v>0</v>
      </c>
      <c r="M1340" s="1">
        <v>1</v>
      </c>
    </row>
    <row r="1341" spans="1:13">
      <c r="A1341" s="1">
        <v>1340</v>
      </c>
      <c r="B1341" s="1">
        <v>924762.70700000005</v>
      </c>
      <c r="C1341" s="1">
        <v>856382.83737517847</v>
      </c>
      <c r="D1341" s="1">
        <f t="shared" si="20"/>
        <v>68379.869624821586</v>
      </c>
      <c r="E1341" s="1">
        <v>18</v>
      </c>
      <c r="F1341" s="1">
        <v>13</v>
      </c>
      <c r="G1341" s="1">
        <v>4</v>
      </c>
      <c r="H1341" s="1">
        <v>2</v>
      </c>
      <c r="I1341" s="1">
        <v>0</v>
      </c>
      <c r="J1341" s="1">
        <v>1</v>
      </c>
      <c r="K1341" s="1">
        <v>0</v>
      </c>
      <c r="L1341" s="1">
        <v>0</v>
      </c>
      <c r="M1341" s="1">
        <v>0</v>
      </c>
    </row>
    <row r="1342" spans="1:13">
      <c r="A1342" s="1">
        <v>1341</v>
      </c>
      <c r="B1342" s="1">
        <v>938771.87820000004</v>
      </c>
      <c r="C1342" s="1">
        <v>787620.464759322</v>
      </c>
      <c r="D1342" s="1">
        <f t="shared" si="20"/>
        <v>151151.41344067804</v>
      </c>
      <c r="E1342" s="1">
        <v>5</v>
      </c>
      <c r="F1342" s="1">
        <v>27</v>
      </c>
      <c r="G1342" s="1">
        <v>3</v>
      </c>
      <c r="H1342" s="1">
        <v>0</v>
      </c>
      <c r="I1342" s="1">
        <v>0</v>
      </c>
      <c r="J1342" s="1">
        <v>0</v>
      </c>
      <c r="K1342" s="1">
        <v>0</v>
      </c>
      <c r="L1342" s="1">
        <v>0</v>
      </c>
      <c r="M1342" s="1">
        <v>1</v>
      </c>
    </row>
    <row r="1343" spans="1:13">
      <c r="A1343" s="1">
        <v>1342</v>
      </c>
      <c r="B1343" s="1">
        <v>954968.46829999995</v>
      </c>
      <c r="C1343" s="1">
        <v>604913.24787626474</v>
      </c>
      <c r="D1343" s="1">
        <f t="shared" si="20"/>
        <v>350055.22042373521</v>
      </c>
      <c r="E1343" s="1">
        <v>12</v>
      </c>
      <c r="F1343" s="1">
        <v>15</v>
      </c>
      <c r="G1343" s="1">
        <v>8</v>
      </c>
      <c r="H1343" s="1">
        <v>2</v>
      </c>
      <c r="I1343" s="1">
        <v>0</v>
      </c>
      <c r="J1343" s="1">
        <v>1</v>
      </c>
      <c r="K1343" s="1">
        <v>1</v>
      </c>
      <c r="L1343" s="1">
        <v>0</v>
      </c>
      <c r="M1343" s="1">
        <v>0</v>
      </c>
    </row>
    <row r="1344" spans="1:13">
      <c r="A1344" s="1">
        <v>1343</v>
      </c>
      <c r="B1344" s="1">
        <v>883274.9656</v>
      </c>
      <c r="C1344" s="1">
        <v>441756.08822306595</v>
      </c>
      <c r="D1344" s="1">
        <f t="shared" si="20"/>
        <v>441518.87737693405</v>
      </c>
      <c r="E1344" s="1">
        <v>20</v>
      </c>
      <c r="F1344" s="1">
        <v>10</v>
      </c>
      <c r="G1344" s="1">
        <v>5</v>
      </c>
      <c r="H1344" s="1">
        <v>2</v>
      </c>
      <c r="I1344" s="1">
        <v>0</v>
      </c>
      <c r="J1344" s="1">
        <v>0</v>
      </c>
      <c r="K1344" s="1">
        <v>1</v>
      </c>
      <c r="L1344" s="1">
        <v>0</v>
      </c>
      <c r="M1344" s="1">
        <v>0</v>
      </c>
    </row>
    <row r="1345" spans="1:13">
      <c r="A1345" s="1">
        <v>1344</v>
      </c>
      <c r="B1345" s="1">
        <v>983808.1078</v>
      </c>
      <c r="C1345" s="1">
        <v>800487.33405645052</v>
      </c>
      <c r="D1345" s="1">
        <f t="shared" si="20"/>
        <v>183320.77374354948</v>
      </c>
      <c r="E1345" s="1">
        <v>7</v>
      </c>
      <c r="F1345" s="1">
        <v>24</v>
      </c>
      <c r="G1345" s="1">
        <v>4</v>
      </c>
      <c r="H1345" s="1">
        <v>1</v>
      </c>
      <c r="I1345" s="1">
        <v>1</v>
      </c>
      <c r="J1345" s="1">
        <v>0</v>
      </c>
      <c r="K1345" s="1">
        <v>0</v>
      </c>
      <c r="L1345" s="1">
        <v>0</v>
      </c>
      <c r="M1345" s="1">
        <v>1</v>
      </c>
    </row>
    <row r="1346" spans="1:13">
      <c r="A1346" s="1">
        <v>1345</v>
      </c>
      <c r="B1346" s="1">
        <v>960458.24419999996</v>
      </c>
      <c r="C1346" s="1">
        <v>1189538.0477393202</v>
      </c>
      <c r="D1346" s="1">
        <f t="shared" ref="D1346:D1409" si="21">B1346-C1346</f>
        <v>-229079.80353932024</v>
      </c>
      <c r="E1346" s="1">
        <v>11</v>
      </c>
      <c r="F1346" s="1">
        <v>18</v>
      </c>
      <c r="G1346" s="1">
        <v>6</v>
      </c>
      <c r="H1346" s="1">
        <v>0</v>
      </c>
      <c r="I1346" s="1">
        <v>0</v>
      </c>
      <c r="J1346" s="1">
        <v>1</v>
      </c>
      <c r="K1346" s="1">
        <v>1</v>
      </c>
      <c r="L1346" s="1">
        <v>0</v>
      </c>
      <c r="M1346" s="1">
        <v>0</v>
      </c>
    </row>
    <row r="1347" spans="1:13">
      <c r="A1347" s="1">
        <v>1346</v>
      </c>
      <c r="B1347" s="1">
        <v>887236.30630000005</v>
      </c>
      <c r="C1347" s="1">
        <v>1044486.2427919161</v>
      </c>
      <c r="D1347" s="1">
        <f t="shared" si="21"/>
        <v>-157249.93649191607</v>
      </c>
      <c r="E1347" s="1">
        <v>20</v>
      </c>
      <c r="F1347" s="1">
        <v>9</v>
      </c>
      <c r="G1347" s="1">
        <v>6</v>
      </c>
      <c r="H1347" s="1">
        <v>1</v>
      </c>
      <c r="I1347" s="1">
        <v>0</v>
      </c>
      <c r="J1347" s="1">
        <v>2</v>
      </c>
      <c r="K1347" s="1">
        <v>0</v>
      </c>
      <c r="L1347" s="1">
        <v>0</v>
      </c>
      <c r="M1347" s="1">
        <v>0</v>
      </c>
    </row>
    <row r="1348" spans="1:13">
      <c r="A1348" s="1">
        <v>1347</v>
      </c>
      <c r="B1348" s="1">
        <v>907490.51520000002</v>
      </c>
      <c r="C1348" s="1">
        <v>498738.69362210075</v>
      </c>
      <c r="D1348" s="1">
        <f t="shared" si="21"/>
        <v>408751.82157789927</v>
      </c>
      <c r="E1348" s="1">
        <v>17</v>
      </c>
      <c r="F1348" s="1">
        <v>15</v>
      </c>
      <c r="G1348" s="1">
        <v>3</v>
      </c>
      <c r="H1348" s="1">
        <v>2</v>
      </c>
      <c r="I1348" s="1">
        <v>0</v>
      </c>
      <c r="J1348" s="1">
        <v>2</v>
      </c>
      <c r="K1348" s="1">
        <v>0</v>
      </c>
      <c r="L1348" s="1">
        <v>0</v>
      </c>
      <c r="M1348" s="1">
        <v>0</v>
      </c>
    </row>
    <row r="1349" spans="1:13">
      <c r="A1349" s="1">
        <v>1348</v>
      </c>
      <c r="B1349" s="1">
        <v>953261.23329999996</v>
      </c>
      <c r="C1349" s="1">
        <v>584246.09294740087</v>
      </c>
      <c r="D1349" s="1">
        <f t="shared" si="21"/>
        <v>369015.14035259909</v>
      </c>
      <c r="E1349" s="1">
        <v>13</v>
      </c>
      <c r="F1349" s="1">
        <v>20</v>
      </c>
      <c r="G1349" s="1">
        <v>2</v>
      </c>
      <c r="H1349" s="1">
        <v>1</v>
      </c>
      <c r="I1349" s="1">
        <v>1</v>
      </c>
      <c r="J1349" s="1">
        <v>1</v>
      </c>
      <c r="K1349" s="1">
        <v>1</v>
      </c>
      <c r="L1349" s="1">
        <v>0</v>
      </c>
      <c r="M1349" s="1">
        <v>0</v>
      </c>
    </row>
    <row r="1350" spans="1:13">
      <c r="A1350" s="1">
        <v>1349</v>
      </c>
      <c r="B1350" s="1">
        <v>1002925.3844</v>
      </c>
      <c r="C1350" s="1">
        <v>536611.65279510559</v>
      </c>
      <c r="D1350" s="1">
        <f t="shared" si="21"/>
        <v>466313.73160489439</v>
      </c>
      <c r="E1350" s="1">
        <v>14</v>
      </c>
      <c r="F1350" s="1">
        <v>14</v>
      </c>
      <c r="G1350" s="1">
        <v>7</v>
      </c>
      <c r="H1350" s="1">
        <v>0</v>
      </c>
      <c r="I1350" s="1">
        <v>1</v>
      </c>
      <c r="J1350" s="1">
        <v>2</v>
      </c>
      <c r="K1350" s="1">
        <v>0</v>
      </c>
      <c r="L1350" s="1">
        <v>0</v>
      </c>
      <c r="M1350" s="1">
        <v>0</v>
      </c>
    </row>
    <row r="1351" spans="1:13">
      <c r="A1351" s="1">
        <v>1350</v>
      </c>
      <c r="B1351" s="1">
        <v>946494.70079999999</v>
      </c>
      <c r="C1351" s="1">
        <v>770633.17000892467</v>
      </c>
      <c r="D1351" s="1">
        <f t="shared" si="21"/>
        <v>175861.53079107532</v>
      </c>
      <c r="E1351" s="1">
        <v>16</v>
      </c>
      <c r="F1351" s="1">
        <v>14</v>
      </c>
      <c r="G1351" s="1">
        <v>5</v>
      </c>
      <c r="H1351" s="1">
        <v>0</v>
      </c>
      <c r="I1351" s="1">
        <v>0</v>
      </c>
      <c r="J1351" s="1">
        <v>0</v>
      </c>
      <c r="K1351" s="1">
        <v>1</v>
      </c>
      <c r="L1351" s="1">
        <v>0</v>
      </c>
      <c r="M1351" s="1">
        <v>0</v>
      </c>
    </row>
    <row r="1352" spans="1:13">
      <c r="A1352" s="1">
        <v>1351</v>
      </c>
      <c r="B1352" s="1">
        <v>947908.16509999998</v>
      </c>
      <c r="C1352" s="1">
        <v>649316.84510879591</v>
      </c>
      <c r="D1352" s="1">
        <f t="shared" si="21"/>
        <v>298591.31999120407</v>
      </c>
      <c r="E1352" s="1">
        <v>18</v>
      </c>
      <c r="F1352" s="1">
        <v>15</v>
      </c>
      <c r="G1352" s="1">
        <v>2</v>
      </c>
      <c r="H1352" s="1">
        <v>1</v>
      </c>
      <c r="I1352" s="1">
        <v>0</v>
      </c>
      <c r="J1352" s="1">
        <v>0</v>
      </c>
      <c r="K1352" s="1">
        <v>0</v>
      </c>
      <c r="L1352" s="1">
        <v>0</v>
      </c>
      <c r="M1352" s="1">
        <v>0</v>
      </c>
    </row>
    <row r="1353" spans="1:13">
      <c r="A1353" s="1">
        <v>1352</v>
      </c>
      <c r="B1353" s="1">
        <v>923494.75959999999</v>
      </c>
      <c r="C1353" s="1">
        <v>756451.40139606199</v>
      </c>
      <c r="D1353" s="1">
        <f t="shared" si="21"/>
        <v>167043.358203938</v>
      </c>
      <c r="E1353" s="1">
        <v>13</v>
      </c>
      <c r="F1353" s="1">
        <v>18</v>
      </c>
      <c r="G1353" s="1">
        <v>4</v>
      </c>
      <c r="H1353" s="1">
        <v>0</v>
      </c>
      <c r="I1353" s="1">
        <v>1</v>
      </c>
      <c r="J1353" s="1">
        <v>1</v>
      </c>
      <c r="K1353" s="1">
        <v>0</v>
      </c>
      <c r="L1353" s="1">
        <v>0</v>
      </c>
      <c r="M1353" s="1">
        <v>0</v>
      </c>
    </row>
    <row r="1354" spans="1:13">
      <c r="A1354" s="1">
        <v>1353</v>
      </c>
      <c r="B1354" s="1">
        <v>1019875.4888000001</v>
      </c>
      <c r="C1354" s="1">
        <v>1592942.8546332875</v>
      </c>
      <c r="D1354" s="1">
        <f t="shared" si="21"/>
        <v>-573067.36583328748</v>
      </c>
      <c r="E1354" s="1">
        <v>8</v>
      </c>
      <c r="F1354" s="1">
        <v>20</v>
      </c>
      <c r="G1354" s="1">
        <v>7</v>
      </c>
      <c r="H1354" s="1">
        <v>0</v>
      </c>
      <c r="I1354" s="1">
        <v>0</v>
      </c>
      <c r="J1354" s="1">
        <v>0</v>
      </c>
      <c r="K1354" s="1">
        <v>1</v>
      </c>
      <c r="L1354" s="1">
        <v>0</v>
      </c>
      <c r="M1354" s="1">
        <v>0</v>
      </c>
    </row>
    <row r="1355" spans="1:13">
      <c r="A1355" s="1">
        <v>1354</v>
      </c>
      <c r="B1355" s="1">
        <v>926873.68759999995</v>
      </c>
      <c r="C1355" s="1">
        <v>996390.77174702799</v>
      </c>
      <c r="D1355" s="1">
        <f t="shared" si="21"/>
        <v>-69517.084147028043</v>
      </c>
      <c r="E1355" s="1">
        <v>6</v>
      </c>
      <c r="F1355" s="1">
        <v>21</v>
      </c>
      <c r="G1355" s="1">
        <v>8</v>
      </c>
      <c r="H1355" s="1">
        <v>2</v>
      </c>
      <c r="I1355" s="1">
        <v>0</v>
      </c>
      <c r="J1355" s="1">
        <v>1</v>
      </c>
      <c r="K1355" s="1">
        <v>1</v>
      </c>
      <c r="L1355" s="1">
        <v>0</v>
      </c>
      <c r="M1355" s="1">
        <v>0</v>
      </c>
    </row>
    <row r="1356" spans="1:13">
      <c r="A1356" s="1">
        <v>1355</v>
      </c>
      <c r="B1356" s="1">
        <v>937567.90469999996</v>
      </c>
      <c r="C1356" s="1">
        <v>1120644.5062286262</v>
      </c>
      <c r="D1356" s="1">
        <f t="shared" si="21"/>
        <v>-183076.60152862628</v>
      </c>
      <c r="E1356" s="1">
        <v>8</v>
      </c>
      <c r="F1356" s="1">
        <v>21</v>
      </c>
      <c r="G1356" s="1">
        <v>6</v>
      </c>
      <c r="H1356" s="1">
        <v>2</v>
      </c>
      <c r="I1356" s="1">
        <v>0</v>
      </c>
      <c r="J1356" s="1">
        <v>0</v>
      </c>
      <c r="K1356" s="1">
        <v>2</v>
      </c>
      <c r="L1356" s="1">
        <v>0</v>
      </c>
      <c r="M1356" s="1">
        <v>0</v>
      </c>
    </row>
    <row r="1357" spans="1:13">
      <c r="A1357" s="1">
        <v>1356</v>
      </c>
      <c r="B1357" s="1">
        <v>955842.49719999998</v>
      </c>
      <c r="C1357" s="1">
        <v>935006.00566884689</v>
      </c>
      <c r="D1357" s="1">
        <f t="shared" si="21"/>
        <v>20836.491531153093</v>
      </c>
      <c r="E1357" s="1">
        <v>9</v>
      </c>
      <c r="F1357" s="1">
        <v>20</v>
      </c>
      <c r="G1357" s="1">
        <v>6</v>
      </c>
      <c r="H1357" s="1">
        <v>1</v>
      </c>
      <c r="I1357" s="1">
        <v>0</v>
      </c>
      <c r="J1357" s="1">
        <v>0</v>
      </c>
      <c r="K1357" s="1">
        <v>0</v>
      </c>
      <c r="L1357" s="1">
        <v>0</v>
      </c>
      <c r="M1357" s="1">
        <v>0</v>
      </c>
    </row>
    <row r="1358" spans="1:13">
      <c r="A1358" s="1">
        <v>1357</v>
      </c>
      <c r="B1358" s="1">
        <v>1011180.7325</v>
      </c>
      <c r="C1358" s="1">
        <v>791418.39209013211</v>
      </c>
      <c r="D1358" s="1">
        <f t="shared" si="21"/>
        <v>219762.34040986793</v>
      </c>
      <c r="E1358" s="1">
        <v>9</v>
      </c>
      <c r="F1358" s="1">
        <v>22</v>
      </c>
      <c r="G1358" s="1">
        <v>4</v>
      </c>
      <c r="H1358" s="1">
        <v>0</v>
      </c>
      <c r="I1358" s="1">
        <v>0</v>
      </c>
      <c r="J1358" s="1">
        <v>2</v>
      </c>
      <c r="K1358" s="1">
        <v>0</v>
      </c>
      <c r="L1358" s="1">
        <v>0</v>
      </c>
      <c r="M1358" s="1">
        <v>0</v>
      </c>
    </row>
    <row r="1359" spans="1:13">
      <c r="A1359" s="1">
        <v>1358</v>
      </c>
      <c r="B1359" s="1">
        <v>864414.80489999999</v>
      </c>
      <c r="C1359" s="1">
        <v>562959.4543150306</v>
      </c>
      <c r="D1359" s="1">
        <f t="shared" si="21"/>
        <v>301455.35058496939</v>
      </c>
      <c r="E1359" s="1">
        <v>14</v>
      </c>
      <c r="F1359" s="1">
        <v>18</v>
      </c>
      <c r="G1359" s="1">
        <v>3</v>
      </c>
      <c r="H1359" s="1">
        <v>2</v>
      </c>
      <c r="I1359" s="1">
        <v>0</v>
      </c>
      <c r="J1359" s="1">
        <v>0</v>
      </c>
      <c r="K1359" s="1">
        <v>1</v>
      </c>
      <c r="L1359" s="1">
        <v>0</v>
      </c>
      <c r="M1359" s="1">
        <v>0</v>
      </c>
    </row>
    <row r="1360" spans="1:13">
      <c r="A1360" s="1">
        <v>1359</v>
      </c>
      <c r="B1360" s="1">
        <v>1063430.7997999999</v>
      </c>
      <c r="C1360" s="1">
        <v>833111.95516490773</v>
      </c>
      <c r="D1360" s="1">
        <f t="shared" si="21"/>
        <v>230318.84463509219</v>
      </c>
      <c r="E1360" s="1">
        <v>6</v>
      </c>
      <c r="F1360" s="1">
        <v>25</v>
      </c>
      <c r="G1360" s="1">
        <v>4</v>
      </c>
      <c r="H1360" s="1">
        <v>1</v>
      </c>
      <c r="I1360" s="1">
        <v>0</v>
      </c>
      <c r="J1360" s="1">
        <v>1</v>
      </c>
      <c r="K1360" s="1">
        <v>0</v>
      </c>
      <c r="L1360" s="1">
        <v>0</v>
      </c>
      <c r="M1360" s="1">
        <v>1</v>
      </c>
    </row>
    <row r="1361" spans="1:13">
      <c r="A1361" s="1">
        <v>1360</v>
      </c>
      <c r="B1361" s="1">
        <v>846703.13320000004</v>
      </c>
      <c r="C1361" s="1">
        <v>1008984.2872969818</v>
      </c>
      <c r="D1361" s="1">
        <f t="shared" si="21"/>
        <v>-162281.15409698174</v>
      </c>
      <c r="E1361" s="1">
        <v>21</v>
      </c>
      <c r="F1361" s="1">
        <v>11</v>
      </c>
      <c r="G1361" s="1">
        <v>3</v>
      </c>
      <c r="H1361" s="1">
        <v>1</v>
      </c>
      <c r="I1361" s="1">
        <v>1</v>
      </c>
      <c r="J1361" s="1">
        <v>1</v>
      </c>
      <c r="K1361" s="1">
        <v>0</v>
      </c>
      <c r="L1361" s="1">
        <v>0</v>
      </c>
      <c r="M1361" s="1">
        <v>0</v>
      </c>
    </row>
    <row r="1362" spans="1:13">
      <c r="A1362" s="1">
        <v>1361</v>
      </c>
      <c r="B1362" s="1">
        <v>933764.0111</v>
      </c>
      <c r="C1362" s="1">
        <v>693550.81347870594</v>
      </c>
      <c r="D1362" s="1">
        <f t="shared" si="21"/>
        <v>240213.19762129406</v>
      </c>
      <c r="E1362" s="1">
        <v>16</v>
      </c>
      <c r="F1362" s="1">
        <v>14</v>
      </c>
      <c r="G1362" s="1">
        <v>5</v>
      </c>
      <c r="H1362" s="1">
        <v>0</v>
      </c>
      <c r="I1362" s="1">
        <v>1</v>
      </c>
      <c r="J1362" s="1">
        <v>0</v>
      </c>
      <c r="K1362" s="1">
        <v>1</v>
      </c>
      <c r="L1362" s="1">
        <v>0</v>
      </c>
      <c r="M1362" s="1">
        <v>0</v>
      </c>
    </row>
    <row r="1363" spans="1:13">
      <c r="A1363" s="1">
        <v>1362</v>
      </c>
      <c r="B1363" s="1">
        <v>935503.89300000004</v>
      </c>
      <c r="C1363" s="1">
        <v>834542.87890451029</v>
      </c>
      <c r="D1363" s="1">
        <f t="shared" si="21"/>
        <v>100961.01409548975</v>
      </c>
      <c r="E1363" s="1">
        <v>16</v>
      </c>
      <c r="F1363" s="1">
        <v>13</v>
      </c>
      <c r="G1363" s="1">
        <v>6</v>
      </c>
      <c r="H1363" s="1">
        <v>1</v>
      </c>
      <c r="I1363" s="1">
        <v>0</v>
      </c>
      <c r="J1363" s="1">
        <v>1</v>
      </c>
      <c r="K1363" s="1">
        <v>1</v>
      </c>
      <c r="L1363" s="1">
        <v>0</v>
      </c>
      <c r="M1363" s="1">
        <v>0</v>
      </c>
    </row>
    <row r="1364" spans="1:13">
      <c r="A1364" s="1">
        <v>1363</v>
      </c>
      <c r="B1364" s="1">
        <v>1090341.3551</v>
      </c>
      <c r="C1364" s="1">
        <v>1008330.3263256273</v>
      </c>
      <c r="D1364" s="1">
        <f t="shared" si="21"/>
        <v>82011.028774372768</v>
      </c>
      <c r="E1364" s="1">
        <v>4</v>
      </c>
      <c r="F1364" s="1">
        <v>25</v>
      </c>
      <c r="G1364" s="1">
        <v>6</v>
      </c>
      <c r="H1364" s="1">
        <v>2</v>
      </c>
      <c r="I1364" s="1">
        <v>0</v>
      </c>
      <c r="J1364" s="1">
        <v>2</v>
      </c>
      <c r="K1364" s="1">
        <v>0</v>
      </c>
      <c r="L1364" s="1">
        <v>0</v>
      </c>
      <c r="M1364" s="1">
        <v>1</v>
      </c>
    </row>
    <row r="1365" spans="1:13">
      <c r="A1365" s="1">
        <v>1364</v>
      </c>
      <c r="B1365" s="1">
        <v>926937.58790000004</v>
      </c>
      <c r="C1365" s="1">
        <v>907434.76048257924</v>
      </c>
      <c r="D1365" s="1">
        <f t="shared" si="21"/>
        <v>19502.827417420805</v>
      </c>
      <c r="E1365" s="1">
        <v>11</v>
      </c>
      <c r="F1365" s="1">
        <v>20</v>
      </c>
      <c r="G1365" s="1">
        <v>4</v>
      </c>
      <c r="H1365" s="1">
        <v>1</v>
      </c>
      <c r="I1365" s="1">
        <v>0</v>
      </c>
      <c r="J1365" s="1">
        <v>1</v>
      </c>
      <c r="K1365" s="1">
        <v>0</v>
      </c>
      <c r="L1365" s="1">
        <v>0</v>
      </c>
      <c r="M1365" s="1">
        <v>0</v>
      </c>
    </row>
    <row r="1366" spans="1:13">
      <c r="A1366" s="1">
        <v>1365</v>
      </c>
      <c r="B1366" s="1">
        <v>941483.5969</v>
      </c>
      <c r="C1366" s="1">
        <v>967503.7649362688</v>
      </c>
      <c r="D1366" s="1">
        <f t="shared" si="21"/>
        <v>-26020.168036268791</v>
      </c>
      <c r="E1366" s="1">
        <v>8</v>
      </c>
      <c r="F1366" s="1">
        <v>26</v>
      </c>
      <c r="G1366" s="1">
        <v>1</v>
      </c>
      <c r="H1366" s="1">
        <v>0</v>
      </c>
      <c r="I1366" s="1">
        <v>1</v>
      </c>
      <c r="J1366" s="1">
        <v>1</v>
      </c>
      <c r="K1366" s="1">
        <v>1</v>
      </c>
      <c r="L1366" s="1">
        <v>0</v>
      </c>
      <c r="M1366" s="1">
        <v>1</v>
      </c>
    </row>
    <row r="1367" spans="1:13">
      <c r="A1367" s="1">
        <v>1366</v>
      </c>
      <c r="B1367" s="1">
        <v>912833.56290000002</v>
      </c>
      <c r="C1367" s="1">
        <v>729293.70904914453</v>
      </c>
      <c r="D1367" s="1">
        <f t="shared" si="21"/>
        <v>183539.85385085549</v>
      </c>
      <c r="E1367" s="1">
        <v>17</v>
      </c>
      <c r="F1367" s="1">
        <v>15</v>
      </c>
      <c r="G1367" s="1">
        <v>3</v>
      </c>
      <c r="H1367" s="1">
        <v>0</v>
      </c>
      <c r="I1367" s="1">
        <v>0</v>
      </c>
      <c r="J1367" s="1">
        <v>0</v>
      </c>
      <c r="K1367" s="1">
        <v>0</v>
      </c>
      <c r="L1367" s="1">
        <v>0</v>
      </c>
      <c r="M1367" s="1">
        <v>1</v>
      </c>
    </row>
    <row r="1368" spans="1:13">
      <c r="A1368" s="1">
        <v>1367</v>
      </c>
      <c r="B1368" s="1">
        <v>920204.95510000002</v>
      </c>
      <c r="C1368" s="1">
        <v>808838.96567288204</v>
      </c>
      <c r="D1368" s="1">
        <f t="shared" si="21"/>
        <v>111365.98942711798</v>
      </c>
      <c r="E1368" s="1">
        <v>12</v>
      </c>
      <c r="F1368" s="1">
        <v>17</v>
      </c>
      <c r="G1368" s="1">
        <v>6</v>
      </c>
      <c r="H1368" s="1">
        <v>0</v>
      </c>
      <c r="I1368" s="1">
        <v>0</v>
      </c>
      <c r="J1368" s="1">
        <v>0</v>
      </c>
      <c r="K1368" s="1">
        <v>0</v>
      </c>
      <c r="L1368" s="1">
        <v>0</v>
      </c>
      <c r="M1368" s="1">
        <v>0</v>
      </c>
    </row>
    <row r="1369" spans="1:13">
      <c r="A1369" s="1">
        <v>1368</v>
      </c>
      <c r="B1369" s="1">
        <v>1026280.4493</v>
      </c>
      <c r="C1369" s="1">
        <v>754920.45618373435</v>
      </c>
      <c r="D1369" s="1">
        <f t="shared" si="21"/>
        <v>271359.99311626563</v>
      </c>
      <c r="E1369" s="1">
        <v>6</v>
      </c>
      <c r="F1369" s="1">
        <v>24</v>
      </c>
      <c r="G1369" s="1">
        <v>5</v>
      </c>
      <c r="H1369" s="1">
        <v>2</v>
      </c>
      <c r="I1369" s="1">
        <v>0</v>
      </c>
      <c r="J1369" s="1">
        <v>1</v>
      </c>
      <c r="K1369" s="1">
        <v>0</v>
      </c>
      <c r="L1369" s="1">
        <v>0</v>
      </c>
      <c r="M1369" s="1">
        <v>0</v>
      </c>
    </row>
    <row r="1370" spans="1:13">
      <c r="A1370" s="1">
        <v>1369</v>
      </c>
      <c r="B1370" s="1">
        <v>961449.03170000005</v>
      </c>
      <c r="C1370" s="1">
        <v>867034.03782415064</v>
      </c>
      <c r="D1370" s="1">
        <f t="shared" si="21"/>
        <v>94414.99387584941</v>
      </c>
      <c r="E1370" s="1">
        <v>11</v>
      </c>
      <c r="F1370" s="1">
        <v>20</v>
      </c>
      <c r="G1370" s="1">
        <v>4</v>
      </c>
      <c r="H1370" s="1">
        <v>0</v>
      </c>
      <c r="I1370" s="1">
        <v>0</v>
      </c>
      <c r="J1370" s="1">
        <v>0</v>
      </c>
      <c r="K1370" s="1">
        <v>0</v>
      </c>
      <c r="L1370" s="1">
        <v>0</v>
      </c>
      <c r="M1370" s="1">
        <v>1</v>
      </c>
    </row>
    <row r="1371" spans="1:13">
      <c r="A1371" s="1">
        <v>1370</v>
      </c>
      <c r="B1371" s="1">
        <v>914612.09869999997</v>
      </c>
      <c r="C1371" s="1">
        <v>1455875.5284958617</v>
      </c>
      <c r="D1371" s="1">
        <f t="shared" si="21"/>
        <v>-541263.42979586171</v>
      </c>
      <c r="E1371" s="1">
        <v>9</v>
      </c>
      <c r="F1371" s="1">
        <v>21</v>
      </c>
      <c r="G1371" s="1">
        <v>5</v>
      </c>
      <c r="H1371" s="1">
        <v>2</v>
      </c>
      <c r="I1371" s="1">
        <v>0</v>
      </c>
      <c r="J1371" s="1">
        <v>1</v>
      </c>
      <c r="K1371" s="1">
        <v>1</v>
      </c>
      <c r="L1371" s="1">
        <v>0</v>
      </c>
      <c r="M1371" s="1">
        <v>0</v>
      </c>
    </row>
    <row r="1372" spans="1:13">
      <c r="A1372" s="1">
        <v>1371</v>
      </c>
      <c r="B1372" s="1">
        <v>927706.55669999996</v>
      </c>
      <c r="C1372" s="1">
        <v>708967.82286482095</v>
      </c>
      <c r="D1372" s="1">
        <f t="shared" si="21"/>
        <v>218738.73383517901</v>
      </c>
      <c r="E1372" s="1">
        <v>14</v>
      </c>
      <c r="F1372" s="1">
        <v>15</v>
      </c>
      <c r="G1372" s="1">
        <v>6</v>
      </c>
      <c r="H1372" s="1">
        <v>0</v>
      </c>
      <c r="I1372" s="1">
        <v>0</v>
      </c>
      <c r="J1372" s="1">
        <v>0</v>
      </c>
      <c r="K1372" s="1">
        <v>2</v>
      </c>
      <c r="L1372" s="1">
        <v>0</v>
      </c>
      <c r="M1372" s="1">
        <v>0</v>
      </c>
    </row>
    <row r="1373" spans="1:13">
      <c r="A1373" s="1">
        <v>1372</v>
      </c>
      <c r="B1373" s="1">
        <v>966885.38320000004</v>
      </c>
      <c r="C1373" s="1">
        <v>977337.35940076038</v>
      </c>
      <c r="D1373" s="1">
        <f t="shared" si="21"/>
        <v>-10451.976200760342</v>
      </c>
      <c r="E1373" s="1">
        <v>17</v>
      </c>
      <c r="F1373" s="1">
        <v>13</v>
      </c>
      <c r="G1373" s="1">
        <v>5</v>
      </c>
      <c r="H1373" s="1">
        <v>1</v>
      </c>
      <c r="I1373" s="1">
        <v>1</v>
      </c>
      <c r="J1373" s="1">
        <v>0</v>
      </c>
      <c r="K1373" s="1">
        <v>1</v>
      </c>
      <c r="L1373" s="1">
        <v>0</v>
      </c>
      <c r="M1373" s="1">
        <v>0</v>
      </c>
    </row>
    <row r="1374" spans="1:13">
      <c r="A1374" s="1">
        <v>1373</v>
      </c>
      <c r="B1374" s="1">
        <v>994630.65460000001</v>
      </c>
      <c r="C1374" s="1">
        <v>830748.09083690704</v>
      </c>
      <c r="D1374" s="1">
        <f t="shared" si="21"/>
        <v>163882.56376309297</v>
      </c>
      <c r="E1374" s="1">
        <v>5</v>
      </c>
      <c r="F1374" s="1">
        <v>24</v>
      </c>
      <c r="G1374" s="1">
        <v>6</v>
      </c>
      <c r="H1374" s="1">
        <v>0</v>
      </c>
      <c r="I1374" s="1">
        <v>0</v>
      </c>
      <c r="J1374" s="1">
        <v>1</v>
      </c>
      <c r="K1374" s="1">
        <v>0</v>
      </c>
      <c r="L1374" s="1">
        <v>0</v>
      </c>
      <c r="M1374" s="1">
        <v>0</v>
      </c>
    </row>
    <row r="1375" spans="1:13">
      <c r="A1375" s="1">
        <v>1374</v>
      </c>
      <c r="B1375" s="1">
        <v>1025345.3549</v>
      </c>
      <c r="C1375" s="1">
        <v>898217.90883897804</v>
      </c>
      <c r="D1375" s="1">
        <f t="shared" si="21"/>
        <v>127127.446061022</v>
      </c>
      <c r="E1375" s="1">
        <v>8</v>
      </c>
      <c r="F1375" s="1">
        <v>20</v>
      </c>
      <c r="G1375" s="1">
        <v>7</v>
      </c>
      <c r="H1375" s="1">
        <v>2</v>
      </c>
      <c r="I1375" s="1">
        <v>0</v>
      </c>
      <c r="J1375" s="1">
        <v>0</v>
      </c>
      <c r="K1375" s="1">
        <v>1</v>
      </c>
      <c r="L1375" s="1">
        <v>0</v>
      </c>
      <c r="M1375" s="1">
        <v>0</v>
      </c>
    </row>
    <row r="1376" spans="1:13">
      <c r="A1376" s="1">
        <v>1375</v>
      </c>
      <c r="B1376" s="1">
        <v>957870.54579999996</v>
      </c>
      <c r="C1376" s="1">
        <v>867278.19822873164</v>
      </c>
      <c r="D1376" s="1">
        <f t="shared" si="21"/>
        <v>90592.347571268328</v>
      </c>
      <c r="E1376" s="1">
        <v>16</v>
      </c>
      <c r="F1376" s="1">
        <v>13</v>
      </c>
      <c r="G1376" s="1">
        <v>6</v>
      </c>
      <c r="H1376" s="1">
        <v>1</v>
      </c>
      <c r="I1376" s="1">
        <v>0</v>
      </c>
      <c r="J1376" s="1">
        <v>1</v>
      </c>
      <c r="K1376" s="1">
        <v>1</v>
      </c>
      <c r="L1376" s="1">
        <v>0</v>
      </c>
      <c r="M1376" s="1">
        <v>0</v>
      </c>
    </row>
    <row r="1377" spans="1:13">
      <c r="A1377" s="1">
        <v>1376</v>
      </c>
      <c r="B1377" s="1">
        <v>920958.02190000005</v>
      </c>
      <c r="C1377" s="1">
        <v>725670.03521081095</v>
      </c>
      <c r="D1377" s="1">
        <f t="shared" si="21"/>
        <v>195287.9866891891</v>
      </c>
      <c r="E1377" s="1">
        <v>12</v>
      </c>
      <c r="F1377" s="1">
        <v>18</v>
      </c>
      <c r="G1377" s="1">
        <v>5</v>
      </c>
      <c r="H1377" s="1">
        <v>1</v>
      </c>
      <c r="I1377" s="1">
        <v>0</v>
      </c>
      <c r="J1377" s="1">
        <v>1</v>
      </c>
      <c r="K1377" s="1">
        <v>0</v>
      </c>
      <c r="L1377" s="1">
        <v>0</v>
      </c>
      <c r="M1377" s="1">
        <v>0</v>
      </c>
    </row>
    <row r="1378" spans="1:13">
      <c r="A1378" s="1">
        <v>1377</v>
      </c>
      <c r="B1378" s="1">
        <v>879440.43400000001</v>
      </c>
      <c r="C1378" s="1">
        <v>1373763.0620238297</v>
      </c>
      <c r="D1378" s="1">
        <f t="shared" si="21"/>
        <v>-494322.62802382966</v>
      </c>
      <c r="E1378" s="1">
        <v>5</v>
      </c>
      <c r="F1378" s="1">
        <v>24</v>
      </c>
      <c r="G1378" s="1">
        <v>6</v>
      </c>
      <c r="H1378" s="1">
        <v>2</v>
      </c>
      <c r="I1378" s="1">
        <v>0</v>
      </c>
      <c r="J1378" s="1">
        <v>0</v>
      </c>
      <c r="K1378" s="1">
        <v>1</v>
      </c>
      <c r="L1378" s="1">
        <v>1</v>
      </c>
      <c r="M1378" s="1">
        <v>0</v>
      </c>
    </row>
    <row r="1379" spans="1:13">
      <c r="A1379" s="1">
        <v>1378</v>
      </c>
      <c r="B1379" s="1">
        <v>973623.69499999995</v>
      </c>
      <c r="C1379" s="1">
        <v>710332.77086603711</v>
      </c>
      <c r="D1379" s="1">
        <f t="shared" si="21"/>
        <v>263290.92413396284</v>
      </c>
      <c r="E1379" s="1">
        <v>6</v>
      </c>
      <c r="F1379" s="1">
        <v>21</v>
      </c>
      <c r="G1379" s="1">
        <v>8</v>
      </c>
      <c r="H1379" s="1">
        <v>1</v>
      </c>
      <c r="I1379" s="1">
        <v>1</v>
      </c>
      <c r="J1379" s="1">
        <v>2</v>
      </c>
      <c r="K1379" s="1">
        <v>0</v>
      </c>
      <c r="L1379" s="1">
        <v>0</v>
      </c>
      <c r="M1379" s="1">
        <v>0</v>
      </c>
    </row>
    <row r="1380" spans="1:13">
      <c r="A1380" s="1">
        <v>1379</v>
      </c>
      <c r="B1380" s="1">
        <v>956490.39170000004</v>
      </c>
      <c r="C1380" s="1">
        <v>1250507.9848058815</v>
      </c>
      <c r="D1380" s="1">
        <f t="shared" si="21"/>
        <v>-294017.59310588147</v>
      </c>
      <c r="E1380" s="1">
        <v>19</v>
      </c>
      <c r="F1380" s="1">
        <v>11</v>
      </c>
      <c r="G1380" s="1">
        <v>5</v>
      </c>
      <c r="H1380" s="1">
        <v>1</v>
      </c>
      <c r="I1380" s="1">
        <v>1</v>
      </c>
      <c r="J1380" s="1">
        <v>0</v>
      </c>
      <c r="K1380" s="1">
        <v>0</v>
      </c>
      <c r="L1380" s="1">
        <v>0</v>
      </c>
      <c r="M1380" s="1">
        <v>0</v>
      </c>
    </row>
    <row r="1381" spans="1:13">
      <c r="A1381" s="1">
        <v>1380</v>
      </c>
      <c r="B1381" s="1">
        <v>928691.63910000003</v>
      </c>
      <c r="C1381" s="1">
        <v>673026.08254237671</v>
      </c>
      <c r="D1381" s="1">
        <f t="shared" si="21"/>
        <v>255665.55655762332</v>
      </c>
      <c r="E1381" s="1">
        <v>14</v>
      </c>
      <c r="F1381" s="1">
        <v>19</v>
      </c>
      <c r="G1381" s="1">
        <v>2</v>
      </c>
      <c r="H1381" s="1">
        <v>1</v>
      </c>
      <c r="I1381" s="1">
        <v>0</v>
      </c>
      <c r="J1381" s="1">
        <v>0</v>
      </c>
      <c r="K1381" s="1">
        <v>0</v>
      </c>
      <c r="L1381" s="1">
        <v>0</v>
      </c>
      <c r="M1381" s="1">
        <v>0</v>
      </c>
    </row>
    <row r="1382" spans="1:13">
      <c r="A1382" s="1">
        <v>1381</v>
      </c>
      <c r="B1382" s="1">
        <v>891941.9327</v>
      </c>
      <c r="C1382" s="1">
        <v>879552.40989958006</v>
      </c>
      <c r="D1382" s="1">
        <f t="shared" si="21"/>
        <v>12389.522800419945</v>
      </c>
      <c r="E1382" s="1">
        <v>14</v>
      </c>
      <c r="F1382" s="1">
        <v>16</v>
      </c>
      <c r="G1382" s="1">
        <v>5</v>
      </c>
      <c r="H1382" s="1">
        <v>1</v>
      </c>
      <c r="I1382" s="1">
        <v>1</v>
      </c>
      <c r="J1382" s="1">
        <v>0</v>
      </c>
      <c r="K1382" s="1">
        <v>0</v>
      </c>
      <c r="L1382" s="1">
        <v>0</v>
      </c>
      <c r="M1382" s="1">
        <v>0</v>
      </c>
    </row>
    <row r="1383" spans="1:13">
      <c r="A1383" s="1">
        <v>1382</v>
      </c>
      <c r="B1383" s="1">
        <v>904190.1372</v>
      </c>
      <c r="C1383" s="1">
        <v>910285.1020047944</v>
      </c>
      <c r="D1383" s="1">
        <f t="shared" si="21"/>
        <v>-6094.9648047944065</v>
      </c>
      <c r="E1383" s="1">
        <v>8</v>
      </c>
      <c r="F1383" s="1">
        <v>23</v>
      </c>
      <c r="G1383" s="1">
        <v>4</v>
      </c>
      <c r="H1383" s="1">
        <v>1</v>
      </c>
      <c r="I1383" s="1">
        <v>0</v>
      </c>
      <c r="J1383" s="1">
        <v>0</v>
      </c>
      <c r="K1383" s="1">
        <v>2</v>
      </c>
      <c r="L1383" s="1">
        <v>0</v>
      </c>
      <c r="M1383" s="1">
        <v>0</v>
      </c>
    </row>
    <row r="1384" spans="1:13">
      <c r="A1384" s="1">
        <v>1383</v>
      </c>
      <c r="B1384" s="1">
        <v>990531.35329999996</v>
      </c>
      <c r="C1384" s="1">
        <v>849906.86333672365</v>
      </c>
      <c r="D1384" s="1">
        <f t="shared" si="21"/>
        <v>140624.48996327631</v>
      </c>
      <c r="E1384" s="1">
        <v>12</v>
      </c>
      <c r="F1384" s="1">
        <v>19</v>
      </c>
      <c r="G1384" s="1">
        <v>4</v>
      </c>
      <c r="H1384" s="1">
        <v>0</v>
      </c>
      <c r="I1384" s="1">
        <v>0</v>
      </c>
      <c r="J1384" s="1">
        <v>0</v>
      </c>
      <c r="K1384" s="1">
        <v>0</v>
      </c>
      <c r="L1384" s="1">
        <v>0</v>
      </c>
      <c r="M1384" s="1">
        <v>1</v>
      </c>
    </row>
    <row r="1385" spans="1:13">
      <c r="A1385" s="1">
        <v>1384</v>
      </c>
      <c r="B1385" s="1">
        <v>943334.12749999994</v>
      </c>
      <c r="C1385" s="1">
        <v>618923.00272739329</v>
      </c>
      <c r="D1385" s="1">
        <f t="shared" si="21"/>
        <v>324411.12477260665</v>
      </c>
      <c r="E1385" s="1">
        <v>19</v>
      </c>
      <c r="F1385" s="1">
        <v>11</v>
      </c>
      <c r="G1385" s="1">
        <v>5</v>
      </c>
      <c r="H1385" s="1">
        <v>0</v>
      </c>
      <c r="I1385" s="1">
        <v>0</v>
      </c>
      <c r="J1385" s="1">
        <v>1</v>
      </c>
      <c r="K1385" s="1">
        <v>1</v>
      </c>
      <c r="L1385" s="1">
        <v>0</v>
      </c>
      <c r="M1385" s="1">
        <v>0</v>
      </c>
    </row>
    <row r="1386" spans="1:13">
      <c r="A1386" s="1">
        <v>1385</v>
      </c>
      <c r="B1386" s="1">
        <v>893252.84759999998</v>
      </c>
      <c r="C1386" s="1">
        <v>1176182.5862850486</v>
      </c>
      <c r="D1386" s="1">
        <f t="shared" si="21"/>
        <v>-282929.73868504865</v>
      </c>
      <c r="E1386" s="1">
        <v>10</v>
      </c>
      <c r="F1386" s="1">
        <v>18</v>
      </c>
      <c r="G1386" s="1">
        <v>7</v>
      </c>
      <c r="H1386" s="1">
        <v>0</v>
      </c>
      <c r="I1386" s="1">
        <v>1</v>
      </c>
      <c r="J1386" s="1">
        <v>0</v>
      </c>
      <c r="K1386" s="1">
        <v>1</v>
      </c>
      <c r="L1386" s="1">
        <v>0</v>
      </c>
      <c r="M1386" s="1">
        <v>0</v>
      </c>
    </row>
    <row r="1387" spans="1:13">
      <c r="A1387" s="1">
        <v>1386</v>
      </c>
      <c r="B1387" s="1">
        <v>887926.86179999996</v>
      </c>
      <c r="C1387" s="1">
        <v>887595.17211647576</v>
      </c>
      <c r="D1387" s="1">
        <f t="shared" si="21"/>
        <v>331.68968352419324</v>
      </c>
      <c r="E1387" s="1">
        <v>17</v>
      </c>
      <c r="F1387" s="1">
        <v>13</v>
      </c>
      <c r="G1387" s="1">
        <v>5</v>
      </c>
      <c r="H1387" s="1">
        <v>0</v>
      </c>
      <c r="I1387" s="1">
        <v>0</v>
      </c>
      <c r="J1387" s="1">
        <v>2</v>
      </c>
      <c r="K1387" s="1">
        <v>0</v>
      </c>
      <c r="L1387" s="1">
        <v>0</v>
      </c>
      <c r="M1387" s="1">
        <v>0</v>
      </c>
    </row>
    <row r="1388" spans="1:13">
      <c r="A1388" s="1">
        <v>1387</v>
      </c>
      <c r="B1388" s="1">
        <v>1019855.3275</v>
      </c>
      <c r="C1388" s="1">
        <v>1045117.0329983463</v>
      </c>
      <c r="D1388" s="1">
        <f t="shared" si="21"/>
        <v>-25261.705498346244</v>
      </c>
      <c r="E1388" s="1">
        <v>9</v>
      </c>
      <c r="F1388" s="1">
        <v>19</v>
      </c>
      <c r="G1388" s="1">
        <v>7</v>
      </c>
      <c r="H1388" s="1">
        <v>0</v>
      </c>
      <c r="I1388" s="1">
        <v>1</v>
      </c>
      <c r="J1388" s="1">
        <v>1</v>
      </c>
      <c r="K1388" s="1">
        <v>0</v>
      </c>
      <c r="L1388" s="1">
        <v>0</v>
      </c>
      <c r="M1388" s="1">
        <v>0</v>
      </c>
    </row>
    <row r="1389" spans="1:13">
      <c r="A1389" s="1">
        <v>1388</v>
      </c>
      <c r="B1389" s="1">
        <v>891234.1557</v>
      </c>
      <c r="C1389" s="1">
        <v>708893.40523435897</v>
      </c>
      <c r="D1389" s="1">
        <f t="shared" si="21"/>
        <v>182340.75046564103</v>
      </c>
      <c r="E1389" s="1">
        <v>16</v>
      </c>
      <c r="F1389" s="1">
        <v>15</v>
      </c>
      <c r="G1389" s="1">
        <v>4</v>
      </c>
      <c r="H1389" s="1">
        <v>0</v>
      </c>
      <c r="I1389" s="1">
        <v>0</v>
      </c>
      <c r="J1389" s="1">
        <v>0</v>
      </c>
      <c r="K1389" s="1">
        <v>1</v>
      </c>
      <c r="L1389" s="1">
        <v>0</v>
      </c>
      <c r="M1389" s="1">
        <v>0</v>
      </c>
    </row>
    <row r="1390" spans="1:13">
      <c r="A1390" s="1">
        <v>1389</v>
      </c>
      <c r="B1390" s="1">
        <v>901737.65269999998</v>
      </c>
      <c r="C1390" s="1">
        <v>447565.25717279699</v>
      </c>
      <c r="D1390" s="1">
        <f t="shared" si="21"/>
        <v>454172.39552720299</v>
      </c>
      <c r="E1390" s="1">
        <v>26</v>
      </c>
      <c r="F1390" s="1">
        <v>6</v>
      </c>
      <c r="G1390" s="1">
        <v>3</v>
      </c>
      <c r="H1390" s="1">
        <v>2</v>
      </c>
      <c r="I1390" s="1">
        <v>0</v>
      </c>
      <c r="J1390" s="1">
        <v>0</v>
      </c>
      <c r="K1390" s="1">
        <v>0</v>
      </c>
      <c r="L1390" s="1">
        <v>0</v>
      </c>
      <c r="M1390" s="1">
        <v>0</v>
      </c>
    </row>
    <row r="1391" spans="1:13">
      <c r="A1391" s="1">
        <v>1390</v>
      </c>
      <c r="B1391" s="1">
        <v>983213.72080000001</v>
      </c>
      <c r="C1391" s="1">
        <v>925001.14219507156</v>
      </c>
      <c r="D1391" s="1">
        <f t="shared" si="21"/>
        <v>58212.578604928451</v>
      </c>
      <c r="E1391" s="1">
        <v>15</v>
      </c>
      <c r="F1391" s="1">
        <v>17</v>
      </c>
      <c r="G1391" s="1">
        <v>3</v>
      </c>
      <c r="H1391" s="1">
        <v>0</v>
      </c>
      <c r="I1391" s="1">
        <v>0</v>
      </c>
      <c r="J1391" s="1">
        <v>0</v>
      </c>
      <c r="K1391" s="1">
        <v>0</v>
      </c>
      <c r="L1391" s="1">
        <v>1</v>
      </c>
      <c r="M1391" s="1">
        <v>0</v>
      </c>
    </row>
    <row r="1392" spans="1:13">
      <c r="A1392" s="1">
        <v>1391</v>
      </c>
      <c r="B1392" s="1">
        <v>1142007.1668</v>
      </c>
      <c r="C1392" s="1">
        <v>885584.16649033932</v>
      </c>
      <c r="D1392" s="1">
        <f t="shared" si="21"/>
        <v>256423.00030966068</v>
      </c>
      <c r="E1392" s="1">
        <v>12</v>
      </c>
      <c r="F1392" s="1">
        <v>16</v>
      </c>
      <c r="G1392" s="1">
        <v>7</v>
      </c>
      <c r="H1392" s="1">
        <v>1</v>
      </c>
      <c r="I1392" s="1">
        <v>0</v>
      </c>
      <c r="J1392" s="1">
        <v>0</v>
      </c>
      <c r="K1392" s="1">
        <v>2</v>
      </c>
      <c r="L1392" s="1">
        <v>0</v>
      </c>
      <c r="M1392" s="1">
        <v>0</v>
      </c>
    </row>
    <row r="1393" spans="1:13">
      <c r="A1393" s="1">
        <v>1392</v>
      </c>
      <c r="B1393" s="1">
        <v>948217.84530000004</v>
      </c>
      <c r="C1393" s="1">
        <v>644254.26085741539</v>
      </c>
      <c r="D1393" s="1">
        <f t="shared" si="21"/>
        <v>303963.58444258466</v>
      </c>
      <c r="E1393" s="1">
        <v>4</v>
      </c>
      <c r="F1393" s="1">
        <v>24</v>
      </c>
      <c r="G1393" s="1">
        <v>7</v>
      </c>
      <c r="H1393" s="1">
        <v>1</v>
      </c>
      <c r="I1393" s="1">
        <v>0</v>
      </c>
      <c r="J1393" s="1">
        <v>1</v>
      </c>
      <c r="K1393" s="1">
        <v>0</v>
      </c>
      <c r="L1393" s="1">
        <v>0</v>
      </c>
      <c r="M1393" s="1">
        <v>0</v>
      </c>
    </row>
    <row r="1394" spans="1:13">
      <c r="A1394" s="1">
        <v>1393</v>
      </c>
      <c r="B1394" s="1">
        <v>939076.63260000001</v>
      </c>
      <c r="C1394" s="1">
        <v>551393.4980538768</v>
      </c>
      <c r="D1394" s="1">
        <f t="shared" si="21"/>
        <v>387683.13454612321</v>
      </c>
      <c r="E1394" s="1">
        <v>16</v>
      </c>
      <c r="F1394" s="1">
        <v>15</v>
      </c>
      <c r="G1394" s="1">
        <v>4</v>
      </c>
      <c r="H1394" s="1">
        <v>0</v>
      </c>
      <c r="I1394" s="1">
        <v>0</v>
      </c>
      <c r="J1394" s="1">
        <v>0</v>
      </c>
      <c r="K1394" s="1">
        <v>2</v>
      </c>
      <c r="L1394" s="1">
        <v>0</v>
      </c>
      <c r="M1394" s="1">
        <v>1</v>
      </c>
    </row>
    <row r="1395" spans="1:13">
      <c r="A1395" s="1">
        <v>1394</v>
      </c>
      <c r="B1395" s="1">
        <v>846352.33420000004</v>
      </c>
      <c r="C1395" s="1">
        <v>962512.1299754295</v>
      </c>
      <c r="D1395" s="1">
        <f t="shared" si="21"/>
        <v>-116159.79577542946</v>
      </c>
      <c r="E1395" s="1">
        <v>19</v>
      </c>
      <c r="F1395" s="1">
        <v>11</v>
      </c>
      <c r="G1395" s="1">
        <v>5</v>
      </c>
      <c r="H1395" s="1">
        <v>0</v>
      </c>
      <c r="I1395" s="1">
        <v>2</v>
      </c>
      <c r="J1395" s="1">
        <v>0</v>
      </c>
      <c r="K1395" s="1">
        <v>0</v>
      </c>
      <c r="L1395" s="1">
        <v>1</v>
      </c>
      <c r="M1395" s="1">
        <v>1</v>
      </c>
    </row>
    <row r="1396" spans="1:13">
      <c r="A1396" s="1">
        <v>1395</v>
      </c>
      <c r="B1396" s="1">
        <v>910696.37199999997</v>
      </c>
      <c r="C1396" s="1">
        <v>1415972.2415234558</v>
      </c>
      <c r="D1396" s="1">
        <f t="shared" si="21"/>
        <v>-505275.86952345585</v>
      </c>
      <c r="E1396" s="1">
        <v>7</v>
      </c>
      <c r="F1396" s="1">
        <v>25</v>
      </c>
      <c r="G1396" s="1">
        <v>3</v>
      </c>
      <c r="H1396" s="1">
        <v>0</v>
      </c>
      <c r="I1396" s="1">
        <v>0</v>
      </c>
      <c r="J1396" s="1">
        <v>1</v>
      </c>
      <c r="K1396" s="1">
        <v>0</v>
      </c>
      <c r="L1396" s="1">
        <v>0</v>
      </c>
      <c r="M1396" s="1">
        <v>1</v>
      </c>
    </row>
    <row r="1397" spans="1:13">
      <c r="A1397" s="1">
        <v>1396</v>
      </c>
      <c r="B1397" s="1">
        <v>1034892.7696999999</v>
      </c>
      <c r="C1397" s="1">
        <v>1015841.6716297764</v>
      </c>
      <c r="D1397" s="1">
        <f t="shared" si="21"/>
        <v>19051.098070223583</v>
      </c>
      <c r="E1397" s="1">
        <v>14</v>
      </c>
      <c r="F1397" s="1">
        <v>16</v>
      </c>
      <c r="G1397" s="1">
        <v>5</v>
      </c>
      <c r="H1397" s="1">
        <v>2</v>
      </c>
      <c r="I1397" s="1">
        <v>0</v>
      </c>
      <c r="J1397" s="1">
        <v>1</v>
      </c>
      <c r="K1397" s="1">
        <v>1</v>
      </c>
      <c r="L1397" s="1">
        <v>0</v>
      </c>
      <c r="M1397" s="1">
        <v>0</v>
      </c>
    </row>
    <row r="1398" spans="1:13">
      <c r="A1398" s="1">
        <v>1397</v>
      </c>
      <c r="B1398" s="1">
        <v>913625.36809999996</v>
      </c>
      <c r="C1398" s="1">
        <v>1269190.5773320103</v>
      </c>
      <c r="D1398" s="1">
        <f t="shared" si="21"/>
        <v>-355565.2092320103</v>
      </c>
      <c r="E1398" s="1">
        <v>14</v>
      </c>
      <c r="F1398" s="1">
        <v>18</v>
      </c>
      <c r="G1398" s="1">
        <v>3</v>
      </c>
      <c r="H1398" s="1">
        <v>2</v>
      </c>
      <c r="I1398" s="1">
        <v>0</v>
      </c>
      <c r="J1398" s="1">
        <v>0</v>
      </c>
      <c r="K1398" s="1">
        <v>1</v>
      </c>
      <c r="L1398" s="1">
        <v>1</v>
      </c>
      <c r="M1398" s="1">
        <v>0</v>
      </c>
    </row>
    <row r="1399" spans="1:13">
      <c r="A1399" s="1">
        <v>1398</v>
      </c>
      <c r="B1399" s="1">
        <v>1003620.1090000001</v>
      </c>
      <c r="C1399" s="1">
        <v>872062.69176361291</v>
      </c>
      <c r="D1399" s="1">
        <f t="shared" si="21"/>
        <v>131557.41723638715</v>
      </c>
      <c r="E1399" s="1">
        <v>9</v>
      </c>
      <c r="F1399" s="1">
        <v>24</v>
      </c>
      <c r="G1399" s="1">
        <v>2</v>
      </c>
      <c r="H1399" s="1">
        <v>0</v>
      </c>
      <c r="I1399" s="1">
        <v>0</v>
      </c>
      <c r="J1399" s="1">
        <v>0</v>
      </c>
      <c r="K1399" s="1">
        <v>0</v>
      </c>
      <c r="L1399" s="1">
        <v>0</v>
      </c>
      <c r="M1399" s="1">
        <v>0</v>
      </c>
    </row>
    <row r="1400" spans="1:13">
      <c r="A1400" s="1">
        <v>1399</v>
      </c>
      <c r="B1400" s="1">
        <v>904623.16610000003</v>
      </c>
      <c r="C1400" s="1">
        <v>1515020.7448051793</v>
      </c>
      <c r="D1400" s="1">
        <f t="shared" si="21"/>
        <v>-610397.57870517927</v>
      </c>
      <c r="E1400" s="1">
        <v>16</v>
      </c>
      <c r="F1400" s="1">
        <v>15</v>
      </c>
      <c r="G1400" s="1">
        <v>4</v>
      </c>
      <c r="H1400" s="1">
        <v>1</v>
      </c>
      <c r="I1400" s="1">
        <v>1</v>
      </c>
      <c r="J1400" s="1">
        <v>2</v>
      </c>
      <c r="K1400" s="1">
        <v>0</v>
      </c>
      <c r="L1400" s="1">
        <v>0</v>
      </c>
      <c r="M1400" s="1">
        <v>0</v>
      </c>
    </row>
    <row r="1401" spans="1:13">
      <c r="A1401" s="1">
        <v>1400</v>
      </c>
      <c r="B1401" s="1">
        <v>1021521.06</v>
      </c>
      <c r="C1401" s="1">
        <v>1238993.205691658</v>
      </c>
      <c r="D1401" s="1">
        <f t="shared" si="21"/>
        <v>-217472.1456916579</v>
      </c>
      <c r="E1401" s="1">
        <v>15</v>
      </c>
      <c r="F1401" s="1">
        <v>14</v>
      </c>
      <c r="G1401" s="1">
        <v>6</v>
      </c>
      <c r="H1401" s="1">
        <v>0</v>
      </c>
      <c r="I1401" s="1">
        <v>0</v>
      </c>
      <c r="J1401" s="1">
        <v>0</v>
      </c>
      <c r="K1401" s="1">
        <v>0</v>
      </c>
      <c r="L1401" s="1">
        <v>0</v>
      </c>
      <c r="M1401" s="1">
        <v>0</v>
      </c>
    </row>
    <row r="1402" spans="1:13">
      <c r="A1402" s="1">
        <v>1401</v>
      </c>
      <c r="B1402" s="1">
        <v>919848.08869999996</v>
      </c>
      <c r="C1402" s="1">
        <v>663967.06894621626</v>
      </c>
      <c r="D1402" s="1">
        <f t="shared" si="21"/>
        <v>255881.01975378371</v>
      </c>
      <c r="E1402" s="1">
        <v>24</v>
      </c>
      <c r="F1402" s="1">
        <v>6</v>
      </c>
      <c r="G1402" s="1">
        <v>5</v>
      </c>
      <c r="H1402" s="1">
        <v>1</v>
      </c>
      <c r="I1402" s="1">
        <v>1</v>
      </c>
      <c r="J1402" s="1">
        <v>0</v>
      </c>
      <c r="K1402" s="1">
        <v>2</v>
      </c>
      <c r="L1402" s="1">
        <v>0</v>
      </c>
      <c r="M1402" s="1">
        <v>0</v>
      </c>
    </row>
    <row r="1403" spans="1:13">
      <c r="A1403" s="1">
        <v>1402</v>
      </c>
      <c r="B1403" s="1">
        <v>911868.38859999995</v>
      </c>
      <c r="C1403" s="1">
        <v>1107941.4348700994</v>
      </c>
      <c r="D1403" s="1">
        <f t="shared" si="21"/>
        <v>-196073.04627009947</v>
      </c>
      <c r="E1403" s="1">
        <v>14</v>
      </c>
      <c r="F1403" s="1">
        <v>14</v>
      </c>
      <c r="G1403" s="1">
        <v>7</v>
      </c>
      <c r="H1403" s="1">
        <v>1</v>
      </c>
      <c r="I1403" s="1">
        <v>0</v>
      </c>
      <c r="J1403" s="1">
        <v>0</v>
      </c>
      <c r="K1403" s="1">
        <v>2</v>
      </c>
      <c r="L1403" s="1">
        <v>0</v>
      </c>
      <c r="M1403" s="1">
        <v>0</v>
      </c>
    </row>
    <row r="1404" spans="1:13">
      <c r="A1404" s="1">
        <v>1403</v>
      </c>
      <c r="B1404" s="1">
        <v>826532.44290000002</v>
      </c>
      <c r="C1404" s="1">
        <v>1699266.6441585226</v>
      </c>
      <c r="D1404" s="1">
        <f t="shared" si="21"/>
        <v>-872734.20125852257</v>
      </c>
      <c r="E1404" s="1">
        <v>23</v>
      </c>
      <c r="F1404" s="1">
        <v>9</v>
      </c>
      <c r="G1404" s="1">
        <v>3</v>
      </c>
      <c r="H1404" s="1">
        <v>1</v>
      </c>
      <c r="I1404" s="1">
        <v>1</v>
      </c>
      <c r="J1404" s="1">
        <v>1</v>
      </c>
      <c r="K1404" s="1">
        <v>1</v>
      </c>
      <c r="L1404" s="1">
        <v>0</v>
      </c>
      <c r="M1404" s="1">
        <v>0</v>
      </c>
    </row>
    <row r="1405" spans="1:13">
      <c r="A1405" s="1">
        <v>1404</v>
      </c>
      <c r="B1405" s="1">
        <v>983050.06330000004</v>
      </c>
      <c r="C1405" s="1">
        <v>761787.95126449491</v>
      </c>
      <c r="D1405" s="1">
        <f t="shared" si="21"/>
        <v>221262.11203550512</v>
      </c>
      <c r="E1405" s="1">
        <v>15</v>
      </c>
      <c r="F1405" s="1">
        <v>14</v>
      </c>
      <c r="G1405" s="1">
        <v>6</v>
      </c>
      <c r="H1405" s="1">
        <v>1</v>
      </c>
      <c r="I1405" s="1">
        <v>0</v>
      </c>
      <c r="J1405" s="1">
        <v>1</v>
      </c>
      <c r="K1405" s="1">
        <v>1</v>
      </c>
      <c r="L1405" s="1">
        <v>0</v>
      </c>
      <c r="M1405" s="1">
        <v>1</v>
      </c>
    </row>
    <row r="1406" spans="1:13">
      <c r="A1406" s="1">
        <v>1405</v>
      </c>
      <c r="B1406" s="1">
        <v>937718.88029999996</v>
      </c>
      <c r="C1406" s="1">
        <v>762603.10378529853</v>
      </c>
      <c r="D1406" s="1">
        <f t="shared" si="21"/>
        <v>175115.77651470143</v>
      </c>
      <c r="E1406" s="1">
        <v>14</v>
      </c>
      <c r="F1406" s="1">
        <v>16</v>
      </c>
      <c r="G1406" s="1">
        <v>5</v>
      </c>
      <c r="H1406" s="1">
        <v>2</v>
      </c>
      <c r="I1406" s="1">
        <v>0</v>
      </c>
      <c r="J1406" s="1">
        <v>1</v>
      </c>
      <c r="K1406" s="1">
        <v>1</v>
      </c>
      <c r="L1406" s="1">
        <v>0</v>
      </c>
      <c r="M1406" s="1">
        <v>0</v>
      </c>
    </row>
    <row r="1407" spans="1:13">
      <c r="A1407" s="1">
        <v>1406</v>
      </c>
      <c r="B1407" s="1">
        <v>1055555.6369</v>
      </c>
      <c r="C1407" s="1">
        <v>797391.96385986242</v>
      </c>
      <c r="D1407" s="1">
        <f t="shared" si="21"/>
        <v>258163.67304013763</v>
      </c>
      <c r="E1407" s="1">
        <v>7</v>
      </c>
      <c r="F1407" s="1">
        <v>21</v>
      </c>
      <c r="G1407" s="1">
        <v>7</v>
      </c>
      <c r="H1407" s="1">
        <v>1</v>
      </c>
      <c r="I1407" s="1">
        <v>0</v>
      </c>
      <c r="J1407" s="1">
        <v>0</v>
      </c>
      <c r="K1407" s="1">
        <v>1</v>
      </c>
      <c r="L1407" s="1">
        <v>0</v>
      </c>
      <c r="M1407" s="1">
        <v>1</v>
      </c>
    </row>
    <row r="1408" spans="1:13">
      <c r="A1408" s="1">
        <v>1407</v>
      </c>
      <c r="B1408" s="1">
        <v>1064751.2882999999</v>
      </c>
      <c r="C1408" s="1">
        <v>1329040.1346219506</v>
      </c>
      <c r="D1408" s="1">
        <f t="shared" si="21"/>
        <v>-264288.84632195067</v>
      </c>
      <c r="E1408" s="1">
        <v>9</v>
      </c>
      <c r="F1408" s="1">
        <v>17</v>
      </c>
      <c r="G1408" s="1">
        <v>9</v>
      </c>
      <c r="H1408" s="1">
        <v>0</v>
      </c>
      <c r="I1408" s="1">
        <v>0</v>
      </c>
      <c r="J1408" s="1">
        <v>1</v>
      </c>
      <c r="K1408" s="1">
        <v>0</v>
      </c>
      <c r="L1408" s="1">
        <v>0</v>
      </c>
      <c r="M1408" s="1">
        <v>0</v>
      </c>
    </row>
    <row r="1409" spans="1:13">
      <c r="A1409" s="1">
        <v>1408</v>
      </c>
      <c r="B1409" s="1">
        <v>962388.52709999995</v>
      </c>
      <c r="C1409" s="1">
        <v>980249.32206187607</v>
      </c>
      <c r="D1409" s="1">
        <f t="shared" si="21"/>
        <v>-17860.794961876119</v>
      </c>
      <c r="E1409" s="1">
        <v>14</v>
      </c>
      <c r="F1409" s="1">
        <v>14</v>
      </c>
      <c r="G1409" s="1">
        <v>7</v>
      </c>
      <c r="H1409" s="1">
        <v>0</v>
      </c>
      <c r="I1409" s="1">
        <v>0</v>
      </c>
      <c r="J1409" s="1">
        <v>0</v>
      </c>
      <c r="K1409" s="1">
        <v>0</v>
      </c>
      <c r="L1409" s="1">
        <v>0</v>
      </c>
      <c r="M1409" s="1">
        <v>1</v>
      </c>
    </row>
    <row r="1410" spans="1:13">
      <c r="A1410" s="1">
        <v>1409</v>
      </c>
      <c r="B1410" s="1">
        <v>924309.45909999998</v>
      </c>
      <c r="C1410" s="1">
        <v>968163.72542671917</v>
      </c>
      <c r="D1410" s="1">
        <f t="shared" ref="D1410:D1473" si="22">B1410-C1410</f>
        <v>-43854.266326719197</v>
      </c>
      <c r="E1410" s="1">
        <v>12</v>
      </c>
      <c r="F1410" s="1">
        <v>18</v>
      </c>
      <c r="G1410" s="1">
        <v>5</v>
      </c>
      <c r="H1410" s="1">
        <v>1</v>
      </c>
      <c r="I1410" s="1">
        <v>0</v>
      </c>
      <c r="J1410" s="1">
        <v>1</v>
      </c>
      <c r="K1410" s="1">
        <v>1</v>
      </c>
      <c r="L1410" s="1">
        <v>0</v>
      </c>
      <c r="M1410" s="1">
        <v>1</v>
      </c>
    </row>
    <row r="1411" spans="1:13">
      <c r="A1411" s="1">
        <v>1410</v>
      </c>
      <c r="B1411" s="1">
        <v>1013653.3755</v>
      </c>
      <c r="C1411" s="1">
        <v>791469.86870643741</v>
      </c>
      <c r="D1411" s="1">
        <f t="shared" si="22"/>
        <v>222183.50679356256</v>
      </c>
      <c r="E1411" s="1">
        <v>10</v>
      </c>
      <c r="F1411" s="1">
        <v>18</v>
      </c>
      <c r="G1411" s="1">
        <v>7</v>
      </c>
      <c r="H1411" s="1">
        <v>0</v>
      </c>
      <c r="I1411" s="1">
        <v>0</v>
      </c>
      <c r="J1411" s="1">
        <v>1</v>
      </c>
      <c r="K1411" s="1">
        <v>1</v>
      </c>
      <c r="L1411" s="1">
        <v>0</v>
      </c>
      <c r="M1411" s="1">
        <v>0</v>
      </c>
    </row>
    <row r="1412" spans="1:13">
      <c r="A1412" s="1">
        <v>1411</v>
      </c>
      <c r="B1412" s="1">
        <v>1016657.6419</v>
      </c>
      <c r="C1412" s="1">
        <v>804909.4572531993</v>
      </c>
      <c r="D1412" s="1">
        <f t="shared" si="22"/>
        <v>211748.18464680074</v>
      </c>
      <c r="E1412" s="1">
        <v>11</v>
      </c>
      <c r="F1412" s="1">
        <v>20</v>
      </c>
      <c r="G1412" s="1">
        <v>4</v>
      </c>
      <c r="H1412" s="1">
        <v>1</v>
      </c>
      <c r="I1412" s="1">
        <v>0</v>
      </c>
      <c r="J1412" s="1">
        <v>0</v>
      </c>
      <c r="K1412" s="1">
        <v>1</v>
      </c>
      <c r="L1412" s="1">
        <v>0</v>
      </c>
      <c r="M1412" s="1">
        <v>0</v>
      </c>
    </row>
    <row r="1413" spans="1:13">
      <c r="A1413" s="1">
        <v>1412</v>
      </c>
      <c r="B1413" s="1">
        <v>1010908.8707</v>
      </c>
      <c r="C1413" s="1">
        <v>725396.14484448417</v>
      </c>
      <c r="D1413" s="1">
        <f t="shared" si="22"/>
        <v>285512.7258555158</v>
      </c>
      <c r="E1413" s="1">
        <v>9</v>
      </c>
      <c r="F1413" s="1">
        <v>21</v>
      </c>
      <c r="G1413" s="1">
        <v>5</v>
      </c>
      <c r="H1413" s="1">
        <v>1</v>
      </c>
      <c r="I1413" s="1">
        <v>0</v>
      </c>
      <c r="J1413" s="1">
        <v>1</v>
      </c>
      <c r="K1413" s="1">
        <v>1</v>
      </c>
      <c r="L1413" s="1">
        <v>0</v>
      </c>
      <c r="M1413" s="1">
        <v>1</v>
      </c>
    </row>
    <row r="1414" spans="1:13">
      <c r="A1414" s="1">
        <v>1413</v>
      </c>
      <c r="B1414" s="1">
        <v>969103.94669999997</v>
      </c>
      <c r="C1414" s="1">
        <v>1579013.1614626173</v>
      </c>
      <c r="D1414" s="1">
        <f t="shared" si="22"/>
        <v>-609909.21476261737</v>
      </c>
      <c r="E1414" s="1">
        <v>12</v>
      </c>
      <c r="F1414" s="1">
        <v>18</v>
      </c>
      <c r="G1414" s="1">
        <v>5</v>
      </c>
      <c r="H1414" s="1">
        <v>1</v>
      </c>
      <c r="I1414" s="1">
        <v>0</v>
      </c>
      <c r="J1414" s="1">
        <v>0</v>
      </c>
      <c r="K1414" s="1">
        <v>0</v>
      </c>
      <c r="L1414" s="1">
        <v>1</v>
      </c>
      <c r="M1414" s="1">
        <v>0</v>
      </c>
    </row>
    <row r="1415" spans="1:13">
      <c r="A1415" s="1">
        <v>1414</v>
      </c>
      <c r="B1415" s="1">
        <v>935643.83629999997</v>
      </c>
      <c r="C1415" s="1">
        <v>597890.89375148399</v>
      </c>
      <c r="D1415" s="1">
        <f t="shared" si="22"/>
        <v>337752.94254851597</v>
      </c>
      <c r="E1415" s="1">
        <v>8</v>
      </c>
      <c r="F1415" s="1">
        <v>19</v>
      </c>
      <c r="G1415" s="1">
        <v>8</v>
      </c>
      <c r="H1415" s="1">
        <v>1</v>
      </c>
      <c r="I1415" s="1">
        <v>0</v>
      </c>
      <c r="J1415" s="1">
        <v>0</v>
      </c>
      <c r="K1415" s="1">
        <v>1</v>
      </c>
      <c r="L1415" s="1">
        <v>0</v>
      </c>
      <c r="M1415" s="1">
        <v>0</v>
      </c>
    </row>
    <row r="1416" spans="1:13">
      <c r="A1416" s="1">
        <v>1415</v>
      </c>
      <c r="B1416" s="1">
        <v>873560.70319999999</v>
      </c>
      <c r="C1416" s="1">
        <v>946698.76141237991</v>
      </c>
      <c r="D1416" s="1">
        <f t="shared" si="22"/>
        <v>-73138.058212379925</v>
      </c>
      <c r="E1416" s="1">
        <v>11</v>
      </c>
      <c r="F1416" s="1">
        <v>21</v>
      </c>
      <c r="G1416" s="1">
        <v>3</v>
      </c>
      <c r="H1416" s="1">
        <v>1</v>
      </c>
      <c r="I1416" s="1">
        <v>0</v>
      </c>
      <c r="J1416" s="1">
        <v>0</v>
      </c>
      <c r="K1416" s="1">
        <v>2</v>
      </c>
      <c r="L1416" s="1">
        <v>0</v>
      </c>
      <c r="M1416" s="1">
        <v>0</v>
      </c>
    </row>
    <row r="1417" spans="1:13">
      <c r="A1417" s="1">
        <v>1416</v>
      </c>
      <c r="B1417" s="1">
        <v>801176.39850000001</v>
      </c>
      <c r="C1417" s="1">
        <v>1362730.0860982421</v>
      </c>
      <c r="D1417" s="1">
        <f t="shared" si="22"/>
        <v>-561553.68759824208</v>
      </c>
      <c r="E1417" s="1">
        <v>15</v>
      </c>
      <c r="F1417" s="1">
        <v>15</v>
      </c>
      <c r="G1417" s="1">
        <v>5</v>
      </c>
      <c r="H1417" s="1">
        <v>0</v>
      </c>
      <c r="I1417" s="1">
        <v>2</v>
      </c>
      <c r="J1417" s="1">
        <v>2</v>
      </c>
      <c r="K1417" s="1">
        <v>0</v>
      </c>
      <c r="L1417" s="1">
        <v>0</v>
      </c>
      <c r="M1417" s="1">
        <v>0</v>
      </c>
    </row>
    <row r="1418" spans="1:13">
      <c r="A1418" s="1">
        <v>1417</v>
      </c>
      <c r="B1418" s="1">
        <v>892565.74600000004</v>
      </c>
      <c r="C1418" s="1">
        <v>724283.81780196913</v>
      </c>
      <c r="D1418" s="1">
        <f t="shared" si="22"/>
        <v>168281.92819803092</v>
      </c>
      <c r="E1418" s="1">
        <v>18</v>
      </c>
      <c r="F1418" s="1">
        <v>14</v>
      </c>
      <c r="G1418" s="1">
        <v>3</v>
      </c>
      <c r="H1418" s="1">
        <v>2</v>
      </c>
      <c r="I1418" s="1">
        <v>0</v>
      </c>
      <c r="J1418" s="1">
        <v>0</v>
      </c>
      <c r="K1418" s="1">
        <v>0</v>
      </c>
      <c r="L1418" s="1">
        <v>0</v>
      </c>
      <c r="M1418" s="1">
        <v>0</v>
      </c>
    </row>
    <row r="1419" spans="1:13">
      <c r="A1419" s="1">
        <v>1418</v>
      </c>
      <c r="B1419" s="1">
        <v>1012729.5951</v>
      </c>
      <c r="C1419" s="1">
        <v>1347279.6369417487</v>
      </c>
      <c r="D1419" s="1">
        <f t="shared" si="22"/>
        <v>-334550.04184174864</v>
      </c>
      <c r="E1419" s="1">
        <v>15</v>
      </c>
      <c r="F1419" s="1">
        <v>17</v>
      </c>
      <c r="G1419" s="1">
        <v>3</v>
      </c>
      <c r="H1419" s="1">
        <v>1</v>
      </c>
      <c r="I1419" s="1">
        <v>0</v>
      </c>
      <c r="J1419" s="1">
        <v>1</v>
      </c>
      <c r="K1419" s="1">
        <v>1</v>
      </c>
      <c r="L1419" s="1">
        <v>0</v>
      </c>
      <c r="M1419" s="1">
        <v>0</v>
      </c>
    </row>
    <row r="1420" spans="1:13">
      <c r="A1420" s="1">
        <v>1419</v>
      </c>
      <c r="B1420" s="1">
        <v>948615.7622</v>
      </c>
      <c r="C1420" s="1">
        <v>1068080.7094556661</v>
      </c>
      <c r="D1420" s="1">
        <f t="shared" si="22"/>
        <v>-119464.94725566613</v>
      </c>
      <c r="E1420" s="1">
        <v>12</v>
      </c>
      <c r="F1420" s="1">
        <v>16</v>
      </c>
      <c r="G1420" s="1">
        <v>7</v>
      </c>
      <c r="H1420" s="1">
        <v>0</v>
      </c>
      <c r="I1420" s="1">
        <v>0</v>
      </c>
      <c r="J1420" s="1">
        <v>0</v>
      </c>
      <c r="K1420" s="1">
        <v>1</v>
      </c>
      <c r="L1420" s="1">
        <v>1</v>
      </c>
      <c r="M1420" s="1">
        <v>0</v>
      </c>
    </row>
    <row r="1421" spans="1:13">
      <c r="A1421" s="1">
        <v>1420</v>
      </c>
      <c r="B1421" s="1">
        <v>1140480.2614</v>
      </c>
      <c r="C1421" s="1">
        <v>1431186.934723431</v>
      </c>
      <c r="D1421" s="1">
        <f t="shared" si="22"/>
        <v>-290706.67332343105</v>
      </c>
      <c r="E1421" s="1">
        <v>4</v>
      </c>
      <c r="F1421" s="1">
        <v>25</v>
      </c>
      <c r="G1421" s="1">
        <v>6</v>
      </c>
      <c r="H1421" s="1">
        <v>2</v>
      </c>
      <c r="I1421" s="1">
        <v>0</v>
      </c>
      <c r="J1421" s="1">
        <v>1</v>
      </c>
      <c r="K1421" s="1">
        <v>0</v>
      </c>
      <c r="L1421" s="1">
        <v>1</v>
      </c>
      <c r="M1421" s="1">
        <v>1</v>
      </c>
    </row>
    <row r="1422" spans="1:13">
      <c r="A1422" s="1">
        <v>1421</v>
      </c>
      <c r="B1422" s="1">
        <v>815013.07059999998</v>
      </c>
      <c r="C1422" s="1">
        <v>944258.137236343</v>
      </c>
      <c r="D1422" s="1">
        <f t="shared" si="22"/>
        <v>-129245.06663634302</v>
      </c>
      <c r="E1422" s="1">
        <v>15</v>
      </c>
      <c r="F1422" s="1">
        <v>15</v>
      </c>
      <c r="G1422" s="1">
        <v>5</v>
      </c>
      <c r="H1422" s="1">
        <v>1</v>
      </c>
      <c r="I1422" s="1">
        <v>0</v>
      </c>
      <c r="J1422" s="1">
        <v>1</v>
      </c>
      <c r="K1422" s="1">
        <v>0</v>
      </c>
      <c r="L1422" s="1">
        <v>0</v>
      </c>
      <c r="M1422" s="1">
        <v>0</v>
      </c>
    </row>
    <row r="1423" spans="1:13">
      <c r="A1423" s="1">
        <v>1422</v>
      </c>
      <c r="B1423" s="1">
        <v>927068.60419999994</v>
      </c>
      <c r="C1423" s="1">
        <v>719352.38963317301</v>
      </c>
      <c r="D1423" s="1">
        <f t="shared" si="22"/>
        <v>207716.21456682694</v>
      </c>
      <c r="E1423" s="1">
        <v>16</v>
      </c>
      <c r="F1423" s="1">
        <v>16</v>
      </c>
      <c r="G1423" s="1">
        <v>3</v>
      </c>
      <c r="H1423" s="1">
        <v>1</v>
      </c>
      <c r="I1423" s="1">
        <v>0</v>
      </c>
      <c r="J1423" s="1">
        <v>0</v>
      </c>
      <c r="K1423" s="1">
        <v>1</v>
      </c>
      <c r="L1423" s="1">
        <v>0</v>
      </c>
      <c r="M1423" s="1">
        <v>0</v>
      </c>
    </row>
    <row r="1424" spans="1:13">
      <c r="A1424" s="1">
        <v>1423</v>
      </c>
      <c r="B1424" s="1">
        <v>906762.05440000002</v>
      </c>
      <c r="C1424" s="1">
        <v>1210598.386889834</v>
      </c>
      <c r="D1424" s="1">
        <f t="shared" si="22"/>
        <v>-303836.33248983393</v>
      </c>
      <c r="E1424" s="1">
        <v>13</v>
      </c>
      <c r="F1424" s="1">
        <v>15</v>
      </c>
      <c r="G1424" s="1">
        <v>7</v>
      </c>
      <c r="H1424" s="1">
        <v>2</v>
      </c>
      <c r="I1424" s="1">
        <v>0</v>
      </c>
      <c r="J1424" s="1">
        <v>0</v>
      </c>
      <c r="K1424" s="1">
        <v>1</v>
      </c>
      <c r="L1424" s="1">
        <v>0</v>
      </c>
      <c r="M1424" s="1">
        <v>0</v>
      </c>
    </row>
    <row r="1425" spans="1:13">
      <c r="A1425" s="1">
        <v>1424</v>
      </c>
      <c r="B1425" s="1">
        <v>881201.45819999999</v>
      </c>
      <c r="C1425" s="1">
        <v>1026848.132191023</v>
      </c>
      <c r="D1425" s="1">
        <f t="shared" si="22"/>
        <v>-145646.67399102298</v>
      </c>
      <c r="E1425" s="1">
        <v>14</v>
      </c>
      <c r="F1425" s="1">
        <v>15</v>
      </c>
      <c r="G1425" s="1">
        <v>6</v>
      </c>
      <c r="H1425" s="1">
        <v>1</v>
      </c>
      <c r="I1425" s="1">
        <v>0</v>
      </c>
      <c r="J1425" s="1">
        <v>0</v>
      </c>
      <c r="K1425" s="1">
        <v>1</v>
      </c>
      <c r="L1425" s="1">
        <v>0</v>
      </c>
      <c r="M1425" s="1">
        <v>0</v>
      </c>
    </row>
    <row r="1426" spans="1:13">
      <c r="A1426" s="1">
        <v>1425</v>
      </c>
      <c r="B1426" s="1">
        <v>1059515.5596</v>
      </c>
      <c r="C1426" s="1">
        <v>766846.37778461701</v>
      </c>
      <c r="D1426" s="1">
        <f t="shared" si="22"/>
        <v>292669.18181538302</v>
      </c>
      <c r="E1426" s="1">
        <v>7</v>
      </c>
      <c r="F1426" s="1">
        <v>21</v>
      </c>
      <c r="G1426" s="1">
        <v>7</v>
      </c>
      <c r="H1426" s="1">
        <v>2</v>
      </c>
      <c r="I1426" s="1">
        <v>0</v>
      </c>
      <c r="J1426" s="1">
        <v>1</v>
      </c>
      <c r="K1426" s="1">
        <v>1</v>
      </c>
      <c r="L1426" s="1">
        <v>0</v>
      </c>
      <c r="M1426" s="1">
        <v>1</v>
      </c>
    </row>
    <row r="1427" spans="1:13">
      <c r="A1427" s="1">
        <v>1426</v>
      </c>
      <c r="B1427" s="1">
        <v>874436.11329999997</v>
      </c>
      <c r="C1427" s="1">
        <v>1028893.6991356952</v>
      </c>
      <c r="D1427" s="1">
        <f t="shared" si="22"/>
        <v>-154457.58583569527</v>
      </c>
      <c r="E1427" s="1">
        <v>12</v>
      </c>
      <c r="F1427" s="1">
        <v>16</v>
      </c>
      <c r="G1427" s="1">
        <v>7</v>
      </c>
      <c r="H1427" s="1">
        <v>0</v>
      </c>
      <c r="I1427" s="1">
        <v>0</v>
      </c>
      <c r="J1427" s="1">
        <v>1</v>
      </c>
      <c r="K1427" s="1">
        <v>0</v>
      </c>
      <c r="L1427" s="1">
        <v>0</v>
      </c>
      <c r="M1427" s="1">
        <v>1</v>
      </c>
    </row>
    <row r="1428" spans="1:13">
      <c r="A1428" s="1">
        <v>1427</v>
      </c>
      <c r="B1428" s="1">
        <v>969299.85679999995</v>
      </c>
      <c r="C1428" s="1">
        <v>1178482.3724689616</v>
      </c>
      <c r="D1428" s="1">
        <f t="shared" si="22"/>
        <v>-209182.51566896169</v>
      </c>
      <c r="E1428" s="1">
        <v>6</v>
      </c>
      <c r="F1428" s="1">
        <v>23</v>
      </c>
      <c r="G1428" s="1">
        <v>6</v>
      </c>
      <c r="H1428" s="1">
        <v>1</v>
      </c>
      <c r="I1428" s="1">
        <v>0</v>
      </c>
      <c r="J1428" s="1">
        <v>1</v>
      </c>
      <c r="K1428" s="1">
        <v>1</v>
      </c>
      <c r="L1428" s="1">
        <v>0</v>
      </c>
      <c r="M1428" s="1">
        <v>0</v>
      </c>
    </row>
    <row r="1429" spans="1:13">
      <c r="A1429" s="1">
        <v>1428</v>
      </c>
      <c r="B1429" s="1">
        <v>1018854.1171</v>
      </c>
      <c r="C1429" s="1">
        <v>1011259.0103337497</v>
      </c>
      <c r="D1429" s="1">
        <f t="shared" si="22"/>
        <v>7595.1067662503337</v>
      </c>
      <c r="E1429" s="1">
        <v>9</v>
      </c>
      <c r="F1429" s="1">
        <v>20</v>
      </c>
      <c r="G1429" s="1">
        <v>6</v>
      </c>
      <c r="H1429" s="1">
        <v>1</v>
      </c>
      <c r="I1429" s="1">
        <v>1</v>
      </c>
      <c r="J1429" s="1">
        <v>2</v>
      </c>
      <c r="K1429" s="1">
        <v>0</v>
      </c>
      <c r="L1429" s="1">
        <v>0</v>
      </c>
      <c r="M1429" s="1">
        <v>0</v>
      </c>
    </row>
    <row r="1430" spans="1:13">
      <c r="A1430" s="1">
        <v>1429</v>
      </c>
      <c r="B1430" s="1">
        <v>1034728.4355</v>
      </c>
      <c r="C1430" s="1">
        <v>803433.38547812402</v>
      </c>
      <c r="D1430" s="1">
        <f t="shared" si="22"/>
        <v>231295.050021876</v>
      </c>
      <c r="E1430" s="1">
        <v>15</v>
      </c>
      <c r="F1430" s="1">
        <v>16</v>
      </c>
      <c r="G1430" s="1">
        <v>4</v>
      </c>
      <c r="H1430" s="1">
        <v>0</v>
      </c>
      <c r="I1430" s="1">
        <v>0</v>
      </c>
      <c r="J1430" s="1">
        <v>1</v>
      </c>
      <c r="K1430" s="1">
        <v>0</v>
      </c>
      <c r="L1430" s="1">
        <v>0</v>
      </c>
      <c r="M1430" s="1">
        <v>0</v>
      </c>
    </row>
    <row r="1431" spans="1:13">
      <c r="A1431" s="1">
        <v>1430</v>
      </c>
      <c r="B1431" s="1">
        <v>1011639.7622</v>
      </c>
      <c r="C1431" s="1">
        <v>931473.85526170651</v>
      </c>
      <c r="D1431" s="1">
        <f t="shared" si="22"/>
        <v>80165.906938293483</v>
      </c>
      <c r="E1431" s="1">
        <v>15</v>
      </c>
      <c r="F1431" s="1">
        <v>14</v>
      </c>
      <c r="G1431" s="1">
        <v>6</v>
      </c>
      <c r="H1431" s="1">
        <v>2</v>
      </c>
      <c r="I1431" s="1">
        <v>0</v>
      </c>
      <c r="J1431" s="1">
        <v>0</v>
      </c>
      <c r="K1431" s="1">
        <v>1</v>
      </c>
      <c r="L1431" s="1">
        <v>0</v>
      </c>
      <c r="M1431" s="1">
        <v>0</v>
      </c>
    </row>
    <row r="1432" spans="1:13">
      <c r="A1432" s="1">
        <v>1431</v>
      </c>
      <c r="B1432" s="1">
        <v>992527.9706</v>
      </c>
      <c r="C1432" s="1">
        <v>744704.88850600924</v>
      </c>
      <c r="D1432" s="1">
        <f t="shared" si="22"/>
        <v>247823.08209399076</v>
      </c>
      <c r="E1432" s="1">
        <v>13</v>
      </c>
      <c r="F1432" s="1">
        <v>18</v>
      </c>
      <c r="G1432" s="1">
        <v>4</v>
      </c>
      <c r="H1432" s="1">
        <v>0</v>
      </c>
      <c r="I1432" s="1">
        <v>1</v>
      </c>
      <c r="J1432" s="1">
        <v>2</v>
      </c>
      <c r="K1432" s="1">
        <v>0</v>
      </c>
      <c r="L1432" s="1">
        <v>0</v>
      </c>
      <c r="M1432" s="1">
        <v>1</v>
      </c>
    </row>
    <row r="1433" spans="1:13">
      <c r="A1433" s="1">
        <v>1432</v>
      </c>
      <c r="B1433" s="1">
        <v>905921.63800000004</v>
      </c>
      <c r="C1433" s="1">
        <v>962018.7470235558</v>
      </c>
      <c r="D1433" s="1">
        <f t="shared" si="22"/>
        <v>-56097.109023555764</v>
      </c>
      <c r="E1433" s="1">
        <v>15</v>
      </c>
      <c r="F1433" s="1">
        <v>16</v>
      </c>
      <c r="G1433" s="1">
        <v>4</v>
      </c>
      <c r="H1433" s="1">
        <v>1</v>
      </c>
      <c r="I1433" s="1">
        <v>0</v>
      </c>
      <c r="J1433" s="1">
        <v>1</v>
      </c>
      <c r="K1433" s="1">
        <v>0</v>
      </c>
      <c r="L1433" s="1">
        <v>0</v>
      </c>
      <c r="M1433" s="1">
        <v>1</v>
      </c>
    </row>
    <row r="1434" spans="1:13">
      <c r="A1434" s="1">
        <v>1433</v>
      </c>
      <c r="B1434" s="1">
        <v>949220.79110000003</v>
      </c>
      <c r="C1434" s="1">
        <v>631780.47585903143</v>
      </c>
      <c r="D1434" s="1">
        <f t="shared" si="22"/>
        <v>317440.3152409686</v>
      </c>
      <c r="E1434" s="1">
        <v>10</v>
      </c>
      <c r="F1434" s="1">
        <v>19</v>
      </c>
      <c r="G1434" s="1">
        <v>6</v>
      </c>
      <c r="H1434" s="1">
        <v>1</v>
      </c>
      <c r="I1434" s="1">
        <v>0</v>
      </c>
      <c r="J1434" s="1">
        <v>0</v>
      </c>
      <c r="K1434" s="1">
        <v>1</v>
      </c>
      <c r="L1434" s="1">
        <v>0</v>
      </c>
      <c r="M1434" s="1">
        <v>0</v>
      </c>
    </row>
    <row r="1435" spans="1:13">
      <c r="A1435" s="1">
        <v>1434</v>
      </c>
      <c r="B1435" s="1">
        <v>1004043.1435</v>
      </c>
      <c r="C1435" s="1">
        <v>817960.72042347735</v>
      </c>
      <c r="D1435" s="1">
        <f t="shared" si="22"/>
        <v>186082.42307652265</v>
      </c>
      <c r="E1435" s="1">
        <v>5</v>
      </c>
      <c r="F1435" s="1">
        <v>25</v>
      </c>
      <c r="G1435" s="1">
        <v>5</v>
      </c>
      <c r="H1435" s="1">
        <v>1</v>
      </c>
      <c r="I1435" s="1">
        <v>0</v>
      </c>
      <c r="J1435" s="1">
        <v>0</v>
      </c>
      <c r="K1435" s="1">
        <v>2</v>
      </c>
      <c r="L1435" s="1">
        <v>0</v>
      </c>
      <c r="M1435" s="1">
        <v>1</v>
      </c>
    </row>
    <row r="1436" spans="1:13">
      <c r="A1436" s="1">
        <v>1435</v>
      </c>
      <c r="B1436" s="1">
        <v>859249.05680000002</v>
      </c>
      <c r="C1436" s="1">
        <v>1051172.6077829292</v>
      </c>
      <c r="D1436" s="1">
        <f t="shared" si="22"/>
        <v>-191923.55098292918</v>
      </c>
      <c r="E1436" s="1">
        <v>9</v>
      </c>
      <c r="F1436" s="1">
        <v>20</v>
      </c>
      <c r="G1436" s="1">
        <v>6</v>
      </c>
      <c r="H1436" s="1">
        <v>1</v>
      </c>
      <c r="I1436" s="1">
        <v>1</v>
      </c>
      <c r="J1436" s="1">
        <v>1</v>
      </c>
      <c r="K1436" s="1">
        <v>1</v>
      </c>
      <c r="L1436" s="1">
        <v>0</v>
      </c>
      <c r="M1436" s="1">
        <v>0</v>
      </c>
    </row>
    <row r="1437" spans="1:13">
      <c r="A1437" s="1">
        <v>1436</v>
      </c>
      <c r="B1437" s="1">
        <v>868825.46409999998</v>
      </c>
      <c r="C1437" s="1">
        <v>727650.44679990609</v>
      </c>
      <c r="D1437" s="1">
        <f t="shared" si="22"/>
        <v>141175.0173000939</v>
      </c>
      <c r="E1437" s="1">
        <v>15</v>
      </c>
      <c r="F1437" s="1">
        <v>16</v>
      </c>
      <c r="G1437" s="1">
        <v>4</v>
      </c>
      <c r="H1437" s="1">
        <v>1</v>
      </c>
      <c r="I1437" s="1">
        <v>1</v>
      </c>
      <c r="J1437" s="1">
        <v>0</v>
      </c>
      <c r="K1437" s="1">
        <v>0</v>
      </c>
      <c r="L1437" s="1">
        <v>0</v>
      </c>
      <c r="M1437" s="1">
        <v>0</v>
      </c>
    </row>
    <row r="1438" spans="1:13">
      <c r="A1438" s="1">
        <v>1437</v>
      </c>
      <c r="B1438" s="1">
        <v>1029541.0336</v>
      </c>
      <c r="C1438" s="1">
        <v>1571174.380673188</v>
      </c>
      <c r="D1438" s="1">
        <f t="shared" si="22"/>
        <v>-541633.34707318805</v>
      </c>
      <c r="E1438" s="1">
        <v>12</v>
      </c>
      <c r="F1438" s="1">
        <v>18</v>
      </c>
      <c r="G1438" s="1">
        <v>5</v>
      </c>
      <c r="H1438" s="1">
        <v>0</v>
      </c>
      <c r="I1438" s="1">
        <v>0</v>
      </c>
      <c r="J1438" s="1">
        <v>1</v>
      </c>
      <c r="K1438" s="1">
        <v>0</v>
      </c>
      <c r="L1438" s="1">
        <v>0</v>
      </c>
      <c r="M1438" s="1">
        <v>0</v>
      </c>
    </row>
    <row r="1439" spans="1:13">
      <c r="A1439" s="1">
        <v>1438</v>
      </c>
      <c r="B1439" s="1">
        <v>911315.18420000002</v>
      </c>
      <c r="C1439" s="1">
        <v>669429.59778838488</v>
      </c>
      <c r="D1439" s="1">
        <f t="shared" si="22"/>
        <v>241885.58641161514</v>
      </c>
      <c r="E1439" s="1">
        <v>20</v>
      </c>
      <c r="F1439" s="1">
        <v>11</v>
      </c>
      <c r="G1439" s="1">
        <v>4</v>
      </c>
      <c r="H1439" s="1">
        <v>1</v>
      </c>
      <c r="I1439" s="1">
        <v>0</v>
      </c>
      <c r="J1439" s="1">
        <v>2</v>
      </c>
      <c r="K1439" s="1">
        <v>0</v>
      </c>
      <c r="L1439" s="1">
        <v>0</v>
      </c>
      <c r="M1439" s="1">
        <v>0</v>
      </c>
    </row>
    <row r="1440" spans="1:13">
      <c r="A1440" s="1">
        <v>1439</v>
      </c>
      <c r="B1440" s="1">
        <v>950355.23829999997</v>
      </c>
      <c r="C1440" s="1">
        <v>1048901.2130874912</v>
      </c>
      <c r="D1440" s="1">
        <f t="shared" si="22"/>
        <v>-98545.974787491257</v>
      </c>
      <c r="E1440" s="1">
        <v>10</v>
      </c>
      <c r="F1440" s="1">
        <v>18</v>
      </c>
      <c r="G1440" s="1">
        <v>7</v>
      </c>
      <c r="H1440" s="1">
        <v>1</v>
      </c>
      <c r="I1440" s="1">
        <v>1</v>
      </c>
      <c r="J1440" s="1">
        <v>0</v>
      </c>
      <c r="K1440" s="1">
        <v>2</v>
      </c>
      <c r="L1440" s="1">
        <v>0</v>
      </c>
      <c r="M1440" s="1">
        <v>1</v>
      </c>
    </row>
    <row r="1441" spans="1:13">
      <c r="A1441" s="1">
        <v>1440</v>
      </c>
      <c r="B1441" s="1">
        <v>884123.23809999996</v>
      </c>
      <c r="C1441" s="1">
        <v>2008575.0692290063</v>
      </c>
      <c r="D1441" s="1">
        <f t="shared" si="22"/>
        <v>-1124451.8311290063</v>
      </c>
      <c r="E1441" s="1">
        <v>14</v>
      </c>
      <c r="F1441" s="1">
        <v>16</v>
      </c>
      <c r="G1441" s="1">
        <v>5</v>
      </c>
      <c r="H1441" s="1">
        <v>2</v>
      </c>
      <c r="I1441" s="1">
        <v>0</v>
      </c>
      <c r="J1441" s="1">
        <v>0</v>
      </c>
      <c r="K1441" s="1">
        <v>0</v>
      </c>
      <c r="L1441" s="1">
        <v>0</v>
      </c>
      <c r="M1441" s="1">
        <v>0</v>
      </c>
    </row>
    <row r="1442" spans="1:13">
      <c r="A1442" s="1">
        <v>1441</v>
      </c>
      <c r="B1442" s="1">
        <v>863325.37049999996</v>
      </c>
      <c r="C1442" s="1">
        <v>613515.67370411719</v>
      </c>
      <c r="D1442" s="1">
        <f t="shared" si="22"/>
        <v>249809.69679588277</v>
      </c>
      <c r="E1442" s="1">
        <v>17</v>
      </c>
      <c r="F1442" s="1">
        <v>15</v>
      </c>
      <c r="G1442" s="1">
        <v>3</v>
      </c>
      <c r="H1442" s="1">
        <v>0</v>
      </c>
      <c r="I1442" s="1">
        <v>0</v>
      </c>
      <c r="J1442" s="1">
        <v>1</v>
      </c>
      <c r="K1442" s="1">
        <v>0</v>
      </c>
      <c r="L1442" s="1">
        <v>0</v>
      </c>
      <c r="M1442" s="1">
        <v>0</v>
      </c>
    </row>
    <row r="1443" spans="1:13">
      <c r="A1443" s="1">
        <v>1442</v>
      </c>
      <c r="B1443" s="1">
        <v>943771.63769999996</v>
      </c>
      <c r="C1443" s="1">
        <v>1056377.0977479694</v>
      </c>
      <c r="D1443" s="1">
        <f t="shared" si="22"/>
        <v>-112605.46004796948</v>
      </c>
      <c r="E1443" s="1">
        <v>11</v>
      </c>
      <c r="F1443" s="1">
        <v>17</v>
      </c>
      <c r="G1443" s="1">
        <v>7</v>
      </c>
      <c r="H1443" s="1">
        <v>0</v>
      </c>
      <c r="I1443" s="1">
        <v>0</v>
      </c>
      <c r="J1443" s="1">
        <v>1</v>
      </c>
      <c r="K1443" s="1">
        <v>0</v>
      </c>
      <c r="L1443" s="1">
        <v>0</v>
      </c>
      <c r="M1443" s="1">
        <v>0</v>
      </c>
    </row>
    <row r="1444" spans="1:13">
      <c r="A1444" s="1">
        <v>1443</v>
      </c>
      <c r="B1444" s="1">
        <v>901707.03949999996</v>
      </c>
      <c r="C1444" s="1">
        <v>925843.58649068046</v>
      </c>
      <c r="D1444" s="1">
        <f t="shared" si="22"/>
        <v>-24136.546990680508</v>
      </c>
      <c r="E1444" s="1">
        <v>6</v>
      </c>
      <c r="F1444" s="1">
        <v>25</v>
      </c>
      <c r="G1444" s="1">
        <v>4</v>
      </c>
      <c r="H1444" s="1">
        <v>2</v>
      </c>
      <c r="I1444" s="1">
        <v>0</v>
      </c>
      <c r="J1444" s="1">
        <v>2</v>
      </c>
      <c r="K1444" s="1">
        <v>0</v>
      </c>
      <c r="L1444" s="1">
        <v>0</v>
      </c>
      <c r="M1444" s="1">
        <v>1</v>
      </c>
    </row>
    <row r="1445" spans="1:13">
      <c r="A1445" s="1">
        <v>1444</v>
      </c>
      <c r="B1445" s="1">
        <v>957715.22950000002</v>
      </c>
      <c r="C1445" s="1">
        <v>638336.00169318833</v>
      </c>
      <c r="D1445" s="1">
        <f t="shared" si="22"/>
        <v>319379.22780681169</v>
      </c>
      <c r="E1445" s="1">
        <v>13</v>
      </c>
      <c r="F1445" s="1">
        <v>15</v>
      </c>
      <c r="G1445" s="1">
        <v>7</v>
      </c>
      <c r="H1445" s="1">
        <v>1</v>
      </c>
      <c r="I1445" s="1">
        <v>1</v>
      </c>
      <c r="J1445" s="1">
        <v>0</v>
      </c>
      <c r="K1445" s="1">
        <v>1</v>
      </c>
      <c r="L1445" s="1">
        <v>1</v>
      </c>
      <c r="M1445" s="1">
        <v>0</v>
      </c>
    </row>
    <row r="1446" spans="1:13">
      <c r="A1446" s="1">
        <v>1445</v>
      </c>
      <c r="B1446" s="1">
        <v>866364.42279999994</v>
      </c>
      <c r="C1446" s="1">
        <v>1260421.7358357937</v>
      </c>
      <c r="D1446" s="1">
        <f t="shared" si="22"/>
        <v>-394057.31303579372</v>
      </c>
      <c r="E1446" s="1">
        <v>18</v>
      </c>
      <c r="F1446" s="1">
        <v>11</v>
      </c>
      <c r="G1446" s="1">
        <v>6</v>
      </c>
      <c r="H1446" s="1">
        <v>0</v>
      </c>
      <c r="I1446" s="1">
        <v>0</v>
      </c>
      <c r="J1446" s="1">
        <v>1</v>
      </c>
      <c r="K1446" s="1">
        <v>1</v>
      </c>
      <c r="L1446" s="1">
        <v>0</v>
      </c>
      <c r="M1446" s="1">
        <v>1</v>
      </c>
    </row>
    <row r="1447" spans="1:13">
      <c r="A1447" s="1">
        <v>1446</v>
      </c>
      <c r="B1447" s="1">
        <v>970169.28020000004</v>
      </c>
      <c r="C1447" s="1">
        <v>925508.363449545</v>
      </c>
      <c r="D1447" s="1">
        <f t="shared" si="22"/>
        <v>44660.916750455042</v>
      </c>
      <c r="E1447" s="1">
        <v>11</v>
      </c>
      <c r="F1447" s="1">
        <v>16</v>
      </c>
      <c r="G1447" s="1">
        <v>8</v>
      </c>
      <c r="H1447" s="1">
        <v>1</v>
      </c>
      <c r="I1447" s="1">
        <v>0</v>
      </c>
      <c r="J1447" s="1">
        <v>2</v>
      </c>
      <c r="K1447" s="1">
        <v>0</v>
      </c>
      <c r="L1447" s="1">
        <v>0</v>
      </c>
      <c r="M1447" s="1">
        <v>0</v>
      </c>
    </row>
    <row r="1448" spans="1:13">
      <c r="A1448" s="1">
        <v>1447</v>
      </c>
      <c r="B1448" s="1">
        <v>901816.33459999994</v>
      </c>
      <c r="C1448" s="1">
        <v>746714.63527269475</v>
      </c>
      <c r="D1448" s="1">
        <f t="shared" si="22"/>
        <v>155101.69932730519</v>
      </c>
      <c r="E1448" s="1">
        <v>15</v>
      </c>
      <c r="F1448" s="1">
        <v>15</v>
      </c>
      <c r="G1448" s="1">
        <v>5</v>
      </c>
      <c r="H1448" s="1">
        <v>0</v>
      </c>
      <c r="I1448" s="1">
        <v>0</v>
      </c>
      <c r="J1448" s="1">
        <v>0</v>
      </c>
      <c r="K1448" s="1">
        <v>1</v>
      </c>
      <c r="L1448" s="1">
        <v>0</v>
      </c>
      <c r="M1448" s="1">
        <v>0</v>
      </c>
    </row>
    <row r="1449" spans="1:13">
      <c r="A1449" s="1">
        <v>1448</v>
      </c>
      <c r="B1449" s="1">
        <v>882108.65319999994</v>
      </c>
      <c r="C1449" s="1">
        <v>761359.77822013851</v>
      </c>
      <c r="D1449" s="1">
        <f t="shared" si="22"/>
        <v>120748.87497986143</v>
      </c>
      <c r="E1449" s="1">
        <v>14</v>
      </c>
      <c r="F1449" s="1">
        <v>17</v>
      </c>
      <c r="G1449" s="1">
        <v>4</v>
      </c>
      <c r="H1449" s="1">
        <v>2</v>
      </c>
      <c r="I1449" s="1">
        <v>0</v>
      </c>
      <c r="J1449" s="1">
        <v>0</v>
      </c>
      <c r="K1449" s="1">
        <v>1</v>
      </c>
      <c r="L1449" s="1">
        <v>0</v>
      </c>
      <c r="M1449" s="1">
        <v>0</v>
      </c>
    </row>
    <row r="1450" spans="1:13">
      <c r="A1450" s="1">
        <v>1449</v>
      </c>
      <c r="B1450" s="1">
        <v>952552.75919999997</v>
      </c>
      <c r="C1450" s="1">
        <v>799531.7497000607</v>
      </c>
      <c r="D1450" s="1">
        <f t="shared" si="22"/>
        <v>153021.00949993927</v>
      </c>
      <c r="E1450" s="1">
        <v>14</v>
      </c>
      <c r="F1450" s="1">
        <v>15</v>
      </c>
      <c r="G1450" s="1">
        <v>6</v>
      </c>
      <c r="H1450" s="1">
        <v>0</v>
      </c>
      <c r="I1450" s="1">
        <v>0</v>
      </c>
      <c r="J1450" s="1">
        <v>1</v>
      </c>
      <c r="K1450" s="1">
        <v>0</v>
      </c>
      <c r="L1450" s="1">
        <v>0</v>
      </c>
      <c r="M1450" s="1">
        <v>0</v>
      </c>
    </row>
    <row r="1451" spans="1:13">
      <c r="A1451" s="1">
        <v>1450</v>
      </c>
      <c r="B1451" s="1">
        <v>951980.65</v>
      </c>
      <c r="C1451" s="1">
        <v>719741.53819326847</v>
      </c>
      <c r="D1451" s="1">
        <f t="shared" si="22"/>
        <v>232239.11180673155</v>
      </c>
      <c r="E1451" s="1">
        <v>14</v>
      </c>
      <c r="F1451" s="1">
        <v>15</v>
      </c>
      <c r="G1451" s="1">
        <v>6</v>
      </c>
      <c r="H1451" s="1">
        <v>1</v>
      </c>
      <c r="I1451" s="1">
        <v>0</v>
      </c>
      <c r="J1451" s="1">
        <v>2</v>
      </c>
      <c r="K1451" s="1">
        <v>0</v>
      </c>
      <c r="L1451" s="1">
        <v>0</v>
      </c>
      <c r="M1451" s="1">
        <v>1</v>
      </c>
    </row>
    <row r="1452" spans="1:13">
      <c r="A1452" s="1">
        <v>1451</v>
      </c>
      <c r="B1452" s="1">
        <v>892550.16009999998</v>
      </c>
      <c r="C1452" s="1">
        <v>1116315.9720834594</v>
      </c>
      <c r="D1452" s="1">
        <f t="shared" si="22"/>
        <v>-223765.8119834594</v>
      </c>
      <c r="E1452" s="1">
        <v>7</v>
      </c>
      <c r="F1452" s="1">
        <v>24</v>
      </c>
      <c r="G1452" s="1">
        <v>4</v>
      </c>
      <c r="H1452" s="1">
        <v>2</v>
      </c>
      <c r="I1452" s="1">
        <v>0</v>
      </c>
      <c r="J1452" s="1">
        <v>1</v>
      </c>
      <c r="K1452" s="1">
        <v>1</v>
      </c>
      <c r="L1452" s="1">
        <v>0</v>
      </c>
      <c r="M1452" s="1">
        <v>0</v>
      </c>
    </row>
    <row r="1453" spans="1:13">
      <c r="A1453" s="1">
        <v>1452</v>
      </c>
      <c r="B1453" s="1">
        <v>946849.54929999996</v>
      </c>
      <c r="C1453" s="1">
        <v>1055980.59432761</v>
      </c>
      <c r="D1453" s="1">
        <f t="shared" si="22"/>
        <v>-109131.04502761003</v>
      </c>
      <c r="E1453" s="1">
        <v>13</v>
      </c>
      <c r="F1453" s="1">
        <v>16</v>
      </c>
      <c r="G1453" s="1">
        <v>6</v>
      </c>
      <c r="H1453" s="1">
        <v>0</v>
      </c>
      <c r="I1453" s="1">
        <v>0</v>
      </c>
      <c r="J1453" s="1">
        <v>0</v>
      </c>
      <c r="K1453" s="1">
        <v>1</v>
      </c>
      <c r="L1453" s="1">
        <v>0</v>
      </c>
      <c r="M1453" s="1">
        <v>0</v>
      </c>
    </row>
    <row r="1454" spans="1:13">
      <c r="A1454" s="1">
        <v>1453</v>
      </c>
      <c r="B1454" s="1">
        <v>971637.60360000003</v>
      </c>
      <c r="C1454" s="1">
        <v>476210.87364361354</v>
      </c>
      <c r="D1454" s="1">
        <f t="shared" si="22"/>
        <v>495426.72995638649</v>
      </c>
      <c r="E1454" s="1">
        <v>6</v>
      </c>
      <c r="F1454" s="1">
        <v>25</v>
      </c>
      <c r="G1454" s="1">
        <v>4</v>
      </c>
      <c r="H1454" s="1">
        <v>1</v>
      </c>
      <c r="I1454" s="1">
        <v>0</v>
      </c>
      <c r="J1454" s="1">
        <v>2</v>
      </c>
      <c r="K1454" s="1">
        <v>0</v>
      </c>
      <c r="L1454" s="1">
        <v>0</v>
      </c>
      <c r="M1454" s="1">
        <v>0</v>
      </c>
    </row>
    <row r="1455" spans="1:13">
      <c r="A1455" s="1">
        <v>1454</v>
      </c>
      <c r="B1455" s="1">
        <v>911747.57530000003</v>
      </c>
      <c r="C1455" s="1">
        <v>1028822.5137377318</v>
      </c>
      <c r="D1455" s="1">
        <f t="shared" si="22"/>
        <v>-117074.93843773182</v>
      </c>
      <c r="E1455" s="1">
        <v>16</v>
      </c>
      <c r="F1455" s="1">
        <v>13</v>
      </c>
      <c r="G1455" s="1">
        <v>6</v>
      </c>
      <c r="H1455" s="1">
        <v>2</v>
      </c>
      <c r="I1455" s="1">
        <v>0</v>
      </c>
      <c r="J1455" s="1">
        <v>0</v>
      </c>
      <c r="K1455" s="1">
        <v>2</v>
      </c>
      <c r="L1455" s="1">
        <v>0</v>
      </c>
      <c r="M1455" s="1">
        <v>0</v>
      </c>
    </row>
    <row r="1456" spans="1:13">
      <c r="A1456" s="1">
        <v>1455</v>
      </c>
      <c r="B1456" s="1">
        <v>849626.06790000002</v>
      </c>
      <c r="C1456" s="1">
        <v>1052840.826752014</v>
      </c>
      <c r="D1456" s="1">
        <f t="shared" si="22"/>
        <v>-203214.75885201397</v>
      </c>
      <c r="E1456" s="1">
        <v>16</v>
      </c>
      <c r="F1456" s="1">
        <v>13</v>
      </c>
      <c r="G1456" s="1">
        <v>6</v>
      </c>
      <c r="H1456" s="1">
        <v>0</v>
      </c>
      <c r="I1456" s="1">
        <v>0</v>
      </c>
      <c r="J1456" s="1">
        <v>2</v>
      </c>
      <c r="K1456" s="1">
        <v>0</v>
      </c>
      <c r="L1456" s="1">
        <v>0</v>
      </c>
      <c r="M1456" s="1">
        <v>0</v>
      </c>
    </row>
    <row r="1457" spans="1:13">
      <c r="A1457" s="1">
        <v>1456</v>
      </c>
      <c r="B1457" s="1">
        <v>1042389.2794999999</v>
      </c>
      <c r="C1457" s="1">
        <v>740748.20182120404</v>
      </c>
      <c r="D1457" s="1">
        <f t="shared" si="22"/>
        <v>301641.0776787959</v>
      </c>
      <c r="E1457" s="1">
        <v>9</v>
      </c>
      <c r="F1457" s="1">
        <v>21</v>
      </c>
      <c r="G1457" s="1">
        <v>5</v>
      </c>
      <c r="H1457" s="1">
        <v>2</v>
      </c>
      <c r="I1457" s="1">
        <v>0</v>
      </c>
      <c r="J1457" s="1">
        <v>1</v>
      </c>
      <c r="K1457" s="1">
        <v>0</v>
      </c>
      <c r="L1457" s="1">
        <v>0</v>
      </c>
      <c r="M1457" s="1">
        <v>1</v>
      </c>
    </row>
    <row r="1458" spans="1:13">
      <c r="A1458" s="1">
        <v>1457</v>
      </c>
      <c r="B1458" s="1">
        <v>927042.8101</v>
      </c>
      <c r="C1458" s="1">
        <v>783551.22520003037</v>
      </c>
      <c r="D1458" s="1">
        <f t="shared" si="22"/>
        <v>143491.58489996963</v>
      </c>
      <c r="E1458" s="1">
        <v>21</v>
      </c>
      <c r="F1458" s="1">
        <v>7</v>
      </c>
      <c r="G1458" s="1">
        <v>7</v>
      </c>
      <c r="H1458" s="1">
        <v>1</v>
      </c>
      <c r="I1458" s="1">
        <v>1</v>
      </c>
      <c r="J1458" s="1">
        <v>1</v>
      </c>
      <c r="K1458" s="1">
        <v>0</v>
      </c>
      <c r="L1458" s="1">
        <v>0</v>
      </c>
      <c r="M1458" s="1">
        <v>0</v>
      </c>
    </row>
    <row r="1459" spans="1:13">
      <c r="A1459" s="1">
        <v>1458</v>
      </c>
      <c r="B1459" s="1">
        <v>951574.5551</v>
      </c>
      <c r="C1459" s="1">
        <v>1278171.6531346401</v>
      </c>
      <c r="D1459" s="1">
        <f t="shared" si="22"/>
        <v>-326597.09803464008</v>
      </c>
      <c r="E1459" s="1">
        <v>17</v>
      </c>
      <c r="F1459" s="1">
        <v>14</v>
      </c>
      <c r="G1459" s="1">
        <v>4</v>
      </c>
      <c r="H1459" s="1">
        <v>0</v>
      </c>
      <c r="I1459" s="1">
        <v>2</v>
      </c>
      <c r="J1459" s="1">
        <v>2</v>
      </c>
      <c r="K1459" s="1">
        <v>0</v>
      </c>
      <c r="L1459" s="1">
        <v>0</v>
      </c>
      <c r="M1459" s="1">
        <v>0</v>
      </c>
    </row>
    <row r="1460" spans="1:13">
      <c r="A1460" s="1">
        <v>1459</v>
      </c>
      <c r="B1460" s="1">
        <v>929808.98979999998</v>
      </c>
      <c r="C1460" s="1">
        <v>671715.11264683388</v>
      </c>
      <c r="D1460" s="1">
        <f t="shared" si="22"/>
        <v>258093.8771531661</v>
      </c>
      <c r="E1460" s="1">
        <v>8</v>
      </c>
      <c r="F1460" s="1">
        <v>22</v>
      </c>
      <c r="G1460" s="1">
        <v>5</v>
      </c>
      <c r="H1460" s="1">
        <v>0</v>
      </c>
      <c r="I1460" s="1">
        <v>1</v>
      </c>
      <c r="J1460" s="1">
        <v>0</v>
      </c>
      <c r="K1460" s="1">
        <v>1</v>
      </c>
      <c r="L1460" s="1">
        <v>0</v>
      </c>
      <c r="M1460" s="1">
        <v>0</v>
      </c>
    </row>
    <row r="1461" spans="1:13">
      <c r="A1461" s="1">
        <v>1460</v>
      </c>
      <c r="B1461" s="1">
        <v>1007682.7139</v>
      </c>
      <c r="C1461" s="1">
        <v>956337.90432027925</v>
      </c>
      <c r="D1461" s="1">
        <f t="shared" si="22"/>
        <v>51344.809579720721</v>
      </c>
      <c r="E1461" s="1">
        <v>7</v>
      </c>
      <c r="F1461" s="1">
        <v>25</v>
      </c>
      <c r="G1461" s="1">
        <v>3</v>
      </c>
      <c r="H1461" s="1">
        <v>2</v>
      </c>
      <c r="I1461" s="1">
        <v>0</v>
      </c>
      <c r="J1461" s="1">
        <v>0</v>
      </c>
      <c r="K1461" s="1">
        <v>0</v>
      </c>
      <c r="L1461" s="1">
        <v>1</v>
      </c>
      <c r="M1461" s="1">
        <v>1</v>
      </c>
    </row>
    <row r="1462" spans="1:13">
      <c r="A1462" s="1">
        <v>1461</v>
      </c>
      <c r="B1462" s="1">
        <v>859469.31779999996</v>
      </c>
      <c r="C1462" s="1">
        <v>782534.82584323245</v>
      </c>
      <c r="D1462" s="1">
        <f t="shared" si="22"/>
        <v>76934.49195676751</v>
      </c>
      <c r="E1462" s="1">
        <v>12</v>
      </c>
      <c r="F1462" s="1">
        <v>17</v>
      </c>
      <c r="G1462" s="1">
        <v>6</v>
      </c>
      <c r="H1462" s="1">
        <v>0</v>
      </c>
      <c r="I1462" s="1">
        <v>1</v>
      </c>
      <c r="J1462" s="1">
        <v>0</v>
      </c>
      <c r="K1462" s="1">
        <v>0</v>
      </c>
      <c r="L1462" s="1">
        <v>0</v>
      </c>
      <c r="M1462" s="1">
        <v>0</v>
      </c>
    </row>
    <row r="1463" spans="1:13">
      <c r="A1463" s="1">
        <v>1462</v>
      </c>
      <c r="B1463" s="1">
        <v>870992.76419999998</v>
      </c>
      <c r="C1463" s="1">
        <v>845344.75299585424</v>
      </c>
      <c r="D1463" s="1">
        <f t="shared" si="22"/>
        <v>25648.011204145732</v>
      </c>
      <c r="E1463" s="1">
        <v>15</v>
      </c>
      <c r="F1463" s="1">
        <v>13</v>
      </c>
      <c r="G1463" s="1">
        <v>7</v>
      </c>
      <c r="H1463" s="1">
        <v>1</v>
      </c>
      <c r="I1463" s="1">
        <v>1</v>
      </c>
      <c r="J1463" s="1">
        <v>0</v>
      </c>
      <c r="K1463" s="1">
        <v>1</v>
      </c>
      <c r="L1463" s="1">
        <v>0</v>
      </c>
      <c r="M1463" s="1">
        <v>1</v>
      </c>
    </row>
    <row r="1464" spans="1:13">
      <c r="A1464" s="1">
        <v>1463</v>
      </c>
      <c r="B1464" s="1">
        <v>974196.60190000001</v>
      </c>
      <c r="C1464" s="1">
        <v>766585.39942917379</v>
      </c>
      <c r="D1464" s="1">
        <f t="shared" si="22"/>
        <v>207611.20247082622</v>
      </c>
      <c r="E1464" s="1">
        <v>4</v>
      </c>
      <c r="F1464" s="1">
        <v>27</v>
      </c>
      <c r="G1464" s="1">
        <v>4</v>
      </c>
      <c r="H1464" s="1">
        <v>1</v>
      </c>
      <c r="I1464" s="1">
        <v>0</v>
      </c>
      <c r="J1464" s="1">
        <v>0</v>
      </c>
      <c r="K1464" s="1">
        <v>0</v>
      </c>
      <c r="L1464" s="1">
        <v>1</v>
      </c>
      <c r="M1464" s="1">
        <v>0</v>
      </c>
    </row>
    <row r="1465" spans="1:13">
      <c r="A1465" s="1">
        <v>1464</v>
      </c>
      <c r="B1465" s="1">
        <v>919649.87199999997</v>
      </c>
      <c r="C1465" s="1">
        <v>1040578.2956812242</v>
      </c>
      <c r="D1465" s="1">
        <f t="shared" si="22"/>
        <v>-120928.42368122423</v>
      </c>
      <c r="E1465" s="1">
        <v>11</v>
      </c>
      <c r="F1465" s="1">
        <v>17</v>
      </c>
      <c r="G1465" s="1">
        <v>7</v>
      </c>
      <c r="H1465" s="1">
        <v>0</v>
      </c>
      <c r="I1465" s="1">
        <v>1</v>
      </c>
      <c r="J1465" s="1">
        <v>1</v>
      </c>
      <c r="K1465" s="1">
        <v>0</v>
      </c>
      <c r="L1465" s="1">
        <v>0</v>
      </c>
      <c r="M1465" s="1">
        <v>0</v>
      </c>
    </row>
    <row r="1466" spans="1:13">
      <c r="A1466" s="1">
        <v>1465</v>
      </c>
      <c r="B1466" s="1">
        <v>998326.79379999998</v>
      </c>
      <c r="C1466" s="1">
        <v>1337690.3303466938</v>
      </c>
      <c r="D1466" s="1">
        <f t="shared" si="22"/>
        <v>-339363.53654669377</v>
      </c>
      <c r="E1466" s="1">
        <v>9</v>
      </c>
      <c r="F1466" s="1">
        <v>21</v>
      </c>
      <c r="G1466" s="1">
        <v>5</v>
      </c>
      <c r="H1466" s="1">
        <v>0</v>
      </c>
      <c r="I1466" s="1">
        <v>0</v>
      </c>
      <c r="J1466" s="1">
        <v>2</v>
      </c>
      <c r="K1466" s="1">
        <v>0</v>
      </c>
      <c r="L1466" s="1">
        <v>0</v>
      </c>
      <c r="M1466" s="1">
        <v>0</v>
      </c>
    </row>
    <row r="1467" spans="1:13">
      <c r="A1467" s="1">
        <v>1466</v>
      </c>
      <c r="B1467" s="1">
        <v>992514.68279999995</v>
      </c>
      <c r="C1467" s="1">
        <v>901309.07999837457</v>
      </c>
      <c r="D1467" s="1">
        <f t="shared" si="22"/>
        <v>91205.602801625384</v>
      </c>
      <c r="E1467" s="1">
        <v>12</v>
      </c>
      <c r="F1467" s="1">
        <v>17</v>
      </c>
      <c r="G1467" s="1">
        <v>6</v>
      </c>
      <c r="H1467" s="1">
        <v>2</v>
      </c>
      <c r="I1467" s="1">
        <v>0</v>
      </c>
      <c r="J1467" s="1">
        <v>1</v>
      </c>
      <c r="K1467" s="1">
        <v>1</v>
      </c>
      <c r="L1467" s="1">
        <v>0</v>
      </c>
      <c r="M1467" s="1">
        <v>1</v>
      </c>
    </row>
    <row r="1468" spans="1:13">
      <c r="A1468" s="1">
        <v>1467</v>
      </c>
      <c r="B1468" s="1">
        <v>958671.27410000004</v>
      </c>
      <c r="C1468" s="1">
        <v>1518839.0484884835</v>
      </c>
      <c r="D1468" s="1">
        <f t="shared" si="22"/>
        <v>-560167.77438848349</v>
      </c>
      <c r="E1468" s="1">
        <v>7</v>
      </c>
      <c r="F1468" s="1">
        <v>24</v>
      </c>
      <c r="G1468" s="1">
        <v>4</v>
      </c>
      <c r="H1468" s="1">
        <v>0</v>
      </c>
      <c r="I1468" s="1">
        <v>0</v>
      </c>
      <c r="J1468" s="1">
        <v>1</v>
      </c>
      <c r="K1468" s="1">
        <v>1</v>
      </c>
      <c r="L1468" s="1">
        <v>0</v>
      </c>
      <c r="M1468" s="1">
        <v>0</v>
      </c>
    </row>
    <row r="1469" spans="1:13">
      <c r="A1469" s="1">
        <v>1468</v>
      </c>
      <c r="B1469" s="1">
        <v>864207.68259999994</v>
      </c>
      <c r="C1469" s="1">
        <v>1301147.3364700021</v>
      </c>
      <c r="D1469" s="1">
        <f t="shared" si="22"/>
        <v>-436939.65387000213</v>
      </c>
      <c r="E1469" s="1">
        <v>17</v>
      </c>
      <c r="F1469" s="1">
        <v>12</v>
      </c>
      <c r="G1469" s="1">
        <v>6</v>
      </c>
      <c r="H1469" s="1">
        <v>0</v>
      </c>
      <c r="I1469" s="1">
        <v>0</v>
      </c>
      <c r="J1469" s="1">
        <v>0</v>
      </c>
      <c r="K1469" s="1">
        <v>0</v>
      </c>
      <c r="L1469" s="1">
        <v>0</v>
      </c>
      <c r="M1469" s="1">
        <v>0</v>
      </c>
    </row>
    <row r="1470" spans="1:13">
      <c r="A1470" s="1">
        <v>1469</v>
      </c>
      <c r="B1470" s="1">
        <v>1083561.8228</v>
      </c>
      <c r="C1470" s="1">
        <v>790576.5571301739</v>
      </c>
      <c r="D1470" s="1">
        <f t="shared" si="22"/>
        <v>292985.26566982607</v>
      </c>
      <c r="E1470" s="1">
        <v>11</v>
      </c>
      <c r="F1470" s="1">
        <v>18</v>
      </c>
      <c r="G1470" s="1">
        <v>6</v>
      </c>
      <c r="H1470" s="1">
        <v>1</v>
      </c>
      <c r="I1470" s="1">
        <v>0</v>
      </c>
      <c r="J1470" s="1">
        <v>1</v>
      </c>
      <c r="K1470" s="1">
        <v>1</v>
      </c>
      <c r="L1470" s="1">
        <v>0</v>
      </c>
      <c r="M1470" s="1">
        <v>0</v>
      </c>
    </row>
    <row r="1471" spans="1:13">
      <c r="A1471" s="1">
        <v>1470</v>
      </c>
      <c r="B1471" s="1">
        <v>835287.47349999996</v>
      </c>
      <c r="C1471" s="1">
        <v>650637.67897757282</v>
      </c>
      <c r="D1471" s="1">
        <f t="shared" si="22"/>
        <v>184649.79452242714</v>
      </c>
      <c r="E1471" s="1">
        <v>6</v>
      </c>
      <c r="F1471" s="1">
        <v>22</v>
      </c>
      <c r="G1471" s="1">
        <v>7</v>
      </c>
      <c r="H1471" s="1">
        <v>1</v>
      </c>
      <c r="I1471" s="1">
        <v>0</v>
      </c>
      <c r="J1471" s="1">
        <v>0</v>
      </c>
      <c r="K1471" s="1">
        <v>1</v>
      </c>
      <c r="L1471" s="1">
        <v>0</v>
      </c>
      <c r="M1471" s="1">
        <v>0</v>
      </c>
    </row>
    <row r="1472" spans="1:13">
      <c r="A1472" s="1">
        <v>1471</v>
      </c>
      <c r="B1472" s="1">
        <v>813029.36829999997</v>
      </c>
      <c r="C1472" s="1">
        <v>3081134.2887287</v>
      </c>
      <c r="D1472" s="1">
        <f t="shared" si="22"/>
        <v>-2268104.9204286998</v>
      </c>
      <c r="E1472" s="1">
        <v>22</v>
      </c>
      <c r="F1472" s="1">
        <v>13</v>
      </c>
      <c r="G1472" s="1">
        <v>0</v>
      </c>
      <c r="H1472" s="1">
        <v>2</v>
      </c>
      <c r="I1472" s="1">
        <v>0</v>
      </c>
      <c r="J1472" s="1">
        <v>0</v>
      </c>
      <c r="K1472" s="1">
        <v>1</v>
      </c>
      <c r="L1472" s="1">
        <v>0</v>
      </c>
      <c r="M1472" s="1">
        <v>0</v>
      </c>
    </row>
    <row r="1473" spans="1:13">
      <c r="A1473" s="1">
        <v>1472</v>
      </c>
      <c r="B1473" s="1">
        <v>913888.40390000003</v>
      </c>
      <c r="C1473" s="1">
        <v>693283.62901457667</v>
      </c>
      <c r="D1473" s="1">
        <f t="shared" si="22"/>
        <v>220604.77488542337</v>
      </c>
      <c r="E1473" s="1">
        <v>25</v>
      </c>
      <c r="F1473" s="1">
        <v>6</v>
      </c>
      <c r="G1473" s="1">
        <v>4</v>
      </c>
      <c r="H1473" s="1">
        <v>1</v>
      </c>
      <c r="I1473" s="1">
        <v>0</v>
      </c>
      <c r="J1473" s="1">
        <v>0</v>
      </c>
      <c r="K1473" s="1">
        <v>0</v>
      </c>
      <c r="L1473" s="1">
        <v>0</v>
      </c>
      <c r="M1473" s="1">
        <v>0</v>
      </c>
    </row>
    <row r="1474" spans="1:13">
      <c r="A1474" s="1">
        <v>1473</v>
      </c>
      <c r="B1474" s="1">
        <v>935528.97779999999</v>
      </c>
      <c r="C1474" s="1">
        <v>978994.04952568805</v>
      </c>
      <c r="D1474" s="1">
        <f t="shared" ref="D1474:D1537" si="23">B1474-C1474</f>
        <v>-43465.07172568806</v>
      </c>
      <c r="E1474" s="1">
        <v>23</v>
      </c>
      <c r="F1474" s="1">
        <v>6</v>
      </c>
      <c r="G1474" s="1">
        <v>6</v>
      </c>
      <c r="H1474" s="1">
        <v>0</v>
      </c>
      <c r="I1474" s="1">
        <v>0</v>
      </c>
      <c r="J1474" s="1">
        <v>0</v>
      </c>
      <c r="K1474" s="1">
        <v>1</v>
      </c>
      <c r="L1474" s="1">
        <v>0</v>
      </c>
      <c r="M1474" s="1">
        <v>0</v>
      </c>
    </row>
    <row r="1475" spans="1:13">
      <c r="A1475" s="1">
        <v>1474</v>
      </c>
      <c r="B1475" s="1">
        <v>842218.9497</v>
      </c>
      <c r="C1475" s="1">
        <v>779790.55907547451</v>
      </c>
      <c r="D1475" s="1">
        <f t="shared" si="23"/>
        <v>62428.390624525491</v>
      </c>
      <c r="E1475" s="1">
        <v>11</v>
      </c>
      <c r="F1475" s="1">
        <v>18</v>
      </c>
      <c r="G1475" s="1">
        <v>6</v>
      </c>
      <c r="H1475" s="1">
        <v>0</v>
      </c>
      <c r="I1475" s="1">
        <v>0</v>
      </c>
      <c r="J1475" s="1">
        <v>1</v>
      </c>
      <c r="K1475" s="1">
        <v>0</v>
      </c>
      <c r="L1475" s="1">
        <v>0</v>
      </c>
      <c r="M1475" s="1">
        <v>1</v>
      </c>
    </row>
    <row r="1476" spans="1:13">
      <c r="A1476" s="1">
        <v>1475</v>
      </c>
      <c r="B1476" s="1">
        <v>858851.65489999996</v>
      </c>
      <c r="C1476" s="1">
        <v>1083185.7160660075</v>
      </c>
      <c r="D1476" s="1">
        <f t="shared" si="23"/>
        <v>-224334.06116600754</v>
      </c>
      <c r="E1476" s="1">
        <v>16</v>
      </c>
      <c r="F1476" s="1">
        <v>17</v>
      </c>
      <c r="G1476" s="1">
        <v>2</v>
      </c>
      <c r="H1476" s="1">
        <v>0</v>
      </c>
      <c r="I1476" s="1">
        <v>0</v>
      </c>
      <c r="J1476" s="1">
        <v>0</v>
      </c>
      <c r="K1476" s="1">
        <v>2</v>
      </c>
      <c r="L1476" s="1">
        <v>0</v>
      </c>
      <c r="M1476" s="1">
        <v>0</v>
      </c>
    </row>
    <row r="1477" spans="1:13">
      <c r="A1477" s="1">
        <v>1476</v>
      </c>
      <c r="B1477" s="1">
        <v>870375.2243</v>
      </c>
      <c r="C1477" s="1">
        <v>1822148.746357081</v>
      </c>
      <c r="D1477" s="1">
        <f t="shared" si="23"/>
        <v>-951773.52205708099</v>
      </c>
      <c r="E1477" s="1">
        <v>18</v>
      </c>
      <c r="F1477" s="1">
        <v>11</v>
      </c>
      <c r="G1477" s="1">
        <v>6</v>
      </c>
      <c r="H1477" s="1">
        <v>0</v>
      </c>
      <c r="I1477" s="1">
        <v>0</v>
      </c>
      <c r="J1477" s="1">
        <v>1</v>
      </c>
      <c r="K1477" s="1">
        <v>0</v>
      </c>
      <c r="L1477" s="1">
        <v>0</v>
      </c>
      <c r="M1477" s="1">
        <v>0</v>
      </c>
    </row>
    <row r="1478" spans="1:13">
      <c r="A1478" s="1">
        <v>1477</v>
      </c>
      <c r="B1478" s="1">
        <v>958170.65359999996</v>
      </c>
      <c r="C1478" s="1">
        <v>863600.1822200598</v>
      </c>
      <c r="D1478" s="1">
        <f t="shared" si="23"/>
        <v>94570.471379940165</v>
      </c>
      <c r="E1478" s="1">
        <v>9</v>
      </c>
      <c r="F1478" s="1">
        <v>21</v>
      </c>
      <c r="G1478" s="1">
        <v>5</v>
      </c>
      <c r="H1478" s="1">
        <v>0</v>
      </c>
      <c r="I1478" s="1">
        <v>0</v>
      </c>
      <c r="J1478" s="1">
        <v>0</v>
      </c>
      <c r="K1478" s="1">
        <v>1</v>
      </c>
      <c r="L1478" s="1">
        <v>0</v>
      </c>
      <c r="M1478" s="1">
        <v>1</v>
      </c>
    </row>
    <row r="1479" spans="1:13">
      <c r="A1479" s="1">
        <v>1478</v>
      </c>
      <c r="B1479" s="1">
        <v>929039.26729999995</v>
      </c>
      <c r="C1479" s="1">
        <v>640486.19483736774</v>
      </c>
      <c r="D1479" s="1">
        <f t="shared" si="23"/>
        <v>288553.0724626322</v>
      </c>
      <c r="E1479" s="1">
        <v>7</v>
      </c>
      <c r="F1479" s="1">
        <v>22</v>
      </c>
      <c r="G1479" s="1">
        <v>6</v>
      </c>
      <c r="H1479" s="1">
        <v>1</v>
      </c>
      <c r="I1479" s="1">
        <v>0</v>
      </c>
      <c r="J1479" s="1">
        <v>0</v>
      </c>
      <c r="K1479" s="1">
        <v>1</v>
      </c>
      <c r="L1479" s="1">
        <v>0</v>
      </c>
      <c r="M1479" s="1">
        <v>0</v>
      </c>
    </row>
    <row r="1480" spans="1:13">
      <c r="A1480" s="1">
        <v>1479</v>
      </c>
      <c r="B1480" s="1">
        <v>843635.54989999998</v>
      </c>
      <c r="C1480" s="1">
        <v>545009.83141719585</v>
      </c>
      <c r="D1480" s="1">
        <f t="shared" si="23"/>
        <v>298625.71848280414</v>
      </c>
      <c r="E1480" s="1">
        <v>11</v>
      </c>
      <c r="F1480" s="1">
        <v>18</v>
      </c>
      <c r="G1480" s="1">
        <v>6</v>
      </c>
      <c r="H1480" s="1">
        <v>0</v>
      </c>
      <c r="I1480" s="1">
        <v>0</v>
      </c>
      <c r="J1480" s="1">
        <v>2</v>
      </c>
      <c r="K1480" s="1">
        <v>0</v>
      </c>
      <c r="L1480" s="1">
        <v>0</v>
      </c>
      <c r="M1480" s="1">
        <v>0</v>
      </c>
    </row>
    <row r="1481" spans="1:13">
      <c r="A1481" s="1">
        <v>1480</v>
      </c>
      <c r="B1481" s="1">
        <v>908330.28700000001</v>
      </c>
      <c r="C1481" s="1">
        <v>667501.53022758907</v>
      </c>
      <c r="D1481" s="1">
        <f t="shared" si="23"/>
        <v>240828.75677241094</v>
      </c>
      <c r="E1481" s="1">
        <v>13</v>
      </c>
      <c r="F1481" s="1">
        <v>17</v>
      </c>
      <c r="G1481" s="1">
        <v>5</v>
      </c>
      <c r="H1481" s="1">
        <v>0</v>
      </c>
      <c r="I1481" s="1">
        <v>0</v>
      </c>
      <c r="J1481" s="1">
        <v>1</v>
      </c>
      <c r="K1481" s="1">
        <v>1</v>
      </c>
      <c r="L1481" s="1">
        <v>0</v>
      </c>
      <c r="M1481" s="1">
        <v>1</v>
      </c>
    </row>
    <row r="1482" spans="1:13">
      <c r="A1482" s="1">
        <v>1481</v>
      </c>
      <c r="B1482" s="1">
        <v>964189.00690000004</v>
      </c>
      <c r="C1482" s="1">
        <v>846289.06788082188</v>
      </c>
      <c r="D1482" s="1">
        <f t="shared" si="23"/>
        <v>117899.93901917816</v>
      </c>
      <c r="E1482" s="1">
        <v>9</v>
      </c>
      <c r="F1482" s="1">
        <v>21</v>
      </c>
      <c r="G1482" s="1">
        <v>5</v>
      </c>
      <c r="H1482" s="1">
        <v>1</v>
      </c>
      <c r="I1482" s="1">
        <v>0</v>
      </c>
      <c r="J1482" s="1">
        <v>0</v>
      </c>
      <c r="K1482" s="1">
        <v>0</v>
      </c>
      <c r="L1482" s="1">
        <v>0</v>
      </c>
      <c r="M1482" s="1">
        <v>0</v>
      </c>
    </row>
    <row r="1483" spans="1:13">
      <c r="A1483" s="1">
        <v>1482</v>
      </c>
      <c r="B1483" s="1">
        <v>853407.56770000001</v>
      </c>
      <c r="C1483" s="1">
        <v>435663.42562598654</v>
      </c>
      <c r="D1483" s="1">
        <f t="shared" si="23"/>
        <v>417744.14207401348</v>
      </c>
      <c r="E1483" s="1">
        <v>17</v>
      </c>
      <c r="F1483" s="1">
        <v>12</v>
      </c>
      <c r="G1483" s="1">
        <v>6</v>
      </c>
      <c r="H1483" s="1">
        <v>0</v>
      </c>
      <c r="I1483" s="1">
        <v>0</v>
      </c>
      <c r="J1483" s="1">
        <v>0</v>
      </c>
      <c r="K1483" s="1">
        <v>0</v>
      </c>
      <c r="L1483" s="1">
        <v>0</v>
      </c>
      <c r="M1483" s="1">
        <v>1</v>
      </c>
    </row>
    <row r="1484" spans="1:13">
      <c r="A1484" s="1">
        <v>1483</v>
      </c>
      <c r="B1484" s="1">
        <v>990423.92460000003</v>
      </c>
      <c r="C1484" s="1">
        <v>1246343.9347257484</v>
      </c>
      <c r="D1484" s="1">
        <f t="shared" si="23"/>
        <v>-255920.01012574835</v>
      </c>
      <c r="E1484" s="1">
        <v>16</v>
      </c>
      <c r="F1484" s="1">
        <v>12</v>
      </c>
      <c r="G1484" s="1">
        <v>7</v>
      </c>
      <c r="H1484" s="1">
        <v>1</v>
      </c>
      <c r="I1484" s="1">
        <v>1</v>
      </c>
      <c r="J1484" s="1">
        <v>0</v>
      </c>
      <c r="K1484" s="1">
        <v>1</v>
      </c>
      <c r="L1484" s="1">
        <v>1</v>
      </c>
      <c r="M1484" s="1">
        <v>0</v>
      </c>
    </row>
    <row r="1485" spans="1:13">
      <c r="A1485" s="1">
        <v>1484</v>
      </c>
      <c r="B1485" s="1">
        <v>954427.7611</v>
      </c>
      <c r="C1485" s="1">
        <v>945416.27280804212</v>
      </c>
      <c r="D1485" s="1">
        <f t="shared" si="23"/>
        <v>9011.4882919578813</v>
      </c>
      <c r="E1485" s="1">
        <v>7</v>
      </c>
      <c r="F1485" s="1">
        <v>23</v>
      </c>
      <c r="G1485" s="1">
        <v>5</v>
      </c>
      <c r="H1485" s="1">
        <v>2</v>
      </c>
      <c r="I1485" s="1">
        <v>0</v>
      </c>
      <c r="J1485" s="1">
        <v>0</v>
      </c>
      <c r="K1485" s="1">
        <v>0</v>
      </c>
      <c r="L1485" s="1">
        <v>1</v>
      </c>
      <c r="M1485" s="1">
        <v>0</v>
      </c>
    </row>
    <row r="1486" spans="1:13">
      <c r="A1486" s="1">
        <v>1485</v>
      </c>
      <c r="B1486" s="1">
        <v>933929.3297</v>
      </c>
      <c r="C1486" s="1">
        <v>679861.97340171412</v>
      </c>
      <c r="D1486" s="1">
        <f t="shared" si="23"/>
        <v>254067.35629828589</v>
      </c>
      <c r="E1486" s="1">
        <v>11</v>
      </c>
      <c r="F1486" s="1">
        <v>16</v>
      </c>
      <c r="G1486" s="1">
        <v>8</v>
      </c>
      <c r="H1486" s="1">
        <v>1</v>
      </c>
      <c r="I1486" s="1">
        <v>1</v>
      </c>
      <c r="J1486" s="1">
        <v>0</v>
      </c>
      <c r="K1486" s="1">
        <v>1</v>
      </c>
      <c r="L1486" s="1">
        <v>0</v>
      </c>
      <c r="M1486" s="1">
        <v>1</v>
      </c>
    </row>
    <row r="1487" spans="1:13">
      <c r="A1487" s="1">
        <v>1486</v>
      </c>
      <c r="B1487" s="1">
        <v>952612.20620000002</v>
      </c>
      <c r="C1487" s="1">
        <v>803900.40828330244</v>
      </c>
      <c r="D1487" s="1">
        <f t="shared" si="23"/>
        <v>148711.79791669757</v>
      </c>
      <c r="E1487" s="1">
        <v>16</v>
      </c>
      <c r="F1487" s="1">
        <v>14</v>
      </c>
      <c r="G1487" s="1">
        <v>5</v>
      </c>
      <c r="H1487" s="1">
        <v>0</v>
      </c>
      <c r="I1487" s="1">
        <v>1</v>
      </c>
      <c r="J1487" s="1">
        <v>0</v>
      </c>
      <c r="K1487" s="1">
        <v>0</v>
      </c>
      <c r="L1487" s="1">
        <v>0</v>
      </c>
      <c r="M1487" s="1">
        <v>0</v>
      </c>
    </row>
    <row r="1488" spans="1:13">
      <c r="A1488" s="1">
        <v>1487</v>
      </c>
      <c r="B1488" s="1">
        <v>874923.66960000002</v>
      </c>
      <c r="C1488" s="1">
        <v>512585.07577578211</v>
      </c>
      <c r="D1488" s="1">
        <f t="shared" si="23"/>
        <v>362338.59382421791</v>
      </c>
      <c r="E1488" s="1">
        <v>19</v>
      </c>
      <c r="F1488" s="1">
        <v>12</v>
      </c>
      <c r="G1488" s="1">
        <v>4</v>
      </c>
      <c r="H1488" s="1">
        <v>1</v>
      </c>
      <c r="I1488" s="1">
        <v>0</v>
      </c>
      <c r="J1488" s="1">
        <v>0</v>
      </c>
      <c r="K1488" s="1">
        <v>0</v>
      </c>
      <c r="L1488" s="1">
        <v>0</v>
      </c>
      <c r="M1488" s="1">
        <v>1</v>
      </c>
    </row>
    <row r="1489" spans="1:13">
      <c r="A1489" s="1">
        <v>1488</v>
      </c>
      <c r="B1489" s="1">
        <v>965777.12479999999</v>
      </c>
      <c r="C1489" s="1">
        <v>1081640.7077537063</v>
      </c>
      <c r="D1489" s="1">
        <f t="shared" si="23"/>
        <v>-115863.58295370627</v>
      </c>
      <c r="E1489" s="1">
        <v>4</v>
      </c>
      <c r="F1489" s="1">
        <v>25</v>
      </c>
      <c r="G1489" s="1">
        <v>6</v>
      </c>
      <c r="H1489" s="1">
        <v>2</v>
      </c>
      <c r="I1489" s="1">
        <v>0</v>
      </c>
      <c r="J1489" s="1">
        <v>0</v>
      </c>
      <c r="K1489" s="1">
        <v>1</v>
      </c>
      <c r="L1489" s="1">
        <v>0</v>
      </c>
      <c r="M1489" s="1">
        <v>0</v>
      </c>
    </row>
    <row r="1490" spans="1:13">
      <c r="A1490" s="1">
        <v>1489</v>
      </c>
      <c r="B1490" s="1">
        <v>920871.69960000005</v>
      </c>
      <c r="C1490" s="1">
        <v>768419.04910979862</v>
      </c>
      <c r="D1490" s="1">
        <f t="shared" si="23"/>
        <v>152452.65049020143</v>
      </c>
      <c r="E1490" s="1">
        <v>15</v>
      </c>
      <c r="F1490" s="1">
        <v>17</v>
      </c>
      <c r="G1490" s="1">
        <v>3</v>
      </c>
      <c r="H1490" s="1">
        <v>0</v>
      </c>
      <c r="I1490" s="1">
        <v>0</v>
      </c>
      <c r="J1490" s="1">
        <v>0</v>
      </c>
      <c r="K1490" s="1">
        <v>1</v>
      </c>
      <c r="L1490" s="1">
        <v>0</v>
      </c>
      <c r="M1490" s="1">
        <v>1</v>
      </c>
    </row>
    <row r="1491" spans="1:13">
      <c r="A1491" s="1">
        <v>1490</v>
      </c>
      <c r="B1491" s="1">
        <v>992159.43489999999</v>
      </c>
      <c r="C1491" s="1">
        <v>509172.79533062025</v>
      </c>
      <c r="D1491" s="1">
        <f t="shared" si="23"/>
        <v>482986.63956937974</v>
      </c>
      <c r="E1491" s="1">
        <v>8</v>
      </c>
      <c r="F1491" s="1">
        <v>21</v>
      </c>
      <c r="G1491" s="1">
        <v>6</v>
      </c>
      <c r="H1491" s="1">
        <v>0</v>
      </c>
      <c r="I1491" s="1">
        <v>1</v>
      </c>
      <c r="J1491" s="1">
        <v>0</v>
      </c>
      <c r="K1491" s="1">
        <v>0</v>
      </c>
      <c r="L1491" s="1">
        <v>0</v>
      </c>
      <c r="M1491" s="1">
        <v>0</v>
      </c>
    </row>
    <row r="1492" spans="1:13">
      <c r="A1492" s="1">
        <v>1491</v>
      </c>
      <c r="B1492" s="1">
        <v>956407.34149999998</v>
      </c>
      <c r="C1492" s="1">
        <v>809200.43170274585</v>
      </c>
      <c r="D1492" s="1">
        <f t="shared" si="23"/>
        <v>147206.90979725413</v>
      </c>
      <c r="E1492" s="1">
        <v>16</v>
      </c>
      <c r="F1492" s="1">
        <v>14</v>
      </c>
      <c r="G1492" s="1">
        <v>5</v>
      </c>
      <c r="H1492" s="1">
        <v>2</v>
      </c>
      <c r="I1492" s="1">
        <v>0</v>
      </c>
      <c r="J1492" s="1">
        <v>1</v>
      </c>
      <c r="K1492" s="1">
        <v>1</v>
      </c>
      <c r="L1492" s="1">
        <v>0</v>
      </c>
      <c r="M1492" s="1">
        <v>0</v>
      </c>
    </row>
    <row r="1493" spans="1:13">
      <c r="A1493" s="1">
        <v>1492</v>
      </c>
      <c r="B1493" s="1">
        <v>948849.0061</v>
      </c>
      <c r="C1493" s="1">
        <v>1029592.8281258155</v>
      </c>
      <c r="D1493" s="1">
        <f t="shared" si="23"/>
        <v>-80743.822025815491</v>
      </c>
      <c r="E1493" s="1">
        <v>15</v>
      </c>
      <c r="F1493" s="1">
        <v>15</v>
      </c>
      <c r="G1493" s="1">
        <v>5</v>
      </c>
      <c r="H1493" s="1">
        <v>2</v>
      </c>
      <c r="I1493" s="1">
        <v>0</v>
      </c>
      <c r="J1493" s="1">
        <v>0</v>
      </c>
      <c r="K1493" s="1">
        <v>2</v>
      </c>
      <c r="L1493" s="1">
        <v>0</v>
      </c>
      <c r="M1493" s="1">
        <v>0</v>
      </c>
    </row>
    <row r="1494" spans="1:13">
      <c r="A1494" s="1">
        <v>1493</v>
      </c>
      <c r="B1494" s="1">
        <v>849940.27769999998</v>
      </c>
      <c r="C1494" s="1">
        <v>855903.09565043764</v>
      </c>
      <c r="D1494" s="1">
        <f t="shared" si="23"/>
        <v>-5962.8179504376603</v>
      </c>
      <c r="E1494" s="1">
        <v>9</v>
      </c>
      <c r="F1494" s="1">
        <v>19</v>
      </c>
      <c r="G1494" s="1">
        <v>7</v>
      </c>
      <c r="H1494" s="1">
        <v>1</v>
      </c>
      <c r="I1494" s="1">
        <v>0</v>
      </c>
      <c r="J1494" s="1">
        <v>0</v>
      </c>
      <c r="K1494" s="1">
        <v>1</v>
      </c>
      <c r="L1494" s="1">
        <v>0</v>
      </c>
      <c r="M1494" s="1">
        <v>0</v>
      </c>
    </row>
    <row r="1495" spans="1:13">
      <c r="A1495" s="1">
        <v>1494</v>
      </c>
      <c r="B1495" s="1">
        <v>1071575.6506000001</v>
      </c>
      <c r="C1495" s="1">
        <v>793206.9646599933</v>
      </c>
      <c r="D1495" s="1">
        <f t="shared" si="23"/>
        <v>278368.68594000675</v>
      </c>
      <c r="E1495" s="1">
        <v>10</v>
      </c>
      <c r="F1495" s="1">
        <v>16</v>
      </c>
      <c r="G1495" s="1">
        <v>9</v>
      </c>
      <c r="H1495" s="1">
        <v>0</v>
      </c>
      <c r="I1495" s="1">
        <v>0</v>
      </c>
      <c r="J1495" s="1">
        <v>0</v>
      </c>
      <c r="K1495" s="1">
        <v>0</v>
      </c>
      <c r="L1495" s="1">
        <v>0</v>
      </c>
      <c r="M1495" s="1">
        <v>1</v>
      </c>
    </row>
    <row r="1496" spans="1:13">
      <c r="A1496" s="1">
        <v>1495</v>
      </c>
      <c r="B1496" s="1">
        <v>889691.0514</v>
      </c>
      <c r="C1496" s="1">
        <v>943535.23821339838</v>
      </c>
      <c r="D1496" s="1">
        <f t="shared" si="23"/>
        <v>-53844.186813398381</v>
      </c>
      <c r="E1496" s="1">
        <v>8</v>
      </c>
      <c r="F1496" s="1">
        <v>23</v>
      </c>
      <c r="G1496" s="1">
        <v>4</v>
      </c>
      <c r="H1496" s="1">
        <v>2</v>
      </c>
      <c r="I1496" s="1">
        <v>0</v>
      </c>
      <c r="J1496" s="1">
        <v>1</v>
      </c>
      <c r="K1496" s="1">
        <v>1</v>
      </c>
      <c r="L1496" s="1">
        <v>0</v>
      </c>
      <c r="M1496" s="1">
        <v>0</v>
      </c>
    </row>
    <row r="1497" spans="1:13">
      <c r="A1497" s="1">
        <v>1496</v>
      </c>
      <c r="B1497" s="1">
        <v>944051.69059999997</v>
      </c>
      <c r="C1497" s="1">
        <v>1197009.5993138044</v>
      </c>
      <c r="D1497" s="1">
        <f t="shared" si="23"/>
        <v>-252957.90871380444</v>
      </c>
      <c r="E1497" s="1">
        <v>7</v>
      </c>
      <c r="F1497" s="1">
        <v>21</v>
      </c>
      <c r="G1497" s="1">
        <v>7</v>
      </c>
      <c r="H1497" s="1">
        <v>1</v>
      </c>
      <c r="I1497" s="1">
        <v>0</v>
      </c>
      <c r="J1497" s="1">
        <v>1</v>
      </c>
      <c r="K1497" s="1">
        <v>1</v>
      </c>
      <c r="L1497" s="1">
        <v>0</v>
      </c>
      <c r="M1497" s="1">
        <v>0</v>
      </c>
    </row>
    <row r="1498" spans="1:13">
      <c r="A1498" s="1">
        <v>1497</v>
      </c>
      <c r="B1498" s="1">
        <v>841285.68819999998</v>
      </c>
      <c r="C1498" s="1">
        <v>555619.70275176316</v>
      </c>
      <c r="D1498" s="1">
        <f t="shared" si="23"/>
        <v>285665.98544823681</v>
      </c>
      <c r="E1498" s="1">
        <v>12</v>
      </c>
      <c r="F1498" s="1">
        <v>19</v>
      </c>
      <c r="G1498" s="1">
        <v>4</v>
      </c>
      <c r="H1498" s="1">
        <v>0</v>
      </c>
      <c r="I1498" s="1">
        <v>0</v>
      </c>
      <c r="J1498" s="1">
        <v>0</v>
      </c>
      <c r="K1498" s="1">
        <v>0</v>
      </c>
      <c r="L1498" s="1">
        <v>0</v>
      </c>
      <c r="M1498" s="1">
        <v>0</v>
      </c>
    </row>
    <row r="1499" spans="1:13">
      <c r="A1499" s="1">
        <v>1498</v>
      </c>
      <c r="B1499" s="1">
        <v>968475.03769999999</v>
      </c>
      <c r="C1499" s="1">
        <v>1313011.5855011363</v>
      </c>
      <c r="D1499" s="1">
        <f t="shared" si="23"/>
        <v>-344536.54780113627</v>
      </c>
      <c r="E1499" s="1">
        <v>17</v>
      </c>
      <c r="F1499" s="1">
        <v>15</v>
      </c>
      <c r="G1499" s="1">
        <v>3</v>
      </c>
      <c r="H1499" s="1">
        <v>2</v>
      </c>
      <c r="I1499" s="1">
        <v>0</v>
      </c>
      <c r="J1499" s="1">
        <v>0</v>
      </c>
      <c r="K1499" s="1">
        <v>0</v>
      </c>
      <c r="L1499" s="1">
        <v>0</v>
      </c>
      <c r="M1499" s="1">
        <v>1</v>
      </c>
    </row>
    <row r="1500" spans="1:13">
      <c r="A1500" s="1">
        <v>1499</v>
      </c>
      <c r="B1500" s="1">
        <v>942229.69449999998</v>
      </c>
      <c r="C1500" s="1">
        <v>2185006.8788022907</v>
      </c>
      <c r="D1500" s="1">
        <f t="shared" si="23"/>
        <v>-1242777.1843022907</v>
      </c>
      <c r="E1500" s="1">
        <v>6</v>
      </c>
      <c r="F1500" s="1">
        <v>23</v>
      </c>
      <c r="G1500" s="1">
        <v>6</v>
      </c>
      <c r="H1500" s="1">
        <v>2</v>
      </c>
      <c r="I1500" s="1">
        <v>0</v>
      </c>
      <c r="J1500" s="1">
        <v>0</v>
      </c>
      <c r="K1500" s="1">
        <v>0</v>
      </c>
      <c r="L1500" s="1">
        <v>0</v>
      </c>
      <c r="M1500" s="1">
        <v>1</v>
      </c>
    </row>
    <row r="1501" spans="1:13">
      <c r="A1501" s="1">
        <v>1500</v>
      </c>
      <c r="B1501" s="1">
        <v>863476.51899999997</v>
      </c>
      <c r="C1501" s="1">
        <v>1147425.87959932</v>
      </c>
      <c r="D1501" s="1">
        <f t="shared" si="23"/>
        <v>-283949.36059932003</v>
      </c>
      <c r="E1501" s="1">
        <v>24</v>
      </c>
      <c r="F1501" s="1">
        <v>6</v>
      </c>
      <c r="G1501" s="1">
        <v>5</v>
      </c>
      <c r="H1501" s="1">
        <v>2</v>
      </c>
      <c r="I1501" s="1">
        <v>0</v>
      </c>
      <c r="J1501" s="1">
        <v>0</v>
      </c>
      <c r="K1501" s="1">
        <v>0</v>
      </c>
      <c r="L1501" s="1">
        <v>0</v>
      </c>
      <c r="M1501" s="1">
        <v>1</v>
      </c>
    </row>
    <row r="1502" spans="1:13">
      <c r="A1502" s="1">
        <v>1501</v>
      </c>
      <c r="B1502" s="1">
        <v>949669.96550000005</v>
      </c>
      <c r="C1502" s="1">
        <v>901855.55813587189</v>
      </c>
      <c r="D1502" s="1">
        <f t="shared" si="23"/>
        <v>47814.407364128157</v>
      </c>
      <c r="E1502" s="1">
        <v>7</v>
      </c>
      <c r="F1502" s="1">
        <v>22</v>
      </c>
      <c r="G1502" s="1">
        <v>6</v>
      </c>
      <c r="H1502" s="1">
        <v>2</v>
      </c>
      <c r="I1502" s="1">
        <v>0</v>
      </c>
      <c r="J1502" s="1">
        <v>0</v>
      </c>
      <c r="K1502" s="1">
        <v>2</v>
      </c>
      <c r="L1502" s="1">
        <v>0</v>
      </c>
      <c r="M1502" s="1">
        <v>1</v>
      </c>
    </row>
    <row r="1503" spans="1:13">
      <c r="A1503" s="1">
        <v>1502</v>
      </c>
      <c r="B1503" s="1">
        <v>1041153.0448</v>
      </c>
      <c r="C1503" s="1">
        <v>733244.00921239925</v>
      </c>
      <c r="D1503" s="1">
        <f t="shared" si="23"/>
        <v>307909.03558760078</v>
      </c>
      <c r="E1503" s="1">
        <v>9</v>
      </c>
      <c r="F1503" s="1">
        <v>20</v>
      </c>
      <c r="G1503" s="1">
        <v>6</v>
      </c>
      <c r="H1503" s="1">
        <v>0</v>
      </c>
      <c r="I1503" s="1">
        <v>1</v>
      </c>
      <c r="J1503" s="1">
        <v>0</v>
      </c>
      <c r="K1503" s="1">
        <v>0</v>
      </c>
      <c r="L1503" s="1">
        <v>0</v>
      </c>
      <c r="M1503" s="1">
        <v>0</v>
      </c>
    </row>
    <row r="1504" spans="1:13">
      <c r="A1504" s="1">
        <v>1503</v>
      </c>
      <c r="B1504" s="1">
        <v>941287.83059999999</v>
      </c>
      <c r="C1504" s="1">
        <v>750852.76920041349</v>
      </c>
      <c r="D1504" s="1">
        <f t="shared" si="23"/>
        <v>190435.0613995865</v>
      </c>
      <c r="E1504" s="1">
        <v>12</v>
      </c>
      <c r="F1504" s="1">
        <v>20</v>
      </c>
      <c r="G1504" s="1">
        <v>3</v>
      </c>
      <c r="H1504" s="1">
        <v>0</v>
      </c>
      <c r="I1504" s="1">
        <v>1</v>
      </c>
      <c r="J1504" s="1">
        <v>0</v>
      </c>
      <c r="K1504" s="1">
        <v>2</v>
      </c>
      <c r="L1504" s="1">
        <v>0</v>
      </c>
      <c r="M1504" s="1">
        <v>1</v>
      </c>
    </row>
    <row r="1505" spans="1:13">
      <c r="A1505" s="1">
        <v>1504</v>
      </c>
      <c r="B1505" s="1">
        <v>830640.67819999997</v>
      </c>
      <c r="C1505" s="1">
        <v>886950.71895798959</v>
      </c>
      <c r="D1505" s="1">
        <f t="shared" si="23"/>
        <v>-56310.040757989627</v>
      </c>
      <c r="E1505" s="1">
        <v>16</v>
      </c>
      <c r="F1505" s="1">
        <v>16</v>
      </c>
      <c r="G1505" s="1">
        <v>3</v>
      </c>
      <c r="H1505" s="1">
        <v>0</v>
      </c>
      <c r="I1505" s="1">
        <v>0</v>
      </c>
      <c r="J1505" s="1">
        <v>0</v>
      </c>
      <c r="K1505" s="1">
        <v>1</v>
      </c>
      <c r="L1505" s="1">
        <v>0</v>
      </c>
      <c r="M1505" s="1">
        <v>0</v>
      </c>
    </row>
    <row r="1506" spans="1:13">
      <c r="A1506" s="1">
        <v>1505</v>
      </c>
      <c r="B1506" s="1">
        <v>892415.51249999995</v>
      </c>
      <c r="C1506" s="1">
        <v>953188.68190288264</v>
      </c>
      <c r="D1506" s="1">
        <f t="shared" si="23"/>
        <v>-60773.16940288269</v>
      </c>
      <c r="E1506" s="1">
        <v>4</v>
      </c>
      <c r="F1506" s="1">
        <v>24</v>
      </c>
      <c r="G1506" s="1">
        <v>7</v>
      </c>
      <c r="H1506" s="1">
        <v>0</v>
      </c>
      <c r="I1506" s="1">
        <v>0</v>
      </c>
      <c r="J1506" s="1">
        <v>1</v>
      </c>
      <c r="K1506" s="1">
        <v>1</v>
      </c>
      <c r="L1506" s="1">
        <v>0</v>
      </c>
      <c r="M1506" s="1">
        <v>1</v>
      </c>
    </row>
    <row r="1507" spans="1:13">
      <c r="A1507" s="1">
        <v>1506</v>
      </c>
      <c r="B1507" s="1">
        <v>902769.47790000006</v>
      </c>
      <c r="C1507" s="1">
        <v>1296703.3785101965</v>
      </c>
      <c r="D1507" s="1">
        <f t="shared" si="23"/>
        <v>-393933.9006101964</v>
      </c>
      <c r="E1507" s="1">
        <v>13</v>
      </c>
      <c r="F1507" s="1">
        <v>15</v>
      </c>
      <c r="G1507" s="1">
        <v>7</v>
      </c>
      <c r="H1507" s="1">
        <v>0</v>
      </c>
      <c r="I1507" s="1">
        <v>0</v>
      </c>
      <c r="J1507" s="1">
        <v>0</v>
      </c>
      <c r="K1507" s="1">
        <v>0</v>
      </c>
      <c r="L1507" s="1">
        <v>0</v>
      </c>
      <c r="M1507" s="1">
        <v>0</v>
      </c>
    </row>
    <row r="1508" spans="1:13">
      <c r="A1508" s="1">
        <v>1507</v>
      </c>
      <c r="B1508" s="1">
        <v>1010842.4963999999</v>
      </c>
      <c r="C1508" s="1">
        <v>738278.93488526111</v>
      </c>
      <c r="D1508" s="1">
        <f t="shared" si="23"/>
        <v>272563.56151473883</v>
      </c>
      <c r="E1508" s="1">
        <v>9</v>
      </c>
      <c r="F1508" s="1">
        <v>20</v>
      </c>
      <c r="G1508" s="1">
        <v>6</v>
      </c>
      <c r="H1508" s="1">
        <v>1</v>
      </c>
      <c r="I1508" s="1">
        <v>0</v>
      </c>
      <c r="J1508" s="1">
        <v>0</v>
      </c>
      <c r="K1508" s="1">
        <v>0</v>
      </c>
      <c r="L1508" s="1">
        <v>0</v>
      </c>
      <c r="M1508" s="1">
        <v>0</v>
      </c>
    </row>
    <row r="1509" spans="1:13">
      <c r="A1509" s="1">
        <v>1508</v>
      </c>
      <c r="B1509" s="1">
        <v>984752.66949999996</v>
      </c>
      <c r="C1509" s="1">
        <v>752635.76488635899</v>
      </c>
      <c r="D1509" s="1">
        <f t="shared" si="23"/>
        <v>232116.90461364097</v>
      </c>
      <c r="E1509" s="1">
        <v>5</v>
      </c>
      <c r="F1509" s="1">
        <v>25</v>
      </c>
      <c r="G1509" s="1">
        <v>5</v>
      </c>
      <c r="H1509" s="1">
        <v>2</v>
      </c>
      <c r="I1509" s="1">
        <v>0</v>
      </c>
      <c r="J1509" s="1">
        <v>0</v>
      </c>
      <c r="K1509" s="1">
        <v>0</v>
      </c>
      <c r="L1509" s="1">
        <v>0</v>
      </c>
      <c r="M1509" s="1">
        <v>0</v>
      </c>
    </row>
    <row r="1510" spans="1:13">
      <c r="A1510" s="1">
        <v>1509</v>
      </c>
      <c r="B1510" s="1">
        <v>996946.41890000005</v>
      </c>
      <c r="C1510" s="1">
        <v>1166564.3865774125</v>
      </c>
      <c r="D1510" s="1">
        <f t="shared" si="23"/>
        <v>-169617.96767741244</v>
      </c>
      <c r="E1510" s="1">
        <v>15</v>
      </c>
      <c r="F1510" s="1">
        <v>15</v>
      </c>
      <c r="G1510" s="1">
        <v>5</v>
      </c>
      <c r="H1510" s="1">
        <v>0</v>
      </c>
      <c r="I1510" s="1">
        <v>0</v>
      </c>
      <c r="J1510" s="1">
        <v>0</v>
      </c>
      <c r="K1510" s="1">
        <v>1</v>
      </c>
      <c r="L1510" s="1">
        <v>0</v>
      </c>
      <c r="M1510" s="1">
        <v>0</v>
      </c>
    </row>
    <row r="1511" spans="1:13">
      <c r="A1511" s="1">
        <v>1510</v>
      </c>
      <c r="B1511" s="1">
        <v>977246.91650000005</v>
      </c>
      <c r="C1511" s="1">
        <v>786507.94764798519</v>
      </c>
      <c r="D1511" s="1">
        <f t="shared" si="23"/>
        <v>190738.96885201486</v>
      </c>
      <c r="E1511" s="1">
        <v>12</v>
      </c>
      <c r="F1511" s="1">
        <v>19</v>
      </c>
      <c r="G1511" s="1">
        <v>4</v>
      </c>
      <c r="H1511" s="1">
        <v>0</v>
      </c>
      <c r="I1511" s="1">
        <v>0</v>
      </c>
      <c r="J1511" s="1">
        <v>0</v>
      </c>
      <c r="K1511" s="1">
        <v>0</v>
      </c>
      <c r="L1511" s="1">
        <v>0</v>
      </c>
      <c r="M1511" s="1">
        <v>0</v>
      </c>
    </row>
    <row r="1512" spans="1:13">
      <c r="A1512" s="1">
        <v>1511</v>
      </c>
      <c r="B1512" s="1">
        <v>917810.23800000001</v>
      </c>
      <c r="C1512" s="1">
        <v>568783.64809468831</v>
      </c>
      <c r="D1512" s="1">
        <f t="shared" si="23"/>
        <v>349026.5899053117</v>
      </c>
      <c r="E1512" s="1">
        <v>10</v>
      </c>
      <c r="F1512" s="1">
        <v>21</v>
      </c>
      <c r="G1512" s="1">
        <v>4</v>
      </c>
      <c r="H1512" s="1">
        <v>2</v>
      </c>
      <c r="I1512" s="1">
        <v>0</v>
      </c>
      <c r="J1512" s="1">
        <v>1</v>
      </c>
      <c r="K1512" s="1">
        <v>0</v>
      </c>
      <c r="L1512" s="1">
        <v>0</v>
      </c>
      <c r="M1512" s="1">
        <v>0</v>
      </c>
    </row>
    <row r="1513" spans="1:13">
      <c r="A1513" s="1">
        <v>1512</v>
      </c>
      <c r="B1513" s="1">
        <v>863080.86540000001</v>
      </c>
      <c r="C1513" s="1">
        <v>784107.34776943689</v>
      </c>
      <c r="D1513" s="1">
        <f t="shared" si="23"/>
        <v>78973.517630563118</v>
      </c>
      <c r="E1513" s="1">
        <v>18</v>
      </c>
      <c r="F1513" s="1">
        <v>15</v>
      </c>
      <c r="G1513" s="1">
        <v>2</v>
      </c>
      <c r="H1513" s="1">
        <v>0</v>
      </c>
      <c r="I1513" s="1">
        <v>0</v>
      </c>
      <c r="J1513" s="1">
        <v>0</v>
      </c>
      <c r="K1513" s="1">
        <v>0</v>
      </c>
      <c r="L1513" s="1">
        <v>0</v>
      </c>
      <c r="M1513" s="1">
        <v>1</v>
      </c>
    </row>
    <row r="1514" spans="1:13">
      <c r="A1514" s="1">
        <v>1513</v>
      </c>
      <c r="B1514" s="1">
        <v>894174.62860000005</v>
      </c>
      <c r="C1514" s="1">
        <v>787510.5576595288</v>
      </c>
      <c r="D1514" s="1">
        <f t="shared" si="23"/>
        <v>106664.07094047125</v>
      </c>
      <c r="E1514" s="1">
        <v>16</v>
      </c>
      <c r="F1514" s="1">
        <v>13</v>
      </c>
      <c r="G1514" s="1">
        <v>6</v>
      </c>
      <c r="H1514" s="1">
        <v>1</v>
      </c>
      <c r="I1514" s="1">
        <v>1</v>
      </c>
      <c r="J1514" s="1">
        <v>1</v>
      </c>
      <c r="K1514" s="1">
        <v>0</v>
      </c>
      <c r="L1514" s="1">
        <v>0</v>
      </c>
      <c r="M1514" s="1">
        <v>1</v>
      </c>
    </row>
    <row r="1515" spans="1:13">
      <c r="A1515" s="1">
        <v>1514</v>
      </c>
      <c r="B1515" s="1">
        <v>905434.47950000002</v>
      </c>
      <c r="C1515" s="1">
        <v>1295961.0285828721</v>
      </c>
      <c r="D1515" s="1">
        <f t="shared" si="23"/>
        <v>-390526.54908287211</v>
      </c>
      <c r="E1515" s="1">
        <v>9</v>
      </c>
      <c r="F1515" s="1">
        <v>20</v>
      </c>
      <c r="G1515" s="1">
        <v>6</v>
      </c>
      <c r="H1515" s="1">
        <v>2</v>
      </c>
      <c r="I1515" s="1">
        <v>0</v>
      </c>
      <c r="J1515" s="1">
        <v>0</v>
      </c>
      <c r="K1515" s="1">
        <v>2</v>
      </c>
      <c r="L1515" s="1">
        <v>0</v>
      </c>
      <c r="M1515" s="1">
        <v>0</v>
      </c>
    </row>
    <row r="1516" spans="1:13">
      <c r="A1516" s="1">
        <v>1515</v>
      </c>
      <c r="B1516" s="1">
        <v>992935.94779999997</v>
      </c>
      <c r="C1516" s="1">
        <v>1204711.7085140198</v>
      </c>
      <c r="D1516" s="1">
        <f t="shared" si="23"/>
        <v>-211775.76071401988</v>
      </c>
      <c r="E1516" s="1">
        <v>14</v>
      </c>
      <c r="F1516" s="1">
        <v>15</v>
      </c>
      <c r="G1516" s="1">
        <v>6</v>
      </c>
      <c r="H1516" s="1">
        <v>0</v>
      </c>
      <c r="I1516" s="1">
        <v>0</v>
      </c>
      <c r="J1516" s="1">
        <v>1</v>
      </c>
      <c r="K1516" s="1">
        <v>0</v>
      </c>
      <c r="L1516" s="1">
        <v>0</v>
      </c>
      <c r="M1516" s="1">
        <v>0</v>
      </c>
    </row>
    <row r="1517" spans="1:13">
      <c r="A1517" s="1">
        <v>1516</v>
      </c>
      <c r="B1517" s="1">
        <v>886791.00840000005</v>
      </c>
      <c r="C1517" s="1">
        <v>583727.14075154101</v>
      </c>
      <c r="D1517" s="1">
        <f t="shared" si="23"/>
        <v>303063.86764845904</v>
      </c>
      <c r="E1517" s="1">
        <v>16</v>
      </c>
      <c r="F1517" s="1">
        <v>16</v>
      </c>
      <c r="G1517" s="1">
        <v>3</v>
      </c>
      <c r="H1517" s="1">
        <v>1</v>
      </c>
      <c r="I1517" s="1">
        <v>0</v>
      </c>
      <c r="J1517" s="1">
        <v>1</v>
      </c>
      <c r="K1517" s="1">
        <v>1</v>
      </c>
      <c r="L1517" s="1">
        <v>0</v>
      </c>
      <c r="M1517" s="1">
        <v>0</v>
      </c>
    </row>
    <row r="1518" spans="1:13">
      <c r="A1518" s="1">
        <v>1517</v>
      </c>
      <c r="B1518" s="1">
        <v>920820.1544</v>
      </c>
      <c r="C1518" s="1">
        <v>854339.78488967591</v>
      </c>
      <c r="D1518" s="1">
        <f t="shared" si="23"/>
        <v>66480.36951032409</v>
      </c>
      <c r="E1518" s="1">
        <v>16</v>
      </c>
      <c r="F1518" s="1">
        <v>13</v>
      </c>
      <c r="G1518" s="1">
        <v>6</v>
      </c>
      <c r="H1518" s="1">
        <v>1</v>
      </c>
      <c r="I1518" s="1">
        <v>0</v>
      </c>
      <c r="J1518" s="1">
        <v>1</v>
      </c>
      <c r="K1518" s="1">
        <v>1</v>
      </c>
      <c r="L1518" s="1">
        <v>0</v>
      </c>
      <c r="M1518" s="1">
        <v>0</v>
      </c>
    </row>
    <row r="1519" spans="1:13">
      <c r="A1519" s="1">
        <v>1518</v>
      </c>
      <c r="B1519" s="1">
        <v>920684.42920000001</v>
      </c>
      <c r="C1519" s="1">
        <v>1350164.7046398276</v>
      </c>
      <c r="D1519" s="1">
        <f t="shared" si="23"/>
        <v>-429480.27543982759</v>
      </c>
      <c r="E1519" s="1">
        <v>19</v>
      </c>
      <c r="F1519" s="1">
        <v>13</v>
      </c>
      <c r="G1519" s="1">
        <v>3</v>
      </c>
      <c r="H1519" s="1">
        <v>1</v>
      </c>
      <c r="I1519" s="1">
        <v>0</v>
      </c>
      <c r="J1519" s="1">
        <v>0</v>
      </c>
      <c r="K1519" s="1">
        <v>2</v>
      </c>
      <c r="L1519" s="1">
        <v>0</v>
      </c>
      <c r="M1519" s="1">
        <v>0</v>
      </c>
    </row>
    <row r="1520" spans="1:13">
      <c r="A1520" s="1">
        <v>1519</v>
      </c>
      <c r="B1520" s="1">
        <v>902054.24569999997</v>
      </c>
      <c r="C1520" s="1">
        <v>999842.72011196113</v>
      </c>
      <c r="D1520" s="1">
        <f t="shared" si="23"/>
        <v>-97788.474411961157</v>
      </c>
      <c r="E1520" s="1">
        <v>14</v>
      </c>
      <c r="F1520" s="1">
        <v>13</v>
      </c>
      <c r="G1520" s="1">
        <v>8</v>
      </c>
      <c r="H1520" s="1">
        <v>0</v>
      </c>
      <c r="I1520" s="1">
        <v>0</v>
      </c>
      <c r="J1520" s="1">
        <v>0</v>
      </c>
      <c r="K1520" s="1">
        <v>0</v>
      </c>
      <c r="L1520" s="1">
        <v>0</v>
      </c>
      <c r="M1520" s="1">
        <v>1</v>
      </c>
    </row>
    <row r="1521" spans="1:13">
      <c r="A1521" s="1">
        <v>1520</v>
      </c>
      <c r="B1521" s="1">
        <v>983908.43330000003</v>
      </c>
      <c r="C1521" s="1">
        <v>851494.69040676346</v>
      </c>
      <c r="D1521" s="1">
        <f t="shared" si="23"/>
        <v>132413.74289323657</v>
      </c>
      <c r="E1521" s="1">
        <v>19</v>
      </c>
      <c r="F1521" s="1">
        <v>11</v>
      </c>
      <c r="G1521" s="1">
        <v>5</v>
      </c>
      <c r="H1521" s="1">
        <v>2</v>
      </c>
      <c r="I1521" s="1">
        <v>0</v>
      </c>
      <c r="J1521" s="1">
        <v>0</v>
      </c>
      <c r="K1521" s="1">
        <v>1</v>
      </c>
      <c r="L1521" s="1">
        <v>1</v>
      </c>
      <c r="M1521" s="1">
        <v>0</v>
      </c>
    </row>
    <row r="1522" spans="1:13">
      <c r="A1522" s="1">
        <v>1521</v>
      </c>
      <c r="B1522" s="1">
        <v>854820.60060000001</v>
      </c>
      <c r="C1522" s="1">
        <v>675122.49972126563</v>
      </c>
      <c r="D1522" s="1">
        <f t="shared" si="23"/>
        <v>179698.10087873437</v>
      </c>
      <c r="E1522" s="1">
        <v>9</v>
      </c>
      <c r="F1522" s="1">
        <v>20</v>
      </c>
      <c r="G1522" s="1">
        <v>6</v>
      </c>
      <c r="H1522" s="1">
        <v>0</v>
      </c>
      <c r="I1522" s="1">
        <v>0</v>
      </c>
      <c r="J1522" s="1">
        <v>2</v>
      </c>
      <c r="K1522" s="1">
        <v>0</v>
      </c>
      <c r="L1522" s="1">
        <v>0</v>
      </c>
      <c r="M1522" s="1">
        <v>0</v>
      </c>
    </row>
    <row r="1523" spans="1:13">
      <c r="A1523" s="1">
        <v>1522</v>
      </c>
      <c r="B1523" s="1">
        <v>876651.35759999999</v>
      </c>
      <c r="C1523" s="1">
        <v>704015.82653871796</v>
      </c>
      <c r="D1523" s="1">
        <f t="shared" si="23"/>
        <v>172635.53106128203</v>
      </c>
      <c r="E1523" s="1">
        <v>12</v>
      </c>
      <c r="F1523" s="1">
        <v>17</v>
      </c>
      <c r="G1523" s="1">
        <v>6</v>
      </c>
      <c r="H1523" s="1">
        <v>0</v>
      </c>
      <c r="I1523" s="1">
        <v>0</v>
      </c>
      <c r="J1523" s="1">
        <v>1</v>
      </c>
      <c r="K1523" s="1">
        <v>0</v>
      </c>
      <c r="L1523" s="1">
        <v>0</v>
      </c>
      <c r="M1523" s="1">
        <v>0</v>
      </c>
    </row>
    <row r="1524" spans="1:13">
      <c r="A1524" s="1">
        <v>1523</v>
      </c>
      <c r="B1524" s="1">
        <v>883351.73109999998</v>
      </c>
      <c r="C1524" s="1">
        <v>448432.74730707856</v>
      </c>
      <c r="D1524" s="1">
        <f t="shared" si="23"/>
        <v>434918.98379292141</v>
      </c>
      <c r="E1524" s="1">
        <v>16</v>
      </c>
      <c r="F1524" s="1">
        <v>14</v>
      </c>
      <c r="G1524" s="1">
        <v>5</v>
      </c>
      <c r="H1524" s="1">
        <v>0</v>
      </c>
      <c r="I1524" s="1">
        <v>0</v>
      </c>
      <c r="J1524" s="1">
        <v>0</v>
      </c>
      <c r="K1524" s="1">
        <v>0</v>
      </c>
      <c r="L1524" s="1">
        <v>0</v>
      </c>
      <c r="M1524" s="1">
        <v>0</v>
      </c>
    </row>
    <row r="1525" spans="1:13">
      <c r="A1525" s="1">
        <v>1524</v>
      </c>
      <c r="B1525" s="1">
        <v>905030.52370000002</v>
      </c>
      <c r="C1525" s="1">
        <v>714045.58155140828</v>
      </c>
      <c r="D1525" s="1">
        <f t="shared" si="23"/>
        <v>190984.94214859174</v>
      </c>
      <c r="E1525" s="1">
        <v>15</v>
      </c>
      <c r="F1525" s="1">
        <v>18</v>
      </c>
      <c r="G1525" s="1">
        <v>2</v>
      </c>
      <c r="H1525" s="1">
        <v>1</v>
      </c>
      <c r="I1525" s="1">
        <v>0</v>
      </c>
      <c r="J1525" s="1">
        <v>1</v>
      </c>
      <c r="K1525" s="1">
        <v>1</v>
      </c>
      <c r="L1525" s="1">
        <v>0</v>
      </c>
      <c r="M1525" s="1">
        <v>0</v>
      </c>
    </row>
    <row r="1526" spans="1:13">
      <c r="A1526" s="1">
        <v>1525</v>
      </c>
      <c r="B1526" s="1">
        <v>915133.26760000002</v>
      </c>
      <c r="C1526" s="1">
        <v>573769.07137767458</v>
      </c>
      <c r="D1526" s="1">
        <f t="shared" si="23"/>
        <v>341364.19622232544</v>
      </c>
      <c r="E1526" s="1">
        <v>12</v>
      </c>
      <c r="F1526" s="1">
        <v>20</v>
      </c>
      <c r="G1526" s="1">
        <v>3</v>
      </c>
      <c r="H1526" s="1">
        <v>1</v>
      </c>
      <c r="I1526" s="1">
        <v>0</v>
      </c>
      <c r="J1526" s="1">
        <v>1</v>
      </c>
      <c r="K1526" s="1">
        <v>1</v>
      </c>
      <c r="L1526" s="1">
        <v>0</v>
      </c>
      <c r="M1526" s="1">
        <v>0</v>
      </c>
    </row>
    <row r="1527" spans="1:13">
      <c r="A1527" s="1">
        <v>1526</v>
      </c>
      <c r="B1527" s="1">
        <v>922471.90619999997</v>
      </c>
      <c r="C1527" s="1">
        <v>838529.84200648917</v>
      </c>
      <c r="D1527" s="1">
        <f t="shared" si="23"/>
        <v>83942.0641935108</v>
      </c>
      <c r="E1527" s="1">
        <v>8</v>
      </c>
      <c r="F1527" s="1">
        <v>23</v>
      </c>
      <c r="G1527" s="1">
        <v>4</v>
      </c>
      <c r="H1527" s="1">
        <v>0</v>
      </c>
      <c r="I1527" s="1">
        <v>0</v>
      </c>
      <c r="J1527" s="1">
        <v>1</v>
      </c>
      <c r="K1527" s="1">
        <v>0</v>
      </c>
      <c r="L1527" s="1">
        <v>0</v>
      </c>
      <c r="M1527" s="1">
        <v>0</v>
      </c>
    </row>
    <row r="1528" spans="1:13">
      <c r="A1528" s="1">
        <v>1527</v>
      </c>
      <c r="B1528" s="1">
        <v>943693.76879999996</v>
      </c>
      <c r="C1528" s="1">
        <v>643342.25294425595</v>
      </c>
      <c r="D1528" s="1">
        <f t="shared" si="23"/>
        <v>300351.51585574402</v>
      </c>
      <c r="E1528" s="1">
        <v>8</v>
      </c>
      <c r="F1528" s="1">
        <v>19</v>
      </c>
      <c r="G1528" s="1">
        <v>8</v>
      </c>
      <c r="H1528" s="1">
        <v>0</v>
      </c>
      <c r="I1528" s="1">
        <v>1</v>
      </c>
      <c r="J1528" s="1">
        <v>0</v>
      </c>
      <c r="K1528" s="1">
        <v>1</v>
      </c>
      <c r="L1528" s="1">
        <v>0</v>
      </c>
      <c r="M1528" s="1">
        <v>1</v>
      </c>
    </row>
    <row r="1529" spans="1:13">
      <c r="A1529" s="1">
        <v>1528</v>
      </c>
      <c r="B1529" s="1">
        <v>969111.93689999997</v>
      </c>
      <c r="C1529" s="1">
        <v>637398.74044336635</v>
      </c>
      <c r="D1529" s="1">
        <f t="shared" si="23"/>
        <v>331713.19645663362</v>
      </c>
      <c r="E1529" s="1">
        <v>14</v>
      </c>
      <c r="F1529" s="1">
        <v>18</v>
      </c>
      <c r="G1529" s="1">
        <v>3</v>
      </c>
      <c r="H1529" s="1">
        <v>2</v>
      </c>
      <c r="I1529" s="1">
        <v>0</v>
      </c>
      <c r="J1529" s="1">
        <v>0</v>
      </c>
      <c r="K1529" s="1">
        <v>2</v>
      </c>
      <c r="L1529" s="1">
        <v>0</v>
      </c>
      <c r="M1529" s="1">
        <v>1</v>
      </c>
    </row>
    <row r="1530" spans="1:13">
      <c r="A1530" s="1">
        <v>1529</v>
      </c>
      <c r="B1530" s="1">
        <v>916797.67339999997</v>
      </c>
      <c r="C1530" s="1">
        <v>959900.43839091982</v>
      </c>
      <c r="D1530" s="1">
        <f t="shared" si="23"/>
        <v>-43102.764990919852</v>
      </c>
      <c r="E1530" s="1">
        <v>13</v>
      </c>
      <c r="F1530" s="1">
        <v>17</v>
      </c>
      <c r="G1530" s="1">
        <v>5</v>
      </c>
      <c r="H1530" s="1">
        <v>0</v>
      </c>
      <c r="I1530" s="1">
        <v>1</v>
      </c>
      <c r="J1530" s="1">
        <v>0</v>
      </c>
      <c r="K1530" s="1">
        <v>1</v>
      </c>
      <c r="L1530" s="1">
        <v>0</v>
      </c>
      <c r="M1530" s="1">
        <v>0</v>
      </c>
    </row>
    <row r="1531" spans="1:13">
      <c r="A1531" s="1">
        <v>1530</v>
      </c>
      <c r="B1531" s="1">
        <v>845141.10439999995</v>
      </c>
      <c r="C1531" s="1">
        <v>1239826.4958165479</v>
      </c>
      <c r="D1531" s="1">
        <f t="shared" si="23"/>
        <v>-394685.39141654794</v>
      </c>
      <c r="E1531" s="1">
        <v>21</v>
      </c>
      <c r="F1531" s="1">
        <v>10</v>
      </c>
      <c r="G1531" s="1">
        <v>4</v>
      </c>
      <c r="H1531" s="1">
        <v>1</v>
      </c>
      <c r="I1531" s="1">
        <v>0</v>
      </c>
      <c r="J1531" s="1">
        <v>1</v>
      </c>
      <c r="K1531" s="1">
        <v>0</v>
      </c>
      <c r="L1531" s="1">
        <v>0</v>
      </c>
      <c r="M1531" s="1">
        <v>0</v>
      </c>
    </row>
    <row r="1532" spans="1:13">
      <c r="A1532" s="1">
        <v>1531</v>
      </c>
      <c r="B1532" s="1">
        <v>1025117.3078</v>
      </c>
      <c r="C1532" s="1">
        <v>2005900.7958744641</v>
      </c>
      <c r="D1532" s="1">
        <f t="shared" si="23"/>
        <v>-980783.48807446414</v>
      </c>
      <c r="E1532" s="1">
        <v>22</v>
      </c>
      <c r="F1532" s="1">
        <v>7</v>
      </c>
      <c r="G1532" s="1">
        <v>6</v>
      </c>
      <c r="H1532" s="1">
        <v>2</v>
      </c>
      <c r="I1532" s="1">
        <v>0</v>
      </c>
      <c r="J1532" s="1">
        <v>1</v>
      </c>
      <c r="K1532" s="1">
        <v>0</v>
      </c>
      <c r="L1532" s="1">
        <v>1</v>
      </c>
      <c r="M1532" s="1">
        <v>0</v>
      </c>
    </row>
    <row r="1533" spans="1:13">
      <c r="A1533" s="1">
        <v>1532</v>
      </c>
      <c r="B1533" s="1">
        <v>946228.19209999999</v>
      </c>
      <c r="C1533" s="1">
        <v>1036762.6958970276</v>
      </c>
      <c r="D1533" s="1">
        <f t="shared" si="23"/>
        <v>-90534.503797027632</v>
      </c>
      <c r="E1533" s="1">
        <v>20</v>
      </c>
      <c r="F1533" s="1">
        <v>13</v>
      </c>
      <c r="G1533" s="1">
        <v>2</v>
      </c>
      <c r="H1533" s="1">
        <v>0</v>
      </c>
      <c r="I1533" s="1">
        <v>0</v>
      </c>
      <c r="J1533" s="1">
        <v>0</v>
      </c>
      <c r="K1533" s="1">
        <v>1</v>
      </c>
      <c r="L1533" s="1">
        <v>0</v>
      </c>
      <c r="M1533" s="1">
        <v>1</v>
      </c>
    </row>
    <row r="1534" spans="1:13">
      <c r="A1534" s="1">
        <v>1533</v>
      </c>
      <c r="B1534" s="1">
        <v>1010899.2275</v>
      </c>
      <c r="C1534" s="1">
        <v>676004.96378180641</v>
      </c>
      <c r="D1534" s="1">
        <f t="shared" si="23"/>
        <v>334894.26371819363</v>
      </c>
      <c r="E1534" s="1">
        <v>5</v>
      </c>
      <c r="F1534" s="1">
        <v>24</v>
      </c>
      <c r="G1534" s="1">
        <v>6</v>
      </c>
      <c r="H1534" s="1">
        <v>0</v>
      </c>
      <c r="I1534" s="1">
        <v>0</v>
      </c>
      <c r="J1534" s="1">
        <v>1</v>
      </c>
      <c r="K1534" s="1">
        <v>1</v>
      </c>
      <c r="L1534" s="1">
        <v>0</v>
      </c>
      <c r="M1534" s="1">
        <v>0</v>
      </c>
    </row>
    <row r="1535" spans="1:13">
      <c r="A1535" s="1">
        <v>1534</v>
      </c>
      <c r="B1535" s="1">
        <v>939028.19460000005</v>
      </c>
      <c r="C1535" s="1">
        <v>670337.48138856317</v>
      </c>
      <c r="D1535" s="1">
        <f t="shared" si="23"/>
        <v>268690.71321143687</v>
      </c>
      <c r="E1535" s="1">
        <v>8</v>
      </c>
      <c r="F1535" s="1">
        <v>22</v>
      </c>
      <c r="G1535" s="1">
        <v>5</v>
      </c>
      <c r="H1535" s="1">
        <v>2</v>
      </c>
      <c r="I1535" s="1">
        <v>0</v>
      </c>
      <c r="J1535" s="1">
        <v>1</v>
      </c>
      <c r="K1535" s="1">
        <v>0</v>
      </c>
      <c r="L1535" s="1">
        <v>0</v>
      </c>
      <c r="M1535" s="1">
        <v>1</v>
      </c>
    </row>
    <row r="1536" spans="1:13">
      <c r="A1536" s="1">
        <v>1535</v>
      </c>
      <c r="B1536" s="1">
        <v>966586.86360000004</v>
      </c>
      <c r="C1536" s="1">
        <v>673251.43060896941</v>
      </c>
      <c r="D1536" s="1">
        <f t="shared" si="23"/>
        <v>293335.43299103063</v>
      </c>
      <c r="E1536" s="1">
        <v>13</v>
      </c>
      <c r="F1536" s="1">
        <v>16</v>
      </c>
      <c r="G1536" s="1">
        <v>6</v>
      </c>
      <c r="H1536" s="1">
        <v>0</v>
      </c>
      <c r="I1536" s="1">
        <v>1</v>
      </c>
      <c r="J1536" s="1">
        <v>1</v>
      </c>
      <c r="K1536" s="1">
        <v>0</v>
      </c>
      <c r="L1536" s="1">
        <v>0</v>
      </c>
      <c r="M1536" s="1">
        <v>0</v>
      </c>
    </row>
    <row r="1537" spans="1:13">
      <c r="A1537" s="1">
        <v>1536</v>
      </c>
      <c r="B1537" s="1">
        <v>941506.69649999996</v>
      </c>
      <c r="C1537" s="1">
        <v>517844.09836837614</v>
      </c>
      <c r="D1537" s="1">
        <f t="shared" si="23"/>
        <v>423662.59813162382</v>
      </c>
      <c r="E1537" s="1">
        <v>13</v>
      </c>
      <c r="F1537" s="1">
        <v>16</v>
      </c>
      <c r="G1537" s="1">
        <v>6</v>
      </c>
      <c r="H1537" s="1">
        <v>1</v>
      </c>
      <c r="I1537" s="1">
        <v>0</v>
      </c>
      <c r="J1537" s="1">
        <v>1</v>
      </c>
      <c r="K1537" s="1">
        <v>0</v>
      </c>
      <c r="L1537" s="1">
        <v>0</v>
      </c>
      <c r="M1537" s="1">
        <v>0</v>
      </c>
    </row>
    <row r="1538" spans="1:13">
      <c r="A1538" s="1">
        <v>1537</v>
      </c>
      <c r="B1538" s="1">
        <v>893509.66709999996</v>
      </c>
      <c r="C1538" s="1">
        <v>862938.60131496366</v>
      </c>
      <c r="D1538" s="1">
        <f t="shared" ref="D1538:D1601" si="24">B1538-C1538</f>
        <v>30571.065785036306</v>
      </c>
      <c r="E1538" s="1">
        <v>19</v>
      </c>
      <c r="F1538" s="1">
        <v>12</v>
      </c>
      <c r="G1538" s="1">
        <v>4</v>
      </c>
      <c r="H1538" s="1">
        <v>0</v>
      </c>
      <c r="I1538" s="1">
        <v>0</v>
      </c>
      <c r="J1538" s="1">
        <v>0</v>
      </c>
      <c r="K1538" s="1">
        <v>1</v>
      </c>
      <c r="L1538" s="1">
        <v>0</v>
      </c>
      <c r="M1538" s="1">
        <v>0</v>
      </c>
    </row>
    <row r="1539" spans="1:13">
      <c r="A1539" s="1">
        <v>1538</v>
      </c>
      <c r="B1539" s="1">
        <v>1017629.8807</v>
      </c>
      <c r="C1539" s="1">
        <v>787793.12199359562</v>
      </c>
      <c r="D1539" s="1">
        <f t="shared" si="24"/>
        <v>229836.75870640436</v>
      </c>
      <c r="E1539" s="1">
        <v>7</v>
      </c>
      <c r="F1539" s="1">
        <v>21</v>
      </c>
      <c r="G1539" s="1">
        <v>7</v>
      </c>
      <c r="H1539" s="1">
        <v>1</v>
      </c>
      <c r="I1539" s="1">
        <v>0</v>
      </c>
      <c r="J1539" s="1">
        <v>2</v>
      </c>
      <c r="K1539" s="1">
        <v>0</v>
      </c>
      <c r="L1539" s="1">
        <v>0</v>
      </c>
      <c r="M1539" s="1">
        <v>0</v>
      </c>
    </row>
    <row r="1540" spans="1:13">
      <c r="A1540" s="1">
        <v>1539</v>
      </c>
      <c r="B1540" s="1">
        <v>897410.80989999999</v>
      </c>
      <c r="C1540" s="1">
        <v>1153362.9860194882</v>
      </c>
      <c r="D1540" s="1">
        <f t="shared" si="24"/>
        <v>-255952.1761194882</v>
      </c>
      <c r="E1540" s="1">
        <v>21</v>
      </c>
      <c r="F1540" s="1">
        <v>11</v>
      </c>
      <c r="G1540" s="1">
        <v>3</v>
      </c>
      <c r="H1540" s="1">
        <v>1</v>
      </c>
      <c r="I1540" s="1">
        <v>1</v>
      </c>
      <c r="J1540" s="1">
        <v>0</v>
      </c>
      <c r="K1540" s="1">
        <v>0</v>
      </c>
      <c r="L1540" s="1">
        <v>0</v>
      </c>
      <c r="M1540" s="1">
        <v>1</v>
      </c>
    </row>
    <row r="1541" spans="1:13">
      <c r="A1541" s="1">
        <v>1540</v>
      </c>
      <c r="B1541" s="1">
        <v>886184.45849999995</v>
      </c>
      <c r="C1541" s="1">
        <v>840810.97964922001</v>
      </c>
      <c r="D1541" s="1">
        <f t="shared" si="24"/>
        <v>45373.478850779939</v>
      </c>
      <c r="E1541" s="1">
        <v>14</v>
      </c>
      <c r="F1541" s="1">
        <v>16</v>
      </c>
      <c r="G1541" s="1">
        <v>5</v>
      </c>
      <c r="H1541" s="1">
        <v>1</v>
      </c>
      <c r="I1541" s="1">
        <v>1</v>
      </c>
      <c r="J1541" s="1">
        <v>1</v>
      </c>
      <c r="K1541" s="1">
        <v>0</v>
      </c>
      <c r="L1541" s="1">
        <v>0</v>
      </c>
      <c r="M1541" s="1">
        <v>0</v>
      </c>
    </row>
    <row r="1542" spans="1:13">
      <c r="A1542" s="1">
        <v>1541</v>
      </c>
      <c r="B1542" s="1">
        <v>972702.01809999999</v>
      </c>
      <c r="C1542" s="1">
        <v>710928.70141810353</v>
      </c>
      <c r="D1542" s="1">
        <f t="shared" si="24"/>
        <v>261773.31668189645</v>
      </c>
      <c r="E1542" s="1">
        <v>12</v>
      </c>
      <c r="F1542" s="1">
        <v>17</v>
      </c>
      <c r="G1542" s="1">
        <v>6</v>
      </c>
      <c r="H1542" s="1">
        <v>2</v>
      </c>
      <c r="I1542" s="1">
        <v>0</v>
      </c>
      <c r="J1542" s="1">
        <v>0</v>
      </c>
      <c r="K1542" s="1">
        <v>1</v>
      </c>
      <c r="L1542" s="1">
        <v>0</v>
      </c>
      <c r="M1542" s="1">
        <v>0</v>
      </c>
    </row>
    <row r="1543" spans="1:13">
      <c r="A1543" s="1">
        <v>1542</v>
      </c>
      <c r="B1543" s="1">
        <v>1057728.4047999999</v>
      </c>
      <c r="C1543" s="1">
        <v>1034764.8537176035</v>
      </c>
      <c r="D1543" s="1">
        <f t="shared" si="24"/>
        <v>22963.551082396414</v>
      </c>
      <c r="E1543" s="1">
        <v>7</v>
      </c>
      <c r="F1543" s="1">
        <v>23</v>
      </c>
      <c r="G1543" s="1">
        <v>5</v>
      </c>
      <c r="H1543" s="1">
        <v>1</v>
      </c>
      <c r="I1543" s="1">
        <v>0</v>
      </c>
      <c r="J1543" s="1">
        <v>2</v>
      </c>
      <c r="K1543" s="1">
        <v>0</v>
      </c>
      <c r="L1543" s="1">
        <v>0</v>
      </c>
      <c r="M1543" s="1">
        <v>0</v>
      </c>
    </row>
    <row r="1544" spans="1:13">
      <c r="A1544" s="1">
        <v>1543</v>
      </c>
      <c r="B1544" s="1">
        <v>1060941.0023000001</v>
      </c>
      <c r="C1544" s="1">
        <v>821720.34145173384</v>
      </c>
      <c r="D1544" s="1">
        <f t="shared" si="24"/>
        <v>239220.66084826621</v>
      </c>
      <c r="E1544" s="1">
        <v>9</v>
      </c>
      <c r="F1544" s="1">
        <v>22</v>
      </c>
      <c r="G1544" s="1">
        <v>4</v>
      </c>
      <c r="H1544" s="1">
        <v>2</v>
      </c>
      <c r="I1544" s="1">
        <v>0</v>
      </c>
      <c r="J1544" s="1">
        <v>1</v>
      </c>
      <c r="K1544" s="1">
        <v>0</v>
      </c>
      <c r="L1544" s="1">
        <v>1</v>
      </c>
      <c r="M1544" s="1">
        <v>0</v>
      </c>
    </row>
    <row r="1545" spans="1:13">
      <c r="A1545" s="1">
        <v>1544</v>
      </c>
      <c r="B1545" s="1">
        <v>1020517.7548</v>
      </c>
      <c r="C1545" s="1">
        <v>1060708.2290018033</v>
      </c>
      <c r="D1545" s="1">
        <f t="shared" si="24"/>
        <v>-40190.474201803328</v>
      </c>
      <c r="E1545" s="1">
        <v>11</v>
      </c>
      <c r="F1545" s="1">
        <v>18</v>
      </c>
      <c r="G1545" s="1">
        <v>6</v>
      </c>
      <c r="H1545" s="1">
        <v>2</v>
      </c>
      <c r="I1545" s="1">
        <v>0</v>
      </c>
      <c r="J1545" s="1">
        <v>0</v>
      </c>
      <c r="K1545" s="1">
        <v>2</v>
      </c>
      <c r="L1545" s="1">
        <v>0</v>
      </c>
      <c r="M1545" s="1">
        <v>1</v>
      </c>
    </row>
    <row r="1546" spans="1:13">
      <c r="A1546" s="1">
        <v>1545</v>
      </c>
      <c r="B1546" s="1">
        <v>866825.13089999999</v>
      </c>
      <c r="C1546" s="1">
        <v>763100.2909810748</v>
      </c>
      <c r="D1546" s="1">
        <f t="shared" si="24"/>
        <v>103724.83991892519</v>
      </c>
      <c r="E1546" s="1">
        <v>18</v>
      </c>
      <c r="F1546" s="1">
        <v>15</v>
      </c>
      <c r="G1546" s="1">
        <v>2</v>
      </c>
      <c r="H1546" s="1">
        <v>0</v>
      </c>
      <c r="I1546" s="1">
        <v>1</v>
      </c>
      <c r="J1546" s="1">
        <v>1</v>
      </c>
      <c r="K1546" s="1">
        <v>0</v>
      </c>
      <c r="L1546" s="1">
        <v>0</v>
      </c>
      <c r="M1546" s="1">
        <v>1</v>
      </c>
    </row>
    <row r="1547" spans="1:13">
      <c r="A1547" s="1">
        <v>1546</v>
      </c>
      <c r="B1547" s="1">
        <v>847051.74730000005</v>
      </c>
      <c r="C1547" s="1">
        <v>798590.37999301916</v>
      </c>
      <c r="D1547" s="1">
        <f t="shared" si="24"/>
        <v>48461.367306980886</v>
      </c>
      <c r="E1547" s="1">
        <v>20</v>
      </c>
      <c r="F1547" s="1">
        <v>7</v>
      </c>
      <c r="G1547" s="1">
        <v>8</v>
      </c>
      <c r="H1547" s="1">
        <v>1</v>
      </c>
      <c r="I1547" s="1">
        <v>1</v>
      </c>
      <c r="J1547" s="1">
        <v>0</v>
      </c>
      <c r="K1547" s="1">
        <v>1</v>
      </c>
      <c r="L1547" s="1">
        <v>1</v>
      </c>
      <c r="M1547" s="1">
        <v>0</v>
      </c>
    </row>
    <row r="1548" spans="1:13">
      <c r="A1548" s="1">
        <v>1547</v>
      </c>
      <c r="B1548" s="1">
        <v>1098349.9765999999</v>
      </c>
      <c r="C1548" s="1">
        <v>652258.43813289085</v>
      </c>
      <c r="D1548" s="1">
        <f t="shared" si="24"/>
        <v>446091.53846710909</v>
      </c>
      <c r="E1548" s="1">
        <v>7</v>
      </c>
      <c r="F1548" s="1">
        <v>23</v>
      </c>
      <c r="G1548" s="1">
        <v>5</v>
      </c>
      <c r="H1548" s="1">
        <v>1</v>
      </c>
      <c r="I1548" s="1">
        <v>0</v>
      </c>
      <c r="J1548" s="1">
        <v>0</v>
      </c>
      <c r="K1548" s="1">
        <v>1</v>
      </c>
      <c r="L1548" s="1">
        <v>0</v>
      </c>
      <c r="M1548" s="1">
        <v>0</v>
      </c>
    </row>
    <row r="1549" spans="1:13">
      <c r="A1549" s="1">
        <v>1548</v>
      </c>
      <c r="B1549" s="1">
        <v>996966.34420000005</v>
      </c>
      <c r="C1549" s="1">
        <v>648430.44217398763</v>
      </c>
      <c r="D1549" s="1">
        <f t="shared" si="24"/>
        <v>348535.90202601242</v>
      </c>
      <c r="E1549" s="1">
        <v>16</v>
      </c>
      <c r="F1549" s="1">
        <v>11</v>
      </c>
      <c r="G1549" s="1">
        <v>8</v>
      </c>
      <c r="H1549" s="1">
        <v>0</v>
      </c>
      <c r="I1549" s="1">
        <v>0</v>
      </c>
      <c r="J1549" s="1">
        <v>1</v>
      </c>
      <c r="K1549" s="1">
        <v>0</v>
      </c>
      <c r="L1549" s="1">
        <v>0</v>
      </c>
      <c r="M1549" s="1">
        <v>0</v>
      </c>
    </row>
    <row r="1550" spans="1:13">
      <c r="A1550" s="1">
        <v>1549</v>
      </c>
      <c r="B1550" s="1">
        <v>953843.18429999996</v>
      </c>
      <c r="C1550" s="1">
        <v>1899255.9069397899</v>
      </c>
      <c r="D1550" s="1">
        <f t="shared" si="24"/>
        <v>-945412.72263978992</v>
      </c>
      <c r="E1550" s="1">
        <v>10</v>
      </c>
      <c r="F1550" s="1">
        <v>18</v>
      </c>
      <c r="G1550" s="1">
        <v>7</v>
      </c>
      <c r="H1550" s="1">
        <v>1</v>
      </c>
      <c r="I1550" s="1">
        <v>1</v>
      </c>
      <c r="J1550" s="1">
        <v>0</v>
      </c>
      <c r="K1550" s="1">
        <v>0</v>
      </c>
      <c r="L1550" s="1">
        <v>0</v>
      </c>
      <c r="M1550" s="1">
        <v>0</v>
      </c>
    </row>
    <row r="1551" spans="1:13">
      <c r="A1551" s="1">
        <v>1550</v>
      </c>
      <c r="B1551" s="1">
        <v>949431.17290000001</v>
      </c>
      <c r="C1551" s="1">
        <v>1014335.5803626137</v>
      </c>
      <c r="D1551" s="1">
        <f t="shared" si="24"/>
        <v>-64904.407462613657</v>
      </c>
      <c r="E1551" s="1">
        <v>10</v>
      </c>
      <c r="F1551" s="1">
        <v>19</v>
      </c>
      <c r="G1551" s="1">
        <v>6</v>
      </c>
      <c r="H1551" s="1">
        <v>2</v>
      </c>
      <c r="I1551" s="1">
        <v>0</v>
      </c>
      <c r="J1551" s="1">
        <v>0</v>
      </c>
      <c r="K1551" s="1">
        <v>2</v>
      </c>
      <c r="L1551" s="1">
        <v>0</v>
      </c>
      <c r="M1551" s="1">
        <v>0</v>
      </c>
    </row>
    <row r="1552" spans="1:13">
      <c r="A1552" s="1">
        <v>1551</v>
      </c>
      <c r="B1552" s="1">
        <v>1007021.9269</v>
      </c>
      <c r="C1552" s="1">
        <v>1880495.81358949</v>
      </c>
      <c r="D1552" s="1">
        <f t="shared" si="24"/>
        <v>-873473.88668949006</v>
      </c>
      <c r="E1552" s="1">
        <v>12</v>
      </c>
      <c r="F1552" s="1">
        <v>15</v>
      </c>
      <c r="G1552" s="1">
        <v>8</v>
      </c>
      <c r="H1552" s="1">
        <v>1</v>
      </c>
      <c r="I1552" s="1">
        <v>0</v>
      </c>
      <c r="J1552" s="1">
        <v>0</v>
      </c>
      <c r="K1552" s="1">
        <v>0</v>
      </c>
      <c r="L1552" s="1">
        <v>0</v>
      </c>
      <c r="M1552" s="1">
        <v>0</v>
      </c>
    </row>
    <row r="1553" spans="1:13">
      <c r="A1553" s="1">
        <v>1552</v>
      </c>
      <c r="B1553" s="1">
        <v>1040611.9256</v>
      </c>
      <c r="C1553" s="1">
        <v>582988.47979675222</v>
      </c>
      <c r="D1553" s="1">
        <f t="shared" si="24"/>
        <v>457623.44580324774</v>
      </c>
      <c r="E1553" s="1">
        <v>12</v>
      </c>
      <c r="F1553" s="1">
        <v>15</v>
      </c>
      <c r="G1553" s="1">
        <v>8</v>
      </c>
      <c r="H1553" s="1">
        <v>1</v>
      </c>
      <c r="I1553" s="1">
        <v>0</v>
      </c>
      <c r="J1553" s="1">
        <v>1</v>
      </c>
      <c r="K1553" s="1">
        <v>1</v>
      </c>
      <c r="L1553" s="1">
        <v>0</v>
      </c>
      <c r="M1553" s="1">
        <v>0</v>
      </c>
    </row>
    <row r="1554" spans="1:13">
      <c r="A1554" s="1">
        <v>1553</v>
      </c>
      <c r="B1554" s="1">
        <v>923026.65700000001</v>
      </c>
      <c r="C1554" s="1">
        <v>1511737.6918078773</v>
      </c>
      <c r="D1554" s="1">
        <f t="shared" si="24"/>
        <v>-588711.03480787727</v>
      </c>
      <c r="E1554" s="1">
        <v>19</v>
      </c>
      <c r="F1554" s="1">
        <v>11</v>
      </c>
      <c r="G1554" s="1">
        <v>5</v>
      </c>
      <c r="H1554" s="1">
        <v>0</v>
      </c>
      <c r="I1554" s="1">
        <v>0</v>
      </c>
      <c r="J1554" s="1">
        <v>0</v>
      </c>
      <c r="K1554" s="1">
        <v>2</v>
      </c>
      <c r="L1554" s="1">
        <v>0</v>
      </c>
      <c r="M1554" s="1">
        <v>1</v>
      </c>
    </row>
    <row r="1555" spans="1:13">
      <c r="A1555" s="1">
        <v>1554</v>
      </c>
      <c r="B1555" s="1">
        <v>952992.42379999999</v>
      </c>
      <c r="C1555" s="1">
        <v>1192034.1699286818</v>
      </c>
      <c r="D1555" s="1">
        <f t="shared" si="24"/>
        <v>-239041.74612868181</v>
      </c>
      <c r="E1555" s="1">
        <v>12</v>
      </c>
      <c r="F1555" s="1">
        <v>16</v>
      </c>
      <c r="G1555" s="1">
        <v>7</v>
      </c>
      <c r="H1555" s="1">
        <v>1</v>
      </c>
      <c r="I1555" s="1">
        <v>0</v>
      </c>
      <c r="J1555" s="1">
        <v>1</v>
      </c>
      <c r="K1555" s="1">
        <v>0</v>
      </c>
      <c r="L1555" s="1">
        <v>0</v>
      </c>
      <c r="M1555" s="1">
        <v>0</v>
      </c>
    </row>
    <row r="1556" spans="1:13">
      <c r="A1556" s="1">
        <v>1555</v>
      </c>
      <c r="B1556" s="1">
        <v>919572.90789999999</v>
      </c>
      <c r="C1556" s="1">
        <v>1317996.6985519021</v>
      </c>
      <c r="D1556" s="1">
        <f t="shared" si="24"/>
        <v>-398423.79065190209</v>
      </c>
      <c r="E1556" s="1">
        <v>18</v>
      </c>
      <c r="F1556" s="1">
        <v>12</v>
      </c>
      <c r="G1556" s="1">
        <v>5</v>
      </c>
      <c r="H1556" s="1">
        <v>1</v>
      </c>
      <c r="I1556" s="1">
        <v>0</v>
      </c>
      <c r="J1556" s="1">
        <v>1</v>
      </c>
      <c r="K1556" s="1">
        <v>0</v>
      </c>
      <c r="L1556" s="1">
        <v>0</v>
      </c>
      <c r="M1556" s="1">
        <v>1</v>
      </c>
    </row>
    <row r="1557" spans="1:13">
      <c r="A1557" s="1">
        <v>1556</v>
      </c>
      <c r="B1557" s="1">
        <v>942686.38500000001</v>
      </c>
      <c r="C1557" s="1">
        <v>966294.11352536804</v>
      </c>
      <c r="D1557" s="1">
        <f t="shared" si="24"/>
        <v>-23607.728525368031</v>
      </c>
      <c r="E1557" s="1">
        <v>12</v>
      </c>
      <c r="F1557" s="1">
        <v>18</v>
      </c>
      <c r="G1557" s="1">
        <v>5</v>
      </c>
      <c r="H1557" s="1">
        <v>0</v>
      </c>
      <c r="I1557" s="1">
        <v>1</v>
      </c>
      <c r="J1557" s="1">
        <v>0</v>
      </c>
      <c r="K1557" s="1">
        <v>0</v>
      </c>
      <c r="L1557" s="1">
        <v>0</v>
      </c>
      <c r="M1557" s="1">
        <v>0</v>
      </c>
    </row>
    <row r="1558" spans="1:13">
      <c r="A1558" s="1">
        <v>1557</v>
      </c>
      <c r="B1558" s="1">
        <v>850059.25690000004</v>
      </c>
      <c r="C1558" s="1">
        <v>1044549.7115975711</v>
      </c>
      <c r="D1558" s="1">
        <f t="shared" si="24"/>
        <v>-194490.45469757111</v>
      </c>
      <c r="E1558" s="1">
        <v>10</v>
      </c>
      <c r="F1558" s="1">
        <v>22</v>
      </c>
      <c r="G1558" s="1">
        <v>3</v>
      </c>
      <c r="H1558" s="1">
        <v>0</v>
      </c>
      <c r="I1558" s="1">
        <v>0</v>
      </c>
      <c r="J1558" s="1">
        <v>0</v>
      </c>
      <c r="K1558" s="1">
        <v>1</v>
      </c>
      <c r="L1558" s="1">
        <v>0</v>
      </c>
      <c r="M1558" s="1">
        <v>1</v>
      </c>
    </row>
    <row r="1559" spans="1:13">
      <c r="A1559" s="1">
        <v>1558</v>
      </c>
      <c r="B1559" s="1">
        <v>1063511.584</v>
      </c>
      <c r="C1559" s="1">
        <v>1325344.3842208367</v>
      </c>
      <c r="D1559" s="1">
        <f t="shared" si="24"/>
        <v>-261832.80022083665</v>
      </c>
      <c r="E1559" s="1">
        <v>17</v>
      </c>
      <c r="F1559" s="1">
        <v>10</v>
      </c>
      <c r="G1559" s="1">
        <v>8</v>
      </c>
      <c r="H1559" s="1">
        <v>2</v>
      </c>
      <c r="I1559" s="1">
        <v>0</v>
      </c>
      <c r="J1559" s="1">
        <v>1</v>
      </c>
      <c r="K1559" s="1">
        <v>0</v>
      </c>
      <c r="L1559" s="1">
        <v>0</v>
      </c>
      <c r="M1559" s="1">
        <v>0</v>
      </c>
    </row>
    <row r="1560" spans="1:13">
      <c r="A1560" s="1">
        <v>1559</v>
      </c>
      <c r="B1560" s="1">
        <v>1064999.3622999999</v>
      </c>
      <c r="C1560" s="1">
        <v>969378.79185035662</v>
      </c>
      <c r="D1560" s="1">
        <f t="shared" si="24"/>
        <v>95620.570449643303</v>
      </c>
      <c r="E1560" s="1">
        <v>11</v>
      </c>
      <c r="F1560" s="1">
        <v>15</v>
      </c>
      <c r="G1560" s="1">
        <v>9</v>
      </c>
      <c r="H1560" s="1">
        <v>0</v>
      </c>
      <c r="I1560" s="1">
        <v>0</v>
      </c>
      <c r="J1560" s="1">
        <v>2</v>
      </c>
      <c r="K1560" s="1">
        <v>0</v>
      </c>
      <c r="L1560" s="1">
        <v>0</v>
      </c>
      <c r="M1560" s="1">
        <v>0</v>
      </c>
    </row>
    <row r="1561" spans="1:13">
      <c r="A1561" s="1">
        <v>1560</v>
      </c>
      <c r="B1561" s="1">
        <v>914931.76049999997</v>
      </c>
      <c r="C1561" s="1">
        <v>1169373.7494103382</v>
      </c>
      <c r="D1561" s="1">
        <f t="shared" si="24"/>
        <v>-254441.98891033826</v>
      </c>
      <c r="E1561" s="1">
        <v>20</v>
      </c>
      <c r="F1561" s="1">
        <v>9</v>
      </c>
      <c r="G1561" s="1">
        <v>6</v>
      </c>
      <c r="H1561" s="1">
        <v>1</v>
      </c>
      <c r="I1561" s="1">
        <v>0</v>
      </c>
      <c r="J1561" s="1">
        <v>1</v>
      </c>
      <c r="K1561" s="1">
        <v>0</v>
      </c>
      <c r="L1561" s="1">
        <v>0</v>
      </c>
      <c r="M1561" s="1">
        <v>0</v>
      </c>
    </row>
    <row r="1562" spans="1:13">
      <c r="A1562" s="1">
        <v>1561</v>
      </c>
      <c r="B1562" s="1">
        <v>872393.70669999998</v>
      </c>
      <c r="C1562" s="1">
        <v>932563.03773852438</v>
      </c>
      <c r="D1562" s="1">
        <f t="shared" si="24"/>
        <v>-60169.331038524397</v>
      </c>
      <c r="E1562" s="1">
        <v>20</v>
      </c>
      <c r="F1562" s="1">
        <v>13</v>
      </c>
      <c r="G1562" s="1">
        <v>2</v>
      </c>
      <c r="H1562" s="1">
        <v>1</v>
      </c>
      <c r="I1562" s="1">
        <v>0</v>
      </c>
      <c r="J1562" s="1">
        <v>0</v>
      </c>
      <c r="K1562" s="1">
        <v>0</v>
      </c>
      <c r="L1562" s="1">
        <v>0</v>
      </c>
      <c r="M1562" s="1">
        <v>0</v>
      </c>
    </row>
    <row r="1563" spans="1:13">
      <c r="A1563" s="1">
        <v>1562</v>
      </c>
      <c r="B1563" s="1">
        <v>925646.00639999995</v>
      </c>
      <c r="C1563" s="1">
        <v>991459.06102082809</v>
      </c>
      <c r="D1563" s="1">
        <f t="shared" si="24"/>
        <v>-65813.05462082813</v>
      </c>
      <c r="E1563" s="1">
        <v>9</v>
      </c>
      <c r="F1563" s="1">
        <v>18</v>
      </c>
      <c r="G1563" s="1">
        <v>8</v>
      </c>
      <c r="H1563" s="1">
        <v>2</v>
      </c>
      <c r="I1563" s="1">
        <v>0</v>
      </c>
      <c r="J1563" s="1">
        <v>0</v>
      </c>
      <c r="K1563" s="1">
        <v>0</v>
      </c>
      <c r="L1563" s="1">
        <v>0</v>
      </c>
      <c r="M1563" s="1">
        <v>0</v>
      </c>
    </row>
    <row r="1564" spans="1:13">
      <c r="A1564" s="1">
        <v>1563</v>
      </c>
      <c r="B1564" s="1">
        <v>785654.50020000001</v>
      </c>
      <c r="C1564" s="1">
        <v>561200.97384191013</v>
      </c>
      <c r="D1564" s="1">
        <f t="shared" si="24"/>
        <v>224453.52635808988</v>
      </c>
      <c r="E1564" s="1">
        <v>10</v>
      </c>
      <c r="F1564" s="1">
        <v>23</v>
      </c>
      <c r="G1564" s="1">
        <v>2</v>
      </c>
      <c r="H1564" s="1">
        <v>2</v>
      </c>
      <c r="I1564" s="1">
        <v>0</v>
      </c>
      <c r="J1564" s="1">
        <v>0</v>
      </c>
      <c r="K1564" s="1">
        <v>1</v>
      </c>
      <c r="L1564" s="1">
        <v>0</v>
      </c>
      <c r="M1564" s="1">
        <v>0</v>
      </c>
    </row>
    <row r="1565" spans="1:13">
      <c r="A1565" s="1">
        <v>1564</v>
      </c>
      <c r="B1565" s="1">
        <v>829335.00509999995</v>
      </c>
      <c r="C1565" s="1">
        <v>777111.96497207088</v>
      </c>
      <c r="D1565" s="1">
        <f t="shared" si="24"/>
        <v>52223.040127929067</v>
      </c>
      <c r="E1565" s="1">
        <v>19</v>
      </c>
      <c r="F1565" s="1">
        <v>14</v>
      </c>
      <c r="G1565" s="1">
        <v>2</v>
      </c>
      <c r="H1565" s="1">
        <v>1</v>
      </c>
      <c r="I1565" s="1">
        <v>0</v>
      </c>
      <c r="J1565" s="1">
        <v>0</v>
      </c>
      <c r="K1565" s="1">
        <v>0</v>
      </c>
      <c r="L1565" s="1">
        <v>0</v>
      </c>
      <c r="M1565" s="1">
        <v>0</v>
      </c>
    </row>
    <row r="1566" spans="1:13">
      <c r="A1566" s="1">
        <v>1565</v>
      </c>
      <c r="B1566" s="1">
        <v>971841.1777</v>
      </c>
      <c r="C1566" s="1">
        <v>821547.80389909341</v>
      </c>
      <c r="D1566" s="1">
        <f t="shared" si="24"/>
        <v>150293.37380090659</v>
      </c>
      <c r="E1566" s="1">
        <v>9</v>
      </c>
      <c r="F1566" s="1">
        <v>19</v>
      </c>
      <c r="G1566" s="1">
        <v>7</v>
      </c>
      <c r="H1566" s="1">
        <v>1</v>
      </c>
      <c r="I1566" s="1">
        <v>0</v>
      </c>
      <c r="J1566" s="1">
        <v>2</v>
      </c>
      <c r="K1566" s="1">
        <v>0</v>
      </c>
      <c r="L1566" s="1">
        <v>0</v>
      </c>
      <c r="M1566" s="1">
        <v>0</v>
      </c>
    </row>
    <row r="1567" spans="1:13">
      <c r="A1567" s="1">
        <v>1566</v>
      </c>
      <c r="B1567" s="1">
        <v>847476.66799999995</v>
      </c>
      <c r="C1567" s="1">
        <v>990397.13528285571</v>
      </c>
      <c r="D1567" s="1">
        <f t="shared" si="24"/>
        <v>-142920.46728285577</v>
      </c>
      <c r="E1567" s="1">
        <v>15</v>
      </c>
      <c r="F1567" s="1">
        <v>15</v>
      </c>
      <c r="G1567" s="1">
        <v>5</v>
      </c>
      <c r="H1567" s="1">
        <v>0</v>
      </c>
      <c r="I1567" s="1">
        <v>0</v>
      </c>
      <c r="J1567" s="1">
        <v>0</v>
      </c>
      <c r="K1567" s="1">
        <v>2</v>
      </c>
      <c r="L1567" s="1">
        <v>0</v>
      </c>
      <c r="M1567" s="1">
        <v>0</v>
      </c>
    </row>
    <row r="1568" spans="1:13">
      <c r="A1568" s="1">
        <v>1567</v>
      </c>
      <c r="B1568" s="1">
        <v>873520.84329999995</v>
      </c>
      <c r="C1568" s="1">
        <v>886675.67974349158</v>
      </c>
      <c r="D1568" s="1">
        <f t="shared" si="24"/>
        <v>-13154.836443491629</v>
      </c>
      <c r="E1568" s="1">
        <v>17</v>
      </c>
      <c r="F1568" s="1">
        <v>14</v>
      </c>
      <c r="G1568" s="1">
        <v>4</v>
      </c>
      <c r="H1568" s="1">
        <v>2</v>
      </c>
      <c r="I1568" s="1">
        <v>0</v>
      </c>
      <c r="J1568" s="1">
        <v>1</v>
      </c>
      <c r="K1568" s="1">
        <v>1</v>
      </c>
      <c r="L1568" s="1">
        <v>0</v>
      </c>
      <c r="M1568" s="1">
        <v>1</v>
      </c>
    </row>
    <row r="1569" spans="1:13">
      <c r="A1569" s="1">
        <v>1568</v>
      </c>
      <c r="B1569" s="1">
        <v>987327.75690000004</v>
      </c>
      <c r="C1569" s="1">
        <v>843889.82014979247</v>
      </c>
      <c r="D1569" s="1">
        <f t="shared" si="24"/>
        <v>143437.93675020756</v>
      </c>
      <c r="E1569" s="1">
        <v>5</v>
      </c>
      <c r="F1569" s="1">
        <v>24</v>
      </c>
      <c r="G1569" s="1">
        <v>6</v>
      </c>
      <c r="H1569" s="1">
        <v>0</v>
      </c>
      <c r="I1569" s="1">
        <v>0</v>
      </c>
      <c r="J1569" s="1">
        <v>0</v>
      </c>
      <c r="K1569" s="1">
        <v>1</v>
      </c>
      <c r="L1569" s="1">
        <v>1</v>
      </c>
      <c r="M1569" s="1">
        <v>0</v>
      </c>
    </row>
    <row r="1570" spans="1:13">
      <c r="A1570" s="1">
        <v>1569</v>
      </c>
      <c r="B1570" s="1">
        <v>962230.25040000002</v>
      </c>
      <c r="C1570" s="1">
        <v>1548241.4336777511</v>
      </c>
      <c r="D1570" s="1">
        <f t="shared" si="24"/>
        <v>-586011.18327775109</v>
      </c>
      <c r="E1570" s="1">
        <v>9</v>
      </c>
      <c r="F1570" s="1">
        <v>20</v>
      </c>
      <c r="G1570" s="1">
        <v>6</v>
      </c>
      <c r="H1570" s="1">
        <v>0</v>
      </c>
      <c r="I1570" s="1">
        <v>0</v>
      </c>
      <c r="J1570" s="1">
        <v>1</v>
      </c>
      <c r="K1570" s="1">
        <v>0</v>
      </c>
      <c r="L1570" s="1">
        <v>0</v>
      </c>
      <c r="M1570" s="1">
        <v>0</v>
      </c>
    </row>
    <row r="1571" spans="1:13">
      <c r="A1571" s="1">
        <v>1570</v>
      </c>
      <c r="B1571" s="1">
        <v>937574.76509999996</v>
      </c>
      <c r="C1571" s="1">
        <v>755179.36033910373</v>
      </c>
      <c r="D1571" s="1">
        <f t="shared" si="24"/>
        <v>182395.40476089623</v>
      </c>
      <c r="E1571" s="1">
        <v>8</v>
      </c>
      <c r="F1571" s="1">
        <v>25</v>
      </c>
      <c r="G1571" s="1">
        <v>2</v>
      </c>
      <c r="H1571" s="1">
        <v>1</v>
      </c>
      <c r="I1571" s="1">
        <v>1</v>
      </c>
      <c r="J1571" s="1">
        <v>0</v>
      </c>
      <c r="K1571" s="1">
        <v>2</v>
      </c>
      <c r="L1571" s="1">
        <v>0</v>
      </c>
      <c r="M1571" s="1">
        <v>0</v>
      </c>
    </row>
    <row r="1572" spans="1:13">
      <c r="A1572" s="1">
        <v>1571</v>
      </c>
      <c r="B1572" s="1">
        <v>1000725.0451</v>
      </c>
      <c r="C1572" s="1">
        <v>605552.77731938171</v>
      </c>
      <c r="D1572" s="1">
        <f t="shared" si="24"/>
        <v>395172.26778061828</v>
      </c>
      <c r="E1572" s="1">
        <v>6</v>
      </c>
      <c r="F1572" s="1">
        <v>24</v>
      </c>
      <c r="G1572" s="1">
        <v>5</v>
      </c>
      <c r="H1572" s="1">
        <v>2</v>
      </c>
      <c r="I1572" s="1">
        <v>0</v>
      </c>
      <c r="J1572" s="1">
        <v>0</v>
      </c>
      <c r="K1572" s="1">
        <v>0</v>
      </c>
      <c r="L1572" s="1">
        <v>1</v>
      </c>
      <c r="M1572" s="1">
        <v>0</v>
      </c>
    </row>
    <row r="1573" spans="1:13">
      <c r="A1573" s="1">
        <v>1572</v>
      </c>
      <c r="B1573" s="1">
        <v>981175.23880000005</v>
      </c>
      <c r="C1573" s="1">
        <v>998285.37139484938</v>
      </c>
      <c r="D1573" s="1">
        <f t="shared" si="24"/>
        <v>-17110.132594849332</v>
      </c>
      <c r="E1573" s="1">
        <v>7</v>
      </c>
      <c r="F1573" s="1">
        <v>22</v>
      </c>
      <c r="G1573" s="1">
        <v>6</v>
      </c>
      <c r="H1573" s="1">
        <v>0</v>
      </c>
      <c r="I1573" s="1">
        <v>0</v>
      </c>
      <c r="J1573" s="1">
        <v>0</v>
      </c>
      <c r="K1573" s="1">
        <v>1</v>
      </c>
      <c r="L1573" s="1">
        <v>1</v>
      </c>
      <c r="M1573" s="1">
        <v>0</v>
      </c>
    </row>
    <row r="1574" spans="1:13">
      <c r="A1574" s="1">
        <v>1573</v>
      </c>
      <c r="B1574" s="1">
        <v>976302.43429999996</v>
      </c>
      <c r="C1574" s="1">
        <v>963867.71742633125</v>
      </c>
      <c r="D1574" s="1">
        <f t="shared" si="24"/>
        <v>12434.716873668716</v>
      </c>
      <c r="E1574" s="1">
        <v>6</v>
      </c>
      <c r="F1574" s="1">
        <v>23</v>
      </c>
      <c r="G1574" s="1">
        <v>6</v>
      </c>
      <c r="H1574" s="1">
        <v>1</v>
      </c>
      <c r="I1574" s="1">
        <v>0</v>
      </c>
      <c r="J1574" s="1">
        <v>0</v>
      </c>
      <c r="K1574" s="1">
        <v>0</v>
      </c>
      <c r="L1574" s="1">
        <v>0</v>
      </c>
      <c r="M1574" s="1">
        <v>0</v>
      </c>
    </row>
    <row r="1575" spans="1:13">
      <c r="A1575" s="1">
        <v>1574</v>
      </c>
      <c r="B1575" s="1">
        <v>945867.66299999994</v>
      </c>
      <c r="C1575" s="1">
        <v>602230.34519211715</v>
      </c>
      <c r="D1575" s="1">
        <f t="shared" si="24"/>
        <v>343637.31780788279</v>
      </c>
      <c r="E1575" s="1">
        <v>12</v>
      </c>
      <c r="F1575" s="1">
        <v>20</v>
      </c>
      <c r="G1575" s="1">
        <v>3</v>
      </c>
      <c r="H1575" s="1">
        <v>1</v>
      </c>
      <c r="I1575" s="1">
        <v>1</v>
      </c>
      <c r="J1575" s="1">
        <v>0</v>
      </c>
      <c r="K1575" s="1">
        <v>1</v>
      </c>
      <c r="L1575" s="1">
        <v>1</v>
      </c>
      <c r="M1575" s="1">
        <v>0</v>
      </c>
    </row>
    <row r="1576" spans="1:13">
      <c r="A1576" s="1">
        <v>1575</v>
      </c>
      <c r="B1576" s="1">
        <v>976213.01269999996</v>
      </c>
      <c r="C1576" s="1">
        <v>2482408.5901666991</v>
      </c>
      <c r="D1576" s="1">
        <f t="shared" si="24"/>
        <v>-1506195.5774666993</v>
      </c>
      <c r="E1576" s="1">
        <v>8</v>
      </c>
      <c r="F1576" s="1">
        <v>22</v>
      </c>
      <c r="G1576" s="1">
        <v>5</v>
      </c>
      <c r="H1576" s="1">
        <v>0</v>
      </c>
      <c r="I1576" s="1">
        <v>0</v>
      </c>
      <c r="J1576" s="1">
        <v>0</v>
      </c>
      <c r="K1576" s="1">
        <v>1</v>
      </c>
      <c r="L1576" s="1">
        <v>0</v>
      </c>
      <c r="M1576" s="1">
        <v>0</v>
      </c>
    </row>
    <row r="1577" spans="1:13">
      <c r="A1577" s="1">
        <v>1576</v>
      </c>
      <c r="B1577" s="1">
        <v>966019.72860000003</v>
      </c>
      <c r="C1577" s="1">
        <v>714236.75970120879</v>
      </c>
      <c r="D1577" s="1">
        <f t="shared" si="24"/>
        <v>251782.96889879124</v>
      </c>
      <c r="E1577" s="1">
        <v>10</v>
      </c>
      <c r="F1577" s="1">
        <v>20</v>
      </c>
      <c r="G1577" s="1">
        <v>5</v>
      </c>
      <c r="H1577" s="1">
        <v>1</v>
      </c>
      <c r="I1577" s="1">
        <v>0</v>
      </c>
      <c r="J1577" s="1">
        <v>0</v>
      </c>
      <c r="K1577" s="1">
        <v>0</v>
      </c>
      <c r="L1577" s="1">
        <v>0</v>
      </c>
      <c r="M1577" s="1">
        <v>1</v>
      </c>
    </row>
    <row r="1578" spans="1:13">
      <c r="A1578" s="1">
        <v>1577</v>
      </c>
      <c r="B1578" s="1">
        <v>898832.09499999997</v>
      </c>
      <c r="C1578" s="1">
        <v>935601.4563618286</v>
      </c>
      <c r="D1578" s="1">
        <f t="shared" si="24"/>
        <v>-36769.361361828633</v>
      </c>
      <c r="E1578" s="1">
        <v>22</v>
      </c>
      <c r="F1578" s="1">
        <v>10</v>
      </c>
      <c r="G1578" s="1">
        <v>3</v>
      </c>
      <c r="H1578" s="1">
        <v>1</v>
      </c>
      <c r="I1578" s="1">
        <v>0</v>
      </c>
      <c r="J1578" s="1">
        <v>2</v>
      </c>
      <c r="K1578" s="1">
        <v>0</v>
      </c>
      <c r="L1578" s="1">
        <v>0</v>
      </c>
      <c r="M1578" s="1">
        <v>0</v>
      </c>
    </row>
    <row r="1579" spans="1:13">
      <c r="A1579" s="1">
        <v>1578</v>
      </c>
      <c r="B1579" s="1">
        <v>903589.90989999997</v>
      </c>
      <c r="C1579" s="1">
        <v>1760462.5373613085</v>
      </c>
      <c r="D1579" s="1">
        <f t="shared" si="24"/>
        <v>-856872.6274613085</v>
      </c>
      <c r="E1579" s="1">
        <v>20</v>
      </c>
      <c r="F1579" s="1">
        <v>12</v>
      </c>
      <c r="G1579" s="1">
        <v>3</v>
      </c>
      <c r="H1579" s="1">
        <v>1</v>
      </c>
      <c r="I1579" s="1">
        <v>0</v>
      </c>
      <c r="J1579" s="1">
        <v>2</v>
      </c>
      <c r="K1579" s="1">
        <v>0</v>
      </c>
      <c r="L1579" s="1">
        <v>0</v>
      </c>
      <c r="M1579" s="1">
        <v>0</v>
      </c>
    </row>
    <row r="1580" spans="1:13">
      <c r="A1580" s="1">
        <v>1579</v>
      </c>
      <c r="B1580" s="1">
        <v>1083178.8436</v>
      </c>
      <c r="C1580" s="1">
        <v>877622.29289126233</v>
      </c>
      <c r="D1580" s="1">
        <f t="shared" si="24"/>
        <v>205556.55070873769</v>
      </c>
      <c r="E1580" s="1">
        <v>9</v>
      </c>
      <c r="F1580" s="1">
        <v>19</v>
      </c>
      <c r="G1580" s="1">
        <v>7</v>
      </c>
      <c r="H1580" s="1">
        <v>1</v>
      </c>
      <c r="I1580" s="1">
        <v>0</v>
      </c>
      <c r="J1580" s="1">
        <v>1</v>
      </c>
      <c r="K1580" s="1">
        <v>1</v>
      </c>
      <c r="L1580" s="1">
        <v>0</v>
      </c>
      <c r="M1580" s="1">
        <v>0</v>
      </c>
    </row>
    <row r="1581" spans="1:13">
      <c r="A1581" s="1">
        <v>1580</v>
      </c>
      <c r="B1581" s="1">
        <v>882292.80449999997</v>
      </c>
      <c r="C1581" s="1">
        <v>1143214.5826138058</v>
      </c>
      <c r="D1581" s="1">
        <f t="shared" si="24"/>
        <v>-260921.77811380581</v>
      </c>
      <c r="E1581" s="1">
        <v>13</v>
      </c>
      <c r="F1581" s="1">
        <v>17</v>
      </c>
      <c r="G1581" s="1">
        <v>5</v>
      </c>
      <c r="H1581" s="1">
        <v>2</v>
      </c>
      <c r="I1581" s="1">
        <v>0</v>
      </c>
      <c r="J1581" s="1">
        <v>0</v>
      </c>
      <c r="K1581" s="1">
        <v>0</v>
      </c>
      <c r="L1581" s="1">
        <v>0</v>
      </c>
      <c r="M1581" s="1">
        <v>0</v>
      </c>
    </row>
    <row r="1582" spans="1:13">
      <c r="A1582" s="1">
        <v>1581</v>
      </c>
      <c r="B1582" s="1">
        <v>878800.76989999996</v>
      </c>
      <c r="C1582" s="1">
        <v>1501451.709988683</v>
      </c>
      <c r="D1582" s="1">
        <f t="shared" si="24"/>
        <v>-622650.94008868304</v>
      </c>
      <c r="E1582" s="1">
        <v>17</v>
      </c>
      <c r="F1582" s="1">
        <v>14</v>
      </c>
      <c r="G1582" s="1">
        <v>4</v>
      </c>
      <c r="H1582" s="1">
        <v>1</v>
      </c>
      <c r="I1582" s="1">
        <v>0</v>
      </c>
      <c r="J1582" s="1">
        <v>0</v>
      </c>
      <c r="K1582" s="1">
        <v>2</v>
      </c>
      <c r="L1582" s="1">
        <v>0</v>
      </c>
      <c r="M1582" s="1">
        <v>0</v>
      </c>
    </row>
    <row r="1583" spans="1:13">
      <c r="A1583" s="1">
        <v>1582</v>
      </c>
      <c r="B1583" s="1">
        <v>846706.49890000001</v>
      </c>
      <c r="C1583" s="1">
        <v>430203.90191870579</v>
      </c>
      <c r="D1583" s="1">
        <f t="shared" si="24"/>
        <v>416502.59698129422</v>
      </c>
      <c r="E1583" s="1">
        <v>15</v>
      </c>
      <c r="F1583" s="1">
        <v>15</v>
      </c>
      <c r="G1583" s="1">
        <v>5</v>
      </c>
      <c r="H1583" s="1">
        <v>2</v>
      </c>
      <c r="I1583" s="1">
        <v>0</v>
      </c>
      <c r="J1583" s="1">
        <v>1</v>
      </c>
      <c r="K1583" s="1">
        <v>1</v>
      </c>
      <c r="L1583" s="1">
        <v>0</v>
      </c>
      <c r="M1583" s="1">
        <v>1</v>
      </c>
    </row>
    <row r="1584" spans="1:13">
      <c r="A1584" s="1">
        <v>1583</v>
      </c>
      <c r="B1584" s="1">
        <v>924458.45460000006</v>
      </c>
      <c r="C1584" s="1">
        <v>1124263.397607109</v>
      </c>
      <c r="D1584" s="1">
        <f t="shared" si="24"/>
        <v>-199804.94300710899</v>
      </c>
      <c r="E1584" s="1">
        <v>15</v>
      </c>
      <c r="F1584" s="1">
        <v>18</v>
      </c>
      <c r="G1584" s="1">
        <v>2</v>
      </c>
      <c r="H1584" s="1">
        <v>0</v>
      </c>
      <c r="I1584" s="1">
        <v>0</v>
      </c>
      <c r="J1584" s="1">
        <v>2</v>
      </c>
      <c r="K1584" s="1">
        <v>0</v>
      </c>
      <c r="L1584" s="1">
        <v>0</v>
      </c>
      <c r="M1584" s="1">
        <v>0</v>
      </c>
    </row>
    <row r="1585" spans="1:13">
      <c r="A1585" s="1">
        <v>1584</v>
      </c>
      <c r="B1585" s="1">
        <v>924008.54350000003</v>
      </c>
      <c r="C1585" s="1">
        <v>938597.18639115465</v>
      </c>
      <c r="D1585" s="1">
        <f t="shared" si="24"/>
        <v>-14588.642891154625</v>
      </c>
      <c r="E1585" s="1">
        <v>9</v>
      </c>
      <c r="F1585" s="1">
        <v>22</v>
      </c>
      <c r="G1585" s="1">
        <v>4</v>
      </c>
      <c r="H1585" s="1">
        <v>2</v>
      </c>
      <c r="I1585" s="1">
        <v>0</v>
      </c>
      <c r="J1585" s="1">
        <v>0</v>
      </c>
      <c r="K1585" s="1">
        <v>2</v>
      </c>
      <c r="L1585" s="1">
        <v>0</v>
      </c>
      <c r="M1585" s="1">
        <v>0</v>
      </c>
    </row>
    <row r="1586" spans="1:13">
      <c r="A1586" s="1">
        <v>1585</v>
      </c>
      <c r="B1586" s="1">
        <v>844400.23540000001</v>
      </c>
      <c r="C1586" s="1">
        <v>815862.18867330917</v>
      </c>
      <c r="D1586" s="1">
        <f t="shared" si="24"/>
        <v>28538.046726690838</v>
      </c>
      <c r="E1586" s="1">
        <v>17</v>
      </c>
      <c r="F1586" s="1">
        <v>15</v>
      </c>
      <c r="G1586" s="1">
        <v>3</v>
      </c>
      <c r="H1586" s="1">
        <v>0</v>
      </c>
      <c r="I1586" s="1">
        <v>0</v>
      </c>
      <c r="J1586" s="1">
        <v>1</v>
      </c>
      <c r="K1586" s="1">
        <v>1</v>
      </c>
      <c r="L1586" s="1">
        <v>0</v>
      </c>
      <c r="M1586" s="1">
        <v>1</v>
      </c>
    </row>
    <row r="1587" spans="1:13">
      <c r="A1587" s="1">
        <v>1586</v>
      </c>
      <c r="B1587" s="1">
        <v>913057.44070000004</v>
      </c>
      <c r="C1587" s="1">
        <v>991971.18161326472</v>
      </c>
      <c r="D1587" s="1">
        <f t="shared" si="24"/>
        <v>-78913.740913264686</v>
      </c>
      <c r="E1587" s="1">
        <v>13</v>
      </c>
      <c r="F1587" s="1">
        <v>17</v>
      </c>
      <c r="G1587" s="1">
        <v>5</v>
      </c>
      <c r="H1587" s="1">
        <v>1</v>
      </c>
      <c r="I1587" s="1">
        <v>0</v>
      </c>
      <c r="J1587" s="1">
        <v>2</v>
      </c>
      <c r="K1587" s="1">
        <v>0</v>
      </c>
      <c r="L1587" s="1">
        <v>0</v>
      </c>
      <c r="M1587" s="1">
        <v>0</v>
      </c>
    </row>
    <row r="1588" spans="1:13">
      <c r="A1588" s="1">
        <v>1587</v>
      </c>
      <c r="B1588" s="1">
        <v>872056.55500000005</v>
      </c>
      <c r="C1588" s="1">
        <v>996897.63813965092</v>
      </c>
      <c r="D1588" s="1">
        <f t="shared" si="24"/>
        <v>-124841.08313965087</v>
      </c>
      <c r="E1588" s="1">
        <v>21</v>
      </c>
      <c r="F1588" s="1">
        <v>11</v>
      </c>
      <c r="G1588" s="1">
        <v>3</v>
      </c>
      <c r="H1588" s="1">
        <v>1</v>
      </c>
      <c r="I1588" s="1">
        <v>1</v>
      </c>
      <c r="J1588" s="1">
        <v>0</v>
      </c>
      <c r="K1588" s="1">
        <v>0</v>
      </c>
      <c r="L1588" s="1">
        <v>0</v>
      </c>
      <c r="M1588" s="1">
        <v>1</v>
      </c>
    </row>
    <row r="1589" spans="1:13">
      <c r="A1589" s="1">
        <v>1588</v>
      </c>
      <c r="B1589" s="1">
        <v>1044872.5093</v>
      </c>
      <c r="C1589" s="1">
        <v>1243091.2621013264</v>
      </c>
      <c r="D1589" s="1">
        <f t="shared" si="24"/>
        <v>-198218.75280132634</v>
      </c>
      <c r="E1589" s="1">
        <v>10</v>
      </c>
      <c r="F1589" s="1">
        <v>17</v>
      </c>
      <c r="G1589" s="1">
        <v>8</v>
      </c>
      <c r="H1589" s="1">
        <v>1</v>
      </c>
      <c r="I1589" s="1">
        <v>0</v>
      </c>
      <c r="J1589" s="1">
        <v>0</v>
      </c>
      <c r="K1589" s="1">
        <v>0</v>
      </c>
      <c r="L1589" s="1">
        <v>0</v>
      </c>
      <c r="M1589" s="1">
        <v>0</v>
      </c>
    </row>
    <row r="1590" spans="1:13">
      <c r="A1590" s="1">
        <v>1589</v>
      </c>
      <c r="B1590" s="1">
        <v>924134.68689999997</v>
      </c>
      <c r="C1590" s="1">
        <v>847671.35603684094</v>
      </c>
      <c r="D1590" s="1">
        <f t="shared" si="24"/>
        <v>76463.330863159033</v>
      </c>
      <c r="E1590" s="1">
        <v>15</v>
      </c>
      <c r="F1590" s="1">
        <v>15</v>
      </c>
      <c r="G1590" s="1">
        <v>5</v>
      </c>
      <c r="H1590" s="1">
        <v>0</v>
      </c>
      <c r="I1590" s="1">
        <v>0</v>
      </c>
      <c r="J1590" s="1">
        <v>0</v>
      </c>
      <c r="K1590" s="1">
        <v>1</v>
      </c>
      <c r="L1590" s="1">
        <v>0</v>
      </c>
      <c r="M1590" s="1">
        <v>0</v>
      </c>
    </row>
    <row r="1591" spans="1:13">
      <c r="A1591" s="1">
        <v>1590</v>
      </c>
      <c r="B1591" s="1">
        <v>900320.01049999997</v>
      </c>
      <c r="C1591" s="1">
        <v>599113.04879515455</v>
      </c>
      <c r="D1591" s="1">
        <f t="shared" si="24"/>
        <v>301206.96170484542</v>
      </c>
      <c r="E1591" s="1">
        <v>18</v>
      </c>
      <c r="F1591" s="1">
        <v>15</v>
      </c>
      <c r="G1591" s="1">
        <v>2</v>
      </c>
      <c r="H1591" s="1">
        <v>0</v>
      </c>
      <c r="I1591" s="1">
        <v>1</v>
      </c>
      <c r="J1591" s="1">
        <v>2</v>
      </c>
      <c r="K1591" s="1">
        <v>0</v>
      </c>
      <c r="L1591" s="1">
        <v>0</v>
      </c>
      <c r="M1591" s="1">
        <v>0</v>
      </c>
    </row>
    <row r="1592" spans="1:13">
      <c r="A1592" s="1">
        <v>1591</v>
      </c>
      <c r="B1592" s="1">
        <v>972621.35419999994</v>
      </c>
      <c r="C1592" s="1">
        <v>817390.30791858863</v>
      </c>
      <c r="D1592" s="1">
        <f t="shared" si="24"/>
        <v>155231.04628141131</v>
      </c>
      <c r="E1592" s="1">
        <v>14</v>
      </c>
      <c r="F1592" s="1">
        <v>16</v>
      </c>
      <c r="G1592" s="1">
        <v>5</v>
      </c>
      <c r="H1592" s="1">
        <v>1</v>
      </c>
      <c r="I1592" s="1">
        <v>1</v>
      </c>
      <c r="J1592" s="1">
        <v>0</v>
      </c>
      <c r="K1592" s="1">
        <v>2</v>
      </c>
      <c r="L1592" s="1">
        <v>0</v>
      </c>
      <c r="M1592" s="1">
        <v>1</v>
      </c>
    </row>
    <row r="1593" spans="1:13">
      <c r="A1593" s="1">
        <v>1592</v>
      </c>
      <c r="B1593" s="1">
        <v>893066.28469999996</v>
      </c>
      <c r="C1593" s="1">
        <v>835189.97185602796</v>
      </c>
      <c r="D1593" s="1">
        <f t="shared" si="24"/>
        <v>57876.312843972002</v>
      </c>
      <c r="E1593" s="1">
        <v>20</v>
      </c>
      <c r="F1593" s="1">
        <v>10</v>
      </c>
      <c r="G1593" s="1">
        <v>5</v>
      </c>
      <c r="H1593" s="1">
        <v>0</v>
      </c>
      <c r="I1593" s="1">
        <v>1</v>
      </c>
      <c r="J1593" s="1">
        <v>1</v>
      </c>
      <c r="K1593" s="1">
        <v>0</v>
      </c>
      <c r="L1593" s="1">
        <v>1</v>
      </c>
      <c r="M1593" s="1">
        <v>1</v>
      </c>
    </row>
    <row r="1594" spans="1:13">
      <c r="A1594" s="1">
        <v>1593</v>
      </c>
      <c r="B1594" s="1">
        <v>905792.20239999995</v>
      </c>
      <c r="C1594" s="1">
        <v>776966.07931716391</v>
      </c>
      <c r="D1594" s="1">
        <f t="shared" si="24"/>
        <v>128826.12308283604</v>
      </c>
      <c r="E1594" s="1">
        <v>20</v>
      </c>
      <c r="F1594" s="1">
        <v>8</v>
      </c>
      <c r="G1594" s="1">
        <v>7</v>
      </c>
      <c r="H1594" s="1">
        <v>2</v>
      </c>
      <c r="I1594" s="1">
        <v>0</v>
      </c>
      <c r="J1594" s="1">
        <v>1</v>
      </c>
      <c r="K1594" s="1">
        <v>1</v>
      </c>
      <c r="L1594" s="1">
        <v>0</v>
      </c>
      <c r="M1594" s="1">
        <v>0</v>
      </c>
    </row>
    <row r="1595" spans="1:13">
      <c r="A1595" s="1">
        <v>1594</v>
      </c>
      <c r="B1595" s="1">
        <v>943466.86919999996</v>
      </c>
      <c r="C1595" s="1">
        <v>745066.41560038913</v>
      </c>
      <c r="D1595" s="1">
        <f t="shared" si="24"/>
        <v>198400.45359961083</v>
      </c>
      <c r="E1595" s="1">
        <v>12</v>
      </c>
      <c r="F1595" s="1">
        <v>16</v>
      </c>
      <c r="G1595" s="1">
        <v>7</v>
      </c>
      <c r="H1595" s="1">
        <v>0</v>
      </c>
      <c r="I1595" s="1">
        <v>1</v>
      </c>
      <c r="J1595" s="1">
        <v>0</v>
      </c>
      <c r="K1595" s="1">
        <v>1</v>
      </c>
      <c r="L1595" s="1">
        <v>0</v>
      </c>
      <c r="M1595" s="1">
        <v>1</v>
      </c>
    </row>
    <row r="1596" spans="1:13">
      <c r="A1596" s="1">
        <v>1595</v>
      </c>
      <c r="B1596" s="1">
        <v>1038486.0636</v>
      </c>
      <c r="C1596" s="1">
        <v>1282989.6415841449</v>
      </c>
      <c r="D1596" s="1">
        <f t="shared" si="24"/>
        <v>-244503.57798414491</v>
      </c>
      <c r="E1596" s="1">
        <v>11</v>
      </c>
      <c r="F1596" s="1">
        <v>19</v>
      </c>
      <c r="G1596" s="1">
        <v>5</v>
      </c>
      <c r="H1596" s="1">
        <v>0</v>
      </c>
      <c r="I1596" s="1">
        <v>0</v>
      </c>
      <c r="J1596" s="1">
        <v>0</v>
      </c>
      <c r="K1596" s="1">
        <v>2</v>
      </c>
      <c r="L1596" s="1">
        <v>0</v>
      </c>
      <c r="M1596" s="1">
        <v>0</v>
      </c>
    </row>
    <row r="1597" spans="1:13">
      <c r="A1597" s="1">
        <v>1596</v>
      </c>
      <c r="B1597" s="1">
        <v>983647.40819999995</v>
      </c>
      <c r="C1597" s="1">
        <v>1090925.501241935</v>
      </c>
      <c r="D1597" s="1">
        <f t="shared" si="24"/>
        <v>-107278.093041935</v>
      </c>
      <c r="E1597" s="1">
        <v>7</v>
      </c>
      <c r="F1597" s="1">
        <v>24</v>
      </c>
      <c r="G1597" s="1">
        <v>4</v>
      </c>
      <c r="H1597" s="1">
        <v>1</v>
      </c>
      <c r="I1597" s="1">
        <v>0</v>
      </c>
      <c r="J1597" s="1">
        <v>1</v>
      </c>
      <c r="K1597" s="1">
        <v>0</v>
      </c>
      <c r="L1597" s="1">
        <v>0</v>
      </c>
      <c r="M1597" s="1">
        <v>0</v>
      </c>
    </row>
    <row r="1598" spans="1:13">
      <c r="A1598" s="1">
        <v>1597</v>
      </c>
      <c r="B1598" s="1">
        <v>900535.68790000002</v>
      </c>
      <c r="C1598" s="1">
        <v>757277.00928258116</v>
      </c>
      <c r="D1598" s="1">
        <f t="shared" si="24"/>
        <v>143258.67861741886</v>
      </c>
      <c r="E1598" s="1">
        <v>17</v>
      </c>
      <c r="F1598" s="1">
        <v>13</v>
      </c>
      <c r="G1598" s="1">
        <v>5</v>
      </c>
      <c r="H1598" s="1">
        <v>2</v>
      </c>
      <c r="I1598" s="1">
        <v>0</v>
      </c>
      <c r="J1598" s="1">
        <v>1</v>
      </c>
      <c r="K1598" s="1">
        <v>0</v>
      </c>
      <c r="L1598" s="1">
        <v>0</v>
      </c>
      <c r="M1598" s="1">
        <v>0</v>
      </c>
    </row>
    <row r="1599" spans="1:13">
      <c r="A1599" s="1">
        <v>1598</v>
      </c>
      <c r="B1599" s="1">
        <v>932930.24450000003</v>
      </c>
      <c r="C1599" s="1">
        <v>694384.24315972195</v>
      </c>
      <c r="D1599" s="1">
        <f t="shared" si="24"/>
        <v>238546.00134027808</v>
      </c>
      <c r="E1599" s="1">
        <v>19</v>
      </c>
      <c r="F1599" s="1">
        <v>12</v>
      </c>
      <c r="G1599" s="1">
        <v>4</v>
      </c>
      <c r="H1599" s="1">
        <v>0</v>
      </c>
      <c r="I1599" s="1">
        <v>0</v>
      </c>
      <c r="J1599" s="1">
        <v>1</v>
      </c>
      <c r="K1599" s="1">
        <v>1</v>
      </c>
      <c r="L1599" s="1">
        <v>0</v>
      </c>
      <c r="M1599" s="1">
        <v>0</v>
      </c>
    </row>
    <row r="1600" spans="1:13">
      <c r="A1600" s="1">
        <v>1599</v>
      </c>
      <c r="B1600" s="1">
        <v>827940.40630000003</v>
      </c>
      <c r="C1600" s="1">
        <v>871942.79279673891</v>
      </c>
      <c r="D1600" s="1">
        <f t="shared" si="24"/>
        <v>-44002.38649673888</v>
      </c>
      <c r="E1600" s="1">
        <v>17</v>
      </c>
      <c r="F1600" s="1">
        <v>16</v>
      </c>
      <c r="G1600" s="1">
        <v>2</v>
      </c>
      <c r="H1600" s="1">
        <v>1</v>
      </c>
      <c r="I1600" s="1">
        <v>1</v>
      </c>
      <c r="J1600" s="1">
        <v>0</v>
      </c>
      <c r="K1600" s="1">
        <v>1</v>
      </c>
      <c r="L1600" s="1">
        <v>0</v>
      </c>
      <c r="M1600" s="1">
        <v>0</v>
      </c>
    </row>
    <row r="1601" spans="1:13">
      <c r="A1601" s="1">
        <v>1600</v>
      </c>
      <c r="B1601" s="1">
        <v>948166.44949999999</v>
      </c>
      <c r="C1601" s="1">
        <v>871128.35565235431</v>
      </c>
      <c r="D1601" s="1">
        <f t="shared" si="24"/>
        <v>77038.093847645679</v>
      </c>
      <c r="E1601" s="1">
        <v>9</v>
      </c>
      <c r="F1601" s="1">
        <v>21</v>
      </c>
      <c r="G1601" s="1">
        <v>5</v>
      </c>
      <c r="H1601" s="1">
        <v>0</v>
      </c>
      <c r="I1601" s="1">
        <v>0</v>
      </c>
      <c r="J1601" s="1">
        <v>1</v>
      </c>
      <c r="K1601" s="1">
        <v>0</v>
      </c>
      <c r="L1601" s="1">
        <v>0</v>
      </c>
      <c r="M1601" s="1">
        <v>0</v>
      </c>
    </row>
    <row r="1602" spans="1:13">
      <c r="A1602" s="1">
        <v>1601</v>
      </c>
      <c r="B1602" s="1">
        <v>880437.01839999994</v>
      </c>
      <c r="C1602" s="1">
        <v>908212.33030275465</v>
      </c>
      <c r="D1602" s="1">
        <f t="shared" ref="D1602:D1665" si="25">B1602-C1602</f>
        <v>-27775.311902754707</v>
      </c>
      <c r="E1602" s="1">
        <v>19</v>
      </c>
      <c r="F1602" s="1">
        <v>14</v>
      </c>
      <c r="G1602" s="1">
        <v>2</v>
      </c>
      <c r="H1602" s="1">
        <v>1</v>
      </c>
      <c r="I1602" s="1">
        <v>0</v>
      </c>
      <c r="J1602" s="1">
        <v>1</v>
      </c>
      <c r="K1602" s="1">
        <v>1</v>
      </c>
      <c r="L1602" s="1">
        <v>0</v>
      </c>
      <c r="M1602" s="1">
        <v>0</v>
      </c>
    </row>
    <row r="1603" spans="1:13">
      <c r="A1603" s="1">
        <v>1602</v>
      </c>
      <c r="B1603" s="1">
        <v>965109.24739999999</v>
      </c>
      <c r="C1603" s="1">
        <v>877888.0383211528</v>
      </c>
      <c r="D1603" s="1">
        <f t="shared" si="25"/>
        <v>87221.209078847198</v>
      </c>
      <c r="E1603" s="1">
        <v>14</v>
      </c>
      <c r="F1603" s="1">
        <v>13</v>
      </c>
      <c r="G1603" s="1">
        <v>8</v>
      </c>
      <c r="H1603" s="1">
        <v>1</v>
      </c>
      <c r="I1603" s="1">
        <v>0</v>
      </c>
      <c r="J1603" s="1">
        <v>0</v>
      </c>
      <c r="K1603" s="1">
        <v>1</v>
      </c>
      <c r="L1603" s="1">
        <v>0</v>
      </c>
      <c r="M1603" s="1">
        <v>1</v>
      </c>
    </row>
    <row r="1604" spans="1:13">
      <c r="A1604" s="1">
        <v>1603</v>
      </c>
      <c r="B1604" s="1">
        <v>845585.0747</v>
      </c>
      <c r="C1604" s="1">
        <v>1093277.4700412694</v>
      </c>
      <c r="D1604" s="1">
        <f t="shared" si="25"/>
        <v>-247692.39534126944</v>
      </c>
      <c r="E1604" s="1">
        <v>13</v>
      </c>
      <c r="F1604" s="1">
        <v>17</v>
      </c>
      <c r="G1604" s="1">
        <v>5</v>
      </c>
      <c r="H1604" s="1">
        <v>0</v>
      </c>
      <c r="I1604" s="1">
        <v>0</v>
      </c>
      <c r="J1604" s="1">
        <v>1</v>
      </c>
      <c r="K1604" s="1">
        <v>0</v>
      </c>
      <c r="L1604" s="1">
        <v>0</v>
      </c>
      <c r="M1604" s="1">
        <v>0</v>
      </c>
    </row>
    <row r="1605" spans="1:13">
      <c r="A1605" s="1">
        <v>1604</v>
      </c>
      <c r="B1605" s="1">
        <v>1097131.2982999999</v>
      </c>
      <c r="C1605" s="1">
        <v>976883.49471126869</v>
      </c>
      <c r="D1605" s="1">
        <f t="shared" si="25"/>
        <v>120247.80358873121</v>
      </c>
      <c r="E1605" s="1">
        <v>10</v>
      </c>
      <c r="F1605" s="1">
        <v>16</v>
      </c>
      <c r="G1605" s="1">
        <v>9</v>
      </c>
      <c r="H1605" s="1">
        <v>0</v>
      </c>
      <c r="I1605" s="1">
        <v>1</v>
      </c>
      <c r="J1605" s="1">
        <v>1</v>
      </c>
      <c r="K1605" s="1">
        <v>1</v>
      </c>
      <c r="L1605" s="1">
        <v>0</v>
      </c>
      <c r="M1605" s="1">
        <v>0</v>
      </c>
    </row>
    <row r="1606" spans="1:13">
      <c r="A1606" s="1">
        <v>1605</v>
      </c>
      <c r="B1606" s="1">
        <v>948507.08120000002</v>
      </c>
      <c r="C1606" s="1">
        <v>740968.14335954259</v>
      </c>
      <c r="D1606" s="1">
        <f t="shared" si="25"/>
        <v>207538.93784045742</v>
      </c>
      <c r="E1606" s="1">
        <v>12</v>
      </c>
      <c r="F1606" s="1">
        <v>16</v>
      </c>
      <c r="G1606" s="1">
        <v>7</v>
      </c>
      <c r="H1606" s="1">
        <v>1</v>
      </c>
      <c r="I1606" s="1">
        <v>1</v>
      </c>
      <c r="J1606" s="1">
        <v>0</v>
      </c>
      <c r="K1606" s="1">
        <v>0</v>
      </c>
      <c r="L1606" s="1">
        <v>0</v>
      </c>
      <c r="M1606" s="1">
        <v>1</v>
      </c>
    </row>
    <row r="1607" spans="1:13">
      <c r="A1607" s="1">
        <v>1606</v>
      </c>
      <c r="B1607" s="1">
        <v>1005172.1737</v>
      </c>
      <c r="C1607" s="1">
        <v>440560.6778988135</v>
      </c>
      <c r="D1607" s="1">
        <f t="shared" si="25"/>
        <v>564611.49580118654</v>
      </c>
      <c r="E1607" s="1">
        <v>14</v>
      </c>
      <c r="F1607" s="1">
        <v>17</v>
      </c>
      <c r="G1607" s="1">
        <v>4</v>
      </c>
      <c r="H1607" s="1">
        <v>1</v>
      </c>
      <c r="I1607" s="1">
        <v>0</v>
      </c>
      <c r="J1607" s="1">
        <v>0</v>
      </c>
      <c r="K1607" s="1">
        <v>0</v>
      </c>
      <c r="L1607" s="1">
        <v>0</v>
      </c>
      <c r="M1607" s="1">
        <v>1</v>
      </c>
    </row>
    <row r="1608" spans="1:13">
      <c r="A1608" s="1">
        <v>1607</v>
      </c>
      <c r="B1608" s="1">
        <v>1009041.6505</v>
      </c>
      <c r="C1608" s="1">
        <v>1195983.991019425</v>
      </c>
      <c r="D1608" s="1">
        <f t="shared" si="25"/>
        <v>-186942.34051942499</v>
      </c>
      <c r="E1608" s="1">
        <v>7</v>
      </c>
      <c r="F1608" s="1">
        <v>24</v>
      </c>
      <c r="G1608" s="1">
        <v>4</v>
      </c>
      <c r="H1608" s="1">
        <v>1</v>
      </c>
      <c r="I1608" s="1">
        <v>0</v>
      </c>
      <c r="J1608" s="1">
        <v>1</v>
      </c>
      <c r="K1608" s="1">
        <v>0</v>
      </c>
      <c r="L1608" s="1">
        <v>0</v>
      </c>
      <c r="M1608" s="1">
        <v>0</v>
      </c>
    </row>
    <row r="1609" spans="1:13">
      <c r="A1609" s="1">
        <v>1608</v>
      </c>
      <c r="B1609" s="1">
        <v>1005830.2922</v>
      </c>
      <c r="C1609" s="1">
        <v>937911.50441884471</v>
      </c>
      <c r="D1609" s="1">
        <f t="shared" si="25"/>
        <v>67918.787781155319</v>
      </c>
      <c r="E1609" s="1">
        <v>12</v>
      </c>
      <c r="F1609" s="1">
        <v>16</v>
      </c>
      <c r="G1609" s="1">
        <v>7</v>
      </c>
      <c r="H1609" s="1">
        <v>1</v>
      </c>
      <c r="I1609" s="1">
        <v>0</v>
      </c>
      <c r="J1609" s="1">
        <v>1</v>
      </c>
      <c r="K1609" s="1">
        <v>0</v>
      </c>
      <c r="L1609" s="1">
        <v>0</v>
      </c>
      <c r="M1609" s="1">
        <v>0</v>
      </c>
    </row>
    <row r="1610" spans="1:13">
      <c r="A1610" s="1">
        <v>1609</v>
      </c>
      <c r="B1610" s="1">
        <v>954473.91460000002</v>
      </c>
      <c r="C1610" s="1">
        <v>727638.88365815359</v>
      </c>
      <c r="D1610" s="1">
        <f t="shared" si="25"/>
        <v>226835.03094184643</v>
      </c>
      <c r="E1610" s="1">
        <v>9</v>
      </c>
      <c r="F1610" s="1">
        <v>22</v>
      </c>
      <c r="G1610" s="1">
        <v>4</v>
      </c>
      <c r="H1610" s="1">
        <v>0</v>
      </c>
      <c r="I1610" s="1">
        <v>0</v>
      </c>
      <c r="J1610" s="1">
        <v>1</v>
      </c>
      <c r="K1610" s="1">
        <v>0</v>
      </c>
      <c r="L1610" s="1">
        <v>1</v>
      </c>
      <c r="M1610" s="1">
        <v>0</v>
      </c>
    </row>
    <row r="1611" spans="1:13">
      <c r="A1611" s="1">
        <v>1610</v>
      </c>
      <c r="B1611" s="1">
        <v>912122.80720000004</v>
      </c>
      <c r="C1611" s="1">
        <v>800557.95975174289</v>
      </c>
      <c r="D1611" s="1">
        <f t="shared" si="25"/>
        <v>111564.84744825715</v>
      </c>
      <c r="E1611" s="1">
        <v>8</v>
      </c>
      <c r="F1611" s="1">
        <v>18</v>
      </c>
      <c r="G1611" s="1">
        <v>9</v>
      </c>
      <c r="H1611" s="1">
        <v>0</v>
      </c>
      <c r="I1611" s="1">
        <v>0</v>
      </c>
      <c r="J1611" s="1">
        <v>1</v>
      </c>
      <c r="K1611" s="1">
        <v>1</v>
      </c>
      <c r="L1611" s="1">
        <v>0</v>
      </c>
      <c r="M1611" s="1">
        <v>0</v>
      </c>
    </row>
    <row r="1612" spans="1:13">
      <c r="A1612" s="1">
        <v>1611</v>
      </c>
      <c r="B1612" s="1">
        <v>880553.51670000004</v>
      </c>
      <c r="C1612" s="1">
        <v>607384.67955880251</v>
      </c>
      <c r="D1612" s="1">
        <f t="shared" si="25"/>
        <v>273168.83714119752</v>
      </c>
      <c r="E1612" s="1">
        <v>10</v>
      </c>
      <c r="F1612" s="1">
        <v>20</v>
      </c>
      <c r="G1612" s="1">
        <v>5</v>
      </c>
      <c r="H1612" s="1">
        <v>1</v>
      </c>
      <c r="I1612" s="1">
        <v>1</v>
      </c>
      <c r="J1612" s="1">
        <v>2</v>
      </c>
      <c r="K1612" s="1">
        <v>0</v>
      </c>
      <c r="L1612" s="1">
        <v>0</v>
      </c>
      <c r="M1612" s="1">
        <v>1</v>
      </c>
    </row>
    <row r="1613" spans="1:13">
      <c r="A1613" s="1">
        <v>1612</v>
      </c>
      <c r="B1613" s="1">
        <v>1007950.1624</v>
      </c>
      <c r="C1613" s="1">
        <v>1236918.5171676171</v>
      </c>
      <c r="D1613" s="1">
        <f t="shared" si="25"/>
        <v>-228968.35476761707</v>
      </c>
      <c r="E1613" s="1">
        <v>15</v>
      </c>
      <c r="F1613" s="1">
        <v>15</v>
      </c>
      <c r="G1613" s="1">
        <v>5</v>
      </c>
      <c r="H1613" s="1">
        <v>0</v>
      </c>
      <c r="I1613" s="1">
        <v>0</v>
      </c>
      <c r="J1613" s="1">
        <v>1</v>
      </c>
      <c r="K1613" s="1">
        <v>0</v>
      </c>
      <c r="L1613" s="1">
        <v>1</v>
      </c>
      <c r="M1613" s="1">
        <v>0</v>
      </c>
    </row>
    <row r="1614" spans="1:13">
      <c r="A1614" s="1">
        <v>1613</v>
      </c>
      <c r="B1614" s="1">
        <v>982732.13329999999</v>
      </c>
      <c r="C1614" s="1">
        <v>889836.32615792507</v>
      </c>
      <c r="D1614" s="1">
        <f t="shared" si="25"/>
        <v>92895.807142074918</v>
      </c>
      <c r="E1614" s="1">
        <v>11</v>
      </c>
      <c r="F1614" s="1">
        <v>19</v>
      </c>
      <c r="G1614" s="1">
        <v>5</v>
      </c>
      <c r="H1614" s="1">
        <v>0</v>
      </c>
      <c r="I1614" s="1">
        <v>0</v>
      </c>
      <c r="J1614" s="1">
        <v>0</v>
      </c>
      <c r="K1614" s="1">
        <v>1</v>
      </c>
      <c r="L1614" s="1">
        <v>0</v>
      </c>
      <c r="M1614" s="1">
        <v>0</v>
      </c>
    </row>
    <row r="1615" spans="1:13">
      <c r="A1615" s="1">
        <v>1614</v>
      </c>
      <c r="B1615" s="1">
        <v>1004892.8136</v>
      </c>
      <c r="C1615" s="1">
        <v>982233.39818885794</v>
      </c>
      <c r="D1615" s="1">
        <f t="shared" si="25"/>
        <v>22659.41541114205</v>
      </c>
      <c r="E1615" s="1">
        <v>9</v>
      </c>
      <c r="F1615" s="1">
        <v>21</v>
      </c>
      <c r="G1615" s="1">
        <v>5</v>
      </c>
      <c r="H1615" s="1">
        <v>0</v>
      </c>
      <c r="I1615" s="1">
        <v>0</v>
      </c>
      <c r="J1615" s="1">
        <v>0</v>
      </c>
      <c r="K1615" s="1">
        <v>2</v>
      </c>
      <c r="L1615" s="1">
        <v>0</v>
      </c>
      <c r="M1615" s="1">
        <v>0</v>
      </c>
    </row>
    <row r="1616" spans="1:13">
      <c r="A1616" s="1">
        <v>1615</v>
      </c>
      <c r="B1616" s="1">
        <v>966346.82290000003</v>
      </c>
      <c r="C1616" s="1">
        <v>705693.69887133595</v>
      </c>
      <c r="D1616" s="1">
        <f t="shared" si="25"/>
        <v>260653.12402866408</v>
      </c>
      <c r="E1616" s="1">
        <v>9</v>
      </c>
      <c r="F1616" s="1">
        <v>21</v>
      </c>
      <c r="G1616" s="1">
        <v>5</v>
      </c>
      <c r="H1616" s="1">
        <v>0</v>
      </c>
      <c r="I1616" s="1">
        <v>0</v>
      </c>
      <c r="J1616" s="1">
        <v>0</v>
      </c>
      <c r="K1616" s="1">
        <v>1</v>
      </c>
      <c r="L1616" s="1">
        <v>0</v>
      </c>
      <c r="M1616" s="1">
        <v>0</v>
      </c>
    </row>
    <row r="1617" spans="1:13">
      <c r="A1617" s="1">
        <v>1616</v>
      </c>
      <c r="B1617" s="1">
        <v>895704.99650000001</v>
      </c>
      <c r="C1617" s="1">
        <v>686938.08222147403</v>
      </c>
      <c r="D1617" s="1">
        <f t="shared" si="25"/>
        <v>208766.91427852598</v>
      </c>
      <c r="E1617" s="1">
        <v>10</v>
      </c>
      <c r="F1617" s="1">
        <v>19</v>
      </c>
      <c r="G1617" s="1">
        <v>6</v>
      </c>
      <c r="H1617" s="1">
        <v>1</v>
      </c>
      <c r="I1617" s="1">
        <v>0</v>
      </c>
      <c r="J1617" s="1">
        <v>2</v>
      </c>
      <c r="K1617" s="1">
        <v>0</v>
      </c>
      <c r="L1617" s="1">
        <v>0</v>
      </c>
      <c r="M1617" s="1">
        <v>0</v>
      </c>
    </row>
    <row r="1618" spans="1:13">
      <c r="A1618" s="1">
        <v>1617</v>
      </c>
      <c r="B1618" s="1">
        <v>911347.13459999999</v>
      </c>
      <c r="C1618" s="1">
        <v>840611.1493529724</v>
      </c>
      <c r="D1618" s="1">
        <f t="shared" si="25"/>
        <v>70735.985247027595</v>
      </c>
      <c r="E1618" s="1">
        <v>17</v>
      </c>
      <c r="F1618" s="1">
        <v>15</v>
      </c>
      <c r="G1618" s="1">
        <v>3</v>
      </c>
      <c r="H1618" s="1">
        <v>2</v>
      </c>
      <c r="I1618" s="1">
        <v>0</v>
      </c>
      <c r="J1618" s="1">
        <v>1</v>
      </c>
      <c r="K1618" s="1">
        <v>0</v>
      </c>
      <c r="L1618" s="1">
        <v>1</v>
      </c>
      <c r="M1618" s="1">
        <v>0</v>
      </c>
    </row>
    <row r="1619" spans="1:13">
      <c r="A1619" s="1">
        <v>1618</v>
      </c>
      <c r="B1619" s="1">
        <v>918360.5675</v>
      </c>
      <c r="C1619" s="1">
        <v>798814.57695446699</v>
      </c>
      <c r="D1619" s="1">
        <f t="shared" si="25"/>
        <v>119545.99054553302</v>
      </c>
      <c r="E1619" s="1">
        <v>14</v>
      </c>
      <c r="F1619" s="1">
        <v>14</v>
      </c>
      <c r="G1619" s="1">
        <v>7</v>
      </c>
      <c r="H1619" s="1">
        <v>0</v>
      </c>
      <c r="I1619" s="1">
        <v>1</v>
      </c>
      <c r="J1619" s="1">
        <v>2</v>
      </c>
      <c r="K1619" s="1">
        <v>0</v>
      </c>
      <c r="L1619" s="1">
        <v>0</v>
      </c>
      <c r="M1619" s="1">
        <v>1</v>
      </c>
    </row>
    <row r="1620" spans="1:13">
      <c r="A1620" s="1">
        <v>1619</v>
      </c>
      <c r="B1620" s="1">
        <v>851804.01890000002</v>
      </c>
      <c r="C1620" s="1">
        <v>1014553.2834254026</v>
      </c>
      <c r="D1620" s="1">
        <f t="shared" si="25"/>
        <v>-162749.26452540257</v>
      </c>
      <c r="E1620" s="1">
        <v>14</v>
      </c>
      <c r="F1620" s="1">
        <v>18</v>
      </c>
      <c r="G1620" s="1">
        <v>3</v>
      </c>
      <c r="H1620" s="1">
        <v>0</v>
      </c>
      <c r="I1620" s="1">
        <v>0</v>
      </c>
      <c r="J1620" s="1">
        <v>0</v>
      </c>
      <c r="K1620" s="1">
        <v>1</v>
      </c>
      <c r="L1620" s="1">
        <v>0</v>
      </c>
      <c r="M1620" s="1">
        <v>0</v>
      </c>
    </row>
    <row r="1621" spans="1:13">
      <c r="A1621" s="1">
        <v>1620</v>
      </c>
      <c r="B1621" s="1">
        <v>891553.24369999999</v>
      </c>
      <c r="C1621" s="1">
        <v>872065.17067750287</v>
      </c>
      <c r="D1621" s="1">
        <f t="shared" si="25"/>
        <v>19488.073022497119</v>
      </c>
      <c r="E1621" s="1">
        <v>17</v>
      </c>
      <c r="F1621" s="1">
        <v>13</v>
      </c>
      <c r="G1621" s="1">
        <v>5</v>
      </c>
      <c r="H1621" s="1">
        <v>2</v>
      </c>
      <c r="I1621" s="1">
        <v>0</v>
      </c>
      <c r="J1621" s="1">
        <v>1</v>
      </c>
      <c r="K1621" s="1">
        <v>0</v>
      </c>
      <c r="L1621" s="1">
        <v>0</v>
      </c>
      <c r="M1621" s="1">
        <v>1</v>
      </c>
    </row>
    <row r="1622" spans="1:13">
      <c r="A1622" s="1">
        <v>1621</v>
      </c>
      <c r="B1622" s="1">
        <v>818136.49410000001</v>
      </c>
      <c r="C1622" s="1">
        <v>874517.44664490921</v>
      </c>
      <c r="D1622" s="1">
        <f t="shared" si="25"/>
        <v>-56380.952544909203</v>
      </c>
      <c r="E1622" s="1">
        <v>19</v>
      </c>
      <c r="F1622" s="1">
        <v>13</v>
      </c>
      <c r="G1622" s="1">
        <v>3</v>
      </c>
      <c r="H1622" s="1">
        <v>0</v>
      </c>
      <c r="I1622" s="1">
        <v>0</v>
      </c>
      <c r="J1622" s="1">
        <v>0</v>
      </c>
      <c r="K1622" s="1">
        <v>0</v>
      </c>
      <c r="L1622" s="1">
        <v>0</v>
      </c>
      <c r="M1622" s="1">
        <v>0</v>
      </c>
    </row>
    <row r="1623" spans="1:13">
      <c r="A1623" s="1">
        <v>1622</v>
      </c>
      <c r="B1623" s="1">
        <v>883840.92830000003</v>
      </c>
      <c r="C1623" s="1">
        <v>1050004.8272454052</v>
      </c>
      <c r="D1623" s="1">
        <f t="shared" si="25"/>
        <v>-166163.89894540515</v>
      </c>
      <c r="E1623" s="1">
        <v>15</v>
      </c>
      <c r="F1623" s="1">
        <v>13</v>
      </c>
      <c r="G1623" s="1">
        <v>7</v>
      </c>
      <c r="H1623" s="1">
        <v>1</v>
      </c>
      <c r="I1623" s="1">
        <v>0</v>
      </c>
      <c r="J1623" s="1">
        <v>1</v>
      </c>
      <c r="K1623" s="1">
        <v>1</v>
      </c>
      <c r="L1623" s="1">
        <v>0</v>
      </c>
      <c r="M1623" s="1">
        <v>0</v>
      </c>
    </row>
    <row r="1624" spans="1:13">
      <c r="A1624" s="1">
        <v>1623</v>
      </c>
      <c r="B1624" s="1">
        <v>996707.30339999998</v>
      </c>
      <c r="C1624" s="1">
        <v>696578.99716710532</v>
      </c>
      <c r="D1624" s="1">
        <f t="shared" si="25"/>
        <v>300128.30623289465</v>
      </c>
      <c r="E1624" s="1">
        <v>13</v>
      </c>
      <c r="F1624" s="1">
        <v>19</v>
      </c>
      <c r="G1624" s="1">
        <v>3</v>
      </c>
      <c r="H1624" s="1">
        <v>2</v>
      </c>
      <c r="I1624" s="1">
        <v>0</v>
      </c>
      <c r="J1624" s="1">
        <v>0</v>
      </c>
      <c r="K1624" s="1">
        <v>1</v>
      </c>
      <c r="L1624" s="1">
        <v>0</v>
      </c>
      <c r="M1624" s="1">
        <v>0</v>
      </c>
    </row>
    <row r="1625" spans="1:13">
      <c r="A1625" s="1">
        <v>1624</v>
      </c>
      <c r="B1625" s="1">
        <v>972606.02159999998</v>
      </c>
      <c r="C1625" s="1">
        <v>839505.93069006596</v>
      </c>
      <c r="D1625" s="1">
        <f t="shared" si="25"/>
        <v>133100.09090993402</v>
      </c>
      <c r="E1625" s="1">
        <v>12</v>
      </c>
      <c r="F1625" s="1">
        <v>17</v>
      </c>
      <c r="G1625" s="1">
        <v>6</v>
      </c>
      <c r="H1625" s="1">
        <v>2</v>
      </c>
      <c r="I1625" s="1">
        <v>0</v>
      </c>
      <c r="J1625" s="1">
        <v>2</v>
      </c>
      <c r="K1625" s="1">
        <v>0</v>
      </c>
      <c r="L1625" s="1">
        <v>0</v>
      </c>
      <c r="M1625" s="1">
        <v>1</v>
      </c>
    </row>
    <row r="1626" spans="1:13">
      <c r="A1626" s="1">
        <v>1625</v>
      </c>
      <c r="B1626" s="1">
        <v>834077.41709999996</v>
      </c>
      <c r="C1626" s="1">
        <v>1086689.5809407351</v>
      </c>
      <c r="D1626" s="1">
        <f t="shared" si="25"/>
        <v>-252612.1638407351</v>
      </c>
      <c r="E1626" s="1">
        <v>11</v>
      </c>
      <c r="F1626" s="1">
        <v>19</v>
      </c>
      <c r="G1626" s="1">
        <v>5</v>
      </c>
      <c r="H1626" s="1">
        <v>0</v>
      </c>
      <c r="I1626" s="1">
        <v>0</v>
      </c>
      <c r="J1626" s="1">
        <v>0</v>
      </c>
      <c r="K1626" s="1">
        <v>1</v>
      </c>
      <c r="L1626" s="1">
        <v>0</v>
      </c>
      <c r="M1626" s="1">
        <v>0</v>
      </c>
    </row>
    <row r="1627" spans="1:13">
      <c r="A1627" s="1">
        <v>1626</v>
      </c>
      <c r="B1627" s="1">
        <v>926926.53989999997</v>
      </c>
      <c r="C1627" s="1">
        <v>885702.00296341139</v>
      </c>
      <c r="D1627" s="1">
        <f t="shared" si="25"/>
        <v>41224.536936588585</v>
      </c>
      <c r="E1627" s="1">
        <v>21</v>
      </c>
      <c r="F1627" s="1">
        <v>10</v>
      </c>
      <c r="G1627" s="1">
        <v>4</v>
      </c>
      <c r="H1627" s="1">
        <v>0</v>
      </c>
      <c r="I1627" s="1">
        <v>0</v>
      </c>
      <c r="J1627" s="1">
        <v>0</v>
      </c>
      <c r="K1627" s="1">
        <v>0</v>
      </c>
      <c r="L1627" s="1">
        <v>0</v>
      </c>
      <c r="M1627" s="1">
        <v>0</v>
      </c>
    </row>
    <row r="1628" spans="1:13">
      <c r="A1628" s="1">
        <v>1627</v>
      </c>
      <c r="B1628" s="1">
        <v>885377.09140000003</v>
      </c>
      <c r="C1628" s="1">
        <v>729837.41415032221</v>
      </c>
      <c r="D1628" s="1">
        <f t="shared" si="25"/>
        <v>155539.67724967783</v>
      </c>
      <c r="E1628" s="1">
        <v>17</v>
      </c>
      <c r="F1628" s="1">
        <v>12</v>
      </c>
      <c r="G1628" s="1">
        <v>6</v>
      </c>
      <c r="H1628" s="1">
        <v>1</v>
      </c>
      <c r="I1628" s="1">
        <v>1</v>
      </c>
      <c r="J1628" s="1">
        <v>1</v>
      </c>
      <c r="K1628" s="1">
        <v>1</v>
      </c>
      <c r="L1628" s="1">
        <v>0</v>
      </c>
      <c r="M1628" s="1">
        <v>0</v>
      </c>
    </row>
    <row r="1629" spans="1:13">
      <c r="A1629" s="1">
        <v>1628</v>
      </c>
      <c r="B1629" s="1">
        <v>988304.52769999998</v>
      </c>
      <c r="C1629" s="1">
        <v>565775.33747446456</v>
      </c>
      <c r="D1629" s="1">
        <f t="shared" si="25"/>
        <v>422529.19022553542</v>
      </c>
      <c r="E1629" s="1">
        <v>11</v>
      </c>
      <c r="F1629" s="1">
        <v>20</v>
      </c>
      <c r="G1629" s="1">
        <v>4</v>
      </c>
      <c r="H1629" s="1">
        <v>1</v>
      </c>
      <c r="I1629" s="1">
        <v>0</v>
      </c>
      <c r="J1629" s="1">
        <v>0</v>
      </c>
      <c r="K1629" s="1">
        <v>0</v>
      </c>
      <c r="L1629" s="1">
        <v>0</v>
      </c>
      <c r="M1629" s="1">
        <v>0</v>
      </c>
    </row>
    <row r="1630" spans="1:13">
      <c r="A1630" s="1">
        <v>1629</v>
      </c>
      <c r="B1630" s="1">
        <v>892776.59869999997</v>
      </c>
      <c r="C1630" s="1">
        <v>642596.68299269595</v>
      </c>
      <c r="D1630" s="1">
        <f t="shared" si="25"/>
        <v>250179.91570730403</v>
      </c>
      <c r="E1630" s="1">
        <v>22</v>
      </c>
      <c r="F1630" s="1">
        <v>8</v>
      </c>
      <c r="G1630" s="1">
        <v>5</v>
      </c>
      <c r="H1630" s="1">
        <v>1</v>
      </c>
      <c r="I1630" s="1">
        <v>1</v>
      </c>
      <c r="J1630" s="1">
        <v>1</v>
      </c>
      <c r="K1630" s="1">
        <v>1</v>
      </c>
      <c r="L1630" s="1">
        <v>0</v>
      </c>
      <c r="M1630" s="1">
        <v>0</v>
      </c>
    </row>
    <row r="1631" spans="1:13">
      <c r="A1631" s="1">
        <v>1630</v>
      </c>
      <c r="B1631" s="1">
        <v>856156.06570000004</v>
      </c>
      <c r="C1631" s="1">
        <v>840274.25358192727</v>
      </c>
      <c r="D1631" s="1">
        <f t="shared" si="25"/>
        <v>15881.812118072761</v>
      </c>
      <c r="E1631" s="1">
        <v>19</v>
      </c>
      <c r="F1631" s="1">
        <v>11</v>
      </c>
      <c r="G1631" s="1">
        <v>5</v>
      </c>
      <c r="H1631" s="1">
        <v>1</v>
      </c>
      <c r="I1631" s="1">
        <v>0</v>
      </c>
      <c r="J1631" s="1">
        <v>0</v>
      </c>
      <c r="K1631" s="1">
        <v>0</v>
      </c>
      <c r="L1631" s="1">
        <v>0</v>
      </c>
      <c r="M1631" s="1">
        <v>0</v>
      </c>
    </row>
    <row r="1632" spans="1:13">
      <c r="A1632" s="1">
        <v>1631</v>
      </c>
      <c r="B1632" s="1">
        <v>902987.84140000003</v>
      </c>
      <c r="C1632" s="1">
        <v>633629.99438370531</v>
      </c>
      <c r="D1632" s="1">
        <f t="shared" si="25"/>
        <v>269357.84701629472</v>
      </c>
      <c r="E1632" s="1">
        <v>17</v>
      </c>
      <c r="F1632" s="1">
        <v>14</v>
      </c>
      <c r="G1632" s="1">
        <v>4</v>
      </c>
      <c r="H1632" s="1">
        <v>0</v>
      </c>
      <c r="I1632" s="1">
        <v>0</v>
      </c>
      <c r="J1632" s="1">
        <v>0</v>
      </c>
      <c r="K1632" s="1">
        <v>0</v>
      </c>
      <c r="L1632" s="1">
        <v>0</v>
      </c>
      <c r="M1632" s="1">
        <v>0</v>
      </c>
    </row>
    <row r="1633" spans="1:13">
      <c r="A1633" s="1">
        <v>1632</v>
      </c>
      <c r="B1633" s="1">
        <v>875967.21409999998</v>
      </c>
      <c r="C1633" s="1">
        <v>820799.38201919815</v>
      </c>
      <c r="D1633" s="1">
        <f t="shared" si="25"/>
        <v>55167.832080801832</v>
      </c>
      <c r="E1633" s="1">
        <v>9</v>
      </c>
      <c r="F1633" s="1">
        <v>22</v>
      </c>
      <c r="G1633" s="1">
        <v>4</v>
      </c>
      <c r="H1633" s="1">
        <v>0</v>
      </c>
      <c r="I1633" s="1">
        <v>0</v>
      </c>
      <c r="J1633" s="1">
        <v>1</v>
      </c>
      <c r="K1633" s="1">
        <v>1</v>
      </c>
      <c r="L1633" s="1">
        <v>0</v>
      </c>
      <c r="M1633" s="1">
        <v>0</v>
      </c>
    </row>
    <row r="1634" spans="1:13">
      <c r="A1634" s="1">
        <v>1633</v>
      </c>
      <c r="B1634" s="1">
        <v>922253.26439999999</v>
      </c>
      <c r="C1634" s="1">
        <v>1768033.3158806497</v>
      </c>
      <c r="D1634" s="1">
        <f t="shared" si="25"/>
        <v>-845780.05148064974</v>
      </c>
      <c r="E1634" s="1">
        <v>15</v>
      </c>
      <c r="F1634" s="1">
        <v>14</v>
      </c>
      <c r="G1634" s="1">
        <v>6</v>
      </c>
      <c r="H1634" s="1">
        <v>0</v>
      </c>
      <c r="I1634" s="1">
        <v>1</v>
      </c>
      <c r="J1634" s="1">
        <v>0</v>
      </c>
      <c r="K1634" s="1">
        <v>0</v>
      </c>
      <c r="L1634" s="1">
        <v>0</v>
      </c>
      <c r="M1634" s="1">
        <v>1</v>
      </c>
    </row>
    <row r="1635" spans="1:13">
      <c r="A1635" s="1">
        <v>1634</v>
      </c>
      <c r="B1635" s="1">
        <v>1001242.8108</v>
      </c>
      <c r="C1635" s="1">
        <v>1002701.0844479878</v>
      </c>
      <c r="D1635" s="1">
        <f t="shared" si="25"/>
        <v>-1458.2736479878658</v>
      </c>
      <c r="E1635" s="1">
        <v>15</v>
      </c>
      <c r="F1635" s="1">
        <v>16</v>
      </c>
      <c r="G1635" s="1">
        <v>4</v>
      </c>
      <c r="H1635" s="1">
        <v>1</v>
      </c>
      <c r="I1635" s="1">
        <v>0</v>
      </c>
      <c r="J1635" s="1">
        <v>0</v>
      </c>
      <c r="K1635" s="1">
        <v>0</v>
      </c>
      <c r="L1635" s="1">
        <v>1</v>
      </c>
      <c r="M1635" s="1">
        <v>0</v>
      </c>
    </row>
    <row r="1636" spans="1:13">
      <c r="A1636" s="1">
        <v>1635</v>
      </c>
      <c r="B1636" s="1">
        <v>951594.4915</v>
      </c>
      <c r="C1636" s="1">
        <v>1002870.3597844137</v>
      </c>
      <c r="D1636" s="1">
        <f t="shared" si="25"/>
        <v>-51275.868284413707</v>
      </c>
      <c r="E1636" s="1">
        <v>13</v>
      </c>
      <c r="F1636" s="1">
        <v>16</v>
      </c>
      <c r="G1636" s="1">
        <v>6</v>
      </c>
      <c r="H1636" s="1">
        <v>1</v>
      </c>
      <c r="I1636" s="1">
        <v>0</v>
      </c>
      <c r="J1636" s="1">
        <v>1</v>
      </c>
      <c r="K1636" s="1">
        <v>0</v>
      </c>
      <c r="L1636" s="1">
        <v>1</v>
      </c>
      <c r="M1636" s="1">
        <v>1</v>
      </c>
    </row>
    <row r="1637" spans="1:13">
      <c r="A1637" s="1">
        <v>1636</v>
      </c>
      <c r="B1637" s="1">
        <v>1108108.5804999999</v>
      </c>
      <c r="C1637" s="1">
        <v>934219.92709555465</v>
      </c>
      <c r="D1637" s="1">
        <f t="shared" si="25"/>
        <v>173888.65340444527</v>
      </c>
      <c r="E1637" s="1">
        <v>7</v>
      </c>
      <c r="F1637" s="1">
        <v>20</v>
      </c>
      <c r="G1637" s="1">
        <v>8</v>
      </c>
      <c r="H1637" s="1">
        <v>1</v>
      </c>
      <c r="I1637" s="1">
        <v>0</v>
      </c>
      <c r="J1637" s="1">
        <v>2</v>
      </c>
      <c r="K1637" s="1">
        <v>0</v>
      </c>
      <c r="L1637" s="1">
        <v>0</v>
      </c>
      <c r="M1637" s="1">
        <v>1</v>
      </c>
    </row>
    <row r="1638" spans="1:13">
      <c r="A1638" s="1">
        <v>1637</v>
      </c>
      <c r="B1638" s="1">
        <v>833622.07160000002</v>
      </c>
      <c r="C1638" s="1">
        <v>604866.75658783922</v>
      </c>
      <c r="D1638" s="1">
        <f t="shared" si="25"/>
        <v>228755.31501216081</v>
      </c>
      <c r="E1638" s="1">
        <v>18</v>
      </c>
      <c r="F1638" s="1">
        <v>15</v>
      </c>
      <c r="G1638" s="1">
        <v>2</v>
      </c>
      <c r="H1638" s="1">
        <v>1</v>
      </c>
      <c r="I1638" s="1">
        <v>0</v>
      </c>
      <c r="J1638" s="1">
        <v>0</v>
      </c>
      <c r="K1638" s="1">
        <v>0</v>
      </c>
      <c r="L1638" s="1">
        <v>0</v>
      </c>
      <c r="M1638" s="1">
        <v>1</v>
      </c>
    </row>
    <row r="1639" spans="1:13">
      <c r="A1639" s="1">
        <v>1638</v>
      </c>
      <c r="B1639" s="1">
        <v>890216.15339999995</v>
      </c>
      <c r="C1639" s="1">
        <v>663377.01748644596</v>
      </c>
      <c r="D1639" s="1">
        <f t="shared" si="25"/>
        <v>226839.135913554</v>
      </c>
      <c r="E1639" s="1">
        <v>13</v>
      </c>
      <c r="F1639" s="1">
        <v>17</v>
      </c>
      <c r="G1639" s="1">
        <v>5</v>
      </c>
      <c r="H1639" s="1">
        <v>2</v>
      </c>
      <c r="I1639" s="1">
        <v>0</v>
      </c>
      <c r="J1639" s="1">
        <v>1</v>
      </c>
      <c r="K1639" s="1">
        <v>0</v>
      </c>
      <c r="L1639" s="1">
        <v>0</v>
      </c>
      <c r="M1639" s="1">
        <v>0</v>
      </c>
    </row>
    <row r="1640" spans="1:13">
      <c r="A1640" s="1">
        <v>1639</v>
      </c>
      <c r="B1640" s="1">
        <v>996677.05229999998</v>
      </c>
      <c r="C1640" s="1">
        <v>972274.69355904148</v>
      </c>
      <c r="D1640" s="1">
        <f t="shared" si="25"/>
        <v>24402.358740958502</v>
      </c>
      <c r="E1640" s="1">
        <v>15</v>
      </c>
      <c r="F1640" s="1">
        <v>13</v>
      </c>
      <c r="G1640" s="1">
        <v>7</v>
      </c>
      <c r="H1640" s="1">
        <v>0</v>
      </c>
      <c r="I1640" s="1">
        <v>0</v>
      </c>
      <c r="J1640" s="1">
        <v>0</v>
      </c>
      <c r="K1640" s="1">
        <v>0</v>
      </c>
      <c r="L1640" s="1">
        <v>0</v>
      </c>
      <c r="M1640" s="1">
        <v>0</v>
      </c>
    </row>
    <row r="1641" spans="1:13">
      <c r="A1641" s="1">
        <v>1640</v>
      </c>
      <c r="B1641" s="1">
        <v>902971.11210000003</v>
      </c>
      <c r="C1641" s="1">
        <v>1140308.9144578637</v>
      </c>
      <c r="D1641" s="1">
        <f t="shared" si="25"/>
        <v>-237337.80235786363</v>
      </c>
      <c r="E1641" s="1">
        <v>11</v>
      </c>
      <c r="F1641" s="1">
        <v>20</v>
      </c>
      <c r="G1641" s="1">
        <v>4</v>
      </c>
      <c r="H1641" s="1">
        <v>1</v>
      </c>
      <c r="I1641" s="1">
        <v>0</v>
      </c>
      <c r="J1641" s="1">
        <v>1</v>
      </c>
      <c r="K1641" s="1">
        <v>1</v>
      </c>
      <c r="L1641" s="1">
        <v>0</v>
      </c>
      <c r="M1641" s="1">
        <v>0</v>
      </c>
    </row>
    <row r="1642" spans="1:13">
      <c r="A1642" s="1">
        <v>1641</v>
      </c>
      <c r="B1642" s="1">
        <v>958786.46120000002</v>
      </c>
      <c r="C1642" s="1">
        <v>751856.93495490681</v>
      </c>
      <c r="D1642" s="1">
        <f t="shared" si="25"/>
        <v>206929.52624509321</v>
      </c>
      <c r="E1642" s="1">
        <v>5</v>
      </c>
      <c r="F1642" s="1">
        <v>23</v>
      </c>
      <c r="G1642" s="1">
        <v>7</v>
      </c>
      <c r="H1642" s="1">
        <v>0</v>
      </c>
      <c r="I1642" s="1">
        <v>1</v>
      </c>
      <c r="J1642" s="1">
        <v>0</v>
      </c>
      <c r="K1642" s="1">
        <v>0</v>
      </c>
      <c r="L1642" s="1">
        <v>0</v>
      </c>
      <c r="M1642" s="1">
        <v>1</v>
      </c>
    </row>
    <row r="1643" spans="1:13">
      <c r="A1643" s="1">
        <v>1642</v>
      </c>
      <c r="B1643" s="1">
        <v>984065.51780000003</v>
      </c>
      <c r="C1643" s="1">
        <v>1185433.4482921991</v>
      </c>
      <c r="D1643" s="1">
        <f t="shared" si="25"/>
        <v>-201367.93049219903</v>
      </c>
      <c r="E1643" s="1">
        <v>19</v>
      </c>
      <c r="F1643" s="1">
        <v>10</v>
      </c>
      <c r="G1643" s="1">
        <v>6</v>
      </c>
      <c r="H1643" s="1">
        <v>0</v>
      </c>
      <c r="I1643" s="1">
        <v>0</v>
      </c>
      <c r="J1643" s="1">
        <v>0</v>
      </c>
      <c r="K1643" s="1">
        <v>1</v>
      </c>
      <c r="L1643" s="1">
        <v>0</v>
      </c>
      <c r="M1643" s="1">
        <v>0</v>
      </c>
    </row>
    <row r="1644" spans="1:13">
      <c r="A1644" s="1">
        <v>1643</v>
      </c>
      <c r="B1644" s="1">
        <v>839401.83149999997</v>
      </c>
      <c r="C1644" s="1">
        <v>808117.31422026781</v>
      </c>
      <c r="D1644" s="1">
        <f t="shared" si="25"/>
        <v>31284.517279732157</v>
      </c>
      <c r="E1644" s="1">
        <v>21</v>
      </c>
      <c r="F1644" s="1">
        <v>11</v>
      </c>
      <c r="G1644" s="1">
        <v>3</v>
      </c>
      <c r="H1644" s="1">
        <v>1</v>
      </c>
      <c r="I1644" s="1">
        <v>0</v>
      </c>
      <c r="J1644" s="1">
        <v>0</v>
      </c>
      <c r="K1644" s="1">
        <v>0</v>
      </c>
      <c r="L1644" s="1">
        <v>0</v>
      </c>
      <c r="M1644" s="1">
        <v>1</v>
      </c>
    </row>
    <row r="1645" spans="1:13">
      <c r="A1645" s="1">
        <v>1644</v>
      </c>
      <c r="B1645" s="1">
        <v>931259.62780000002</v>
      </c>
      <c r="C1645" s="1">
        <v>520926.72768007789</v>
      </c>
      <c r="D1645" s="1">
        <f t="shared" si="25"/>
        <v>410332.90011992212</v>
      </c>
      <c r="E1645" s="1">
        <v>15</v>
      </c>
      <c r="F1645" s="1">
        <v>15</v>
      </c>
      <c r="G1645" s="1">
        <v>5</v>
      </c>
      <c r="H1645" s="1">
        <v>1</v>
      </c>
      <c r="I1645" s="1">
        <v>1</v>
      </c>
      <c r="J1645" s="1">
        <v>0</v>
      </c>
      <c r="K1645" s="1">
        <v>1</v>
      </c>
      <c r="L1645" s="1">
        <v>0</v>
      </c>
      <c r="M1645" s="1">
        <v>0</v>
      </c>
    </row>
    <row r="1646" spans="1:13">
      <c r="A1646" s="1">
        <v>1645</v>
      </c>
      <c r="B1646" s="1">
        <v>941948.72010000004</v>
      </c>
      <c r="C1646" s="1">
        <v>935606.53814541665</v>
      </c>
      <c r="D1646" s="1">
        <f t="shared" si="25"/>
        <v>6342.181954583386</v>
      </c>
      <c r="E1646" s="1">
        <v>12</v>
      </c>
      <c r="F1646" s="1">
        <v>19</v>
      </c>
      <c r="G1646" s="1">
        <v>4</v>
      </c>
      <c r="H1646" s="1">
        <v>0</v>
      </c>
      <c r="I1646" s="1">
        <v>0</v>
      </c>
      <c r="J1646" s="1">
        <v>0</v>
      </c>
      <c r="K1646" s="1">
        <v>2</v>
      </c>
      <c r="L1646" s="1">
        <v>0</v>
      </c>
      <c r="M1646" s="1">
        <v>1</v>
      </c>
    </row>
    <row r="1647" spans="1:13">
      <c r="A1647" s="1">
        <v>1646</v>
      </c>
      <c r="B1647" s="1">
        <v>912804.83750000002</v>
      </c>
      <c r="C1647" s="1">
        <v>465568.49554469145</v>
      </c>
      <c r="D1647" s="1">
        <f t="shared" si="25"/>
        <v>447236.34195530857</v>
      </c>
      <c r="E1647" s="1">
        <v>18</v>
      </c>
      <c r="F1647" s="1">
        <v>14</v>
      </c>
      <c r="G1647" s="1">
        <v>3</v>
      </c>
      <c r="H1647" s="1">
        <v>0</v>
      </c>
      <c r="I1647" s="1">
        <v>0</v>
      </c>
      <c r="J1647" s="1">
        <v>0</v>
      </c>
      <c r="K1647" s="1">
        <v>1</v>
      </c>
      <c r="L1647" s="1">
        <v>0</v>
      </c>
      <c r="M1647" s="1">
        <v>0</v>
      </c>
    </row>
    <row r="1648" spans="1:13">
      <c r="A1648" s="1">
        <v>1647</v>
      </c>
      <c r="B1648" s="1">
        <v>976439.16859999998</v>
      </c>
      <c r="C1648" s="1">
        <v>692250.27253849246</v>
      </c>
      <c r="D1648" s="1">
        <f t="shared" si="25"/>
        <v>284188.89606150752</v>
      </c>
      <c r="E1648" s="1">
        <v>13</v>
      </c>
      <c r="F1648" s="1">
        <v>15</v>
      </c>
      <c r="G1648" s="1">
        <v>7</v>
      </c>
      <c r="H1648" s="1">
        <v>2</v>
      </c>
      <c r="I1648" s="1">
        <v>0</v>
      </c>
      <c r="J1648" s="1">
        <v>1</v>
      </c>
      <c r="K1648" s="1">
        <v>0</v>
      </c>
      <c r="L1648" s="1">
        <v>0</v>
      </c>
      <c r="M1648" s="1">
        <v>0</v>
      </c>
    </row>
    <row r="1649" spans="1:13">
      <c r="A1649" s="1">
        <v>1648</v>
      </c>
      <c r="B1649" s="1">
        <v>923640.15619999997</v>
      </c>
      <c r="C1649" s="1">
        <v>803176.44361063628</v>
      </c>
      <c r="D1649" s="1">
        <f t="shared" si="25"/>
        <v>120463.71258936368</v>
      </c>
      <c r="E1649" s="1">
        <v>3</v>
      </c>
      <c r="F1649" s="1">
        <v>26</v>
      </c>
      <c r="G1649" s="1">
        <v>6</v>
      </c>
      <c r="H1649" s="1">
        <v>0</v>
      </c>
      <c r="I1649" s="1">
        <v>0</v>
      </c>
      <c r="J1649" s="1">
        <v>1</v>
      </c>
      <c r="K1649" s="1">
        <v>1</v>
      </c>
      <c r="L1649" s="1">
        <v>0</v>
      </c>
      <c r="M1649" s="1">
        <v>0</v>
      </c>
    </row>
    <row r="1650" spans="1:13">
      <c r="A1650" s="1">
        <v>1649</v>
      </c>
      <c r="B1650" s="1">
        <v>915422.51210000005</v>
      </c>
      <c r="C1650" s="1">
        <v>1409129.312465417</v>
      </c>
      <c r="D1650" s="1">
        <f t="shared" si="25"/>
        <v>-493706.80036541692</v>
      </c>
      <c r="E1650" s="1">
        <v>10</v>
      </c>
      <c r="F1650" s="1">
        <v>21</v>
      </c>
      <c r="G1650" s="1">
        <v>4</v>
      </c>
      <c r="H1650" s="1">
        <v>2</v>
      </c>
      <c r="I1650" s="1">
        <v>0</v>
      </c>
      <c r="J1650" s="1">
        <v>2</v>
      </c>
      <c r="K1650" s="1">
        <v>0</v>
      </c>
      <c r="L1650" s="1">
        <v>0</v>
      </c>
      <c r="M1650" s="1">
        <v>0</v>
      </c>
    </row>
    <row r="1651" spans="1:13">
      <c r="A1651" s="1">
        <v>1650</v>
      </c>
      <c r="B1651" s="1">
        <v>929074.74919999996</v>
      </c>
      <c r="C1651" s="1">
        <v>680441.16980407329</v>
      </c>
      <c r="D1651" s="1">
        <f t="shared" si="25"/>
        <v>248633.57939592667</v>
      </c>
      <c r="E1651" s="1">
        <v>11</v>
      </c>
      <c r="F1651" s="1">
        <v>20</v>
      </c>
      <c r="G1651" s="1">
        <v>4</v>
      </c>
      <c r="H1651" s="1">
        <v>1</v>
      </c>
      <c r="I1651" s="1">
        <v>1</v>
      </c>
      <c r="J1651" s="1">
        <v>0</v>
      </c>
      <c r="K1651" s="1">
        <v>1</v>
      </c>
      <c r="L1651" s="1">
        <v>0</v>
      </c>
      <c r="M1651" s="1">
        <v>1</v>
      </c>
    </row>
    <row r="1652" spans="1:13">
      <c r="A1652" s="1">
        <v>1651</v>
      </c>
      <c r="B1652" s="1">
        <v>856791.30189999996</v>
      </c>
      <c r="C1652" s="1">
        <v>1052320.4921349434</v>
      </c>
      <c r="D1652" s="1">
        <f t="shared" si="25"/>
        <v>-195529.19023494341</v>
      </c>
      <c r="E1652" s="1">
        <v>20</v>
      </c>
      <c r="F1652" s="1">
        <v>11</v>
      </c>
      <c r="G1652" s="1">
        <v>4</v>
      </c>
      <c r="H1652" s="1">
        <v>0</v>
      </c>
      <c r="I1652" s="1">
        <v>0</v>
      </c>
      <c r="J1652" s="1">
        <v>0</v>
      </c>
      <c r="K1652" s="1">
        <v>2</v>
      </c>
      <c r="L1652" s="1">
        <v>0</v>
      </c>
      <c r="M1652" s="1">
        <v>1</v>
      </c>
    </row>
    <row r="1653" spans="1:13">
      <c r="A1653" s="1">
        <v>1652</v>
      </c>
      <c r="B1653" s="1">
        <v>986986.74939999997</v>
      </c>
      <c r="C1653" s="1">
        <v>1012775.1173537055</v>
      </c>
      <c r="D1653" s="1">
        <f t="shared" si="25"/>
        <v>-25788.367953705485</v>
      </c>
      <c r="E1653" s="1">
        <v>8</v>
      </c>
      <c r="F1653" s="1">
        <v>19</v>
      </c>
      <c r="G1653" s="1">
        <v>8</v>
      </c>
      <c r="H1653" s="1">
        <v>1</v>
      </c>
      <c r="I1653" s="1">
        <v>0</v>
      </c>
      <c r="J1653" s="1">
        <v>1</v>
      </c>
      <c r="K1653" s="1">
        <v>1</v>
      </c>
      <c r="L1653" s="1">
        <v>0</v>
      </c>
      <c r="M1653" s="1">
        <v>0</v>
      </c>
    </row>
    <row r="1654" spans="1:13">
      <c r="A1654" s="1">
        <v>1653</v>
      </c>
      <c r="B1654" s="1">
        <v>977818.63800000004</v>
      </c>
      <c r="C1654" s="1">
        <v>578980.29179277737</v>
      </c>
      <c r="D1654" s="1">
        <f t="shared" si="25"/>
        <v>398838.34620722267</v>
      </c>
      <c r="E1654" s="1">
        <v>15</v>
      </c>
      <c r="F1654" s="1">
        <v>16</v>
      </c>
      <c r="G1654" s="1">
        <v>4</v>
      </c>
      <c r="H1654" s="1">
        <v>0</v>
      </c>
      <c r="I1654" s="1">
        <v>0</v>
      </c>
      <c r="J1654" s="1">
        <v>0</v>
      </c>
      <c r="K1654" s="1">
        <v>2</v>
      </c>
      <c r="L1654" s="1">
        <v>0</v>
      </c>
      <c r="M1654" s="1">
        <v>0</v>
      </c>
    </row>
    <row r="1655" spans="1:13">
      <c r="A1655" s="1">
        <v>1654</v>
      </c>
      <c r="B1655" s="1">
        <v>942754.04099999997</v>
      </c>
      <c r="C1655" s="1">
        <v>998058.65635901014</v>
      </c>
      <c r="D1655" s="1">
        <f t="shared" si="25"/>
        <v>-55304.615359010175</v>
      </c>
      <c r="E1655" s="1">
        <v>14</v>
      </c>
      <c r="F1655" s="1">
        <v>17</v>
      </c>
      <c r="G1655" s="1">
        <v>4</v>
      </c>
      <c r="H1655" s="1">
        <v>1</v>
      </c>
      <c r="I1655" s="1">
        <v>0</v>
      </c>
      <c r="J1655" s="1">
        <v>1</v>
      </c>
      <c r="K1655" s="1">
        <v>0</v>
      </c>
      <c r="L1655" s="1">
        <v>0</v>
      </c>
      <c r="M1655" s="1">
        <v>0</v>
      </c>
    </row>
    <row r="1656" spans="1:13">
      <c r="A1656" s="1">
        <v>1655</v>
      </c>
      <c r="B1656" s="1">
        <v>986310.53130000003</v>
      </c>
      <c r="C1656" s="1">
        <v>742149.74596929736</v>
      </c>
      <c r="D1656" s="1">
        <f t="shared" si="25"/>
        <v>244160.78533070267</v>
      </c>
      <c r="E1656" s="1">
        <v>9</v>
      </c>
      <c r="F1656" s="1">
        <v>19</v>
      </c>
      <c r="G1656" s="1">
        <v>7</v>
      </c>
      <c r="H1656" s="1">
        <v>2</v>
      </c>
      <c r="I1656" s="1">
        <v>0</v>
      </c>
      <c r="J1656" s="1">
        <v>2</v>
      </c>
      <c r="K1656" s="1">
        <v>0</v>
      </c>
      <c r="L1656" s="1">
        <v>0</v>
      </c>
      <c r="M1656" s="1">
        <v>0</v>
      </c>
    </row>
    <row r="1657" spans="1:13">
      <c r="A1657" s="1">
        <v>1656</v>
      </c>
      <c r="B1657" s="1">
        <v>1003112.0206</v>
      </c>
      <c r="C1657" s="1">
        <v>728127.92143818317</v>
      </c>
      <c r="D1657" s="1">
        <f t="shared" si="25"/>
        <v>274984.09916181688</v>
      </c>
      <c r="E1657" s="1">
        <v>17</v>
      </c>
      <c r="F1657" s="1">
        <v>14</v>
      </c>
      <c r="G1657" s="1">
        <v>4</v>
      </c>
      <c r="H1657" s="1">
        <v>2</v>
      </c>
      <c r="I1657" s="1">
        <v>0</v>
      </c>
      <c r="J1657" s="1">
        <v>1</v>
      </c>
      <c r="K1657" s="1">
        <v>1</v>
      </c>
      <c r="L1657" s="1">
        <v>0</v>
      </c>
      <c r="M1657" s="1">
        <v>1</v>
      </c>
    </row>
    <row r="1658" spans="1:13">
      <c r="A1658" s="1">
        <v>1657</v>
      </c>
      <c r="B1658" s="1">
        <v>851792.21239999996</v>
      </c>
      <c r="C1658" s="1">
        <v>1183255.3828520989</v>
      </c>
      <c r="D1658" s="1">
        <f t="shared" si="25"/>
        <v>-331463.17045209894</v>
      </c>
      <c r="E1658" s="1">
        <v>23</v>
      </c>
      <c r="F1658" s="1">
        <v>10</v>
      </c>
      <c r="G1658" s="1">
        <v>2</v>
      </c>
      <c r="H1658" s="1">
        <v>2</v>
      </c>
      <c r="I1658" s="1">
        <v>0</v>
      </c>
      <c r="J1658" s="1">
        <v>1</v>
      </c>
      <c r="K1658" s="1">
        <v>0</v>
      </c>
      <c r="L1658" s="1">
        <v>0</v>
      </c>
      <c r="M1658" s="1">
        <v>0</v>
      </c>
    </row>
    <row r="1659" spans="1:13">
      <c r="A1659" s="1">
        <v>1658</v>
      </c>
      <c r="B1659" s="1">
        <v>862941.75360000005</v>
      </c>
      <c r="C1659" s="1">
        <v>1008956.8914326077</v>
      </c>
      <c r="D1659" s="1">
        <f t="shared" si="25"/>
        <v>-146015.13783260761</v>
      </c>
      <c r="E1659" s="1">
        <v>7</v>
      </c>
      <c r="F1659" s="1">
        <v>20</v>
      </c>
      <c r="G1659" s="1">
        <v>8</v>
      </c>
      <c r="H1659" s="1">
        <v>2</v>
      </c>
      <c r="I1659" s="1">
        <v>0</v>
      </c>
      <c r="J1659" s="1">
        <v>2</v>
      </c>
      <c r="K1659" s="1">
        <v>0</v>
      </c>
      <c r="L1659" s="1">
        <v>0</v>
      </c>
      <c r="M1659" s="1">
        <v>0</v>
      </c>
    </row>
    <row r="1660" spans="1:13">
      <c r="A1660" s="1">
        <v>1659</v>
      </c>
      <c r="B1660" s="1">
        <v>895156.75360000005</v>
      </c>
      <c r="C1660" s="1">
        <v>1184591.6535183992</v>
      </c>
      <c r="D1660" s="1">
        <f t="shared" si="25"/>
        <v>-289434.89991839917</v>
      </c>
      <c r="E1660" s="1">
        <v>17</v>
      </c>
      <c r="F1660" s="1">
        <v>16</v>
      </c>
      <c r="G1660" s="1">
        <v>2</v>
      </c>
      <c r="H1660" s="1">
        <v>1</v>
      </c>
      <c r="I1660" s="1">
        <v>1</v>
      </c>
      <c r="J1660" s="1">
        <v>0</v>
      </c>
      <c r="K1660" s="1">
        <v>0</v>
      </c>
      <c r="L1660" s="1">
        <v>1</v>
      </c>
      <c r="M1660" s="1">
        <v>1</v>
      </c>
    </row>
    <row r="1661" spans="1:13">
      <c r="A1661" s="1">
        <v>1660</v>
      </c>
      <c r="B1661" s="1">
        <v>929575.82579999999</v>
      </c>
      <c r="C1661" s="1">
        <v>838817.00795408105</v>
      </c>
      <c r="D1661" s="1">
        <f t="shared" si="25"/>
        <v>90758.817845918937</v>
      </c>
      <c r="E1661" s="1">
        <v>19</v>
      </c>
      <c r="F1661" s="1">
        <v>12</v>
      </c>
      <c r="G1661" s="1">
        <v>4</v>
      </c>
      <c r="H1661" s="1">
        <v>1</v>
      </c>
      <c r="I1661" s="1">
        <v>1</v>
      </c>
      <c r="J1661" s="1">
        <v>0</v>
      </c>
      <c r="K1661" s="1">
        <v>0</v>
      </c>
      <c r="L1661" s="1">
        <v>0</v>
      </c>
      <c r="M1661" s="1">
        <v>1</v>
      </c>
    </row>
    <row r="1662" spans="1:13">
      <c r="A1662" s="1">
        <v>1661</v>
      </c>
      <c r="B1662" s="1">
        <v>1004889.8158</v>
      </c>
      <c r="C1662" s="1">
        <v>843297.99295531737</v>
      </c>
      <c r="D1662" s="1">
        <f t="shared" si="25"/>
        <v>161591.82284468261</v>
      </c>
      <c r="E1662" s="1">
        <v>9</v>
      </c>
      <c r="F1662" s="1">
        <v>18</v>
      </c>
      <c r="G1662" s="1">
        <v>8</v>
      </c>
      <c r="H1662" s="1">
        <v>1</v>
      </c>
      <c r="I1662" s="1">
        <v>0</v>
      </c>
      <c r="J1662" s="1">
        <v>1</v>
      </c>
      <c r="K1662" s="1">
        <v>0</v>
      </c>
      <c r="L1662" s="1">
        <v>0</v>
      </c>
      <c r="M1662" s="1">
        <v>0</v>
      </c>
    </row>
    <row r="1663" spans="1:13">
      <c r="A1663" s="1">
        <v>1662</v>
      </c>
      <c r="B1663" s="1">
        <v>1029092.0631</v>
      </c>
      <c r="C1663" s="1">
        <v>961713.68665331928</v>
      </c>
      <c r="D1663" s="1">
        <f t="shared" si="25"/>
        <v>67378.376446680748</v>
      </c>
      <c r="E1663" s="1">
        <v>8</v>
      </c>
      <c r="F1663" s="1">
        <v>19</v>
      </c>
      <c r="G1663" s="1">
        <v>8</v>
      </c>
      <c r="H1663" s="1">
        <v>1</v>
      </c>
      <c r="I1663" s="1">
        <v>0</v>
      </c>
      <c r="J1663" s="1">
        <v>0</v>
      </c>
      <c r="K1663" s="1">
        <v>2</v>
      </c>
      <c r="L1663" s="1">
        <v>0</v>
      </c>
      <c r="M1663" s="1">
        <v>1</v>
      </c>
    </row>
    <row r="1664" spans="1:13">
      <c r="A1664" s="1">
        <v>1663</v>
      </c>
      <c r="B1664" s="1">
        <v>980033.7304</v>
      </c>
      <c r="C1664" s="1">
        <v>741005.9175483078</v>
      </c>
      <c r="D1664" s="1">
        <f t="shared" si="25"/>
        <v>239027.8128516922</v>
      </c>
      <c r="E1664" s="1">
        <v>3</v>
      </c>
      <c r="F1664" s="1">
        <v>25</v>
      </c>
      <c r="G1664" s="1">
        <v>7</v>
      </c>
      <c r="H1664" s="1">
        <v>2</v>
      </c>
      <c r="I1664" s="1">
        <v>0</v>
      </c>
      <c r="J1664" s="1">
        <v>0</v>
      </c>
      <c r="K1664" s="1">
        <v>0</v>
      </c>
      <c r="L1664" s="1">
        <v>0</v>
      </c>
      <c r="M1664" s="1">
        <v>0</v>
      </c>
    </row>
    <row r="1665" spans="1:13">
      <c r="A1665" s="1">
        <v>1664</v>
      </c>
      <c r="B1665" s="1">
        <v>1028288.2669</v>
      </c>
      <c r="C1665" s="1">
        <v>1015373.5400353245</v>
      </c>
      <c r="D1665" s="1">
        <f t="shared" si="25"/>
        <v>12914.726864675526</v>
      </c>
      <c r="E1665" s="1">
        <v>11</v>
      </c>
      <c r="F1665" s="1">
        <v>16</v>
      </c>
      <c r="G1665" s="1">
        <v>8</v>
      </c>
      <c r="H1665" s="1">
        <v>1</v>
      </c>
      <c r="I1665" s="1">
        <v>1</v>
      </c>
      <c r="J1665" s="1">
        <v>0</v>
      </c>
      <c r="K1665" s="1">
        <v>0</v>
      </c>
      <c r="L1665" s="1">
        <v>0</v>
      </c>
      <c r="M1665" s="1">
        <v>0</v>
      </c>
    </row>
    <row r="1666" spans="1:13">
      <c r="A1666" s="1">
        <v>1665</v>
      </c>
      <c r="B1666" s="1">
        <v>957389.27590000001</v>
      </c>
      <c r="C1666" s="1">
        <v>976667.39732583216</v>
      </c>
      <c r="D1666" s="1">
        <f t="shared" ref="D1666:D1729" si="26">B1666-C1666</f>
        <v>-19278.121425832156</v>
      </c>
      <c r="E1666" s="1">
        <v>7</v>
      </c>
      <c r="F1666" s="1">
        <v>21</v>
      </c>
      <c r="G1666" s="1">
        <v>7</v>
      </c>
      <c r="H1666" s="1">
        <v>1</v>
      </c>
      <c r="I1666" s="1">
        <v>0</v>
      </c>
      <c r="J1666" s="1">
        <v>1</v>
      </c>
      <c r="K1666" s="1">
        <v>0</v>
      </c>
      <c r="L1666" s="1">
        <v>0</v>
      </c>
      <c r="M1666" s="1">
        <v>0</v>
      </c>
    </row>
    <row r="1667" spans="1:13">
      <c r="A1667" s="1">
        <v>1666</v>
      </c>
      <c r="B1667" s="1">
        <v>928296.28469999996</v>
      </c>
      <c r="C1667" s="1">
        <v>1229312.364437331</v>
      </c>
      <c r="D1667" s="1">
        <f t="shared" si="26"/>
        <v>-301016.07973733102</v>
      </c>
      <c r="E1667" s="1">
        <v>24</v>
      </c>
      <c r="F1667" s="1">
        <v>7</v>
      </c>
      <c r="G1667" s="1">
        <v>4</v>
      </c>
      <c r="H1667" s="1">
        <v>0</v>
      </c>
      <c r="I1667" s="1">
        <v>0</v>
      </c>
      <c r="J1667" s="1">
        <v>0</v>
      </c>
      <c r="K1667" s="1">
        <v>1</v>
      </c>
      <c r="L1667" s="1">
        <v>0</v>
      </c>
      <c r="M1667" s="1">
        <v>0</v>
      </c>
    </row>
    <row r="1668" spans="1:13">
      <c r="A1668" s="1">
        <v>1667</v>
      </c>
      <c r="B1668" s="1">
        <v>833050.06090000004</v>
      </c>
      <c r="C1668" s="1">
        <v>968833.62105938804</v>
      </c>
      <c r="D1668" s="1">
        <f t="shared" si="26"/>
        <v>-135783.560159388</v>
      </c>
      <c r="E1668" s="1">
        <v>16</v>
      </c>
      <c r="F1668" s="1">
        <v>14</v>
      </c>
      <c r="G1668" s="1">
        <v>5</v>
      </c>
      <c r="H1668" s="1">
        <v>1</v>
      </c>
      <c r="I1668" s="1">
        <v>0</v>
      </c>
      <c r="J1668" s="1">
        <v>0</v>
      </c>
      <c r="K1668" s="1">
        <v>0</v>
      </c>
      <c r="L1668" s="1">
        <v>0</v>
      </c>
      <c r="M1668" s="1">
        <v>1</v>
      </c>
    </row>
    <row r="1669" spans="1:13">
      <c r="A1669" s="1">
        <v>1668</v>
      </c>
      <c r="B1669" s="1">
        <v>1002478.2233</v>
      </c>
      <c r="C1669" s="1">
        <v>668237.88934987411</v>
      </c>
      <c r="D1669" s="1">
        <f t="shared" si="26"/>
        <v>334240.33395012585</v>
      </c>
      <c r="E1669" s="1">
        <v>10</v>
      </c>
      <c r="F1669" s="1">
        <v>18</v>
      </c>
      <c r="G1669" s="1">
        <v>7</v>
      </c>
      <c r="H1669" s="1">
        <v>0</v>
      </c>
      <c r="I1669" s="1">
        <v>0</v>
      </c>
      <c r="J1669" s="1">
        <v>1</v>
      </c>
      <c r="K1669" s="1">
        <v>1</v>
      </c>
      <c r="L1669" s="1">
        <v>0</v>
      </c>
      <c r="M1669" s="1">
        <v>0</v>
      </c>
    </row>
    <row r="1670" spans="1:13">
      <c r="A1670" s="1">
        <v>1669</v>
      </c>
      <c r="B1670" s="1">
        <v>877782.46869999997</v>
      </c>
      <c r="C1670" s="1">
        <v>1044009.1412536934</v>
      </c>
      <c r="D1670" s="1">
        <f t="shared" si="26"/>
        <v>-166226.67255369341</v>
      </c>
      <c r="E1670" s="1">
        <v>23</v>
      </c>
      <c r="F1670" s="1">
        <v>11</v>
      </c>
      <c r="G1670" s="1">
        <v>1</v>
      </c>
      <c r="H1670" s="1">
        <v>1</v>
      </c>
      <c r="I1670" s="1">
        <v>1</v>
      </c>
      <c r="J1670" s="1">
        <v>1</v>
      </c>
      <c r="K1670" s="1">
        <v>1</v>
      </c>
      <c r="L1670" s="1">
        <v>0</v>
      </c>
      <c r="M1670" s="1">
        <v>0</v>
      </c>
    </row>
    <row r="1671" spans="1:13">
      <c r="A1671" s="1">
        <v>1670</v>
      </c>
      <c r="B1671" s="1">
        <v>904802.48869999999</v>
      </c>
      <c r="C1671" s="1">
        <v>1028160.2651545926</v>
      </c>
      <c r="D1671" s="1">
        <f t="shared" si="26"/>
        <v>-123357.77645459259</v>
      </c>
      <c r="E1671" s="1">
        <v>12</v>
      </c>
      <c r="F1671" s="1">
        <v>18</v>
      </c>
      <c r="G1671" s="1">
        <v>5</v>
      </c>
      <c r="H1671" s="1">
        <v>1</v>
      </c>
      <c r="I1671" s="1">
        <v>0</v>
      </c>
      <c r="J1671" s="1">
        <v>2</v>
      </c>
      <c r="K1671" s="1">
        <v>0</v>
      </c>
      <c r="L1671" s="1">
        <v>0</v>
      </c>
      <c r="M1671" s="1">
        <v>1</v>
      </c>
    </row>
    <row r="1672" spans="1:13">
      <c r="A1672" s="1">
        <v>1671</v>
      </c>
      <c r="B1672" s="1">
        <v>973796.05390000006</v>
      </c>
      <c r="C1672" s="1">
        <v>824932.70845442277</v>
      </c>
      <c r="D1672" s="1">
        <f t="shared" si="26"/>
        <v>148863.34544557729</v>
      </c>
      <c r="E1672" s="1">
        <v>16</v>
      </c>
      <c r="F1672" s="1">
        <v>14</v>
      </c>
      <c r="G1672" s="1">
        <v>5</v>
      </c>
      <c r="H1672" s="1">
        <v>0</v>
      </c>
      <c r="I1672" s="1">
        <v>1</v>
      </c>
      <c r="J1672" s="1">
        <v>2</v>
      </c>
      <c r="K1672" s="1">
        <v>0</v>
      </c>
      <c r="L1672" s="1">
        <v>0</v>
      </c>
      <c r="M1672" s="1">
        <v>0</v>
      </c>
    </row>
    <row r="1673" spans="1:13">
      <c r="A1673" s="1">
        <v>1672</v>
      </c>
      <c r="B1673" s="1">
        <v>1092725.0517</v>
      </c>
      <c r="C1673" s="1">
        <v>1062413.1667795903</v>
      </c>
      <c r="D1673" s="1">
        <f t="shared" si="26"/>
        <v>30311.884920409648</v>
      </c>
      <c r="E1673" s="1">
        <v>7</v>
      </c>
      <c r="F1673" s="1">
        <v>23</v>
      </c>
      <c r="G1673" s="1">
        <v>5</v>
      </c>
      <c r="H1673" s="1">
        <v>0</v>
      </c>
      <c r="I1673" s="1">
        <v>0</v>
      </c>
      <c r="J1673" s="1">
        <v>1</v>
      </c>
      <c r="K1673" s="1">
        <v>1</v>
      </c>
      <c r="L1673" s="1">
        <v>0</v>
      </c>
      <c r="M1673" s="1">
        <v>0</v>
      </c>
    </row>
    <row r="1674" spans="1:13">
      <c r="A1674" s="1">
        <v>1673</v>
      </c>
      <c r="B1674" s="1">
        <v>843574.31019999995</v>
      </c>
      <c r="C1674" s="1">
        <v>747999.83335648081</v>
      </c>
      <c r="D1674" s="1">
        <f t="shared" si="26"/>
        <v>95574.476843519136</v>
      </c>
      <c r="E1674" s="1">
        <v>21</v>
      </c>
      <c r="F1674" s="1">
        <v>9</v>
      </c>
      <c r="G1674" s="1">
        <v>5</v>
      </c>
      <c r="H1674" s="1">
        <v>0</v>
      </c>
      <c r="I1674" s="1">
        <v>0</v>
      </c>
      <c r="J1674" s="1">
        <v>0</v>
      </c>
      <c r="K1674" s="1">
        <v>1</v>
      </c>
      <c r="L1674" s="1">
        <v>0</v>
      </c>
      <c r="M1674" s="1">
        <v>0</v>
      </c>
    </row>
    <row r="1675" spans="1:13">
      <c r="A1675" s="1">
        <v>1674</v>
      </c>
      <c r="B1675" s="1">
        <v>931479.77209999994</v>
      </c>
      <c r="C1675" s="1">
        <v>638841.17312710593</v>
      </c>
      <c r="D1675" s="1">
        <f t="shared" si="26"/>
        <v>292638.59897289402</v>
      </c>
      <c r="E1675" s="1">
        <v>16</v>
      </c>
      <c r="F1675" s="1">
        <v>16</v>
      </c>
      <c r="G1675" s="1">
        <v>3</v>
      </c>
      <c r="H1675" s="1">
        <v>2</v>
      </c>
      <c r="I1675" s="1">
        <v>0</v>
      </c>
      <c r="J1675" s="1">
        <v>0</v>
      </c>
      <c r="K1675" s="1">
        <v>1</v>
      </c>
      <c r="L1675" s="1">
        <v>0</v>
      </c>
      <c r="M1675" s="1">
        <v>0</v>
      </c>
    </row>
    <row r="1676" spans="1:13">
      <c r="A1676" s="1">
        <v>1675</v>
      </c>
      <c r="B1676" s="1">
        <v>896052.11730000004</v>
      </c>
      <c r="C1676" s="1">
        <v>825363.11093298963</v>
      </c>
      <c r="D1676" s="1">
        <f t="shared" si="26"/>
        <v>70689.006367010414</v>
      </c>
      <c r="E1676" s="1">
        <v>20</v>
      </c>
      <c r="F1676" s="1">
        <v>11</v>
      </c>
      <c r="G1676" s="1">
        <v>4</v>
      </c>
      <c r="H1676" s="1">
        <v>1</v>
      </c>
      <c r="I1676" s="1">
        <v>0</v>
      </c>
      <c r="J1676" s="1">
        <v>0</v>
      </c>
      <c r="K1676" s="1">
        <v>0</v>
      </c>
      <c r="L1676" s="1">
        <v>0</v>
      </c>
      <c r="M1676" s="1">
        <v>0</v>
      </c>
    </row>
    <row r="1677" spans="1:13">
      <c r="A1677" s="1">
        <v>1676</v>
      </c>
      <c r="B1677" s="1">
        <v>890545.40850000002</v>
      </c>
      <c r="C1677" s="1">
        <v>1621042.4690297372</v>
      </c>
      <c r="D1677" s="1">
        <f t="shared" si="26"/>
        <v>-730497.06052973715</v>
      </c>
      <c r="E1677" s="1">
        <v>19</v>
      </c>
      <c r="F1677" s="1">
        <v>9</v>
      </c>
      <c r="G1677" s="1">
        <v>7</v>
      </c>
      <c r="H1677" s="1">
        <v>0</v>
      </c>
      <c r="I1677" s="1">
        <v>1</v>
      </c>
      <c r="J1677" s="1">
        <v>0</v>
      </c>
      <c r="K1677" s="1">
        <v>0</v>
      </c>
      <c r="L1677" s="1">
        <v>0</v>
      </c>
      <c r="M1677" s="1">
        <v>0</v>
      </c>
    </row>
    <row r="1678" spans="1:13">
      <c r="A1678" s="1">
        <v>1677</v>
      </c>
      <c r="B1678" s="1">
        <v>861744.07169999997</v>
      </c>
      <c r="C1678" s="1">
        <v>708742.15189743531</v>
      </c>
      <c r="D1678" s="1">
        <f t="shared" si="26"/>
        <v>153001.91980256466</v>
      </c>
      <c r="E1678" s="1">
        <v>14</v>
      </c>
      <c r="F1678" s="1">
        <v>12</v>
      </c>
      <c r="G1678" s="1">
        <v>9</v>
      </c>
      <c r="H1678" s="1">
        <v>0</v>
      </c>
      <c r="I1678" s="1">
        <v>0</v>
      </c>
      <c r="J1678" s="1">
        <v>0</v>
      </c>
      <c r="K1678" s="1">
        <v>0</v>
      </c>
      <c r="L1678" s="1">
        <v>1</v>
      </c>
      <c r="M1678" s="1">
        <v>0</v>
      </c>
    </row>
    <row r="1679" spans="1:13">
      <c r="A1679" s="1">
        <v>1678</v>
      </c>
      <c r="B1679" s="1">
        <v>1001840.5567</v>
      </c>
      <c r="C1679" s="1">
        <v>681913.50413753325</v>
      </c>
      <c r="D1679" s="1">
        <f t="shared" si="26"/>
        <v>319927.05256246671</v>
      </c>
      <c r="E1679" s="1">
        <v>10</v>
      </c>
      <c r="F1679" s="1">
        <v>17</v>
      </c>
      <c r="G1679" s="1">
        <v>8</v>
      </c>
      <c r="H1679" s="1">
        <v>0</v>
      </c>
      <c r="I1679" s="1">
        <v>1</v>
      </c>
      <c r="J1679" s="1">
        <v>0</v>
      </c>
      <c r="K1679" s="1">
        <v>2</v>
      </c>
      <c r="L1679" s="1">
        <v>0</v>
      </c>
      <c r="M1679" s="1">
        <v>0</v>
      </c>
    </row>
    <row r="1680" spans="1:13">
      <c r="A1680" s="1">
        <v>1679</v>
      </c>
      <c r="B1680" s="1">
        <v>924801.75470000005</v>
      </c>
      <c r="C1680" s="1">
        <v>1025940.339249554</v>
      </c>
      <c r="D1680" s="1">
        <f t="shared" si="26"/>
        <v>-101138.58454955393</v>
      </c>
      <c r="E1680" s="1">
        <v>11</v>
      </c>
      <c r="F1680" s="1">
        <v>17</v>
      </c>
      <c r="G1680" s="1">
        <v>7</v>
      </c>
      <c r="H1680" s="1">
        <v>1</v>
      </c>
      <c r="I1680" s="1">
        <v>0</v>
      </c>
      <c r="J1680" s="1">
        <v>0</v>
      </c>
      <c r="K1680" s="1">
        <v>0</v>
      </c>
      <c r="L1680" s="1">
        <v>0</v>
      </c>
      <c r="M1680" s="1">
        <v>0</v>
      </c>
    </row>
    <row r="1681" spans="1:13">
      <c r="A1681" s="1">
        <v>1680</v>
      </c>
      <c r="B1681" s="1">
        <v>850455.47360000003</v>
      </c>
      <c r="C1681" s="1">
        <v>731737.4686142446</v>
      </c>
      <c r="D1681" s="1">
        <f t="shared" si="26"/>
        <v>118718.00498575543</v>
      </c>
      <c r="E1681" s="1">
        <v>16</v>
      </c>
      <c r="F1681" s="1">
        <v>16</v>
      </c>
      <c r="G1681" s="1">
        <v>3</v>
      </c>
      <c r="H1681" s="1">
        <v>1</v>
      </c>
      <c r="I1681" s="1">
        <v>0</v>
      </c>
      <c r="J1681" s="1">
        <v>2</v>
      </c>
      <c r="K1681" s="1">
        <v>0</v>
      </c>
      <c r="L1681" s="1">
        <v>0</v>
      </c>
      <c r="M1681" s="1">
        <v>0</v>
      </c>
    </row>
    <row r="1682" spans="1:13">
      <c r="A1682" s="1">
        <v>1681</v>
      </c>
      <c r="B1682" s="1">
        <v>895293.77370000002</v>
      </c>
      <c r="C1682" s="1">
        <v>1305393.1684808326</v>
      </c>
      <c r="D1682" s="1">
        <f t="shared" si="26"/>
        <v>-410099.39478083258</v>
      </c>
      <c r="E1682" s="1">
        <v>14</v>
      </c>
      <c r="F1682" s="1">
        <v>18</v>
      </c>
      <c r="G1682" s="1">
        <v>3</v>
      </c>
      <c r="H1682" s="1">
        <v>1</v>
      </c>
      <c r="I1682" s="1">
        <v>0</v>
      </c>
      <c r="J1682" s="1">
        <v>0</v>
      </c>
      <c r="K1682" s="1">
        <v>1</v>
      </c>
      <c r="L1682" s="1">
        <v>0</v>
      </c>
      <c r="M1682" s="1">
        <v>0</v>
      </c>
    </row>
    <row r="1683" spans="1:13">
      <c r="A1683" s="1">
        <v>1682</v>
      </c>
      <c r="B1683" s="1">
        <v>919484.7034</v>
      </c>
      <c r="C1683" s="1">
        <v>671002.05921846838</v>
      </c>
      <c r="D1683" s="1">
        <f t="shared" si="26"/>
        <v>248482.64418153162</v>
      </c>
      <c r="E1683" s="1">
        <v>15</v>
      </c>
      <c r="F1683" s="1">
        <v>12</v>
      </c>
      <c r="G1683" s="1">
        <v>8</v>
      </c>
      <c r="H1683" s="1">
        <v>2</v>
      </c>
      <c r="I1683" s="1">
        <v>0</v>
      </c>
      <c r="J1683" s="1">
        <v>1</v>
      </c>
      <c r="K1683" s="1">
        <v>1</v>
      </c>
      <c r="L1683" s="1">
        <v>0</v>
      </c>
      <c r="M1683" s="1">
        <v>0</v>
      </c>
    </row>
    <row r="1684" spans="1:13">
      <c r="A1684" s="1">
        <v>1683</v>
      </c>
      <c r="B1684" s="1">
        <v>952500.85089999996</v>
      </c>
      <c r="C1684" s="1">
        <v>673067.82600538258</v>
      </c>
      <c r="D1684" s="1">
        <f t="shared" si="26"/>
        <v>279433.02489461738</v>
      </c>
      <c r="E1684" s="1">
        <v>15</v>
      </c>
      <c r="F1684" s="1">
        <v>17</v>
      </c>
      <c r="G1684" s="1">
        <v>3</v>
      </c>
      <c r="H1684" s="1">
        <v>1</v>
      </c>
      <c r="I1684" s="1">
        <v>0</v>
      </c>
      <c r="J1684" s="1">
        <v>2</v>
      </c>
      <c r="K1684" s="1">
        <v>0</v>
      </c>
      <c r="L1684" s="1">
        <v>0</v>
      </c>
      <c r="M1684" s="1">
        <v>1</v>
      </c>
    </row>
    <row r="1685" spans="1:13">
      <c r="A1685" s="1">
        <v>1684</v>
      </c>
      <c r="B1685" s="1">
        <v>945045.93790000002</v>
      </c>
      <c r="C1685" s="1">
        <v>694868.07401060127</v>
      </c>
      <c r="D1685" s="1">
        <f t="shared" si="26"/>
        <v>250177.86388939875</v>
      </c>
      <c r="E1685" s="1">
        <v>12</v>
      </c>
      <c r="F1685" s="1">
        <v>19</v>
      </c>
      <c r="G1685" s="1">
        <v>4</v>
      </c>
      <c r="H1685" s="1">
        <v>0</v>
      </c>
      <c r="I1685" s="1">
        <v>0</v>
      </c>
      <c r="J1685" s="1">
        <v>0</v>
      </c>
      <c r="K1685" s="1">
        <v>0</v>
      </c>
      <c r="L1685" s="1">
        <v>0</v>
      </c>
      <c r="M1685" s="1">
        <v>0</v>
      </c>
    </row>
    <row r="1686" spans="1:13">
      <c r="A1686" s="1">
        <v>1685</v>
      </c>
      <c r="B1686" s="1">
        <v>828032.5318</v>
      </c>
      <c r="C1686" s="1">
        <v>1198004.7338155583</v>
      </c>
      <c r="D1686" s="1">
        <f t="shared" si="26"/>
        <v>-369972.20201555826</v>
      </c>
      <c r="E1686" s="1">
        <v>23</v>
      </c>
      <c r="F1686" s="1">
        <v>9</v>
      </c>
      <c r="G1686" s="1">
        <v>3</v>
      </c>
      <c r="H1686" s="1">
        <v>0</v>
      </c>
      <c r="I1686" s="1">
        <v>0</v>
      </c>
      <c r="J1686" s="1">
        <v>1</v>
      </c>
      <c r="K1686" s="1">
        <v>1</v>
      </c>
      <c r="L1686" s="1">
        <v>0</v>
      </c>
      <c r="M1686" s="1">
        <v>0</v>
      </c>
    </row>
    <row r="1687" spans="1:13">
      <c r="A1687" s="1">
        <v>1686</v>
      </c>
      <c r="B1687" s="1">
        <v>898757.77630000003</v>
      </c>
      <c r="C1687" s="1">
        <v>694437.6372107456</v>
      </c>
      <c r="D1687" s="1">
        <f t="shared" si="26"/>
        <v>204320.13908925443</v>
      </c>
      <c r="E1687" s="1">
        <v>16</v>
      </c>
      <c r="F1687" s="1">
        <v>14</v>
      </c>
      <c r="G1687" s="1">
        <v>5</v>
      </c>
      <c r="H1687" s="1">
        <v>0</v>
      </c>
      <c r="I1687" s="1">
        <v>0</v>
      </c>
      <c r="J1687" s="1">
        <v>0</v>
      </c>
      <c r="K1687" s="1">
        <v>1</v>
      </c>
      <c r="L1687" s="1">
        <v>0</v>
      </c>
      <c r="M1687" s="1">
        <v>1</v>
      </c>
    </row>
    <row r="1688" spans="1:13">
      <c r="A1688" s="1">
        <v>1687</v>
      </c>
      <c r="B1688" s="1">
        <v>914038.93099999998</v>
      </c>
      <c r="C1688" s="1">
        <v>884530.24973851524</v>
      </c>
      <c r="D1688" s="1">
        <f t="shared" si="26"/>
        <v>29508.681261484744</v>
      </c>
      <c r="E1688" s="1">
        <v>18</v>
      </c>
      <c r="F1688" s="1">
        <v>10</v>
      </c>
      <c r="G1688" s="1">
        <v>7</v>
      </c>
      <c r="H1688" s="1">
        <v>2</v>
      </c>
      <c r="I1688" s="1">
        <v>0</v>
      </c>
      <c r="J1688" s="1">
        <v>0</v>
      </c>
      <c r="K1688" s="1">
        <v>2</v>
      </c>
      <c r="L1688" s="1">
        <v>0</v>
      </c>
      <c r="M1688" s="1">
        <v>0</v>
      </c>
    </row>
    <row r="1689" spans="1:13">
      <c r="A1689" s="1">
        <v>1688</v>
      </c>
      <c r="B1689" s="1">
        <v>993238.35990000004</v>
      </c>
      <c r="C1689" s="1">
        <v>1118413.552917181</v>
      </c>
      <c r="D1689" s="1">
        <f t="shared" si="26"/>
        <v>-125175.19301718101</v>
      </c>
      <c r="E1689" s="1">
        <v>11</v>
      </c>
      <c r="F1689" s="1">
        <v>19</v>
      </c>
      <c r="G1689" s="1">
        <v>5</v>
      </c>
      <c r="H1689" s="1">
        <v>2</v>
      </c>
      <c r="I1689" s="1">
        <v>0</v>
      </c>
      <c r="J1689" s="1">
        <v>1</v>
      </c>
      <c r="K1689" s="1">
        <v>1</v>
      </c>
      <c r="L1689" s="1">
        <v>0</v>
      </c>
      <c r="M1689" s="1">
        <v>0</v>
      </c>
    </row>
    <row r="1690" spans="1:13">
      <c r="A1690" s="1">
        <v>1689</v>
      </c>
      <c r="B1690" s="1">
        <v>953361.05020000006</v>
      </c>
      <c r="C1690" s="1">
        <v>944292.71193969424</v>
      </c>
      <c r="D1690" s="1">
        <f t="shared" si="26"/>
        <v>9068.3382603058126</v>
      </c>
      <c r="E1690" s="1">
        <v>19</v>
      </c>
      <c r="F1690" s="1">
        <v>12</v>
      </c>
      <c r="G1690" s="1">
        <v>4</v>
      </c>
      <c r="H1690" s="1">
        <v>2</v>
      </c>
      <c r="I1690" s="1">
        <v>0</v>
      </c>
      <c r="J1690" s="1">
        <v>0</v>
      </c>
      <c r="K1690" s="1">
        <v>0</v>
      </c>
      <c r="L1690" s="1">
        <v>0</v>
      </c>
      <c r="M1690" s="1">
        <v>1</v>
      </c>
    </row>
    <row r="1691" spans="1:13">
      <c r="A1691" s="1">
        <v>1690</v>
      </c>
      <c r="B1691" s="1">
        <v>923907.45299999998</v>
      </c>
      <c r="C1691" s="1">
        <v>708422.12163296295</v>
      </c>
      <c r="D1691" s="1">
        <f t="shared" si="26"/>
        <v>215485.33136703703</v>
      </c>
      <c r="E1691" s="1">
        <v>19</v>
      </c>
      <c r="F1691" s="1">
        <v>13</v>
      </c>
      <c r="G1691" s="1">
        <v>3</v>
      </c>
      <c r="H1691" s="1">
        <v>1</v>
      </c>
      <c r="I1691" s="1">
        <v>0</v>
      </c>
      <c r="J1691" s="1">
        <v>0</v>
      </c>
      <c r="K1691" s="1">
        <v>2</v>
      </c>
      <c r="L1691" s="1">
        <v>0</v>
      </c>
      <c r="M1691" s="1">
        <v>1</v>
      </c>
    </row>
    <row r="1692" spans="1:13">
      <c r="A1692" s="1">
        <v>1691</v>
      </c>
      <c r="B1692" s="1">
        <v>980186.02670000005</v>
      </c>
      <c r="C1692" s="1">
        <v>1686764.3178544794</v>
      </c>
      <c r="D1692" s="1">
        <f t="shared" si="26"/>
        <v>-706578.29115447938</v>
      </c>
      <c r="E1692" s="1">
        <v>2</v>
      </c>
      <c r="F1692" s="1">
        <v>25</v>
      </c>
      <c r="G1692" s="1">
        <v>8</v>
      </c>
      <c r="H1692" s="1">
        <v>1</v>
      </c>
      <c r="I1692" s="1">
        <v>0</v>
      </c>
      <c r="J1692" s="1">
        <v>1</v>
      </c>
      <c r="K1692" s="1">
        <v>1</v>
      </c>
      <c r="L1692" s="1">
        <v>0</v>
      </c>
      <c r="M1692" s="1">
        <v>1</v>
      </c>
    </row>
    <row r="1693" spans="1:13">
      <c r="A1693" s="1">
        <v>1692</v>
      </c>
      <c r="B1693" s="1">
        <v>963802.34539999999</v>
      </c>
      <c r="C1693" s="1">
        <v>1074197.1124893411</v>
      </c>
      <c r="D1693" s="1">
        <f t="shared" si="26"/>
        <v>-110394.76708934107</v>
      </c>
      <c r="E1693" s="1">
        <v>11</v>
      </c>
      <c r="F1693" s="1">
        <v>19</v>
      </c>
      <c r="G1693" s="1">
        <v>5</v>
      </c>
      <c r="H1693" s="1">
        <v>1</v>
      </c>
      <c r="I1693" s="1">
        <v>0</v>
      </c>
      <c r="J1693" s="1">
        <v>2</v>
      </c>
      <c r="K1693" s="1">
        <v>0</v>
      </c>
      <c r="L1693" s="1">
        <v>0</v>
      </c>
      <c r="M1693" s="1">
        <v>1</v>
      </c>
    </row>
    <row r="1694" spans="1:13">
      <c r="A1694" s="1">
        <v>1693</v>
      </c>
      <c r="B1694" s="1">
        <v>924615.46349999995</v>
      </c>
      <c r="C1694" s="1">
        <v>501062.18554494297</v>
      </c>
      <c r="D1694" s="1">
        <f t="shared" si="26"/>
        <v>423553.27795505698</v>
      </c>
      <c r="E1694" s="1">
        <v>10</v>
      </c>
      <c r="F1694" s="1">
        <v>17</v>
      </c>
      <c r="G1694" s="1">
        <v>8</v>
      </c>
      <c r="H1694" s="1">
        <v>0</v>
      </c>
      <c r="I1694" s="1">
        <v>0</v>
      </c>
      <c r="J1694" s="1">
        <v>0</v>
      </c>
      <c r="K1694" s="1">
        <v>2</v>
      </c>
      <c r="L1694" s="1">
        <v>0</v>
      </c>
      <c r="M1694" s="1">
        <v>0</v>
      </c>
    </row>
    <row r="1695" spans="1:13">
      <c r="A1695" s="1">
        <v>1694</v>
      </c>
      <c r="B1695" s="1">
        <v>1061667.9421000001</v>
      </c>
      <c r="C1695" s="1">
        <v>765009.95351258153</v>
      </c>
      <c r="D1695" s="1">
        <f t="shared" si="26"/>
        <v>296657.98858741857</v>
      </c>
      <c r="E1695" s="1">
        <v>8</v>
      </c>
      <c r="F1695" s="1">
        <v>23</v>
      </c>
      <c r="G1695" s="1">
        <v>4</v>
      </c>
      <c r="H1695" s="1">
        <v>2</v>
      </c>
      <c r="I1695" s="1">
        <v>0</v>
      </c>
      <c r="J1695" s="1">
        <v>0</v>
      </c>
      <c r="K1695" s="1">
        <v>1</v>
      </c>
      <c r="L1695" s="1">
        <v>0</v>
      </c>
      <c r="M1695" s="1">
        <v>1</v>
      </c>
    </row>
    <row r="1696" spans="1:13">
      <c r="A1696" s="1">
        <v>1695</v>
      </c>
      <c r="B1696" s="1">
        <v>971066.2977</v>
      </c>
      <c r="C1696" s="1">
        <v>953021.74785958009</v>
      </c>
      <c r="D1696" s="1">
        <f t="shared" si="26"/>
        <v>18044.549840419902</v>
      </c>
      <c r="E1696" s="1">
        <v>4</v>
      </c>
      <c r="F1696" s="1">
        <v>23</v>
      </c>
      <c r="G1696" s="1">
        <v>8</v>
      </c>
      <c r="H1696" s="1">
        <v>1</v>
      </c>
      <c r="I1696" s="1">
        <v>0</v>
      </c>
      <c r="J1696" s="1">
        <v>0</v>
      </c>
      <c r="K1696" s="1">
        <v>1</v>
      </c>
      <c r="L1696" s="1">
        <v>0</v>
      </c>
      <c r="M1696" s="1">
        <v>0</v>
      </c>
    </row>
    <row r="1697" spans="1:13">
      <c r="A1697" s="1">
        <v>1696</v>
      </c>
      <c r="B1697" s="1">
        <v>935274.04810000001</v>
      </c>
      <c r="C1697" s="1">
        <v>660915.53271816391</v>
      </c>
      <c r="D1697" s="1">
        <f t="shared" si="26"/>
        <v>274358.5153818361</v>
      </c>
      <c r="E1697" s="1">
        <v>16</v>
      </c>
      <c r="F1697" s="1">
        <v>17</v>
      </c>
      <c r="G1697" s="1">
        <v>2</v>
      </c>
      <c r="H1697" s="1">
        <v>1</v>
      </c>
      <c r="I1697" s="1">
        <v>0</v>
      </c>
      <c r="J1697" s="1">
        <v>2</v>
      </c>
      <c r="K1697" s="1">
        <v>0</v>
      </c>
      <c r="L1697" s="1">
        <v>0</v>
      </c>
      <c r="M1697" s="1">
        <v>0</v>
      </c>
    </row>
    <row r="1698" spans="1:13">
      <c r="A1698" s="1">
        <v>1697</v>
      </c>
      <c r="B1698" s="1">
        <v>968718.25800000003</v>
      </c>
      <c r="C1698" s="1">
        <v>2170020.547130629</v>
      </c>
      <c r="D1698" s="1">
        <f t="shared" si="26"/>
        <v>-1201302.289130629</v>
      </c>
      <c r="E1698" s="1">
        <v>12</v>
      </c>
      <c r="F1698" s="1">
        <v>16</v>
      </c>
      <c r="G1698" s="1">
        <v>7</v>
      </c>
      <c r="H1698" s="1">
        <v>1</v>
      </c>
      <c r="I1698" s="1">
        <v>0</v>
      </c>
      <c r="J1698" s="1">
        <v>2</v>
      </c>
      <c r="K1698" s="1">
        <v>0</v>
      </c>
      <c r="L1698" s="1">
        <v>0</v>
      </c>
      <c r="M1698" s="1">
        <v>0</v>
      </c>
    </row>
    <row r="1699" spans="1:13">
      <c r="A1699" s="1">
        <v>1698</v>
      </c>
      <c r="B1699" s="1">
        <v>971949.74490000005</v>
      </c>
      <c r="C1699" s="1">
        <v>539514.58968308999</v>
      </c>
      <c r="D1699" s="1">
        <f t="shared" si="26"/>
        <v>432435.15521691006</v>
      </c>
      <c r="E1699" s="1">
        <v>15</v>
      </c>
      <c r="F1699" s="1">
        <v>14</v>
      </c>
      <c r="G1699" s="1">
        <v>6</v>
      </c>
      <c r="H1699" s="1">
        <v>1</v>
      </c>
      <c r="I1699" s="1">
        <v>0</v>
      </c>
      <c r="J1699" s="1">
        <v>0</v>
      </c>
      <c r="K1699" s="1">
        <v>0</v>
      </c>
      <c r="L1699" s="1">
        <v>0</v>
      </c>
      <c r="M1699" s="1">
        <v>1</v>
      </c>
    </row>
    <row r="1700" spans="1:13">
      <c r="A1700" s="1">
        <v>1699</v>
      </c>
      <c r="B1700" s="1">
        <v>990514.86049999995</v>
      </c>
      <c r="C1700" s="1">
        <v>930775.84361882554</v>
      </c>
      <c r="D1700" s="1">
        <f t="shared" si="26"/>
        <v>59739.016881174408</v>
      </c>
      <c r="E1700" s="1">
        <v>11</v>
      </c>
      <c r="F1700" s="1">
        <v>19</v>
      </c>
      <c r="G1700" s="1">
        <v>5</v>
      </c>
      <c r="H1700" s="1">
        <v>0</v>
      </c>
      <c r="I1700" s="1">
        <v>0</v>
      </c>
      <c r="J1700" s="1">
        <v>1</v>
      </c>
      <c r="K1700" s="1">
        <v>1</v>
      </c>
      <c r="L1700" s="1">
        <v>0</v>
      </c>
      <c r="M1700" s="1">
        <v>0</v>
      </c>
    </row>
    <row r="1701" spans="1:13">
      <c r="A1701" s="1">
        <v>1700</v>
      </c>
      <c r="B1701" s="1">
        <v>818289.11410000001</v>
      </c>
      <c r="C1701" s="1">
        <v>2354072.302453754</v>
      </c>
      <c r="D1701" s="1">
        <f t="shared" si="26"/>
        <v>-1535783.1883537541</v>
      </c>
      <c r="E1701" s="1">
        <v>18</v>
      </c>
      <c r="F1701" s="1">
        <v>17</v>
      </c>
      <c r="G1701" s="1">
        <v>0</v>
      </c>
      <c r="H1701" s="1">
        <v>1</v>
      </c>
      <c r="I1701" s="1">
        <v>0</v>
      </c>
      <c r="J1701" s="1">
        <v>1</v>
      </c>
      <c r="K1701" s="1">
        <v>1</v>
      </c>
      <c r="L1701" s="1">
        <v>0</v>
      </c>
      <c r="M1701" s="1">
        <v>0</v>
      </c>
    </row>
    <row r="1702" spans="1:13">
      <c r="A1702" s="1">
        <v>1701</v>
      </c>
      <c r="B1702" s="1">
        <v>928906.36529999995</v>
      </c>
      <c r="C1702" s="1">
        <v>616918.3987623353</v>
      </c>
      <c r="D1702" s="1">
        <f t="shared" si="26"/>
        <v>311987.96653766464</v>
      </c>
      <c r="E1702" s="1">
        <v>13</v>
      </c>
      <c r="F1702" s="1">
        <v>18</v>
      </c>
      <c r="G1702" s="1">
        <v>4</v>
      </c>
      <c r="H1702" s="1">
        <v>1</v>
      </c>
      <c r="I1702" s="1">
        <v>0</v>
      </c>
      <c r="J1702" s="1">
        <v>1</v>
      </c>
      <c r="K1702" s="1">
        <v>0</v>
      </c>
      <c r="L1702" s="1">
        <v>0</v>
      </c>
      <c r="M1702" s="1">
        <v>0</v>
      </c>
    </row>
    <row r="1703" spans="1:13">
      <c r="A1703" s="1">
        <v>1702</v>
      </c>
      <c r="B1703" s="1">
        <v>919762.35820000002</v>
      </c>
      <c r="C1703" s="1">
        <v>1106196.4146914063</v>
      </c>
      <c r="D1703" s="1">
        <f t="shared" si="26"/>
        <v>-186434.05649140629</v>
      </c>
      <c r="E1703" s="1">
        <v>17</v>
      </c>
      <c r="F1703" s="1">
        <v>12</v>
      </c>
      <c r="G1703" s="1">
        <v>6</v>
      </c>
      <c r="H1703" s="1">
        <v>1</v>
      </c>
      <c r="I1703" s="1">
        <v>0</v>
      </c>
      <c r="J1703" s="1">
        <v>0</v>
      </c>
      <c r="K1703" s="1">
        <v>1</v>
      </c>
      <c r="L1703" s="1">
        <v>0</v>
      </c>
      <c r="M1703" s="1">
        <v>0</v>
      </c>
    </row>
    <row r="1704" spans="1:13">
      <c r="A1704" s="1">
        <v>1703</v>
      </c>
      <c r="B1704" s="1">
        <v>902258.42130000005</v>
      </c>
      <c r="C1704" s="1">
        <v>687744.27015516325</v>
      </c>
      <c r="D1704" s="1">
        <f t="shared" si="26"/>
        <v>214514.1511448368</v>
      </c>
      <c r="E1704" s="1">
        <v>14</v>
      </c>
      <c r="F1704" s="1">
        <v>16</v>
      </c>
      <c r="G1704" s="1">
        <v>5</v>
      </c>
      <c r="H1704" s="1">
        <v>1</v>
      </c>
      <c r="I1704" s="1">
        <v>0</v>
      </c>
      <c r="J1704" s="1">
        <v>0</v>
      </c>
      <c r="K1704" s="1">
        <v>2</v>
      </c>
      <c r="L1704" s="1">
        <v>0</v>
      </c>
      <c r="M1704" s="1">
        <v>1</v>
      </c>
    </row>
    <row r="1705" spans="1:13">
      <c r="A1705" s="1">
        <v>1704</v>
      </c>
      <c r="B1705" s="1">
        <v>945248.755</v>
      </c>
      <c r="C1705" s="1">
        <v>902497.31844428531</v>
      </c>
      <c r="D1705" s="1">
        <f t="shared" si="26"/>
        <v>42751.436555714696</v>
      </c>
      <c r="E1705" s="1">
        <v>12</v>
      </c>
      <c r="F1705" s="1">
        <v>19</v>
      </c>
      <c r="G1705" s="1">
        <v>4</v>
      </c>
      <c r="H1705" s="1">
        <v>2</v>
      </c>
      <c r="I1705" s="1">
        <v>0</v>
      </c>
      <c r="J1705" s="1">
        <v>1</v>
      </c>
      <c r="K1705" s="1">
        <v>0</v>
      </c>
      <c r="L1705" s="1">
        <v>0</v>
      </c>
      <c r="M1705" s="1">
        <v>0</v>
      </c>
    </row>
    <row r="1706" spans="1:13">
      <c r="A1706" s="1">
        <v>1705</v>
      </c>
      <c r="B1706" s="1">
        <v>909823.07449999999</v>
      </c>
      <c r="C1706" s="1">
        <v>658754.28083271114</v>
      </c>
      <c r="D1706" s="1">
        <f t="shared" si="26"/>
        <v>251068.79366728885</v>
      </c>
      <c r="E1706" s="1">
        <v>11</v>
      </c>
      <c r="F1706" s="1">
        <v>21</v>
      </c>
      <c r="G1706" s="1">
        <v>3</v>
      </c>
      <c r="H1706" s="1">
        <v>2</v>
      </c>
      <c r="I1706" s="1">
        <v>0</v>
      </c>
      <c r="J1706" s="1">
        <v>1</v>
      </c>
      <c r="K1706" s="1">
        <v>0</v>
      </c>
      <c r="L1706" s="1">
        <v>0</v>
      </c>
      <c r="M1706" s="1">
        <v>0</v>
      </c>
    </row>
    <row r="1707" spans="1:13">
      <c r="A1707" s="1">
        <v>1706</v>
      </c>
      <c r="B1707" s="1">
        <v>919188.24679999996</v>
      </c>
      <c r="C1707" s="1">
        <v>899710.20963756868</v>
      </c>
      <c r="D1707" s="1">
        <f t="shared" si="26"/>
        <v>19478.037162431283</v>
      </c>
      <c r="E1707" s="1">
        <v>12</v>
      </c>
      <c r="F1707" s="1">
        <v>18</v>
      </c>
      <c r="G1707" s="1">
        <v>5</v>
      </c>
      <c r="H1707" s="1">
        <v>0</v>
      </c>
      <c r="I1707" s="1">
        <v>0</v>
      </c>
      <c r="J1707" s="1">
        <v>0</v>
      </c>
      <c r="K1707" s="1">
        <v>0</v>
      </c>
      <c r="L1707" s="1">
        <v>0</v>
      </c>
      <c r="M1707" s="1">
        <v>0</v>
      </c>
    </row>
    <row r="1708" spans="1:13">
      <c r="A1708" s="1">
        <v>1707</v>
      </c>
      <c r="B1708" s="1">
        <v>1036001.2701</v>
      </c>
      <c r="C1708" s="1">
        <v>1115241.8224863117</v>
      </c>
      <c r="D1708" s="1">
        <f t="shared" si="26"/>
        <v>-79240.552386311698</v>
      </c>
      <c r="E1708" s="1">
        <v>13</v>
      </c>
      <c r="F1708" s="1">
        <v>16</v>
      </c>
      <c r="G1708" s="1">
        <v>6</v>
      </c>
      <c r="H1708" s="1">
        <v>0</v>
      </c>
      <c r="I1708" s="1">
        <v>0</v>
      </c>
      <c r="J1708" s="1">
        <v>1</v>
      </c>
      <c r="K1708" s="1">
        <v>0</v>
      </c>
      <c r="L1708" s="1">
        <v>0</v>
      </c>
      <c r="M1708" s="1">
        <v>1</v>
      </c>
    </row>
    <row r="1709" spans="1:13">
      <c r="A1709" s="1">
        <v>1708</v>
      </c>
      <c r="B1709" s="1">
        <v>927829.48479999998</v>
      </c>
      <c r="C1709" s="1">
        <v>592552.88172442629</v>
      </c>
      <c r="D1709" s="1">
        <f t="shared" si="26"/>
        <v>335276.60307557369</v>
      </c>
      <c r="E1709" s="1">
        <v>16</v>
      </c>
      <c r="F1709" s="1">
        <v>14</v>
      </c>
      <c r="G1709" s="1">
        <v>5</v>
      </c>
      <c r="H1709" s="1">
        <v>2</v>
      </c>
      <c r="I1709" s="1">
        <v>0</v>
      </c>
      <c r="J1709" s="1">
        <v>0</v>
      </c>
      <c r="K1709" s="1">
        <v>2</v>
      </c>
      <c r="L1709" s="1">
        <v>0</v>
      </c>
      <c r="M1709" s="1">
        <v>1</v>
      </c>
    </row>
    <row r="1710" spans="1:13">
      <c r="A1710" s="1">
        <v>1709</v>
      </c>
      <c r="B1710" s="1">
        <v>995271.46810000006</v>
      </c>
      <c r="C1710" s="1">
        <v>1098300.2896670825</v>
      </c>
      <c r="D1710" s="1">
        <f t="shared" si="26"/>
        <v>-103028.82156708243</v>
      </c>
      <c r="E1710" s="1">
        <v>12</v>
      </c>
      <c r="F1710" s="1">
        <v>15</v>
      </c>
      <c r="G1710" s="1">
        <v>8</v>
      </c>
      <c r="H1710" s="1">
        <v>2</v>
      </c>
      <c r="I1710" s="1">
        <v>0</v>
      </c>
      <c r="J1710" s="1">
        <v>1</v>
      </c>
      <c r="K1710" s="1">
        <v>1</v>
      </c>
      <c r="L1710" s="1">
        <v>0</v>
      </c>
      <c r="M1710" s="1">
        <v>0</v>
      </c>
    </row>
    <row r="1711" spans="1:13">
      <c r="A1711" s="1">
        <v>1710</v>
      </c>
      <c r="B1711" s="1">
        <v>998436.6986</v>
      </c>
      <c r="C1711" s="1">
        <v>772588.06762478547</v>
      </c>
      <c r="D1711" s="1">
        <f t="shared" si="26"/>
        <v>225848.63097521453</v>
      </c>
      <c r="E1711" s="1">
        <v>10</v>
      </c>
      <c r="F1711" s="1">
        <v>18</v>
      </c>
      <c r="G1711" s="1">
        <v>7</v>
      </c>
      <c r="H1711" s="1">
        <v>0</v>
      </c>
      <c r="I1711" s="1">
        <v>0</v>
      </c>
      <c r="J1711" s="1">
        <v>1</v>
      </c>
      <c r="K1711" s="1">
        <v>0</v>
      </c>
      <c r="L1711" s="1">
        <v>0</v>
      </c>
      <c r="M1711" s="1">
        <v>0</v>
      </c>
    </row>
    <row r="1712" spans="1:13">
      <c r="A1712" s="1">
        <v>1711</v>
      </c>
      <c r="B1712" s="1">
        <v>939527.46909999999</v>
      </c>
      <c r="C1712" s="1">
        <v>423658.07899677486</v>
      </c>
      <c r="D1712" s="1">
        <f t="shared" si="26"/>
        <v>515869.39010322513</v>
      </c>
      <c r="E1712" s="1">
        <v>13</v>
      </c>
      <c r="F1712" s="1">
        <v>17</v>
      </c>
      <c r="G1712" s="1">
        <v>5</v>
      </c>
      <c r="H1712" s="1">
        <v>1</v>
      </c>
      <c r="I1712" s="1">
        <v>1</v>
      </c>
      <c r="J1712" s="1">
        <v>0</v>
      </c>
      <c r="K1712" s="1">
        <v>1</v>
      </c>
      <c r="L1712" s="1">
        <v>0</v>
      </c>
      <c r="M1712" s="1">
        <v>0</v>
      </c>
    </row>
    <row r="1713" spans="1:13">
      <c r="A1713" s="1">
        <v>1712</v>
      </c>
      <c r="B1713" s="1">
        <v>931925.00300000003</v>
      </c>
      <c r="C1713" s="1">
        <v>736482.62137021043</v>
      </c>
      <c r="D1713" s="1">
        <f t="shared" si="26"/>
        <v>195442.3816297896</v>
      </c>
      <c r="E1713" s="1">
        <v>11</v>
      </c>
      <c r="F1713" s="1">
        <v>16</v>
      </c>
      <c r="G1713" s="1">
        <v>8</v>
      </c>
      <c r="H1713" s="1">
        <v>1</v>
      </c>
      <c r="I1713" s="1">
        <v>0</v>
      </c>
      <c r="J1713" s="1">
        <v>0</v>
      </c>
      <c r="K1713" s="1">
        <v>0</v>
      </c>
      <c r="L1713" s="1">
        <v>1</v>
      </c>
      <c r="M1713" s="1">
        <v>1</v>
      </c>
    </row>
    <row r="1714" spans="1:13">
      <c r="A1714" s="1">
        <v>1713</v>
      </c>
      <c r="B1714" s="1">
        <v>919161.47750000004</v>
      </c>
      <c r="C1714" s="1">
        <v>1587177.8125862917</v>
      </c>
      <c r="D1714" s="1">
        <f t="shared" si="26"/>
        <v>-668016.33508629166</v>
      </c>
      <c r="E1714" s="1">
        <v>10</v>
      </c>
      <c r="F1714" s="1">
        <v>20</v>
      </c>
      <c r="G1714" s="1">
        <v>5</v>
      </c>
      <c r="H1714" s="1">
        <v>0</v>
      </c>
      <c r="I1714" s="1">
        <v>0</v>
      </c>
      <c r="J1714" s="1">
        <v>2</v>
      </c>
      <c r="K1714" s="1">
        <v>0</v>
      </c>
      <c r="L1714" s="1">
        <v>0</v>
      </c>
      <c r="M1714" s="1">
        <v>0</v>
      </c>
    </row>
    <row r="1715" spans="1:13">
      <c r="A1715" s="1">
        <v>1714</v>
      </c>
      <c r="B1715" s="1">
        <v>935407.32460000005</v>
      </c>
      <c r="C1715" s="1">
        <v>842468.99744783167</v>
      </c>
      <c r="D1715" s="1">
        <f t="shared" si="26"/>
        <v>92938.327152168378</v>
      </c>
      <c r="E1715" s="1">
        <v>7</v>
      </c>
      <c r="F1715" s="1">
        <v>23</v>
      </c>
      <c r="G1715" s="1">
        <v>5</v>
      </c>
      <c r="H1715" s="1">
        <v>0</v>
      </c>
      <c r="I1715" s="1">
        <v>1</v>
      </c>
      <c r="J1715" s="1">
        <v>2</v>
      </c>
      <c r="K1715" s="1">
        <v>0</v>
      </c>
      <c r="L1715" s="1">
        <v>0</v>
      </c>
      <c r="M1715" s="1">
        <v>1</v>
      </c>
    </row>
    <row r="1716" spans="1:13">
      <c r="A1716" s="1">
        <v>1715</v>
      </c>
      <c r="B1716" s="1">
        <v>1051188.3345000001</v>
      </c>
      <c r="C1716" s="1">
        <v>557277.70653806173</v>
      </c>
      <c r="D1716" s="1">
        <f t="shared" si="26"/>
        <v>493910.62796193839</v>
      </c>
      <c r="E1716" s="1">
        <v>6</v>
      </c>
      <c r="F1716" s="1">
        <v>22</v>
      </c>
      <c r="G1716" s="1">
        <v>7</v>
      </c>
      <c r="H1716" s="1">
        <v>0</v>
      </c>
      <c r="I1716" s="1">
        <v>0</v>
      </c>
      <c r="J1716" s="1">
        <v>1</v>
      </c>
      <c r="K1716" s="1">
        <v>0</v>
      </c>
      <c r="L1716" s="1">
        <v>0</v>
      </c>
      <c r="M1716" s="1">
        <v>0</v>
      </c>
    </row>
    <row r="1717" spans="1:13">
      <c r="A1717" s="1">
        <v>1716</v>
      </c>
      <c r="B1717" s="1">
        <v>901139.75289999996</v>
      </c>
      <c r="C1717" s="1">
        <v>566147.27562750573</v>
      </c>
      <c r="D1717" s="1">
        <f t="shared" si="26"/>
        <v>334992.47727249423</v>
      </c>
      <c r="E1717" s="1">
        <v>16</v>
      </c>
      <c r="F1717" s="1">
        <v>14</v>
      </c>
      <c r="G1717" s="1">
        <v>5</v>
      </c>
      <c r="H1717" s="1">
        <v>1</v>
      </c>
      <c r="I1717" s="1">
        <v>0</v>
      </c>
      <c r="J1717" s="1">
        <v>0</v>
      </c>
      <c r="K1717" s="1">
        <v>0</v>
      </c>
      <c r="L1717" s="1">
        <v>0</v>
      </c>
      <c r="M1717" s="1">
        <v>0</v>
      </c>
    </row>
    <row r="1718" spans="1:13">
      <c r="A1718" s="1">
        <v>1717</v>
      </c>
      <c r="B1718" s="1">
        <v>1002517.6308</v>
      </c>
      <c r="C1718" s="1">
        <v>825979.69432627095</v>
      </c>
      <c r="D1718" s="1">
        <f t="shared" si="26"/>
        <v>176537.93647372909</v>
      </c>
      <c r="E1718" s="1">
        <v>12</v>
      </c>
      <c r="F1718" s="1">
        <v>19</v>
      </c>
      <c r="G1718" s="1">
        <v>4</v>
      </c>
      <c r="H1718" s="1">
        <v>0</v>
      </c>
      <c r="I1718" s="1">
        <v>0</v>
      </c>
      <c r="J1718" s="1">
        <v>0</v>
      </c>
      <c r="K1718" s="1">
        <v>2</v>
      </c>
      <c r="L1718" s="1">
        <v>0</v>
      </c>
      <c r="M1718" s="1">
        <v>0</v>
      </c>
    </row>
    <row r="1719" spans="1:13">
      <c r="A1719" s="1">
        <v>1718</v>
      </c>
      <c r="B1719" s="1">
        <v>839349.61490000004</v>
      </c>
      <c r="C1719" s="1">
        <v>968755.68324187212</v>
      </c>
      <c r="D1719" s="1">
        <f t="shared" si="26"/>
        <v>-129406.06834187207</v>
      </c>
      <c r="E1719" s="1">
        <v>16</v>
      </c>
      <c r="F1719" s="1">
        <v>13</v>
      </c>
      <c r="G1719" s="1">
        <v>6</v>
      </c>
      <c r="H1719" s="1">
        <v>0</v>
      </c>
      <c r="I1719" s="1">
        <v>0</v>
      </c>
      <c r="J1719" s="1">
        <v>0</v>
      </c>
      <c r="K1719" s="1">
        <v>1</v>
      </c>
      <c r="L1719" s="1">
        <v>0</v>
      </c>
      <c r="M1719" s="1">
        <v>0</v>
      </c>
    </row>
    <row r="1720" spans="1:13">
      <c r="A1720" s="1">
        <v>1719</v>
      </c>
      <c r="B1720" s="1">
        <v>885892.61129999999</v>
      </c>
      <c r="C1720" s="1">
        <v>593522.68728660897</v>
      </c>
      <c r="D1720" s="1">
        <f t="shared" si="26"/>
        <v>292369.92401339102</v>
      </c>
      <c r="E1720" s="1">
        <v>18</v>
      </c>
      <c r="F1720" s="1">
        <v>15</v>
      </c>
      <c r="G1720" s="1">
        <v>2</v>
      </c>
      <c r="H1720" s="1">
        <v>2</v>
      </c>
      <c r="I1720" s="1">
        <v>0</v>
      </c>
      <c r="J1720" s="1">
        <v>1</v>
      </c>
      <c r="K1720" s="1">
        <v>0</v>
      </c>
      <c r="L1720" s="1">
        <v>0</v>
      </c>
      <c r="M1720" s="1">
        <v>0</v>
      </c>
    </row>
    <row r="1721" spans="1:13">
      <c r="A1721" s="1">
        <v>1720</v>
      </c>
      <c r="B1721" s="1">
        <v>901632.55519999994</v>
      </c>
      <c r="C1721" s="1">
        <v>385664.14068778499</v>
      </c>
      <c r="D1721" s="1">
        <f t="shared" si="26"/>
        <v>515968.41451221495</v>
      </c>
      <c r="E1721" s="1">
        <v>13</v>
      </c>
      <c r="F1721" s="1">
        <v>19</v>
      </c>
      <c r="G1721" s="1">
        <v>3</v>
      </c>
      <c r="H1721" s="1">
        <v>0</v>
      </c>
      <c r="I1721" s="1">
        <v>0</v>
      </c>
      <c r="J1721" s="1">
        <v>0</v>
      </c>
      <c r="K1721" s="1">
        <v>2</v>
      </c>
      <c r="L1721" s="1">
        <v>0</v>
      </c>
      <c r="M1721" s="1">
        <v>0</v>
      </c>
    </row>
    <row r="1722" spans="1:13">
      <c r="A1722" s="1">
        <v>1721</v>
      </c>
      <c r="B1722" s="1">
        <v>842768.4547</v>
      </c>
      <c r="C1722" s="1">
        <v>829073.16541345674</v>
      </c>
      <c r="D1722" s="1">
        <f t="shared" si="26"/>
        <v>13695.289286543266</v>
      </c>
      <c r="E1722" s="1">
        <v>21</v>
      </c>
      <c r="F1722" s="1">
        <v>11</v>
      </c>
      <c r="G1722" s="1">
        <v>3</v>
      </c>
      <c r="H1722" s="1">
        <v>1</v>
      </c>
      <c r="I1722" s="1">
        <v>0</v>
      </c>
      <c r="J1722" s="1">
        <v>2</v>
      </c>
      <c r="K1722" s="1">
        <v>0</v>
      </c>
      <c r="L1722" s="1">
        <v>0</v>
      </c>
      <c r="M1722" s="1">
        <v>0</v>
      </c>
    </row>
    <row r="1723" spans="1:13">
      <c r="A1723" s="1">
        <v>1722</v>
      </c>
      <c r="B1723" s="1">
        <v>900982.62080000003</v>
      </c>
      <c r="C1723" s="1">
        <v>765220.23365102743</v>
      </c>
      <c r="D1723" s="1">
        <f t="shared" si="26"/>
        <v>135762.3871489726</v>
      </c>
      <c r="E1723" s="1">
        <v>16</v>
      </c>
      <c r="F1723" s="1">
        <v>17</v>
      </c>
      <c r="G1723" s="1">
        <v>2</v>
      </c>
      <c r="H1723" s="1">
        <v>0</v>
      </c>
      <c r="I1723" s="1">
        <v>0</v>
      </c>
      <c r="J1723" s="1">
        <v>0</v>
      </c>
      <c r="K1723" s="1">
        <v>0</v>
      </c>
      <c r="L1723" s="1">
        <v>0</v>
      </c>
      <c r="M1723" s="1">
        <v>1</v>
      </c>
    </row>
    <row r="1724" spans="1:13">
      <c r="A1724" s="1">
        <v>1723</v>
      </c>
      <c r="B1724" s="1">
        <v>1050379.2424999999</v>
      </c>
      <c r="C1724" s="1">
        <v>602429.68491397332</v>
      </c>
      <c r="D1724" s="1">
        <f t="shared" si="26"/>
        <v>447949.55758602661</v>
      </c>
      <c r="E1724" s="1">
        <v>18</v>
      </c>
      <c r="F1724" s="1">
        <v>10</v>
      </c>
      <c r="G1724" s="1">
        <v>7</v>
      </c>
      <c r="H1724" s="1">
        <v>1</v>
      </c>
      <c r="I1724" s="1">
        <v>0</v>
      </c>
      <c r="J1724" s="1">
        <v>1</v>
      </c>
      <c r="K1724" s="1">
        <v>1</v>
      </c>
      <c r="L1724" s="1">
        <v>0</v>
      </c>
      <c r="M1724" s="1">
        <v>0</v>
      </c>
    </row>
    <row r="1725" spans="1:13">
      <c r="A1725" s="1">
        <v>1724</v>
      </c>
      <c r="B1725" s="1">
        <v>882729.17330000002</v>
      </c>
      <c r="C1725" s="1">
        <v>568672.36598379177</v>
      </c>
      <c r="D1725" s="1">
        <f t="shared" si="26"/>
        <v>314056.80731620826</v>
      </c>
      <c r="E1725" s="1">
        <v>14</v>
      </c>
      <c r="F1725" s="1">
        <v>17</v>
      </c>
      <c r="G1725" s="1">
        <v>4</v>
      </c>
      <c r="H1725" s="1">
        <v>2</v>
      </c>
      <c r="I1725" s="1">
        <v>0</v>
      </c>
      <c r="J1725" s="1">
        <v>0</v>
      </c>
      <c r="K1725" s="1">
        <v>1</v>
      </c>
      <c r="L1725" s="1">
        <v>1</v>
      </c>
      <c r="M1725" s="1">
        <v>0</v>
      </c>
    </row>
    <row r="1726" spans="1:13">
      <c r="A1726" s="1">
        <v>1725</v>
      </c>
      <c r="B1726" s="1">
        <v>970367.50040000002</v>
      </c>
      <c r="C1726" s="1">
        <v>557428.6001840909</v>
      </c>
      <c r="D1726" s="1">
        <f t="shared" si="26"/>
        <v>412938.90021590912</v>
      </c>
      <c r="E1726" s="1">
        <v>14</v>
      </c>
      <c r="F1726" s="1">
        <v>14</v>
      </c>
      <c r="G1726" s="1">
        <v>7</v>
      </c>
      <c r="H1726" s="1">
        <v>1</v>
      </c>
      <c r="I1726" s="1">
        <v>0</v>
      </c>
      <c r="J1726" s="1">
        <v>0</v>
      </c>
      <c r="K1726" s="1">
        <v>2</v>
      </c>
      <c r="L1726" s="1">
        <v>0</v>
      </c>
      <c r="M1726" s="1">
        <v>1</v>
      </c>
    </row>
    <row r="1727" spans="1:13">
      <c r="A1727" s="1">
        <v>1726</v>
      </c>
      <c r="B1727" s="1">
        <v>1046671.9441</v>
      </c>
      <c r="C1727" s="1">
        <v>890017.47341956396</v>
      </c>
      <c r="D1727" s="1">
        <f t="shared" si="26"/>
        <v>156654.470680436</v>
      </c>
      <c r="E1727" s="1">
        <v>3</v>
      </c>
      <c r="F1727" s="1">
        <v>27</v>
      </c>
      <c r="G1727" s="1">
        <v>5</v>
      </c>
      <c r="H1727" s="1">
        <v>1</v>
      </c>
      <c r="I1727" s="1">
        <v>0</v>
      </c>
      <c r="J1727" s="1">
        <v>1</v>
      </c>
      <c r="K1727" s="1">
        <v>1</v>
      </c>
      <c r="L1727" s="1">
        <v>0</v>
      </c>
      <c r="M1727" s="1">
        <v>1</v>
      </c>
    </row>
    <row r="1728" spans="1:13">
      <c r="A1728" s="1">
        <v>1727</v>
      </c>
      <c r="B1728" s="1">
        <v>899368.19380000001</v>
      </c>
      <c r="C1728" s="1">
        <v>756387.51890629251</v>
      </c>
      <c r="D1728" s="1">
        <f t="shared" si="26"/>
        <v>142980.6748937075</v>
      </c>
      <c r="E1728" s="1">
        <v>21</v>
      </c>
      <c r="F1728" s="1">
        <v>8</v>
      </c>
      <c r="G1728" s="1">
        <v>6</v>
      </c>
      <c r="H1728" s="1">
        <v>0</v>
      </c>
      <c r="I1728" s="1">
        <v>1</v>
      </c>
      <c r="J1728" s="1">
        <v>1</v>
      </c>
      <c r="K1728" s="1">
        <v>1</v>
      </c>
      <c r="L1728" s="1">
        <v>0</v>
      </c>
      <c r="M1728" s="1">
        <v>0</v>
      </c>
    </row>
    <row r="1729" spans="1:13">
      <c r="A1729" s="1">
        <v>1728</v>
      </c>
      <c r="B1729" s="1">
        <v>996790.02069999999</v>
      </c>
      <c r="C1729" s="1">
        <v>1122155.6851838818</v>
      </c>
      <c r="D1729" s="1">
        <f t="shared" si="26"/>
        <v>-125365.66448388179</v>
      </c>
      <c r="E1729" s="1">
        <v>9</v>
      </c>
      <c r="F1729" s="1">
        <v>19</v>
      </c>
      <c r="G1729" s="1">
        <v>7</v>
      </c>
      <c r="H1729" s="1">
        <v>1</v>
      </c>
      <c r="I1729" s="1">
        <v>0</v>
      </c>
      <c r="J1729" s="1">
        <v>1</v>
      </c>
      <c r="K1729" s="1">
        <v>0</v>
      </c>
      <c r="L1729" s="1">
        <v>0</v>
      </c>
      <c r="M1729" s="1">
        <v>0</v>
      </c>
    </row>
    <row r="1730" spans="1:13">
      <c r="A1730" s="1">
        <v>1729</v>
      </c>
      <c r="B1730" s="1">
        <v>989917.71589999995</v>
      </c>
      <c r="C1730" s="1">
        <v>802961.92864769092</v>
      </c>
      <c r="D1730" s="1">
        <f t="shared" ref="D1730:D1793" si="27">B1730-C1730</f>
        <v>186955.78725230903</v>
      </c>
      <c r="E1730" s="1">
        <v>13</v>
      </c>
      <c r="F1730" s="1">
        <v>14</v>
      </c>
      <c r="G1730" s="1">
        <v>8</v>
      </c>
      <c r="H1730" s="1">
        <v>1</v>
      </c>
      <c r="I1730" s="1">
        <v>0</v>
      </c>
      <c r="J1730" s="1">
        <v>1</v>
      </c>
      <c r="K1730" s="1">
        <v>0</v>
      </c>
      <c r="L1730" s="1">
        <v>0</v>
      </c>
      <c r="M1730" s="1">
        <v>0</v>
      </c>
    </row>
    <row r="1731" spans="1:13">
      <c r="A1731" s="1">
        <v>1730</v>
      </c>
      <c r="B1731" s="1">
        <v>947757.67099999997</v>
      </c>
      <c r="C1731" s="1">
        <v>839695.6036781891</v>
      </c>
      <c r="D1731" s="1">
        <f t="shared" si="27"/>
        <v>108062.06732181087</v>
      </c>
      <c r="E1731" s="1">
        <v>19</v>
      </c>
      <c r="F1731" s="1">
        <v>13</v>
      </c>
      <c r="G1731" s="1">
        <v>3</v>
      </c>
      <c r="H1731" s="1">
        <v>1</v>
      </c>
      <c r="I1731" s="1">
        <v>0</v>
      </c>
      <c r="J1731" s="1">
        <v>1</v>
      </c>
      <c r="K1731" s="1">
        <v>0</v>
      </c>
      <c r="L1731" s="1">
        <v>0</v>
      </c>
      <c r="M1731" s="1">
        <v>0</v>
      </c>
    </row>
    <row r="1732" spans="1:13">
      <c r="A1732" s="1">
        <v>1731</v>
      </c>
      <c r="B1732" s="1">
        <v>958211.88879999996</v>
      </c>
      <c r="C1732" s="1">
        <v>999344.18172244902</v>
      </c>
      <c r="D1732" s="1">
        <f t="shared" si="27"/>
        <v>-41132.292922449065</v>
      </c>
      <c r="E1732" s="1">
        <v>9</v>
      </c>
      <c r="F1732" s="1">
        <v>23</v>
      </c>
      <c r="G1732" s="1">
        <v>3</v>
      </c>
      <c r="H1732" s="1">
        <v>1</v>
      </c>
      <c r="I1732" s="1">
        <v>0</v>
      </c>
      <c r="J1732" s="1">
        <v>0</v>
      </c>
      <c r="K1732" s="1">
        <v>1</v>
      </c>
      <c r="L1732" s="1">
        <v>0</v>
      </c>
      <c r="M1732" s="1">
        <v>0</v>
      </c>
    </row>
    <row r="1733" spans="1:13">
      <c r="A1733" s="1">
        <v>1732</v>
      </c>
      <c r="B1733" s="1">
        <v>921091.09479999996</v>
      </c>
      <c r="C1733" s="1">
        <v>768005.96102581511</v>
      </c>
      <c r="D1733" s="1">
        <f t="shared" si="27"/>
        <v>153085.13377418485</v>
      </c>
      <c r="E1733" s="1">
        <v>16</v>
      </c>
      <c r="F1733" s="1">
        <v>14</v>
      </c>
      <c r="G1733" s="1">
        <v>5</v>
      </c>
      <c r="H1733" s="1">
        <v>1</v>
      </c>
      <c r="I1733" s="1">
        <v>0</v>
      </c>
      <c r="J1733" s="1">
        <v>2</v>
      </c>
      <c r="K1733" s="1">
        <v>0</v>
      </c>
      <c r="L1733" s="1">
        <v>0</v>
      </c>
      <c r="M1733" s="1">
        <v>0</v>
      </c>
    </row>
    <row r="1734" spans="1:13">
      <c r="A1734" s="1">
        <v>1733</v>
      </c>
      <c r="B1734" s="1">
        <v>810508.74780000001</v>
      </c>
      <c r="C1734" s="1">
        <v>651977.77157665032</v>
      </c>
      <c r="D1734" s="1">
        <f t="shared" si="27"/>
        <v>158530.97622334969</v>
      </c>
      <c r="E1734" s="1">
        <v>16</v>
      </c>
      <c r="F1734" s="1">
        <v>16</v>
      </c>
      <c r="G1734" s="1">
        <v>3</v>
      </c>
      <c r="H1734" s="1">
        <v>2</v>
      </c>
      <c r="I1734" s="1">
        <v>0</v>
      </c>
      <c r="J1734" s="1">
        <v>0</v>
      </c>
      <c r="K1734" s="1">
        <v>2</v>
      </c>
      <c r="L1734" s="1">
        <v>0</v>
      </c>
      <c r="M1734" s="1">
        <v>0</v>
      </c>
    </row>
    <row r="1735" spans="1:13">
      <c r="A1735" s="1">
        <v>1734</v>
      </c>
      <c r="B1735" s="1">
        <v>850148.28810000001</v>
      </c>
      <c r="C1735" s="1">
        <v>811065.88269204367</v>
      </c>
      <c r="D1735" s="1">
        <f t="shared" si="27"/>
        <v>39082.405407956336</v>
      </c>
      <c r="E1735" s="1">
        <v>14</v>
      </c>
      <c r="F1735" s="1">
        <v>16</v>
      </c>
      <c r="G1735" s="1">
        <v>5</v>
      </c>
      <c r="H1735" s="1">
        <v>0</v>
      </c>
      <c r="I1735" s="1">
        <v>0</v>
      </c>
      <c r="J1735" s="1">
        <v>1</v>
      </c>
      <c r="K1735" s="1">
        <v>1</v>
      </c>
      <c r="L1735" s="1">
        <v>0</v>
      </c>
      <c r="M1735" s="1">
        <v>0</v>
      </c>
    </row>
    <row r="1736" spans="1:13">
      <c r="A1736" s="1">
        <v>1735</v>
      </c>
      <c r="B1736" s="1">
        <v>948314.49959999998</v>
      </c>
      <c r="C1736" s="1">
        <v>743235.46123266337</v>
      </c>
      <c r="D1736" s="1">
        <f t="shared" si="27"/>
        <v>205079.03836733662</v>
      </c>
      <c r="E1736" s="1">
        <v>13</v>
      </c>
      <c r="F1736" s="1">
        <v>17</v>
      </c>
      <c r="G1736" s="1">
        <v>5</v>
      </c>
      <c r="H1736" s="1">
        <v>2</v>
      </c>
      <c r="I1736" s="1">
        <v>0</v>
      </c>
      <c r="J1736" s="1">
        <v>0</v>
      </c>
      <c r="K1736" s="1">
        <v>1</v>
      </c>
      <c r="L1736" s="1">
        <v>0</v>
      </c>
      <c r="M1736" s="1">
        <v>0</v>
      </c>
    </row>
    <row r="1737" spans="1:13">
      <c r="A1737" s="1">
        <v>1736</v>
      </c>
      <c r="B1737" s="1">
        <v>1007231.9852</v>
      </c>
      <c r="C1737" s="1">
        <v>1494114.5022433498</v>
      </c>
      <c r="D1737" s="1">
        <f t="shared" si="27"/>
        <v>-486882.5170433498</v>
      </c>
      <c r="E1737" s="1">
        <v>9</v>
      </c>
      <c r="F1737" s="1">
        <v>19</v>
      </c>
      <c r="G1737" s="1">
        <v>7</v>
      </c>
      <c r="H1737" s="1">
        <v>0</v>
      </c>
      <c r="I1737" s="1">
        <v>0</v>
      </c>
      <c r="J1737" s="1">
        <v>0</v>
      </c>
      <c r="K1737" s="1">
        <v>0</v>
      </c>
      <c r="L1737" s="1">
        <v>0</v>
      </c>
      <c r="M1737" s="1">
        <v>0</v>
      </c>
    </row>
    <row r="1738" spans="1:13">
      <c r="A1738" s="1">
        <v>1737</v>
      </c>
      <c r="B1738" s="1">
        <v>896539.8898</v>
      </c>
      <c r="C1738" s="1">
        <v>724644.4090620972</v>
      </c>
      <c r="D1738" s="1">
        <f t="shared" si="27"/>
        <v>171895.48073790281</v>
      </c>
      <c r="E1738" s="1">
        <v>14</v>
      </c>
      <c r="F1738" s="1">
        <v>15</v>
      </c>
      <c r="G1738" s="1">
        <v>6</v>
      </c>
      <c r="H1738" s="1">
        <v>1</v>
      </c>
      <c r="I1738" s="1">
        <v>1</v>
      </c>
      <c r="J1738" s="1">
        <v>1</v>
      </c>
      <c r="K1738" s="1">
        <v>0</v>
      </c>
      <c r="L1738" s="1">
        <v>0</v>
      </c>
      <c r="M1738" s="1">
        <v>0</v>
      </c>
    </row>
    <row r="1739" spans="1:13">
      <c r="A1739" s="1">
        <v>1738</v>
      </c>
      <c r="B1739" s="1">
        <v>876351.28839999996</v>
      </c>
      <c r="C1739" s="1">
        <v>890685.83490173717</v>
      </c>
      <c r="D1739" s="1">
        <f t="shared" si="27"/>
        <v>-14334.546501737204</v>
      </c>
      <c r="E1739" s="1">
        <v>11</v>
      </c>
      <c r="F1739" s="1">
        <v>17</v>
      </c>
      <c r="G1739" s="1">
        <v>7</v>
      </c>
      <c r="H1739" s="1">
        <v>1</v>
      </c>
      <c r="I1739" s="1">
        <v>0</v>
      </c>
      <c r="J1739" s="1">
        <v>1</v>
      </c>
      <c r="K1739" s="1">
        <v>1</v>
      </c>
      <c r="L1739" s="1">
        <v>0</v>
      </c>
      <c r="M1739" s="1">
        <v>0</v>
      </c>
    </row>
    <row r="1740" spans="1:13">
      <c r="A1740" s="1">
        <v>1739</v>
      </c>
      <c r="B1740" s="1">
        <v>861820.5477</v>
      </c>
      <c r="C1740" s="1">
        <v>823312.17122852441</v>
      </c>
      <c r="D1740" s="1">
        <f t="shared" si="27"/>
        <v>38508.376471475582</v>
      </c>
      <c r="E1740" s="1">
        <v>19</v>
      </c>
      <c r="F1740" s="1">
        <v>11</v>
      </c>
      <c r="G1740" s="1">
        <v>5</v>
      </c>
      <c r="H1740" s="1">
        <v>0</v>
      </c>
      <c r="I1740" s="1">
        <v>0</v>
      </c>
      <c r="J1740" s="1">
        <v>2</v>
      </c>
      <c r="K1740" s="1">
        <v>0</v>
      </c>
      <c r="L1740" s="1">
        <v>0</v>
      </c>
      <c r="M1740" s="1">
        <v>0</v>
      </c>
    </row>
    <row r="1741" spans="1:13">
      <c r="A1741" s="1">
        <v>1740</v>
      </c>
      <c r="B1741" s="1">
        <v>894728.95259999996</v>
      </c>
      <c r="C1741" s="1">
        <v>813269.29942917381</v>
      </c>
      <c r="D1741" s="1">
        <f t="shared" si="27"/>
        <v>81459.653170826146</v>
      </c>
      <c r="E1741" s="1">
        <v>20</v>
      </c>
      <c r="F1741" s="1">
        <v>12</v>
      </c>
      <c r="G1741" s="1">
        <v>3</v>
      </c>
      <c r="H1741" s="1">
        <v>0</v>
      </c>
      <c r="I1741" s="1">
        <v>0</v>
      </c>
      <c r="J1741" s="1">
        <v>0</v>
      </c>
      <c r="K1741" s="1">
        <v>0</v>
      </c>
      <c r="L1741" s="1">
        <v>0</v>
      </c>
      <c r="M1741" s="1">
        <v>0</v>
      </c>
    </row>
    <row r="1742" spans="1:13">
      <c r="A1742" s="1">
        <v>1741</v>
      </c>
      <c r="B1742" s="1">
        <v>936445.58279999997</v>
      </c>
      <c r="C1742" s="1">
        <v>1423739.5499622351</v>
      </c>
      <c r="D1742" s="1">
        <f t="shared" si="27"/>
        <v>-487293.96716223517</v>
      </c>
      <c r="E1742" s="1">
        <v>10</v>
      </c>
      <c r="F1742" s="1">
        <v>19</v>
      </c>
      <c r="G1742" s="1">
        <v>6</v>
      </c>
      <c r="H1742" s="1">
        <v>0</v>
      </c>
      <c r="I1742" s="1">
        <v>0</v>
      </c>
      <c r="J1742" s="1">
        <v>1</v>
      </c>
      <c r="K1742" s="1">
        <v>1</v>
      </c>
      <c r="L1742" s="1">
        <v>0</v>
      </c>
      <c r="M1742" s="1">
        <v>0</v>
      </c>
    </row>
    <row r="1743" spans="1:13">
      <c r="A1743" s="1">
        <v>1742</v>
      </c>
      <c r="B1743" s="1">
        <v>897058.46230000001</v>
      </c>
      <c r="C1743" s="1">
        <v>1217234.3491052142</v>
      </c>
      <c r="D1743" s="1">
        <f t="shared" si="27"/>
        <v>-320175.88680521422</v>
      </c>
      <c r="E1743" s="1">
        <v>17</v>
      </c>
      <c r="F1743" s="1">
        <v>14</v>
      </c>
      <c r="G1743" s="1">
        <v>4</v>
      </c>
      <c r="H1743" s="1">
        <v>0</v>
      </c>
      <c r="I1743" s="1">
        <v>1</v>
      </c>
      <c r="J1743" s="1">
        <v>0</v>
      </c>
      <c r="K1743" s="1">
        <v>0</v>
      </c>
      <c r="L1743" s="1">
        <v>1</v>
      </c>
      <c r="M1743" s="1">
        <v>1</v>
      </c>
    </row>
    <row r="1744" spans="1:13">
      <c r="A1744" s="1">
        <v>1743</v>
      </c>
      <c r="B1744" s="1">
        <v>1005456.5715</v>
      </c>
      <c r="C1744" s="1">
        <v>438949.13982170878</v>
      </c>
      <c r="D1744" s="1">
        <f t="shared" si="27"/>
        <v>566507.43167829118</v>
      </c>
      <c r="E1744" s="1">
        <v>10</v>
      </c>
      <c r="F1744" s="1">
        <v>17</v>
      </c>
      <c r="G1744" s="1">
        <v>8</v>
      </c>
      <c r="H1744" s="1">
        <v>0</v>
      </c>
      <c r="I1744" s="1">
        <v>1</v>
      </c>
      <c r="J1744" s="1">
        <v>0</v>
      </c>
      <c r="K1744" s="1">
        <v>0</v>
      </c>
      <c r="L1744" s="1">
        <v>0</v>
      </c>
      <c r="M1744" s="1">
        <v>0</v>
      </c>
    </row>
    <row r="1745" spans="1:13">
      <c r="A1745" s="1">
        <v>1744</v>
      </c>
      <c r="B1745" s="1">
        <v>930123.36060000001</v>
      </c>
      <c r="C1745" s="1">
        <v>523966.54117685778</v>
      </c>
      <c r="D1745" s="1">
        <f t="shared" si="27"/>
        <v>406156.81942314224</v>
      </c>
      <c r="E1745" s="1">
        <v>9</v>
      </c>
      <c r="F1745" s="1">
        <v>19</v>
      </c>
      <c r="G1745" s="1">
        <v>7</v>
      </c>
      <c r="H1745" s="1">
        <v>0</v>
      </c>
      <c r="I1745" s="1">
        <v>1</v>
      </c>
      <c r="J1745" s="1">
        <v>1</v>
      </c>
      <c r="K1745" s="1">
        <v>0</v>
      </c>
      <c r="L1745" s="1">
        <v>0</v>
      </c>
      <c r="M1745" s="1">
        <v>1</v>
      </c>
    </row>
    <row r="1746" spans="1:13">
      <c r="A1746" s="1">
        <v>1745</v>
      </c>
      <c r="B1746" s="1">
        <v>946381.19720000005</v>
      </c>
      <c r="C1746" s="1">
        <v>1109808.5110508995</v>
      </c>
      <c r="D1746" s="1">
        <f t="shared" si="27"/>
        <v>-163427.31385089946</v>
      </c>
      <c r="E1746" s="1">
        <v>14</v>
      </c>
      <c r="F1746" s="1">
        <v>18</v>
      </c>
      <c r="G1746" s="1">
        <v>3</v>
      </c>
      <c r="H1746" s="1">
        <v>1</v>
      </c>
      <c r="I1746" s="1">
        <v>1</v>
      </c>
      <c r="J1746" s="1">
        <v>2</v>
      </c>
      <c r="K1746" s="1">
        <v>0</v>
      </c>
      <c r="L1746" s="1">
        <v>0</v>
      </c>
      <c r="M1746" s="1">
        <v>0</v>
      </c>
    </row>
    <row r="1747" spans="1:13">
      <c r="A1747" s="1">
        <v>1746</v>
      </c>
      <c r="B1747" s="1">
        <v>860525.02300000004</v>
      </c>
      <c r="C1747" s="1">
        <v>639875.17415196553</v>
      </c>
      <c r="D1747" s="1">
        <f t="shared" si="27"/>
        <v>220649.84884803451</v>
      </c>
      <c r="E1747" s="1">
        <v>17</v>
      </c>
      <c r="F1747" s="1">
        <v>12</v>
      </c>
      <c r="G1747" s="1">
        <v>6</v>
      </c>
      <c r="H1747" s="1">
        <v>2</v>
      </c>
      <c r="I1747" s="1">
        <v>0</v>
      </c>
      <c r="J1747" s="1">
        <v>1</v>
      </c>
      <c r="K1747" s="1">
        <v>1</v>
      </c>
      <c r="L1747" s="1">
        <v>0</v>
      </c>
      <c r="M1747" s="1">
        <v>1</v>
      </c>
    </row>
    <row r="1748" spans="1:13">
      <c r="A1748" s="1">
        <v>1747</v>
      </c>
      <c r="B1748" s="1">
        <v>929274.79980000004</v>
      </c>
      <c r="C1748" s="1">
        <v>860464.31064718112</v>
      </c>
      <c r="D1748" s="1">
        <f t="shared" si="27"/>
        <v>68810.489152818918</v>
      </c>
      <c r="E1748" s="1">
        <v>10</v>
      </c>
      <c r="F1748" s="1">
        <v>20</v>
      </c>
      <c r="G1748" s="1">
        <v>5</v>
      </c>
      <c r="H1748" s="1">
        <v>0</v>
      </c>
      <c r="I1748" s="1">
        <v>0</v>
      </c>
      <c r="J1748" s="1">
        <v>0</v>
      </c>
      <c r="K1748" s="1">
        <v>2</v>
      </c>
      <c r="L1748" s="1">
        <v>0</v>
      </c>
      <c r="M1748" s="1">
        <v>1</v>
      </c>
    </row>
    <row r="1749" spans="1:13">
      <c r="A1749" s="1">
        <v>1748</v>
      </c>
      <c r="B1749" s="1">
        <v>1066991.5229</v>
      </c>
      <c r="C1749" s="1">
        <v>992085.18664977711</v>
      </c>
      <c r="D1749" s="1">
        <f t="shared" si="27"/>
        <v>74906.33625022287</v>
      </c>
      <c r="E1749" s="1">
        <v>10</v>
      </c>
      <c r="F1749" s="1">
        <v>17</v>
      </c>
      <c r="G1749" s="1">
        <v>8</v>
      </c>
      <c r="H1749" s="1">
        <v>2</v>
      </c>
      <c r="I1749" s="1">
        <v>0</v>
      </c>
      <c r="J1749" s="1">
        <v>0</v>
      </c>
      <c r="K1749" s="1">
        <v>2</v>
      </c>
      <c r="L1749" s="1">
        <v>0</v>
      </c>
      <c r="M1749" s="1">
        <v>0</v>
      </c>
    </row>
    <row r="1750" spans="1:13">
      <c r="A1750" s="1">
        <v>1749</v>
      </c>
      <c r="B1750" s="1">
        <v>953609.46420000005</v>
      </c>
      <c r="C1750" s="1">
        <v>762564.30980296084</v>
      </c>
      <c r="D1750" s="1">
        <f t="shared" si="27"/>
        <v>191045.15439703921</v>
      </c>
      <c r="E1750" s="1">
        <v>12</v>
      </c>
      <c r="F1750" s="1">
        <v>18</v>
      </c>
      <c r="G1750" s="1">
        <v>5</v>
      </c>
      <c r="H1750" s="1">
        <v>1</v>
      </c>
      <c r="I1750" s="1">
        <v>1</v>
      </c>
      <c r="J1750" s="1">
        <v>0</v>
      </c>
      <c r="K1750" s="1">
        <v>0</v>
      </c>
      <c r="L1750" s="1">
        <v>0</v>
      </c>
      <c r="M1750" s="1">
        <v>0</v>
      </c>
    </row>
    <row r="1751" spans="1:13">
      <c r="A1751" s="1">
        <v>1750</v>
      </c>
      <c r="B1751" s="1">
        <v>1058055.2408</v>
      </c>
      <c r="C1751" s="1">
        <v>800830.47090014617</v>
      </c>
      <c r="D1751" s="1">
        <f t="shared" si="27"/>
        <v>257224.76989985385</v>
      </c>
      <c r="E1751" s="1">
        <v>8</v>
      </c>
      <c r="F1751" s="1">
        <v>22</v>
      </c>
      <c r="G1751" s="1">
        <v>5</v>
      </c>
      <c r="H1751" s="1">
        <v>1</v>
      </c>
      <c r="I1751" s="1">
        <v>0</v>
      </c>
      <c r="J1751" s="1">
        <v>1</v>
      </c>
      <c r="K1751" s="1">
        <v>1</v>
      </c>
      <c r="L1751" s="1">
        <v>0</v>
      </c>
      <c r="M1751" s="1">
        <v>0</v>
      </c>
    </row>
    <row r="1752" spans="1:13">
      <c r="A1752" s="1">
        <v>1751</v>
      </c>
      <c r="B1752" s="1">
        <v>981500.35109999997</v>
      </c>
      <c r="C1752" s="1">
        <v>726597.86242932954</v>
      </c>
      <c r="D1752" s="1">
        <f t="shared" si="27"/>
        <v>254902.48867067043</v>
      </c>
      <c r="E1752" s="1">
        <v>15</v>
      </c>
      <c r="F1752" s="1">
        <v>13</v>
      </c>
      <c r="G1752" s="1">
        <v>7</v>
      </c>
      <c r="H1752" s="1">
        <v>0</v>
      </c>
      <c r="I1752" s="1">
        <v>0</v>
      </c>
      <c r="J1752" s="1">
        <v>0</v>
      </c>
      <c r="K1752" s="1">
        <v>2</v>
      </c>
      <c r="L1752" s="1">
        <v>0</v>
      </c>
      <c r="M1752" s="1">
        <v>0</v>
      </c>
    </row>
    <row r="1753" spans="1:13">
      <c r="A1753" s="1">
        <v>1752</v>
      </c>
      <c r="B1753" s="1">
        <v>976347.73369999998</v>
      </c>
      <c r="C1753" s="1">
        <v>669282.434953794</v>
      </c>
      <c r="D1753" s="1">
        <f t="shared" si="27"/>
        <v>307065.29874620598</v>
      </c>
      <c r="E1753" s="1">
        <v>15</v>
      </c>
      <c r="F1753" s="1">
        <v>18</v>
      </c>
      <c r="G1753" s="1">
        <v>2</v>
      </c>
      <c r="H1753" s="1">
        <v>0</v>
      </c>
      <c r="I1753" s="1">
        <v>0</v>
      </c>
      <c r="J1753" s="1">
        <v>0</v>
      </c>
      <c r="K1753" s="1">
        <v>0</v>
      </c>
      <c r="L1753" s="1">
        <v>0</v>
      </c>
      <c r="M1753" s="1">
        <v>0</v>
      </c>
    </row>
    <row r="1754" spans="1:13">
      <c r="A1754" s="1">
        <v>1753</v>
      </c>
      <c r="B1754" s="1">
        <v>969457.18059999996</v>
      </c>
      <c r="C1754" s="1">
        <v>1233117.3208109606</v>
      </c>
      <c r="D1754" s="1">
        <f t="shared" si="27"/>
        <v>-263660.14021096064</v>
      </c>
      <c r="E1754" s="1">
        <v>10</v>
      </c>
      <c r="F1754" s="1">
        <v>21</v>
      </c>
      <c r="G1754" s="1">
        <v>4</v>
      </c>
      <c r="H1754" s="1">
        <v>1</v>
      </c>
      <c r="I1754" s="1">
        <v>0</v>
      </c>
      <c r="J1754" s="1">
        <v>1</v>
      </c>
      <c r="K1754" s="1">
        <v>1</v>
      </c>
      <c r="L1754" s="1">
        <v>0</v>
      </c>
      <c r="M1754" s="1">
        <v>1</v>
      </c>
    </row>
    <row r="1755" spans="1:13">
      <c r="A1755" s="1">
        <v>1754</v>
      </c>
      <c r="B1755" s="1">
        <v>951066.7524</v>
      </c>
      <c r="C1755" s="1">
        <v>625669.75199568807</v>
      </c>
      <c r="D1755" s="1">
        <f t="shared" si="27"/>
        <v>325397.00040431193</v>
      </c>
      <c r="E1755" s="1">
        <v>8</v>
      </c>
      <c r="F1755" s="1">
        <v>21</v>
      </c>
      <c r="G1755" s="1">
        <v>6</v>
      </c>
      <c r="H1755" s="1">
        <v>1</v>
      </c>
      <c r="I1755" s="1">
        <v>1</v>
      </c>
      <c r="J1755" s="1">
        <v>1</v>
      </c>
      <c r="K1755" s="1">
        <v>1</v>
      </c>
      <c r="L1755" s="1">
        <v>0</v>
      </c>
      <c r="M1755" s="1">
        <v>0</v>
      </c>
    </row>
    <row r="1756" spans="1:13">
      <c r="A1756" s="1">
        <v>1755</v>
      </c>
      <c r="B1756" s="1">
        <v>989642.09479999996</v>
      </c>
      <c r="C1756" s="1">
        <v>739893.04148049164</v>
      </c>
      <c r="D1756" s="1">
        <f t="shared" si="27"/>
        <v>249749.05331950833</v>
      </c>
      <c r="E1756" s="1">
        <v>16</v>
      </c>
      <c r="F1756" s="1">
        <v>14</v>
      </c>
      <c r="G1756" s="1">
        <v>5</v>
      </c>
      <c r="H1756" s="1">
        <v>2</v>
      </c>
      <c r="I1756" s="1">
        <v>0</v>
      </c>
      <c r="J1756" s="1">
        <v>1</v>
      </c>
      <c r="K1756" s="1">
        <v>1</v>
      </c>
      <c r="L1756" s="1">
        <v>0</v>
      </c>
      <c r="M1756" s="1">
        <v>1</v>
      </c>
    </row>
    <row r="1757" spans="1:13">
      <c r="A1757" s="1">
        <v>1756</v>
      </c>
      <c r="B1757" s="1">
        <v>918733.4595</v>
      </c>
      <c r="C1757" s="1">
        <v>476374.28985107108</v>
      </c>
      <c r="D1757" s="1">
        <f t="shared" si="27"/>
        <v>442359.16964892892</v>
      </c>
      <c r="E1757" s="1">
        <v>19</v>
      </c>
      <c r="F1757" s="1">
        <v>12</v>
      </c>
      <c r="G1757" s="1">
        <v>4</v>
      </c>
      <c r="H1757" s="1">
        <v>0</v>
      </c>
      <c r="I1757" s="1">
        <v>0</v>
      </c>
      <c r="J1757" s="1">
        <v>1</v>
      </c>
      <c r="K1757" s="1">
        <v>0</v>
      </c>
      <c r="L1757" s="1">
        <v>0</v>
      </c>
      <c r="M1757" s="1">
        <v>0</v>
      </c>
    </row>
    <row r="1758" spans="1:13">
      <c r="A1758" s="1">
        <v>1757</v>
      </c>
      <c r="B1758" s="1">
        <v>872817.0932</v>
      </c>
      <c r="C1758" s="1">
        <v>683624.04796142434</v>
      </c>
      <c r="D1758" s="1">
        <f t="shared" si="27"/>
        <v>189193.04523857567</v>
      </c>
      <c r="E1758" s="1">
        <v>10</v>
      </c>
      <c r="F1758" s="1">
        <v>20</v>
      </c>
      <c r="G1758" s="1">
        <v>5</v>
      </c>
      <c r="H1758" s="1">
        <v>1</v>
      </c>
      <c r="I1758" s="1">
        <v>0</v>
      </c>
      <c r="J1758" s="1">
        <v>1</v>
      </c>
      <c r="K1758" s="1">
        <v>0</v>
      </c>
      <c r="L1758" s="1">
        <v>0</v>
      </c>
      <c r="M1758" s="1">
        <v>1</v>
      </c>
    </row>
    <row r="1759" spans="1:13">
      <c r="A1759" s="1">
        <v>1758</v>
      </c>
      <c r="B1759" s="1">
        <v>1013311.3053</v>
      </c>
      <c r="C1759" s="1">
        <v>886966.07446424861</v>
      </c>
      <c r="D1759" s="1">
        <f t="shared" si="27"/>
        <v>126345.2308357514</v>
      </c>
      <c r="E1759" s="1">
        <v>14</v>
      </c>
      <c r="F1759" s="1">
        <v>17</v>
      </c>
      <c r="G1759" s="1">
        <v>4</v>
      </c>
      <c r="H1759" s="1">
        <v>1</v>
      </c>
      <c r="I1759" s="1">
        <v>1</v>
      </c>
      <c r="J1759" s="1">
        <v>2</v>
      </c>
      <c r="K1759" s="1">
        <v>0</v>
      </c>
      <c r="L1759" s="1">
        <v>0</v>
      </c>
      <c r="M1759" s="1">
        <v>0</v>
      </c>
    </row>
    <row r="1760" spans="1:13">
      <c r="A1760" s="1">
        <v>1759</v>
      </c>
      <c r="B1760" s="1">
        <v>982090.01439999999</v>
      </c>
      <c r="C1760" s="1">
        <v>602499.58304017922</v>
      </c>
      <c r="D1760" s="1">
        <f t="shared" si="27"/>
        <v>379590.43135982077</v>
      </c>
      <c r="E1760" s="1">
        <v>13</v>
      </c>
      <c r="F1760" s="1">
        <v>17</v>
      </c>
      <c r="G1760" s="1">
        <v>5</v>
      </c>
      <c r="H1760" s="1">
        <v>0</v>
      </c>
      <c r="I1760" s="1">
        <v>0</v>
      </c>
      <c r="J1760" s="1">
        <v>0</v>
      </c>
      <c r="K1760" s="1">
        <v>0</v>
      </c>
      <c r="L1760" s="1">
        <v>1</v>
      </c>
      <c r="M1760" s="1">
        <v>0</v>
      </c>
    </row>
    <row r="1761" spans="1:13">
      <c r="A1761" s="1">
        <v>1760</v>
      </c>
      <c r="B1761" s="1">
        <v>1015202.3547</v>
      </c>
      <c r="C1761" s="1">
        <v>912428.30274495122</v>
      </c>
      <c r="D1761" s="1">
        <f t="shared" si="27"/>
        <v>102774.05195504881</v>
      </c>
      <c r="E1761" s="1">
        <v>14</v>
      </c>
      <c r="F1761" s="1">
        <v>14</v>
      </c>
      <c r="G1761" s="1">
        <v>7</v>
      </c>
      <c r="H1761" s="1">
        <v>1</v>
      </c>
      <c r="I1761" s="1">
        <v>0</v>
      </c>
      <c r="J1761" s="1">
        <v>2</v>
      </c>
      <c r="K1761" s="1">
        <v>0</v>
      </c>
      <c r="L1761" s="1">
        <v>0</v>
      </c>
      <c r="M1761" s="1">
        <v>0</v>
      </c>
    </row>
    <row r="1762" spans="1:13">
      <c r="A1762" s="1">
        <v>1761</v>
      </c>
      <c r="B1762" s="1">
        <v>1018369.0475</v>
      </c>
      <c r="C1762" s="1">
        <v>713777.0759549858</v>
      </c>
      <c r="D1762" s="1">
        <f t="shared" si="27"/>
        <v>304591.97154501418</v>
      </c>
      <c r="E1762" s="1">
        <v>14</v>
      </c>
      <c r="F1762" s="1">
        <v>14</v>
      </c>
      <c r="G1762" s="1">
        <v>7</v>
      </c>
      <c r="H1762" s="1">
        <v>0</v>
      </c>
      <c r="I1762" s="1">
        <v>0</v>
      </c>
      <c r="J1762" s="1">
        <v>0</v>
      </c>
      <c r="K1762" s="1">
        <v>0</v>
      </c>
      <c r="L1762" s="1">
        <v>0</v>
      </c>
      <c r="M1762" s="1">
        <v>0</v>
      </c>
    </row>
    <row r="1763" spans="1:13">
      <c r="A1763" s="1">
        <v>1762</v>
      </c>
      <c r="B1763" s="1">
        <v>864277.7047</v>
      </c>
      <c r="C1763" s="1">
        <v>1183043.5990986396</v>
      </c>
      <c r="D1763" s="1">
        <f t="shared" si="27"/>
        <v>-318765.89439863956</v>
      </c>
      <c r="E1763" s="1">
        <v>3</v>
      </c>
      <c r="F1763" s="1">
        <v>29</v>
      </c>
      <c r="G1763" s="1">
        <v>3</v>
      </c>
      <c r="H1763" s="1">
        <v>1</v>
      </c>
      <c r="I1763" s="1">
        <v>0</v>
      </c>
      <c r="J1763" s="1">
        <v>0</v>
      </c>
      <c r="K1763" s="1">
        <v>1</v>
      </c>
      <c r="L1763" s="1">
        <v>0</v>
      </c>
      <c r="M1763" s="1">
        <v>0</v>
      </c>
    </row>
    <row r="1764" spans="1:13">
      <c r="A1764" s="1">
        <v>1763</v>
      </c>
      <c r="B1764" s="1">
        <v>908275.7071</v>
      </c>
      <c r="C1764" s="1">
        <v>921254.48836668232</v>
      </c>
      <c r="D1764" s="1">
        <f t="shared" si="27"/>
        <v>-12978.781266682316</v>
      </c>
      <c r="E1764" s="1">
        <v>7</v>
      </c>
      <c r="F1764" s="1">
        <v>25</v>
      </c>
      <c r="G1764" s="1">
        <v>3</v>
      </c>
      <c r="H1764" s="1">
        <v>2</v>
      </c>
      <c r="I1764" s="1">
        <v>0</v>
      </c>
      <c r="J1764" s="1">
        <v>0</v>
      </c>
      <c r="K1764" s="1">
        <v>0</v>
      </c>
      <c r="L1764" s="1">
        <v>0</v>
      </c>
      <c r="M1764" s="1">
        <v>0</v>
      </c>
    </row>
    <row r="1765" spans="1:13">
      <c r="A1765" s="1">
        <v>1764</v>
      </c>
      <c r="B1765" s="1">
        <v>995758.23589999997</v>
      </c>
      <c r="C1765" s="1">
        <v>891791.22235997766</v>
      </c>
      <c r="D1765" s="1">
        <f t="shared" si="27"/>
        <v>103967.01354002231</v>
      </c>
      <c r="E1765" s="1">
        <v>16</v>
      </c>
      <c r="F1765" s="1">
        <v>14</v>
      </c>
      <c r="G1765" s="1">
        <v>5</v>
      </c>
      <c r="H1765" s="1">
        <v>1</v>
      </c>
      <c r="I1765" s="1">
        <v>0</v>
      </c>
      <c r="J1765" s="1">
        <v>1</v>
      </c>
      <c r="K1765" s="1">
        <v>0</v>
      </c>
      <c r="L1765" s="1">
        <v>0</v>
      </c>
      <c r="M1765" s="1">
        <v>0</v>
      </c>
    </row>
    <row r="1766" spans="1:13">
      <c r="A1766" s="1">
        <v>1765</v>
      </c>
      <c r="B1766" s="1">
        <v>939307.44420000003</v>
      </c>
      <c r="C1766" s="1">
        <v>1166137.523290924</v>
      </c>
      <c r="D1766" s="1">
        <f t="shared" si="27"/>
        <v>-226830.079090924</v>
      </c>
      <c r="E1766" s="1">
        <v>17</v>
      </c>
      <c r="F1766" s="1">
        <v>12</v>
      </c>
      <c r="G1766" s="1">
        <v>6</v>
      </c>
      <c r="H1766" s="1">
        <v>0</v>
      </c>
      <c r="I1766" s="1">
        <v>1</v>
      </c>
      <c r="J1766" s="1">
        <v>2</v>
      </c>
      <c r="K1766" s="1">
        <v>0</v>
      </c>
      <c r="L1766" s="1">
        <v>0</v>
      </c>
      <c r="M1766" s="1">
        <v>0</v>
      </c>
    </row>
    <row r="1767" spans="1:13">
      <c r="A1767" s="1">
        <v>1766</v>
      </c>
      <c r="B1767" s="1">
        <v>1066416.6917000001</v>
      </c>
      <c r="C1767" s="1">
        <v>863739.72137479868</v>
      </c>
      <c r="D1767" s="1">
        <f t="shared" si="27"/>
        <v>202676.9703252014</v>
      </c>
      <c r="E1767" s="1">
        <v>9</v>
      </c>
      <c r="F1767" s="1">
        <v>25</v>
      </c>
      <c r="G1767" s="1">
        <v>1</v>
      </c>
      <c r="H1767" s="1">
        <v>2</v>
      </c>
      <c r="I1767" s="1">
        <v>0</v>
      </c>
      <c r="J1767" s="1">
        <v>0</v>
      </c>
      <c r="K1767" s="1">
        <v>1</v>
      </c>
      <c r="L1767" s="1">
        <v>0</v>
      </c>
      <c r="M1767" s="1">
        <v>1</v>
      </c>
    </row>
    <row r="1768" spans="1:13">
      <c r="A1768" s="1">
        <v>1767</v>
      </c>
      <c r="B1768" s="1">
        <v>873000.06050000002</v>
      </c>
      <c r="C1768" s="1">
        <v>831453.72782331938</v>
      </c>
      <c r="D1768" s="1">
        <f t="shared" si="27"/>
        <v>41546.332676680642</v>
      </c>
      <c r="E1768" s="1">
        <v>12</v>
      </c>
      <c r="F1768" s="1">
        <v>18</v>
      </c>
      <c r="G1768" s="1">
        <v>5</v>
      </c>
      <c r="H1768" s="1">
        <v>1</v>
      </c>
      <c r="I1768" s="1">
        <v>0</v>
      </c>
      <c r="J1768" s="1">
        <v>0</v>
      </c>
      <c r="K1768" s="1">
        <v>2</v>
      </c>
      <c r="L1768" s="1">
        <v>0</v>
      </c>
      <c r="M1768" s="1">
        <v>0</v>
      </c>
    </row>
    <row r="1769" spans="1:13">
      <c r="A1769" s="1">
        <v>1768</v>
      </c>
      <c r="B1769" s="1">
        <v>871913.79949999996</v>
      </c>
      <c r="C1769" s="1">
        <v>1216060.1061345818</v>
      </c>
      <c r="D1769" s="1">
        <f t="shared" si="27"/>
        <v>-344146.30663458188</v>
      </c>
      <c r="E1769" s="1">
        <v>17</v>
      </c>
      <c r="F1769" s="1">
        <v>11</v>
      </c>
      <c r="G1769" s="1">
        <v>7</v>
      </c>
      <c r="H1769" s="1">
        <v>1</v>
      </c>
      <c r="I1769" s="1">
        <v>0</v>
      </c>
      <c r="J1769" s="1">
        <v>2</v>
      </c>
      <c r="K1769" s="1">
        <v>0</v>
      </c>
      <c r="L1769" s="1">
        <v>0</v>
      </c>
      <c r="M1769" s="1">
        <v>1</v>
      </c>
    </row>
    <row r="1770" spans="1:13">
      <c r="A1770" s="1">
        <v>1769</v>
      </c>
      <c r="B1770" s="1">
        <v>896568.23190000001</v>
      </c>
      <c r="C1770" s="1">
        <v>703526.83052362106</v>
      </c>
      <c r="D1770" s="1">
        <f t="shared" si="27"/>
        <v>193041.40137637896</v>
      </c>
      <c r="E1770" s="1">
        <v>15</v>
      </c>
      <c r="F1770" s="1">
        <v>13</v>
      </c>
      <c r="G1770" s="1">
        <v>7</v>
      </c>
      <c r="H1770" s="1">
        <v>1</v>
      </c>
      <c r="I1770" s="1">
        <v>1</v>
      </c>
      <c r="J1770" s="1">
        <v>0</v>
      </c>
      <c r="K1770" s="1">
        <v>1</v>
      </c>
      <c r="L1770" s="1">
        <v>0</v>
      </c>
      <c r="M1770" s="1">
        <v>0</v>
      </c>
    </row>
    <row r="1771" spans="1:13">
      <c r="A1771" s="1">
        <v>1770</v>
      </c>
      <c r="B1771" s="1">
        <v>932566.98419999995</v>
      </c>
      <c r="C1771" s="1">
        <v>1047594.1350668452</v>
      </c>
      <c r="D1771" s="1">
        <f t="shared" si="27"/>
        <v>-115027.15086684527</v>
      </c>
      <c r="E1771" s="1">
        <v>15</v>
      </c>
      <c r="F1771" s="1">
        <v>14</v>
      </c>
      <c r="G1771" s="1">
        <v>6</v>
      </c>
      <c r="H1771" s="1">
        <v>1</v>
      </c>
      <c r="I1771" s="1">
        <v>0</v>
      </c>
      <c r="J1771" s="1">
        <v>1</v>
      </c>
      <c r="K1771" s="1">
        <v>0</v>
      </c>
      <c r="L1771" s="1">
        <v>1</v>
      </c>
      <c r="M1771" s="1">
        <v>0</v>
      </c>
    </row>
    <row r="1772" spans="1:13">
      <c r="A1772" s="1">
        <v>1771</v>
      </c>
      <c r="B1772" s="1">
        <v>930433.53659999999</v>
      </c>
      <c r="C1772" s="1">
        <v>1093711.9600297385</v>
      </c>
      <c r="D1772" s="1">
        <f t="shared" si="27"/>
        <v>-163278.4234297385</v>
      </c>
      <c r="E1772" s="1">
        <v>13</v>
      </c>
      <c r="F1772" s="1">
        <v>18</v>
      </c>
      <c r="G1772" s="1">
        <v>4</v>
      </c>
      <c r="H1772" s="1">
        <v>1</v>
      </c>
      <c r="I1772" s="1">
        <v>0</v>
      </c>
      <c r="J1772" s="1">
        <v>2</v>
      </c>
      <c r="K1772" s="1">
        <v>0</v>
      </c>
      <c r="L1772" s="1">
        <v>0</v>
      </c>
      <c r="M1772" s="1">
        <v>1</v>
      </c>
    </row>
    <row r="1773" spans="1:13">
      <c r="A1773" s="1">
        <v>1772</v>
      </c>
      <c r="B1773" s="1">
        <v>935111.73439999996</v>
      </c>
      <c r="C1773" s="1">
        <v>500746.22135189141</v>
      </c>
      <c r="D1773" s="1">
        <f t="shared" si="27"/>
        <v>434365.51304810855</v>
      </c>
      <c r="E1773" s="1">
        <v>14</v>
      </c>
      <c r="F1773" s="1">
        <v>16</v>
      </c>
      <c r="G1773" s="1">
        <v>5</v>
      </c>
      <c r="H1773" s="1">
        <v>1</v>
      </c>
      <c r="I1773" s="1">
        <v>0</v>
      </c>
      <c r="J1773" s="1">
        <v>0</v>
      </c>
      <c r="K1773" s="1">
        <v>1</v>
      </c>
      <c r="L1773" s="1">
        <v>0</v>
      </c>
      <c r="M1773" s="1">
        <v>1</v>
      </c>
    </row>
    <row r="1774" spans="1:13">
      <c r="A1774" s="1">
        <v>1773</v>
      </c>
      <c r="B1774" s="1">
        <v>834118.44819999998</v>
      </c>
      <c r="C1774" s="1">
        <v>488692.36211423867</v>
      </c>
      <c r="D1774" s="1">
        <f t="shared" si="27"/>
        <v>345426.08608576132</v>
      </c>
      <c r="E1774" s="1">
        <v>25</v>
      </c>
      <c r="F1774" s="1">
        <v>5</v>
      </c>
      <c r="G1774" s="1">
        <v>5</v>
      </c>
      <c r="H1774" s="1">
        <v>0</v>
      </c>
      <c r="I1774" s="1">
        <v>0</v>
      </c>
      <c r="J1774" s="1">
        <v>0</v>
      </c>
      <c r="K1774" s="1">
        <v>2</v>
      </c>
      <c r="L1774" s="1">
        <v>0</v>
      </c>
      <c r="M1774" s="1">
        <v>0</v>
      </c>
    </row>
    <row r="1775" spans="1:13">
      <c r="A1775" s="1">
        <v>1774</v>
      </c>
      <c r="B1775" s="1">
        <v>987371.71539999999</v>
      </c>
      <c r="C1775" s="1">
        <v>725448.53811485809</v>
      </c>
      <c r="D1775" s="1">
        <f t="shared" si="27"/>
        <v>261923.17728514189</v>
      </c>
      <c r="E1775" s="1">
        <v>10</v>
      </c>
      <c r="F1775" s="1">
        <v>21</v>
      </c>
      <c r="G1775" s="1">
        <v>4</v>
      </c>
      <c r="H1775" s="1">
        <v>1</v>
      </c>
      <c r="I1775" s="1">
        <v>1</v>
      </c>
      <c r="J1775" s="1">
        <v>1</v>
      </c>
      <c r="K1775" s="1">
        <v>1</v>
      </c>
      <c r="L1775" s="1">
        <v>0</v>
      </c>
      <c r="M1775" s="1">
        <v>0</v>
      </c>
    </row>
    <row r="1776" spans="1:13">
      <c r="A1776" s="1">
        <v>1775</v>
      </c>
      <c r="B1776" s="1">
        <v>987656.22849999997</v>
      </c>
      <c r="C1776" s="1">
        <v>597448.83816985053</v>
      </c>
      <c r="D1776" s="1">
        <f t="shared" si="27"/>
        <v>390207.39033014944</v>
      </c>
      <c r="E1776" s="1">
        <v>14</v>
      </c>
      <c r="F1776" s="1">
        <v>13</v>
      </c>
      <c r="G1776" s="1">
        <v>8</v>
      </c>
      <c r="H1776" s="1">
        <v>1</v>
      </c>
      <c r="I1776" s="1">
        <v>1</v>
      </c>
      <c r="J1776" s="1">
        <v>1</v>
      </c>
      <c r="K1776" s="1">
        <v>0</v>
      </c>
      <c r="L1776" s="1">
        <v>0</v>
      </c>
      <c r="M1776" s="1">
        <v>0</v>
      </c>
    </row>
    <row r="1777" spans="1:13">
      <c r="A1777" s="1">
        <v>1776</v>
      </c>
      <c r="B1777" s="1">
        <v>998897.04009999998</v>
      </c>
      <c r="C1777" s="1">
        <v>523017.60862378404</v>
      </c>
      <c r="D1777" s="1">
        <f t="shared" si="27"/>
        <v>475879.43147621595</v>
      </c>
      <c r="E1777" s="1">
        <v>8</v>
      </c>
      <c r="F1777" s="1">
        <v>19</v>
      </c>
      <c r="G1777" s="1">
        <v>8</v>
      </c>
      <c r="H1777" s="1">
        <v>2</v>
      </c>
      <c r="I1777" s="1">
        <v>0</v>
      </c>
      <c r="J1777" s="1">
        <v>0</v>
      </c>
      <c r="K1777" s="1">
        <v>0</v>
      </c>
      <c r="L1777" s="1">
        <v>0</v>
      </c>
      <c r="M1777" s="1">
        <v>0</v>
      </c>
    </row>
    <row r="1778" spans="1:13">
      <c r="A1778" s="1">
        <v>1777</v>
      </c>
      <c r="B1778" s="1">
        <v>852277.44180000003</v>
      </c>
      <c r="C1778" s="1">
        <v>645763.82620505337</v>
      </c>
      <c r="D1778" s="1">
        <f t="shared" si="27"/>
        <v>206513.61559494666</v>
      </c>
      <c r="E1778" s="1">
        <v>18</v>
      </c>
      <c r="F1778" s="1">
        <v>13</v>
      </c>
      <c r="G1778" s="1">
        <v>4</v>
      </c>
      <c r="H1778" s="1">
        <v>1</v>
      </c>
      <c r="I1778" s="1">
        <v>0</v>
      </c>
      <c r="J1778" s="1">
        <v>2</v>
      </c>
      <c r="K1778" s="1">
        <v>0</v>
      </c>
      <c r="L1778" s="1">
        <v>0</v>
      </c>
      <c r="M1778" s="1">
        <v>0</v>
      </c>
    </row>
    <row r="1779" spans="1:13">
      <c r="A1779" s="1">
        <v>1778</v>
      </c>
      <c r="B1779" s="1">
        <v>907172.54790000001</v>
      </c>
      <c r="C1779" s="1">
        <v>1229103.7303066102</v>
      </c>
      <c r="D1779" s="1">
        <f t="shared" si="27"/>
        <v>-321931.18240661023</v>
      </c>
      <c r="E1779" s="1">
        <v>13</v>
      </c>
      <c r="F1779" s="1">
        <v>14</v>
      </c>
      <c r="G1779" s="1">
        <v>8</v>
      </c>
      <c r="H1779" s="1">
        <v>0</v>
      </c>
      <c r="I1779" s="1">
        <v>1</v>
      </c>
      <c r="J1779" s="1">
        <v>1</v>
      </c>
      <c r="K1779" s="1">
        <v>0</v>
      </c>
      <c r="L1779" s="1">
        <v>0</v>
      </c>
      <c r="M1779" s="1">
        <v>0</v>
      </c>
    </row>
    <row r="1780" spans="1:13">
      <c r="A1780" s="1">
        <v>1779</v>
      </c>
      <c r="B1780" s="1">
        <v>918494.03760000004</v>
      </c>
      <c r="C1780" s="1">
        <v>876222.30155479698</v>
      </c>
      <c r="D1780" s="1">
        <f t="shared" si="27"/>
        <v>42271.736045203055</v>
      </c>
      <c r="E1780" s="1">
        <v>6</v>
      </c>
      <c r="F1780" s="1">
        <v>24</v>
      </c>
      <c r="G1780" s="1">
        <v>5</v>
      </c>
      <c r="H1780" s="1">
        <v>2</v>
      </c>
      <c r="I1780" s="1">
        <v>0</v>
      </c>
      <c r="J1780" s="1">
        <v>0</v>
      </c>
      <c r="K1780" s="1">
        <v>2</v>
      </c>
      <c r="L1780" s="1">
        <v>0</v>
      </c>
      <c r="M1780" s="1">
        <v>0</v>
      </c>
    </row>
    <row r="1781" spans="1:13">
      <c r="A1781" s="1">
        <v>1780</v>
      </c>
      <c r="B1781" s="1">
        <v>1008434.84</v>
      </c>
      <c r="C1781" s="1">
        <v>1727330.3299914484</v>
      </c>
      <c r="D1781" s="1">
        <f t="shared" si="27"/>
        <v>-718895.48999144847</v>
      </c>
      <c r="E1781" s="1">
        <v>17</v>
      </c>
      <c r="F1781" s="1">
        <v>8</v>
      </c>
      <c r="G1781" s="1">
        <v>10</v>
      </c>
      <c r="H1781" s="1">
        <v>1</v>
      </c>
      <c r="I1781" s="1">
        <v>1</v>
      </c>
      <c r="J1781" s="1">
        <v>1</v>
      </c>
      <c r="K1781" s="1">
        <v>0</v>
      </c>
      <c r="L1781" s="1">
        <v>0</v>
      </c>
      <c r="M1781" s="1">
        <v>0</v>
      </c>
    </row>
    <row r="1782" spans="1:13">
      <c r="A1782" s="1">
        <v>1781</v>
      </c>
      <c r="B1782" s="1">
        <v>903387.75600000005</v>
      </c>
      <c r="C1782" s="1">
        <v>620630.58655946096</v>
      </c>
      <c r="D1782" s="1">
        <f t="shared" si="27"/>
        <v>282757.16944053909</v>
      </c>
      <c r="E1782" s="1">
        <v>18</v>
      </c>
      <c r="F1782" s="1">
        <v>12</v>
      </c>
      <c r="G1782" s="1">
        <v>5</v>
      </c>
      <c r="H1782" s="1">
        <v>0</v>
      </c>
      <c r="I1782" s="1">
        <v>1</v>
      </c>
      <c r="J1782" s="1">
        <v>1</v>
      </c>
      <c r="K1782" s="1">
        <v>0</v>
      </c>
      <c r="L1782" s="1">
        <v>0</v>
      </c>
      <c r="M1782" s="1">
        <v>0</v>
      </c>
    </row>
    <row r="1783" spans="1:13">
      <c r="A1783" s="1">
        <v>1782</v>
      </c>
      <c r="B1783" s="1">
        <v>918527.46510000003</v>
      </c>
      <c r="C1783" s="1">
        <v>566335.39606294804</v>
      </c>
      <c r="D1783" s="1">
        <f t="shared" si="27"/>
        <v>352192.06903705199</v>
      </c>
      <c r="E1783" s="1">
        <v>18</v>
      </c>
      <c r="F1783" s="1">
        <v>15</v>
      </c>
      <c r="G1783" s="1">
        <v>2</v>
      </c>
      <c r="H1783" s="1">
        <v>1</v>
      </c>
      <c r="I1783" s="1">
        <v>0</v>
      </c>
      <c r="J1783" s="1">
        <v>0</v>
      </c>
      <c r="K1783" s="1">
        <v>1</v>
      </c>
      <c r="L1783" s="1">
        <v>0</v>
      </c>
      <c r="M1783" s="1">
        <v>0</v>
      </c>
    </row>
    <row r="1784" spans="1:13">
      <c r="A1784" s="1">
        <v>1783</v>
      </c>
      <c r="B1784" s="1">
        <v>881294.40650000004</v>
      </c>
      <c r="C1784" s="1">
        <v>896443.01606033812</v>
      </c>
      <c r="D1784" s="1">
        <f t="shared" si="27"/>
        <v>-15148.609560338082</v>
      </c>
      <c r="E1784" s="1">
        <v>13</v>
      </c>
      <c r="F1784" s="1">
        <v>19</v>
      </c>
      <c r="G1784" s="1">
        <v>3</v>
      </c>
      <c r="H1784" s="1">
        <v>0</v>
      </c>
      <c r="I1784" s="1">
        <v>0</v>
      </c>
      <c r="J1784" s="1">
        <v>0</v>
      </c>
      <c r="K1784" s="1">
        <v>0</v>
      </c>
      <c r="L1784" s="1">
        <v>0</v>
      </c>
      <c r="M1784" s="1">
        <v>0</v>
      </c>
    </row>
    <row r="1785" spans="1:13">
      <c r="A1785" s="1">
        <v>1784</v>
      </c>
      <c r="B1785" s="1">
        <v>982797.17960000003</v>
      </c>
      <c r="C1785" s="1">
        <v>597893.74143893027</v>
      </c>
      <c r="D1785" s="1">
        <f t="shared" si="27"/>
        <v>384903.43816106976</v>
      </c>
      <c r="E1785" s="1">
        <v>14</v>
      </c>
      <c r="F1785" s="1">
        <v>16</v>
      </c>
      <c r="G1785" s="1">
        <v>5</v>
      </c>
      <c r="H1785" s="1">
        <v>0</v>
      </c>
      <c r="I1785" s="1">
        <v>0</v>
      </c>
      <c r="J1785" s="1">
        <v>1</v>
      </c>
      <c r="K1785" s="1">
        <v>1</v>
      </c>
      <c r="L1785" s="1">
        <v>0</v>
      </c>
      <c r="M1785" s="1">
        <v>1</v>
      </c>
    </row>
    <row r="1786" spans="1:13">
      <c r="A1786" s="1">
        <v>1785</v>
      </c>
      <c r="B1786" s="1">
        <v>828110.79059999995</v>
      </c>
      <c r="C1786" s="1">
        <v>1686534.3700538757</v>
      </c>
      <c r="D1786" s="1">
        <f t="shared" si="27"/>
        <v>-858423.57945387578</v>
      </c>
      <c r="E1786" s="1">
        <v>19</v>
      </c>
      <c r="F1786" s="1">
        <v>11</v>
      </c>
      <c r="G1786" s="1">
        <v>5</v>
      </c>
      <c r="H1786" s="1">
        <v>2</v>
      </c>
      <c r="I1786" s="1">
        <v>0</v>
      </c>
      <c r="J1786" s="1">
        <v>0</v>
      </c>
      <c r="K1786" s="1">
        <v>2</v>
      </c>
      <c r="L1786" s="1">
        <v>0</v>
      </c>
      <c r="M1786" s="1">
        <v>0</v>
      </c>
    </row>
    <row r="1787" spans="1:13">
      <c r="A1787" s="1">
        <v>1786</v>
      </c>
      <c r="B1787" s="1">
        <v>880121.14430000004</v>
      </c>
      <c r="C1787" s="1">
        <v>981452.35097226501</v>
      </c>
      <c r="D1787" s="1">
        <f t="shared" si="27"/>
        <v>-101331.20667226496</v>
      </c>
      <c r="E1787" s="1">
        <v>10</v>
      </c>
      <c r="F1787" s="1">
        <v>20</v>
      </c>
      <c r="G1787" s="1">
        <v>5</v>
      </c>
      <c r="H1787" s="1">
        <v>2</v>
      </c>
      <c r="I1787" s="1">
        <v>0</v>
      </c>
      <c r="J1787" s="1">
        <v>0</v>
      </c>
      <c r="K1787" s="1">
        <v>0</v>
      </c>
      <c r="L1787" s="1">
        <v>0</v>
      </c>
      <c r="M1787" s="1">
        <v>0</v>
      </c>
    </row>
    <row r="1788" spans="1:13">
      <c r="A1788" s="1">
        <v>1787</v>
      </c>
      <c r="B1788" s="1">
        <v>987136.92610000004</v>
      </c>
      <c r="C1788" s="1">
        <v>968799.14626722108</v>
      </c>
      <c r="D1788" s="1">
        <f t="shared" si="27"/>
        <v>18337.779832778964</v>
      </c>
      <c r="E1788" s="1">
        <v>12</v>
      </c>
      <c r="F1788" s="1">
        <v>18</v>
      </c>
      <c r="G1788" s="1">
        <v>5</v>
      </c>
      <c r="H1788" s="1">
        <v>1</v>
      </c>
      <c r="I1788" s="1">
        <v>1</v>
      </c>
      <c r="J1788" s="1">
        <v>0</v>
      </c>
      <c r="K1788" s="1">
        <v>0</v>
      </c>
      <c r="L1788" s="1">
        <v>0</v>
      </c>
      <c r="M1788" s="1">
        <v>0</v>
      </c>
    </row>
    <row r="1789" spans="1:13">
      <c r="A1789" s="1">
        <v>1788</v>
      </c>
      <c r="B1789" s="1">
        <v>911794.50950000004</v>
      </c>
      <c r="C1789" s="1">
        <v>893649.11781720724</v>
      </c>
      <c r="D1789" s="1">
        <f t="shared" si="27"/>
        <v>18145.391682792804</v>
      </c>
      <c r="E1789" s="1">
        <v>6</v>
      </c>
      <c r="F1789" s="1">
        <v>23</v>
      </c>
      <c r="G1789" s="1">
        <v>6</v>
      </c>
      <c r="H1789" s="1">
        <v>1</v>
      </c>
      <c r="I1789" s="1">
        <v>0</v>
      </c>
      <c r="J1789" s="1">
        <v>1</v>
      </c>
      <c r="K1789" s="1">
        <v>1</v>
      </c>
      <c r="L1789" s="1">
        <v>0</v>
      </c>
      <c r="M1789" s="1">
        <v>0</v>
      </c>
    </row>
    <row r="1790" spans="1:13">
      <c r="A1790" s="1">
        <v>1789</v>
      </c>
      <c r="B1790" s="1">
        <v>1049816.5222</v>
      </c>
      <c r="C1790" s="1">
        <v>1454694.9690762567</v>
      </c>
      <c r="D1790" s="1">
        <f t="shared" si="27"/>
        <v>-404878.44687625673</v>
      </c>
      <c r="E1790" s="1">
        <v>8</v>
      </c>
      <c r="F1790" s="1">
        <v>22</v>
      </c>
      <c r="G1790" s="1">
        <v>5</v>
      </c>
      <c r="H1790" s="1">
        <v>0</v>
      </c>
      <c r="I1790" s="1">
        <v>0</v>
      </c>
      <c r="J1790" s="1">
        <v>1</v>
      </c>
      <c r="K1790" s="1">
        <v>1</v>
      </c>
      <c r="L1790" s="1">
        <v>0</v>
      </c>
      <c r="M1790" s="1">
        <v>0</v>
      </c>
    </row>
    <row r="1791" spans="1:13">
      <c r="A1791" s="1">
        <v>1790</v>
      </c>
      <c r="B1791" s="1">
        <v>973669.7243</v>
      </c>
      <c r="C1791" s="1">
        <v>2190209.3027832853</v>
      </c>
      <c r="D1791" s="1">
        <f t="shared" si="27"/>
        <v>-1216539.5784832854</v>
      </c>
      <c r="E1791" s="1">
        <v>20</v>
      </c>
      <c r="F1791" s="1">
        <v>9</v>
      </c>
      <c r="G1791" s="1">
        <v>6</v>
      </c>
      <c r="H1791" s="1">
        <v>0</v>
      </c>
      <c r="I1791" s="1">
        <v>0</v>
      </c>
      <c r="J1791" s="1">
        <v>1</v>
      </c>
      <c r="K1791" s="1">
        <v>1</v>
      </c>
      <c r="L1791" s="1">
        <v>0</v>
      </c>
      <c r="M1791" s="1">
        <v>0</v>
      </c>
    </row>
    <row r="1792" spans="1:13">
      <c r="A1792" s="1">
        <v>1791</v>
      </c>
      <c r="B1792" s="1">
        <v>914945.16359999997</v>
      </c>
      <c r="C1792" s="1">
        <v>822607.34168619907</v>
      </c>
      <c r="D1792" s="1">
        <f t="shared" si="27"/>
        <v>92337.821913800901</v>
      </c>
      <c r="E1792" s="1">
        <v>14</v>
      </c>
      <c r="F1792" s="1">
        <v>13</v>
      </c>
      <c r="G1792" s="1">
        <v>8</v>
      </c>
      <c r="H1792" s="1">
        <v>0</v>
      </c>
      <c r="I1792" s="1">
        <v>0</v>
      </c>
      <c r="J1792" s="1">
        <v>0</v>
      </c>
      <c r="K1792" s="1">
        <v>1</v>
      </c>
      <c r="L1792" s="1">
        <v>1</v>
      </c>
      <c r="M1792" s="1">
        <v>0</v>
      </c>
    </row>
    <row r="1793" spans="1:13">
      <c r="A1793" s="1">
        <v>1792</v>
      </c>
      <c r="B1793" s="1">
        <v>884609.53929999995</v>
      </c>
      <c r="C1793" s="1">
        <v>699680.80150176596</v>
      </c>
      <c r="D1793" s="1">
        <f t="shared" si="27"/>
        <v>184928.73779823398</v>
      </c>
      <c r="E1793" s="1">
        <v>12</v>
      </c>
      <c r="F1793" s="1">
        <v>20</v>
      </c>
      <c r="G1793" s="1">
        <v>3</v>
      </c>
      <c r="H1793" s="1">
        <v>0</v>
      </c>
      <c r="I1793" s="1">
        <v>0</v>
      </c>
      <c r="J1793" s="1">
        <v>0</v>
      </c>
      <c r="K1793" s="1">
        <v>0</v>
      </c>
      <c r="L1793" s="1">
        <v>0</v>
      </c>
      <c r="M1793" s="1">
        <v>1</v>
      </c>
    </row>
    <row r="1794" spans="1:13">
      <c r="A1794" s="1">
        <v>1793</v>
      </c>
      <c r="B1794" s="1">
        <v>932637.76340000005</v>
      </c>
      <c r="C1794" s="1">
        <v>960310.59406410472</v>
      </c>
      <c r="D1794" s="1">
        <f t="shared" ref="D1794:D1857" si="28">B1794-C1794</f>
        <v>-27672.830664104666</v>
      </c>
      <c r="E1794" s="1">
        <v>18</v>
      </c>
      <c r="F1794" s="1">
        <v>9</v>
      </c>
      <c r="G1794" s="1">
        <v>8</v>
      </c>
      <c r="H1794" s="1">
        <v>0</v>
      </c>
      <c r="I1794" s="1">
        <v>0</v>
      </c>
      <c r="J1794" s="1">
        <v>1</v>
      </c>
      <c r="K1794" s="1">
        <v>0</v>
      </c>
      <c r="L1794" s="1">
        <v>0</v>
      </c>
      <c r="M1794" s="1">
        <v>1</v>
      </c>
    </row>
    <row r="1795" spans="1:13">
      <c r="A1795" s="1">
        <v>1794</v>
      </c>
      <c r="B1795" s="1">
        <v>923891.6385</v>
      </c>
      <c r="C1795" s="1">
        <v>662323.40311286843</v>
      </c>
      <c r="D1795" s="1">
        <f t="shared" si="28"/>
        <v>261568.23538713157</v>
      </c>
      <c r="E1795" s="1">
        <v>15</v>
      </c>
      <c r="F1795" s="1">
        <v>19</v>
      </c>
      <c r="G1795" s="1">
        <v>1</v>
      </c>
      <c r="H1795" s="1">
        <v>1</v>
      </c>
      <c r="I1795" s="1">
        <v>0</v>
      </c>
      <c r="J1795" s="1">
        <v>1</v>
      </c>
      <c r="K1795" s="1">
        <v>1</v>
      </c>
      <c r="L1795" s="1">
        <v>0</v>
      </c>
      <c r="M1795" s="1">
        <v>0</v>
      </c>
    </row>
    <row r="1796" spans="1:13">
      <c r="A1796" s="1">
        <v>1795</v>
      </c>
      <c r="B1796" s="1">
        <v>945099.23490000004</v>
      </c>
      <c r="C1796" s="1">
        <v>707093.64793689491</v>
      </c>
      <c r="D1796" s="1">
        <f t="shared" si="28"/>
        <v>238005.58696310513</v>
      </c>
      <c r="E1796" s="1">
        <v>14</v>
      </c>
      <c r="F1796" s="1">
        <v>17</v>
      </c>
      <c r="G1796" s="1">
        <v>4</v>
      </c>
      <c r="H1796" s="1">
        <v>2</v>
      </c>
      <c r="I1796" s="1">
        <v>0</v>
      </c>
      <c r="J1796" s="1">
        <v>0</v>
      </c>
      <c r="K1796" s="1">
        <v>1</v>
      </c>
      <c r="L1796" s="1">
        <v>0</v>
      </c>
      <c r="M1796" s="1">
        <v>1</v>
      </c>
    </row>
    <row r="1797" spans="1:13">
      <c r="A1797" s="1">
        <v>1796</v>
      </c>
      <c r="B1797" s="1">
        <v>1163096.9934</v>
      </c>
      <c r="C1797" s="1">
        <v>581501.62094263663</v>
      </c>
      <c r="D1797" s="1">
        <f t="shared" si="28"/>
        <v>581595.37245736341</v>
      </c>
      <c r="E1797" s="1">
        <v>9</v>
      </c>
      <c r="F1797" s="1">
        <v>23</v>
      </c>
      <c r="G1797" s="1">
        <v>3</v>
      </c>
      <c r="H1797" s="1">
        <v>1</v>
      </c>
      <c r="I1797" s="1">
        <v>0</v>
      </c>
      <c r="J1797" s="1">
        <v>1</v>
      </c>
      <c r="K1797" s="1">
        <v>0</v>
      </c>
      <c r="L1797" s="1">
        <v>0</v>
      </c>
      <c r="M1797" s="1">
        <v>0</v>
      </c>
    </row>
    <row r="1798" spans="1:13">
      <c r="A1798" s="1">
        <v>1797</v>
      </c>
      <c r="B1798" s="1">
        <v>930601.18209999998</v>
      </c>
      <c r="C1798" s="1">
        <v>832006.83103324287</v>
      </c>
      <c r="D1798" s="1">
        <f t="shared" si="28"/>
        <v>98594.35106675711</v>
      </c>
      <c r="E1798" s="1">
        <v>12</v>
      </c>
      <c r="F1798" s="1">
        <v>17</v>
      </c>
      <c r="G1798" s="1">
        <v>6</v>
      </c>
      <c r="H1798" s="1">
        <v>1</v>
      </c>
      <c r="I1798" s="1">
        <v>0</v>
      </c>
      <c r="J1798" s="1">
        <v>0</v>
      </c>
      <c r="K1798" s="1">
        <v>0</v>
      </c>
      <c r="L1798" s="1">
        <v>0</v>
      </c>
      <c r="M1798" s="1">
        <v>0</v>
      </c>
    </row>
    <row r="1799" spans="1:13">
      <c r="A1799" s="1">
        <v>1798</v>
      </c>
      <c r="B1799" s="1">
        <v>974234.75589999999</v>
      </c>
      <c r="C1799" s="1">
        <v>1003131.390932378</v>
      </c>
      <c r="D1799" s="1">
        <f t="shared" si="28"/>
        <v>-28896.635032378021</v>
      </c>
      <c r="E1799" s="1">
        <v>6</v>
      </c>
      <c r="F1799" s="1">
        <v>23</v>
      </c>
      <c r="G1799" s="1">
        <v>6</v>
      </c>
      <c r="H1799" s="1">
        <v>0</v>
      </c>
      <c r="I1799" s="1">
        <v>1</v>
      </c>
      <c r="J1799" s="1">
        <v>1</v>
      </c>
      <c r="K1799" s="1">
        <v>0</v>
      </c>
      <c r="L1799" s="1">
        <v>1</v>
      </c>
      <c r="M1799" s="1">
        <v>0</v>
      </c>
    </row>
    <row r="1800" spans="1:13">
      <c r="A1800" s="1">
        <v>1799</v>
      </c>
      <c r="B1800" s="1">
        <v>1054391.2690000001</v>
      </c>
      <c r="C1800" s="1">
        <v>760982.00847571832</v>
      </c>
      <c r="D1800" s="1">
        <f t="shared" si="28"/>
        <v>293409.26052428177</v>
      </c>
      <c r="E1800" s="1">
        <v>17</v>
      </c>
      <c r="F1800" s="1">
        <v>13</v>
      </c>
      <c r="G1800" s="1">
        <v>5</v>
      </c>
      <c r="H1800" s="1">
        <v>1</v>
      </c>
      <c r="I1800" s="1">
        <v>0</v>
      </c>
      <c r="J1800" s="1">
        <v>0</v>
      </c>
      <c r="K1800" s="1">
        <v>0</v>
      </c>
      <c r="L1800" s="1">
        <v>0</v>
      </c>
      <c r="M1800" s="1">
        <v>0</v>
      </c>
    </row>
    <row r="1801" spans="1:13">
      <c r="A1801" s="1">
        <v>1800</v>
      </c>
      <c r="B1801" s="1">
        <v>1020656.9735</v>
      </c>
      <c r="C1801" s="1">
        <v>1227578.8165262069</v>
      </c>
      <c r="D1801" s="1">
        <f t="shared" si="28"/>
        <v>-206921.84302620695</v>
      </c>
      <c r="E1801" s="1">
        <v>10</v>
      </c>
      <c r="F1801" s="1">
        <v>18</v>
      </c>
      <c r="G1801" s="1">
        <v>7</v>
      </c>
      <c r="H1801" s="1">
        <v>1</v>
      </c>
      <c r="I1801" s="1">
        <v>0</v>
      </c>
      <c r="J1801" s="1">
        <v>1</v>
      </c>
      <c r="K1801" s="1">
        <v>1</v>
      </c>
      <c r="L1801" s="1">
        <v>0</v>
      </c>
      <c r="M1801" s="1">
        <v>1</v>
      </c>
    </row>
    <row r="1802" spans="1:13">
      <c r="A1802" s="1">
        <v>1801</v>
      </c>
      <c r="B1802" s="1">
        <v>1081729.4993</v>
      </c>
      <c r="C1802" s="1">
        <v>582545.23911398603</v>
      </c>
      <c r="D1802" s="1">
        <f t="shared" si="28"/>
        <v>499184.260186014</v>
      </c>
      <c r="E1802" s="1">
        <v>9</v>
      </c>
      <c r="F1802" s="1">
        <v>20</v>
      </c>
      <c r="G1802" s="1">
        <v>6</v>
      </c>
      <c r="H1802" s="1">
        <v>1</v>
      </c>
      <c r="I1802" s="1">
        <v>1</v>
      </c>
      <c r="J1802" s="1">
        <v>1</v>
      </c>
      <c r="K1802" s="1">
        <v>0</v>
      </c>
      <c r="L1802" s="1">
        <v>0</v>
      </c>
      <c r="M1802" s="1">
        <v>0</v>
      </c>
    </row>
    <row r="1803" spans="1:13">
      <c r="A1803" s="1">
        <v>1802</v>
      </c>
      <c r="B1803" s="1">
        <v>928422.14569999999</v>
      </c>
      <c r="C1803" s="1">
        <v>953297.28381796402</v>
      </c>
      <c r="D1803" s="1">
        <f t="shared" si="28"/>
        <v>-24875.13811796403</v>
      </c>
      <c r="E1803" s="1">
        <v>17</v>
      </c>
      <c r="F1803" s="1">
        <v>13</v>
      </c>
      <c r="G1803" s="1">
        <v>5</v>
      </c>
      <c r="H1803" s="1">
        <v>1</v>
      </c>
      <c r="I1803" s="1">
        <v>0</v>
      </c>
      <c r="J1803" s="1">
        <v>0</v>
      </c>
      <c r="K1803" s="1">
        <v>1</v>
      </c>
      <c r="L1803" s="1">
        <v>0</v>
      </c>
      <c r="M1803" s="1">
        <v>0</v>
      </c>
    </row>
    <row r="1804" spans="1:13">
      <c r="A1804" s="1">
        <v>1803</v>
      </c>
      <c r="B1804" s="1">
        <v>928689.42790000001</v>
      </c>
      <c r="C1804" s="1">
        <v>638058.75558388734</v>
      </c>
      <c r="D1804" s="1">
        <f t="shared" si="28"/>
        <v>290630.67231611267</v>
      </c>
      <c r="E1804" s="1">
        <v>19</v>
      </c>
      <c r="F1804" s="1">
        <v>13</v>
      </c>
      <c r="G1804" s="1">
        <v>3</v>
      </c>
      <c r="H1804" s="1">
        <v>1</v>
      </c>
      <c r="I1804" s="1">
        <v>0</v>
      </c>
      <c r="J1804" s="1">
        <v>0</v>
      </c>
      <c r="K1804" s="1">
        <v>0</v>
      </c>
      <c r="L1804" s="1">
        <v>0</v>
      </c>
      <c r="M1804" s="1">
        <v>0</v>
      </c>
    </row>
    <row r="1805" spans="1:13">
      <c r="A1805" s="1">
        <v>1804</v>
      </c>
      <c r="B1805" s="1">
        <v>896555.3236</v>
      </c>
      <c r="C1805" s="1">
        <v>557093.34384132037</v>
      </c>
      <c r="D1805" s="1">
        <f t="shared" si="28"/>
        <v>339461.97975867963</v>
      </c>
      <c r="E1805" s="1">
        <v>14</v>
      </c>
      <c r="F1805" s="1">
        <v>16</v>
      </c>
      <c r="G1805" s="1">
        <v>5</v>
      </c>
      <c r="H1805" s="1">
        <v>1</v>
      </c>
      <c r="I1805" s="1">
        <v>0</v>
      </c>
      <c r="J1805" s="1">
        <v>0</v>
      </c>
      <c r="K1805" s="1">
        <v>0</v>
      </c>
      <c r="L1805" s="1">
        <v>1</v>
      </c>
      <c r="M1805" s="1">
        <v>1</v>
      </c>
    </row>
    <row r="1806" spans="1:13">
      <c r="A1806" s="1">
        <v>1805</v>
      </c>
      <c r="B1806" s="1">
        <v>967558.6642</v>
      </c>
      <c r="C1806" s="1">
        <v>560147.32642355305</v>
      </c>
      <c r="D1806" s="1">
        <f t="shared" si="28"/>
        <v>407411.33777644695</v>
      </c>
      <c r="E1806" s="1">
        <v>4</v>
      </c>
      <c r="F1806" s="1">
        <v>24</v>
      </c>
      <c r="G1806" s="1">
        <v>7</v>
      </c>
      <c r="H1806" s="1">
        <v>1</v>
      </c>
      <c r="I1806" s="1">
        <v>1</v>
      </c>
      <c r="J1806" s="1">
        <v>0</v>
      </c>
      <c r="K1806" s="1">
        <v>0</v>
      </c>
      <c r="L1806" s="1">
        <v>0</v>
      </c>
      <c r="M1806" s="1">
        <v>0</v>
      </c>
    </row>
    <row r="1807" spans="1:13">
      <c r="A1807" s="1">
        <v>1806</v>
      </c>
      <c r="B1807" s="1">
        <v>968035.18229999999</v>
      </c>
      <c r="C1807" s="1">
        <v>1528996.7953312199</v>
      </c>
      <c r="D1807" s="1">
        <f t="shared" si="28"/>
        <v>-560961.61303121992</v>
      </c>
      <c r="E1807" s="1">
        <v>9</v>
      </c>
      <c r="F1807" s="1">
        <v>17</v>
      </c>
      <c r="G1807" s="1">
        <v>9</v>
      </c>
      <c r="H1807" s="1">
        <v>0</v>
      </c>
      <c r="I1807" s="1">
        <v>2</v>
      </c>
      <c r="J1807" s="1">
        <v>1</v>
      </c>
      <c r="K1807" s="1">
        <v>0</v>
      </c>
      <c r="L1807" s="1">
        <v>0</v>
      </c>
      <c r="M1807" s="1">
        <v>0</v>
      </c>
    </row>
    <row r="1808" spans="1:13">
      <c r="A1808" s="1">
        <v>1807</v>
      </c>
      <c r="B1808" s="1">
        <v>1038683.1002</v>
      </c>
      <c r="C1808" s="1">
        <v>1241086.3699199052</v>
      </c>
      <c r="D1808" s="1">
        <f t="shared" si="28"/>
        <v>-202403.26971990522</v>
      </c>
      <c r="E1808" s="1">
        <v>6</v>
      </c>
      <c r="F1808" s="1">
        <v>21</v>
      </c>
      <c r="G1808" s="1">
        <v>8</v>
      </c>
      <c r="H1808" s="1">
        <v>1</v>
      </c>
      <c r="I1808" s="1">
        <v>0</v>
      </c>
      <c r="J1808" s="1">
        <v>1</v>
      </c>
      <c r="K1808" s="1">
        <v>1</v>
      </c>
      <c r="L1808" s="1">
        <v>0</v>
      </c>
      <c r="M1808" s="1">
        <v>0</v>
      </c>
    </row>
    <row r="1809" spans="1:13">
      <c r="A1809" s="1">
        <v>1808</v>
      </c>
      <c r="B1809" s="1">
        <v>949636.56099999999</v>
      </c>
      <c r="C1809" s="1">
        <v>948048.43263507192</v>
      </c>
      <c r="D1809" s="1">
        <f t="shared" si="28"/>
        <v>1588.1283649280667</v>
      </c>
      <c r="E1809" s="1">
        <v>13</v>
      </c>
      <c r="F1809" s="1">
        <v>14</v>
      </c>
      <c r="G1809" s="1">
        <v>8</v>
      </c>
      <c r="H1809" s="1">
        <v>2</v>
      </c>
      <c r="I1809" s="1">
        <v>0</v>
      </c>
      <c r="J1809" s="1">
        <v>1</v>
      </c>
      <c r="K1809" s="1">
        <v>1</v>
      </c>
      <c r="L1809" s="1">
        <v>0</v>
      </c>
      <c r="M1809" s="1">
        <v>0</v>
      </c>
    </row>
    <row r="1810" spans="1:13">
      <c r="A1810" s="1">
        <v>1809</v>
      </c>
      <c r="B1810" s="1">
        <v>940893.90599999996</v>
      </c>
      <c r="C1810" s="1">
        <v>391210.92558724189</v>
      </c>
      <c r="D1810" s="1">
        <f t="shared" si="28"/>
        <v>549682.98041275807</v>
      </c>
      <c r="E1810" s="1">
        <v>6</v>
      </c>
      <c r="F1810" s="1">
        <v>23</v>
      </c>
      <c r="G1810" s="1">
        <v>6</v>
      </c>
      <c r="H1810" s="1">
        <v>0</v>
      </c>
      <c r="I1810" s="1">
        <v>0</v>
      </c>
      <c r="J1810" s="1">
        <v>1</v>
      </c>
      <c r="K1810" s="1">
        <v>1</v>
      </c>
      <c r="L1810" s="1">
        <v>0</v>
      </c>
      <c r="M1810" s="1">
        <v>0</v>
      </c>
    </row>
    <row r="1811" spans="1:13">
      <c r="A1811" s="1">
        <v>1810</v>
      </c>
      <c r="B1811" s="1">
        <v>901825.14780000004</v>
      </c>
      <c r="C1811" s="1">
        <v>911177.25062120904</v>
      </c>
      <c r="D1811" s="1">
        <f t="shared" si="28"/>
        <v>-9352.1028212090023</v>
      </c>
      <c r="E1811" s="1">
        <v>15</v>
      </c>
      <c r="F1811" s="1">
        <v>15</v>
      </c>
      <c r="G1811" s="1">
        <v>5</v>
      </c>
      <c r="H1811" s="1">
        <v>1</v>
      </c>
      <c r="I1811" s="1">
        <v>1</v>
      </c>
      <c r="J1811" s="1">
        <v>1</v>
      </c>
      <c r="K1811" s="1">
        <v>0</v>
      </c>
      <c r="L1811" s="1">
        <v>0</v>
      </c>
      <c r="M1811" s="1">
        <v>0</v>
      </c>
    </row>
    <row r="1812" spans="1:13">
      <c r="A1812" s="1">
        <v>1811</v>
      </c>
      <c r="B1812" s="1">
        <v>947589.81550000003</v>
      </c>
      <c r="C1812" s="1">
        <v>854360.52853337617</v>
      </c>
      <c r="D1812" s="1">
        <f t="shared" si="28"/>
        <v>93229.286966623855</v>
      </c>
      <c r="E1812" s="1">
        <v>14</v>
      </c>
      <c r="F1812" s="1">
        <v>14</v>
      </c>
      <c r="G1812" s="1">
        <v>7</v>
      </c>
      <c r="H1812" s="1">
        <v>1</v>
      </c>
      <c r="I1812" s="1">
        <v>1</v>
      </c>
      <c r="J1812" s="1">
        <v>2</v>
      </c>
      <c r="K1812" s="1">
        <v>0</v>
      </c>
      <c r="L1812" s="1">
        <v>0</v>
      </c>
      <c r="M1812" s="1">
        <v>0</v>
      </c>
    </row>
    <row r="1813" spans="1:13">
      <c r="A1813" s="1">
        <v>1812</v>
      </c>
      <c r="B1813" s="1">
        <v>876924.96640000003</v>
      </c>
      <c r="C1813" s="1">
        <v>663027.63877646497</v>
      </c>
      <c r="D1813" s="1">
        <f t="shared" si="28"/>
        <v>213897.32762353506</v>
      </c>
      <c r="E1813" s="1">
        <v>13</v>
      </c>
      <c r="F1813" s="1">
        <v>17</v>
      </c>
      <c r="G1813" s="1">
        <v>5</v>
      </c>
      <c r="H1813" s="1">
        <v>2</v>
      </c>
      <c r="I1813" s="1">
        <v>0</v>
      </c>
      <c r="J1813" s="1">
        <v>1</v>
      </c>
      <c r="K1813" s="1">
        <v>1</v>
      </c>
      <c r="L1813" s="1">
        <v>0</v>
      </c>
      <c r="M1813" s="1">
        <v>0</v>
      </c>
    </row>
    <row r="1814" spans="1:13">
      <c r="A1814" s="1">
        <v>1813</v>
      </c>
      <c r="B1814" s="1">
        <v>898167.99699999997</v>
      </c>
      <c r="C1814" s="1">
        <v>872281.88383124385</v>
      </c>
      <c r="D1814" s="1">
        <f t="shared" si="28"/>
        <v>25886.113168756128</v>
      </c>
      <c r="E1814" s="1">
        <v>7</v>
      </c>
      <c r="F1814" s="1">
        <v>24</v>
      </c>
      <c r="G1814" s="1">
        <v>4</v>
      </c>
      <c r="H1814" s="1">
        <v>0</v>
      </c>
      <c r="I1814" s="1">
        <v>1</v>
      </c>
      <c r="J1814" s="1">
        <v>0</v>
      </c>
      <c r="K1814" s="1">
        <v>2</v>
      </c>
      <c r="L1814" s="1">
        <v>0</v>
      </c>
      <c r="M1814" s="1">
        <v>0</v>
      </c>
    </row>
    <row r="1815" spans="1:13">
      <c r="A1815" s="1">
        <v>1814</v>
      </c>
      <c r="B1815" s="1">
        <v>1004021.5863</v>
      </c>
      <c r="C1815" s="1">
        <v>702796.56986565073</v>
      </c>
      <c r="D1815" s="1">
        <f t="shared" si="28"/>
        <v>301225.01643434924</v>
      </c>
      <c r="E1815" s="1">
        <v>6</v>
      </c>
      <c r="F1815" s="1">
        <v>23</v>
      </c>
      <c r="G1815" s="1">
        <v>6</v>
      </c>
      <c r="H1815" s="1">
        <v>2</v>
      </c>
      <c r="I1815" s="1">
        <v>0</v>
      </c>
      <c r="J1815" s="1">
        <v>0</v>
      </c>
      <c r="K1815" s="1">
        <v>2</v>
      </c>
      <c r="L1815" s="1">
        <v>0</v>
      </c>
      <c r="M1815" s="1">
        <v>1</v>
      </c>
    </row>
    <row r="1816" spans="1:13">
      <c r="A1816" s="1">
        <v>1815</v>
      </c>
      <c r="B1816" s="1">
        <v>868598.29429999995</v>
      </c>
      <c r="C1816" s="1">
        <v>809893.79076531087</v>
      </c>
      <c r="D1816" s="1">
        <f t="shared" si="28"/>
        <v>58704.50353468908</v>
      </c>
      <c r="E1816" s="1">
        <v>20</v>
      </c>
      <c r="F1816" s="1">
        <v>13</v>
      </c>
      <c r="G1816" s="1">
        <v>2</v>
      </c>
      <c r="H1816" s="1">
        <v>2</v>
      </c>
      <c r="I1816" s="1">
        <v>0</v>
      </c>
      <c r="J1816" s="1">
        <v>1</v>
      </c>
      <c r="K1816" s="1">
        <v>1</v>
      </c>
      <c r="L1816" s="1">
        <v>0</v>
      </c>
      <c r="M1816" s="1">
        <v>0</v>
      </c>
    </row>
    <row r="1817" spans="1:13">
      <c r="A1817" s="1">
        <v>1816</v>
      </c>
      <c r="B1817" s="1">
        <v>901158.25540000002</v>
      </c>
      <c r="C1817" s="1">
        <v>633786.86183901061</v>
      </c>
      <c r="D1817" s="1">
        <f t="shared" si="28"/>
        <v>267371.39356098941</v>
      </c>
      <c r="E1817" s="1">
        <v>16</v>
      </c>
      <c r="F1817" s="1">
        <v>13</v>
      </c>
      <c r="G1817" s="1">
        <v>6</v>
      </c>
      <c r="H1817" s="1">
        <v>1</v>
      </c>
      <c r="I1817" s="1">
        <v>0</v>
      </c>
      <c r="J1817" s="1">
        <v>1</v>
      </c>
      <c r="K1817" s="1">
        <v>1</v>
      </c>
      <c r="L1817" s="1">
        <v>0</v>
      </c>
      <c r="M1817" s="1">
        <v>0</v>
      </c>
    </row>
    <row r="1818" spans="1:13">
      <c r="A1818" s="1">
        <v>1817</v>
      </c>
      <c r="B1818" s="1">
        <v>850824.98829999997</v>
      </c>
      <c r="C1818" s="1">
        <v>1606895.3680367316</v>
      </c>
      <c r="D1818" s="1">
        <f t="shared" si="28"/>
        <v>-756070.37973673164</v>
      </c>
      <c r="E1818" s="1">
        <v>12</v>
      </c>
      <c r="F1818" s="1">
        <v>19</v>
      </c>
      <c r="G1818" s="1">
        <v>4</v>
      </c>
      <c r="H1818" s="1">
        <v>0</v>
      </c>
      <c r="I1818" s="1">
        <v>0</v>
      </c>
      <c r="J1818" s="1">
        <v>1</v>
      </c>
      <c r="K1818" s="1">
        <v>0</v>
      </c>
      <c r="L1818" s="1">
        <v>0</v>
      </c>
      <c r="M1818" s="1">
        <v>0</v>
      </c>
    </row>
    <row r="1819" spans="1:13">
      <c r="A1819" s="1">
        <v>1818</v>
      </c>
      <c r="B1819" s="1">
        <v>935443.4129</v>
      </c>
      <c r="C1819" s="1">
        <v>1295588.5393493548</v>
      </c>
      <c r="D1819" s="1">
        <f t="shared" si="28"/>
        <v>-360145.12644935481</v>
      </c>
      <c r="E1819" s="1">
        <v>7</v>
      </c>
      <c r="F1819" s="1">
        <v>25</v>
      </c>
      <c r="G1819" s="1">
        <v>3</v>
      </c>
      <c r="H1819" s="1">
        <v>0</v>
      </c>
      <c r="I1819" s="1">
        <v>0</v>
      </c>
      <c r="J1819" s="1">
        <v>0</v>
      </c>
      <c r="K1819" s="1">
        <v>1</v>
      </c>
      <c r="L1819" s="1">
        <v>0</v>
      </c>
      <c r="M1819" s="1">
        <v>0</v>
      </c>
    </row>
    <row r="1820" spans="1:13">
      <c r="A1820" s="1">
        <v>1819</v>
      </c>
      <c r="B1820" s="1">
        <v>1019604.8188</v>
      </c>
      <c r="C1820" s="1">
        <v>1698503.1969127455</v>
      </c>
      <c r="D1820" s="1">
        <f t="shared" si="28"/>
        <v>-678898.37811274547</v>
      </c>
      <c r="E1820" s="1">
        <v>5</v>
      </c>
      <c r="F1820" s="1">
        <v>26</v>
      </c>
      <c r="G1820" s="1">
        <v>4</v>
      </c>
      <c r="H1820" s="1">
        <v>0</v>
      </c>
      <c r="I1820" s="1">
        <v>0</v>
      </c>
      <c r="J1820" s="1">
        <v>0</v>
      </c>
      <c r="K1820" s="1">
        <v>1</v>
      </c>
      <c r="L1820" s="1">
        <v>0</v>
      </c>
      <c r="M1820" s="1">
        <v>0</v>
      </c>
    </row>
    <row r="1821" spans="1:13">
      <c r="A1821" s="1">
        <v>1820</v>
      </c>
      <c r="B1821" s="1">
        <v>902066.08940000006</v>
      </c>
      <c r="C1821" s="1">
        <v>834917.25619226042</v>
      </c>
      <c r="D1821" s="1">
        <f t="shared" si="28"/>
        <v>67148.833207739634</v>
      </c>
      <c r="E1821" s="1">
        <v>7</v>
      </c>
      <c r="F1821" s="1">
        <v>26</v>
      </c>
      <c r="G1821" s="1">
        <v>2</v>
      </c>
      <c r="H1821" s="1">
        <v>2</v>
      </c>
      <c r="I1821" s="1">
        <v>0</v>
      </c>
      <c r="J1821" s="1">
        <v>0</v>
      </c>
      <c r="K1821" s="1">
        <v>2</v>
      </c>
      <c r="L1821" s="1">
        <v>0</v>
      </c>
      <c r="M1821" s="1">
        <v>1</v>
      </c>
    </row>
    <row r="1822" spans="1:13">
      <c r="A1822" s="1">
        <v>1821</v>
      </c>
      <c r="B1822" s="1">
        <v>839615.09829999995</v>
      </c>
      <c r="C1822" s="1">
        <v>632199.17336903233</v>
      </c>
      <c r="D1822" s="1">
        <f t="shared" si="28"/>
        <v>207415.92493096762</v>
      </c>
      <c r="E1822" s="1">
        <v>17</v>
      </c>
      <c r="F1822" s="1">
        <v>13</v>
      </c>
      <c r="G1822" s="1">
        <v>5</v>
      </c>
      <c r="H1822" s="1">
        <v>1</v>
      </c>
      <c r="I1822" s="1">
        <v>0</v>
      </c>
      <c r="J1822" s="1">
        <v>1</v>
      </c>
      <c r="K1822" s="1">
        <v>0</v>
      </c>
      <c r="L1822" s="1">
        <v>0</v>
      </c>
      <c r="M1822" s="1">
        <v>0</v>
      </c>
    </row>
    <row r="1823" spans="1:13">
      <c r="A1823" s="1">
        <v>1822</v>
      </c>
      <c r="B1823" s="1">
        <v>880020.26309999998</v>
      </c>
      <c r="C1823" s="1">
        <v>996863.9120728597</v>
      </c>
      <c r="D1823" s="1">
        <f t="shared" si="28"/>
        <v>-116843.64897285972</v>
      </c>
      <c r="E1823" s="1">
        <v>16</v>
      </c>
      <c r="F1823" s="1">
        <v>15</v>
      </c>
      <c r="G1823" s="1">
        <v>4</v>
      </c>
      <c r="H1823" s="1">
        <v>2</v>
      </c>
      <c r="I1823" s="1">
        <v>0</v>
      </c>
      <c r="J1823" s="1">
        <v>1</v>
      </c>
      <c r="K1823" s="1">
        <v>1</v>
      </c>
      <c r="L1823" s="1">
        <v>0</v>
      </c>
      <c r="M1823" s="1">
        <v>1</v>
      </c>
    </row>
    <row r="1824" spans="1:13">
      <c r="A1824" s="1">
        <v>1823</v>
      </c>
      <c r="B1824" s="1">
        <v>909487.08259999997</v>
      </c>
      <c r="C1824" s="1">
        <v>435612.06778717984</v>
      </c>
      <c r="D1824" s="1">
        <f t="shared" si="28"/>
        <v>473875.01481282013</v>
      </c>
      <c r="E1824" s="1">
        <v>12</v>
      </c>
      <c r="F1824" s="1">
        <v>18</v>
      </c>
      <c r="G1824" s="1">
        <v>5</v>
      </c>
      <c r="H1824" s="1">
        <v>0</v>
      </c>
      <c r="I1824" s="1">
        <v>1</v>
      </c>
      <c r="J1824" s="1">
        <v>1</v>
      </c>
      <c r="K1824" s="1">
        <v>1</v>
      </c>
      <c r="L1824" s="1">
        <v>0</v>
      </c>
      <c r="M1824" s="1">
        <v>0</v>
      </c>
    </row>
    <row r="1825" spans="1:13">
      <c r="A1825" s="1">
        <v>1824</v>
      </c>
      <c r="B1825" s="1">
        <v>1030729.1046</v>
      </c>
      <c r="C1825" s="1">
        <v>979100.78777573805</v>
      </c>
      <c r="D1825" s="1">
        <f t="shared" si="28"/>
        <v>51628.316824261914</v>
      </c>
      <c r="E1825" s="1">
        <v>11</v>
      </c>
      <c r="F1825" s="1">
        <v>17</v>
      </c>
      <c r="G1825" s="1">
        <v>7</v>
      </c>
      <c r="H1825" s="1">
        <v>2</v>
      </c>
      <c r="I1825" s="1">
        <v>0</v>
      </c>
      <c r="J1825" s="1">
        <v>0</v>
      </c>
      <c r="K1825" s="1">
        <v>0</v>
      </c>
      <c r="L1825" s="1">
        <v>1</v>
      </c>
      <c r="M1825" s="1">
        <v>0</v>
      </c>
    </row>
    <row r="1826" spans="1:13">
      <c r="A1826" s="1">
        <v>1825</v>
      </c>
      <c r="B1826" s="1">
        <v>873789.77529999998</v>
      </c>
      <c r="C1826" s="1">
        <v>809021.80729998904</v>
      </c>
      <c r="D1826" s="1">
        <f t="shared" si="28"/>
        <v>64767.968000010937</v>
      </c>
      <c r="E1826" s="1">
        <v>15</v>
      </c>
      <c r="F1826" s="1">
        <v>16</v>
      </c>
      <c r="G1826" s="1">
        <v>4</v>
      </c>
      <c r="H1826" s="1">
        <v>0</v>
      </c>
      <c r="I1826" s="1">
        <v>0</v>
      </c>
      <c r="J1826" s="1">
        <v>0</v>
      </c>
      <c r="K1826" s="1">
        <v>2</v>
      </c>
      <c r="L1826" s="1">
        <v>0</v>
      </c>
      <c r="M1826" s="1">
        <v>1</v>
      </c>
    </row>
    <row r="1827" spans="1:13">
      <c r="A1827" s="1">
        <v>1826</v>
      </c>
      <c r="B1827" s="1">
        <v>946993.01910000003</v>
      </c>
      <c r="C1827" s="1">
        <v>599990.37971735245</v>
      </c>
      <c r="D1827" s="1">
        <f t="shared" si="28"/>
        <v>347002.63938264758</v>
      </c>
      <c r="E1827" s="1">
        <v>13</v>
      </c>
      <c r="F1827" s="1">
        <v>17</v>
      </c>
      <c r="G1827" s="1">
        <v>5</v>
      </c>
      <c r="H1827" s="1">
        <v>0</v>
      </c>
      <c r="I1827" s="1">
        <v>2</v>
      </c>
      <c r="J1827" s="1">
        <v>1</v>
      </c>
      <c r="K1827" s="1">
        <v>0</v>
      </c>
      <c r="L1827" s="1">
        <v>0</v>
      </c>
      <c r="M1827" s="1">
        <v>1</v>
      </c>
    </row>
    <row r="1828" spans="1:13">
      <c r="A1828" s="1">
        <v>1827</v>
      </c>
      <c r="B1828" s="1">
        <v>1017249.887</v>
      </c>
      <c r="C1828" s="1">
        <v>762448.34880421241</v>
      </c>
      <c r="D1828" s="1">
        <f t="shared" si="28"/>
        <v>254801.53819578758</v>
      </c>
      <c r="E1828" s="1">
        <v>9</v>
      </c>
      <c r="F1828" s="1">
        <v>16</v>
      </c>
      <c r="G1828" s="1">
        <v>10</v>
      </c>
      <c r="H1828" s="1">
        <v>0</v>
      </c>
      <c r="I1828" s="1">
        <v>0</v>
      </c>
      <c r="J1828" s="1">
        <v>1</v>
      </c>
      <c r="K1828" s="1">
        <v>0</v>
      </c>
      <c r="L1828" s="1">
        <v>0</v>
      </c>
      <c r="M1828" s="1">
        <v>0</v>
      </c>
    </row>
    <row r="1829" spans="1:13">
      <c r="A1829" s="1">
        <v>1828</v>
      </c>
      <c r="B1829" s="1">
        <v>1059848.5867000001</v>
      </c>
      <c r="C1829" s="1">
        <v>651556.49477278185</v>
      </c>
      <c r="D1829" s="1">
        <f t="shared" si="28"/>
        <v>408292.09192721825</v>
      </c>
      <c r="E1829" s="1">
        <v>10</v>
      </c>
      <c r="F1829" s="1">
        <v>20</v>
      </c>
      <c r="G1829" s="1">
        <v>5</v>
      </c>
      <c r="H1829" s="1">
        <v>0</v>
      </c>
      <c r="I1829" s="1">
        <v>1</v>
      </c>
      <c r="J1829" s="1">
        <v>2</v>
      </c>
      <c r="K1829" s="1">
        <v>0</v>
      </c>
      <c r="L1829" s="1">
        <v>0</v>
      </c>
      <c r="M1829" s="1">
        <v>1</v>
      </c>
    </row>
    <row r="1830" spans="1:13">
      <c r="A1830" s="1">
        <v>1829</v>
      </c>
      <c r="B1830" s="1">
        <v>885208.20770000003</v>
      </c>
      <c r="C1830" s="1">
        <v>960064.90094849246</v>
      </c>
      <c r="D1830" s="1">
        <f t="shared" si="28"/>
        <v>-74856.693248492433</v>
      </c>
      <c r="E1830" s="1">
        <v>10</v>
      </c>
      <c r="F1830" s="1">
        <v>20</v>
      </c>
      <c r="G1830" s="1">
        <v>5</v>
      </c>
      <c r="H1830" s="1">
        <v>0</v>
      </c>
      <c r="I1830" s="1">
        <v>0</v>
      </c>
      <c r="J1830" s="1">
        <v>1</v>
      </c>
      <c r="K1830" s="1">
        <v>1</v>
      </c>
      <c r="L1830" s="1">
        <v>0</v>
      </c>
      <c r="M1830" s="1">
        <v>0</v>
      </c>
    </row>
    <row r="1831" spans="1:13">
      <c r="A1831" s="1">
        <v>1830</v>
      </c>
      <c r="B1831" s="1">
        <v>894325.61040000001</v>
      </c>
      <c r="C1831" s="1">
        <v>883549.13021780876</v>
      </c>
      <c r="D1831" s="1">
        <f t="shared" si="28"/>
        <v>10776.480182191241</v>
      </c>
      <c r="E1831" s="1">
        <v>18</v>
      </c>
      <c r="F1831" s="1">
        <v>14</v>
      </c>
      <c r="G1831" s="1">
        <v>3</v>
      </c>
      <c r="H1831" s="1">
        <v>1</v>
      </c>
      <c r="I1831" s="1">
        <v>0</v>
      </c>
      <c r="J1831" s="1">
        <v>0</v>
      </c>
      <c r="K1831" s="1">
        <v>1</v>
      </c>
      <c r="L1831" s="1">
        <v>0</v>
      </c>
      <c r="M1831" s="1">
        <v>0</v>
      </c>
    </row>
    <row r="1832" spans="1:13">
      <c r="A1832" s="1">
        <v>1831</v>
      </c>
      <c r="B1832" s="1">
        <v>1022638.2547</v>
      </c>
      <c r="C1832" s="1">
        <v>637006.26958718779</v>
      </c>
      <c r="D1832" s="1">
        <f t="shared" si="28"/>
        <v>385631.98511281225</v>
      </c>
      <c r="E1832" s="1">
        <v>11</v>
      </c>
      <c r="F1832" s="1">
        <v>16</v>
      </c>
      <c r="G1832" s="1">
        <v>8</v>
      </c>
      <c r="H1832" s="1">
        <v>2</v>
      </c>
      <c r="I1832" s="1">
        <v>0</v>
      </c>
      <c r="J1832" s="1">
        <v>0</v>
      </c>
      <c r="K1832" s="1">
        <v>1</v>
      </c>
      <c r="L1832" s="1">
        <v>0</v>
      </c>
      <c r="M1832" s="1">
        <v>0</v>
      </c>
    </row>
    <row r="1833" spans="1:13">
      <c r="A1833" s="1">
        <v>1832</v>
      </c>
      <c r="B1833" s="1">
        <v>1039601.1458000001</v>
      </c>
      <c r="C1833" s="1">
        <v>1190081.1693638763</v>
      </c>
      <c r="D1833" s="1">
        <f t="shared" si="28"/>
        <v>-150480.02356387628</v>
      </c>
      <c r="E1833" s="1">
        <v>11</v>
      </c>
      <c r="F1833" s="1">
        <v>19</v>
      </c>
      <c r="G1833" s="1">
        <v>5</v>
      </c>
      <c r="H1833" s="1">
        <v>0</v>
      </c>
      <c r="I1833" s="1">
        <v>0</v>
      </c>
      <c r="J1833" s="1">
        <v>1</v>
      </c>
      <c r="K1833" s="1">
        <v>1</v>
      </c>
      <c r="L1833" s="1">
        <v>0</v>
      </c>
      <c r="M1833" s="1">
        <v>1</v>
      </c>
    </row>
    <row r="1834" spans="1:13">
      <c r="A1834" s="1">
        <v>1833</v>
      </c>
      <c r="B1834" s="1">
        <v>924804.92570000002</v>
      </c>
      <c r="C1834" s="1">
        <v>573177.95302434079</v>
      </c>
      <c r="D1834" s="1">
        <f t="shared" si="28"/>
        <v>351626.97267565923</v>
      </c>
      <c r="E1834" s="1">
        <v>12</v>
      </c>
      <c r="F1834" s="1">
        <v>15</v>
      </c>
      <c r="G1834" s="1">
        <v>8</v>
      </c>
      <c r="H1834" s="1">
        <v>1</v>
      </c>
      <c r="I1834" s="1">
        <v>0</v>
      </c>
      <c r="J1834" s="1">
        <v>0</v>
      </c>
      <c r="K1834" s="1">
        <v>0</v>
      </c>
      <c r="L1834" s="1">
        <v>0</v>
      </c>
      <c r="M1834" s="1">
        <v>0</v>
      </c>
    </row>
    <row r="1835" spans="1:13">
      <c r="A1835" s="1">
        <v>1834</v>
      </c>
      <c r="B1835" s="1">
        <v>942480.21459999995</v>
      </c>
      <c r="C1835" s="1">
        <v>897586.05920342263</v>
      </c>
      <c r="D1835" s="1">
        <f t="shared" si="28"/>
        <v>44894.15539657732</v>
      </c>
      <c r="E1835" s="1">
        <v>14</v>
      </c>
      <c r="F1835" s="1">
        <v>17</v>
      </c>
      <c r="G1835" s="1">
        <v>4</v>
      </c>
      <c r="H1835" s="1">
        <v>2</v>
      </c>
      <c r="I1835" s="1">
        <v>0</v>
      </c>
      <c r="J1835" s="1">
        <v>1</v>
      </c>
      <c r="K1835" s="1">
        <v>0</v>
      </c>
      <c r="L1835" s="1">
        <v>0</v>
      </c>
      <c r="M1835" s="1">
        <v>0</v>
      </c>
    </row>
    <row r="1836" spans="1:13">
      <c r="A1836" s="1">
        <v>1835</v>
      </c>
      <c r="B1836" s="1">
        <v>925940.59710000001</v>
      </c>
      <c r="C1836" s="1">
        <v>1249513.1993135714</v>
      </c>
      <c r="D1836" s="1">
        <f t="shared" si="28"/>
        <v>-323572.60221357143</v>
      </c>
      <c r="E1836" s="1">
        <v>16</v>
      </c>
      <c r="F1836" s="1">
        <v>13</v>
      </c>
      <c r="G1836" s="1">
        <v>6</v>
      </c>
      <c r="H1836" s="1">
        <v>0</v>
      </c>
      <c r="I1836" s="1">
        <v>0</v>
      </c>
      <c r="J1836" s="1">
        <v>1</v>
      </c>
      <c r="K1836" s="1">
        <v>0</v>
      </c>
      <c r="L1836" s="1">
        <v>0</v>
      </c>
      <c r="M1836" s="1">
        <v>0</v>
      </c>
    </row>
    <row r="1837" spans="1:13">
      <c r="A1837" s="1">
        <v>1836</v>
      </c>
      <c r="B1837" s="1">
        <v>863053.59539999999</v>
      </c>
      <c r="C1837" s="1">
        <v>1245489.50557457</v>
      </c>
      <c r="D1837" s="1">
        <f t="shared" si="28"/>
        <v>-382435.91017457005</v>
      </c>
      <c r="E1837" s="1">
        <v>15</v>
      </c>
      <c r="F1837" s="1">
        <v>17</v>
      </c>
      <c r="G1837" s="1">
        <v>3</v>
      </c>
      <c r="H1837" s="1">
        <v>0</v>
      </c>
      <c r="I1837" s="1">
        <v>0</v>
      </c>
      <c r="J1837" s="1">
        <v>0</v>
      </c>
      <c r="K1837" s="1">
        <v>0</v>
      </c>
      <c r="L1837" s="1">
        <v>0</v>
      </c>
      <c r="M1837" s="1">
        <v>0</v>
      </c>
    </row>
    <row r="1838" spans="1:13">
      <c r="A1838" s="1">
        <v>1837</v>
      </c>
      <c r="B1838" s="1">
        <v>1053816.7637</v>
      </c>
      <c r="C1838" s="1">
        <v>1156012.5200075344</v>
      </c>
      <c r="D1838" s="1">
        <f t="shared" si="28"/>
        <v>-102195.75630753441</v>
      </c>
      <c r="E1838" s="1">
        <v>6</v>
      </c>
      <c r="F1838" s="1">
        <v>26</v>
      </c>
      <c r="G1838" s="1">
        <v>3</v>
      </c>
      <c r="H1838" s="1">
        <v>0</v>
      </c>
      <c r="I1838" s="1">
        <v>0</v>
      </c>
      <c r="J1838" s="1">
        <v>2</v>
      </c>
      <c r="K1838" s="1">
        <v>0</v>
      </c>
      <c r="L1838" s="1">
        <v>0</v>
      </c>
      <c r="M1838" s="1">
        <v>0</v>
      </c>
    </row>
    <row r="1839" spans="1:13">
      <c r="A1839" s="1">
        <v>1838</v>
      </c>
      <c r="B1839" s="1">
        <v>980423.56019999995</v>
      </c>
      <c r="C1839" s="1">
        <v>1005130.4441186723</v>
      </c>
      <c r="D1839" s="1">
        <f t="shared" si="28"/>
        <v>-24706.883918672334</v>
      </c>
      <c r="E1839" s="1">
        <v>9</v>
      </c>
      <c r="F1839" s="1">
        <v>22</v>
      </c>
      <c r="G1839" s="1">
        <v>4</v>
      </c>
      <c r="H1839" s="1">
        <v>1</v>
      </c>
      <c r="I1839" s="1">
        <v>1</v>
      </c>
      <c r="J1839" s="1">
        <v>0</v>
      </c>
      <c r="K1839" s="1">
        <v>0</v>
      </c>
      <c r="L1839" s="1">
        <v>1</v>
      </c>
      <c r="M1839" s="1">
        <v>1</v>
      </c>
    </row>
    <row r="1840" spans="1:13">
      <c r="A1840" s="1">
        <v>1839</v>
      </c>
      <c r="B1840" s="1">
        <v>938922.07880000002</v>
      </c>
      <c r="C1840" s="1">
        <v>745533.63027376053</v>
      </c>
      <c r="D1840" s="1">
        <f t="shared" si="28"/>
        <v>193388.44852623949</v>
      </c>
      <c r="E1840" s="1">
        <v>8</v>
      </c>
      <c r="F1840" s="1">
        <v>22</v>
      </c>
      <c r="G1840" s="1">
        <v>5</v>
      </c>
      <c r="H1840" s="1">
        <v>1</v>
      </c>
      <c r="I1840" s="1">
        <v>0</v>
      </c>
      <c r="J1840" s="1">
        <v>1</v>
      </c>
      <c r="K1840" s="1">
        <v>0</v>
      </c>
      <c r="L1840" s="1">
        <v>0</v>
      </c>
      <c r="M1840" s="1">
        <v>1</v>
      </c>
    </row>
    <row r="1841" spans="1:13">
      <c r="A1841" s="1">
        <v>1840</v>
      </c>
      <c r="B1841" s="1">
        <v>1033830.0969</v>
      </c>
      <c r="C1841" s="1">
        <v>1249302.4081270578</v>
      </c>
      <c r="D1841" s="1">
        <f t="shared" si="28"/>
        <v>-215472.31122705783</v>
      </c>
      <c r="E1841" s="1">
        <v>17</v>
      </c>
      <c r="F1841" s="1">
        <v>15</v>
      </c>
      <c r="G1841" s="1">
        <v>3</v>
      </c>
      <c r="H1841" s="1">
        <v>1</v>
      </c>
      <c r="I1841" s="1">
        <v>0</v>
      </c>
      <c r="J1841" s="1">
        <v>0</v>
      </c>
      <c r="K1841" s="1">
        <v>1</v>
      </c>
      <c r="L1841" s="1">
        <v>0</v>
      </c>
      <c r="M1841" s="1">
        <v>1</v>
      </c>
    </row>
    <row r="1842" spans="1:13">
      <c r="A1842" s="1">
        <v>1841</v>
      </c>
      <c r="B1842" s="1">
        <v>954820.86069999996</v>
      </c>
      <c r="C1842" s="1">
        <v>789997.96417791105</v>
      </c>
      <c r="D1842" s="1">
        <f t="shared" si="28"/>
        <v>164822.89652208891</v>
      </c>
      <c r="E1842" s="1">
        <v>14</v>
      </c>
      <c r="F1842" s="1">
        <v>13</v>
      </c>
      <c r="G1842" s="1">
        <v>8</v>
      </c>
      <c r="H1842" s="1">
        <v>1</v>
      </c>
      <c r="I1842" s="1">
        <v>1</v>
      </c>
      <c r="J1842" s="1">
        <v>0</v>
      </c>
      <c r="K1842" s="1">
        <v>0</v>
      </c>
      <c r="L1842" s="1">
        <v>0</v>
      </c>
      <c r="M1842" s="1">
        <v>0</v>
      </c>
    </row>
    <row r="1843" spans="1:13">
      <c r="A1843" s="1">
        <v>1842</v>
      </c>
      <c r="B1843" s="1">
        <v>858355.049</v>
      </c>
      <c r="C1843" s="1">
        <v>529286.75774580345</v>
      </c>
      <c r="D1843" s="1">
        <f t="shared" si="28"/>
        <v>329068.29125419655</v>
      </c>
      <c r="E1843" s="1">
        <v>16</v>
      </c>
      <c r="F1843" s="1">
        <v>13</v>
      </c>
      <c r="G1843" s="1">
        <v>6</v>
      </c>
      <c r="H1843" s="1">
        <v>0</v>
      </c>
      <c r="I1843" s="1">
        <v>0</v>
      </c>
      <c r="J1843" s="1">
        <v>1</v>
      </c>
      <c r="K1843" s="1">
        <v>0</v>
      </c>
      <c r="L1843" s="1">
        <v>0</v>
      </c>
      <c r="M1843" s="1">
        <v>0</v>
      </c>
    </row>
    <row r="1844" spans="1:13">
      <c r="A1844" s="1">
        <v>1843</v>
      </c>
      <c r="B1844" s="1">
        <v>886518.01170000003</v>
      </c>
      <c r="C1844" s="1">
        <v>1042820.4357464685</v>
      </c>
      <c r="D1844" s="1">
        <f t="shared" si="28"/>
        <v>-156302.42404646846</v>
      </c>
      <c r="E1844" s="1">
        <v>7</v>
      </c>
      <c r="F1844" s="1">
        <v>25</v>
      </c>
      <c r="G1844" s="1">
        <v>3</v>
      </c>
      <c r="H1844" s="1">
        <v>0</v>
      </c>
      <c r="I1844" s="1">
        <v>0</v>
      </c>
      <c r="J1844" s="1">
        <v>0</v>
      </c>
      <c r="K1844" s="1">
        <v>1</v>
      </c>
      <c r="L1844" s="1">
        <v>0</v>
      </c>
      <c r="M1844" s="1">
        <v>0</v>
      </c>
    </row>
    <row r="1845" spans="1:13">
      <c r="A1845" s="1">
        <v>1844</v>
      </c>
      <c r="B1845" s="1">
        <v>955681.4595</v>
      </c>
      <c r="C1845" s="1">
        <v>905559.62473764527</v>
      </c>
      <c r="D1845" s="1">
        <f t="shared" si="28"/>
        <v>50121.834762354731</v>
      </c>
      <c r="E1845" s="1">
        <v>8</v>
      </c>
      <c r="F1845" s="1">
        <v>24</v>
      </c>
      <c r="G1845" s="1">
        <v>3</v>
      </c>
      <c r="H1845" s="1">
        <v>1</v>
      </c>
      <c r="I1845" s="1">
        <v>1</v>
      </c>
      <c r="J1845" s="1">
        <v>1</v>
      </c>
      <c r="K1845" s="1">
        <v>1</v>
      </c>
      <c r="L1845" s="1">
        <v>0</v>
      </c>
      <c r="M1845" s="1">
        <v>0</v>
      </c>
    </row>
    <row r="1846" spans="1:13">
      <c r="A1846" s="1">
        <v>1845</v>
      </c>
      <c r="B1846" s="1">
        <v>847126.33719999995</v>
      </c>
      <c r="C1846" s="1">
        <v>671430.54894287256</v>
      </c>
      <c r="D1846" s="1">
        <f t="shared" si="28"/>
        <v>175695.78825712739</v>
      </c>
      <c r="E1846" s="1">
        <v>19</v>
      </c>
      <c r="F1846" s="1">
        <v>14</v>
      </c>
      <c r="G1846" s="1">
        <v>2</v>
      </c>
      <c r="H1846" s="1">
        <v>1</v>
      </c>
      <c r="I1846" s="1">
        <v>0</v>
      </c>
      <c r="J1846" s="1">
        <v>2</v>
      </c>
      <c r="K1846" s="1">
        <v>0</v>
      </c>
      <c r="L1846" s="1">
        <v>0</v>
      </c>
      <c r="M1846" s="1">
        <v>0</v>
      </c>
    </row>
    <row r="1847" spans="1:13">
      <c r="A1847" s="1">
        <v>1846</v>
      </c>
      <c r="B1847" s="1">
        <v>1008266.2672999999</v>
      </c>
      <c r="C1847" s="1">
        <v>704706.50582221337</v>
      </c>
      <c r="D1847" s="1">
        <f t="shared" si="28"/>
        <v>303559.76147778658</v>
      </c>
      <c r="E1847" s="1">
        <v>9</v>
      </c>
      <c r="F1847" s="1">
        <v>19</v>
      </c>
      <c r="G1847" s="1">
        <v>7</v>
      </c>
      <c r="H1847" s="1">
        <v>0</v>
      </c>
      <c r="I1847" s="1">
        <v>0</v>
      </c>
      <c r="J1847" s="1">
        <v>0</v>
      </c>
      <c r="K1847" s="1">
        <v>2</v>
      </c>
      <c r="L1847" s="1">
        <v>0</v>
      </c>
      <c r="M1847" s="1">
        <v>0</v>
      </c>
    </row>
    <row r="1848" spans="1:13">
      <c r="A1848" s="1">
        <v>1847</v>
      </c>
      <c r="B1848" s="1">
        <v>948933.87679999997</v>
      </c>
      <c r="C1848" s="1">
        <v>586852.40822876222</v>
      </c>
      <c r="D1848" s="1">
        <f t="shared" si="28"/>
        <v>362081.46857123775</v>
      </c>
      <c r="E1848" s="1">
        <v>9</v>
      </c>
      <c r="F1848" s="1">
        <v>23</v>
      </c>
      <c r="G1848" s="1">
        <v>3</v>
      </c>
      <c r="H1848" s="1">
        <v>1</v>
      </c>
      <c r="I1848" s="1">
        <v>1</v>
      </c>
      <c r="J1848" s="1">
        <v>0</v>
      </c>
      <c r="K1848" s="1">
        <v>1</v>
      </c>
      <c r="L1848" s="1">
        <v>0</v>
      </c>
      <c r="M1848" s="1">
        <v>0</v>
      </c>
    </row>
    <row r="1849" spans="1:13">
      <c r="A1849" s="1">
        <v>1848</v>
      </c>
      <c r="B1849" s="1">
        <v>853021.27729999996</v>
      </c>
      <c r="C1849" s="1">
        <v>1034747.1656479863</v>
      </c>
      <c r="D1849" s="1">
        <f t="shared" si="28"/>
        <v>-181725.88834798639</v>
      </c>
      <c r="E1849" s="1">
        <v>15</v>
      </c>
      <c r="F1849" s="1">
        <v>18</v>
      </c>
      <c r="G1849" s="1">
        <v>2</v>
      </c>
      <c r="H1849" s="1">
        <v>2</v>
      </c>
      <c r="I1849" s="1">
        <v>0</v>
      </c>
      <c r="J1849" s="1">
        <v>1</v>
      </c>
      <c r="K1849" s="1">
        <v>1</v>
      </c>
      <c r="L1849" s="1">
        <v>0</v>
      </c>
      <c r="M1849" s="1">
        <v>0</v>
      </c>
    </row>
    <row r="1850" spans="1:13">
      <c r="A1850" s="1">
        <v>1849</v>
      </c>
      <c r="B1850" s="1">
        <v>875663.57290000003</v>
      </c>
      <c r="C1850" s="1">
        <v>829987.27369445458</v>
      </c>
      <c r="D1850" s="1">
        <f t="shared" si="28"/>
        <v>45676.299205545452</v>
      </c>
      <c r="E1850" s="1">
        <v>19</v>
      </c>
      <c r="F1850" s="1">
        <v>8</v>
      </c>
      <c r="G1850" s="1">
        <v>8</v>
      </c>
      <c r="H1850" s="1">
        <v>0</v>
      </c>
      <c r="I1850" s="1">
        <v>0</v>
      </c>
      <c r="J1850" s="1">
        <v>1</v>
      </c>
      <c r="K1850" s="1">
        <v>0</v>
      </c>
      <c r="L1850" s="1">
        <v>0</v>
      </c>
      <c r="M1850" s="1">
        <v>1</v>
      </c>
    </row>
    <row r="1851" spans="1:13">
      <c r="A1851" s="1">
        <v>1850</v>
      </c>
      <c r="B1851" s="1">
        <v>883777.96400000004</v>
      </c>
      <c r="C1851" s="1">
        <v>882404.02560188458</v>
      </c>
      <c r="D1851" s="1">
        <f t="shared" si="28"/>
        <v>1373.9383981154533</v>
      </c>
      <c r="E1851" s="1">
        <v>9</v>
      </c>
      <c r="F1851" s="1">
        <v>19</v>
      </c>
      <c r="G1851" s="1">
        <v>7</v>
      </c>
      <c r="H1851" s="1">
        <v>1</v>
      </c>
      <c r="I1851" s="1">
        <v>0</v>
      </c>
      <c r="J1851" s="1">
        <v>0</v>
      </c>
      <c r="K1851" s="1">
        <v>0</v>
      </c>
      <c r="L1851" s="1">
        <v>1</v>
      </c>
      <c r="M1851" s="1">
        <v>0</v>
      </c>
    </row>
    <row r="1852" spans="1:13">
      <c r="A1852" s="1">
        <v>1851</v>
      </c>
      <c r="B1852" s="1">
        <v>934690.82590000005</v>
      </c>
      <c r="C1852" s="1">
        <v>827664.95368937496</v>
      </c>
      <c r="D1852" s="1">
        <f t="shared" si="28"/>
        <v>107025.87221062509</v>
      </c>
      <c r="E1852" s="1">
        <v>10</v>
      </c>
      <c r="F1852" s="1">
        <v>20</v>
      </c>
      <c r="G1852" s="1">
        <v>5</v>
      </c>
      <c r="H1852" s="1">
        <v>1</v>
      </c>
      <c r="I1852" s="1">
        <v>0</v>
      </c>
      <c r="J1852" s="1">
        <v>0</v>
      </c>
      <c r="K1852" s="1">
        <v>1</v>
      </c>
      <c r="L1852" s="1">
        <v>0</v>
      </c>
      <c r="M1852" s="1">
        <v>1</v>
      </c>
    </row>
    <row r="1853" spans="1:13">
      <c r="A1853" s="1">
        <v>1852</v>
      </c>
      <c r="B1853" s="1">
        <v>1007201.7883</v>
      </c>
      <c r="C1853" s="1">
        <v>477560.02750818105</v>
      </c>
      <c r="D1853" s="1">
        <f t="shared" si="28"/>
        <v>529641.76079181896</v>
      </c>
      <c r="E1853" s="1">
        <v>7</v>
      </c>
      <c r="F1853" s="1">
        <v>21</v>
      </c>
      <c r="G1853" s="1">
        <v>7</v>
      </c>
      <c r="H1853" s="1">
        <v>2</v>
      </c>
      <c r="I1853" s="1">
        <v>0</v>
      </c>
      <c r="J1853" s="1">
        <v>1</v>
      </c>
      <c r="K1853" s="1">
        <v>1</v>
      </c>
      <c r="L1853" s="1">
        <v>0</v>
      </c>
      <c r="M1853" s="1">
        <v>0</v>
      </c>
    </row>
    <row r="1854" spans="1:13">
      <c r="A1854" s="1">
        <v>1853</v>
      </c>
      <c r="B1854" s="1">
        <v>1000121.2309</v>
      </c>
      <c r="C1854" s="1">
        <v>791503.38719143555</v>
      </c>
      <c r="D1854" s="1">
        <f t="shared" si="28"/>
        <v>208617.84370856441</v>
      </c>
      <c r="E1854" s="1">
        <v>5</v>
      </c>
      <c r="F1854" s="1">
        <v>23</v>
      </c>
      <c r="G1854" s="1">
        <v>7</v>
      </c>
      <c r="H1854" s="1">
        <v>2</v>
      </c>
      <c r="I1854" s="1">
        <v>0</v>
      </c>
      <c r="J1854" s="1">
        <v>0</v>
      </c>
      <c r="K1854" s="1">
        <v>0</v>
      </c>
      <c r="L1854" s="1">
        <v>0</v>
      </c>
      <c r="M1854" s="1">
        <v>0</v>
      </c>
    </row>
    <row r="1855" spans="1:13">
      <c r="A1855" s="1">
        <v>1854</v>
      </c>
      <c r="B1855" s="1">
        <v>808888.64500000002</v>
      </c>
      <c r="C1855" s="1">
        <v>530808.66254731966</v>
      </c>
      <c r="D1855" s="1">
        <f t="shared" si="28"/>
        <v>278079.98245268036</v>
      </c>
      <c r="E1855" s="1">
        <v>18</v>
      </c>
      <c r="F1855" s="1">
        <v>16</v>
      </c>
      <c r="G1855" s="1">
        <v>1</v>
      </c>
      <c r="H1855" s="1">
        <v>1</v>
      </c>
      <c r="I1855" s="1">
        <v>1</v>
      </c>
      <c r="J1855" s="1">
        <v>0</v>
      </c>
      <c r="K1855" s="1">
        <v>1</v>
      </c>
      <c r="L1855" s="1">
        <v>0</v>
      </c>
      <c r="M1855" s="1">
        <v>0</v>
      </c>
    </row>
    <row r="1856" spans="1:13">
      <c r="A1856" s="1">
        <v>1855</v>
      </c>
      <c r="B1856" s="1">
        <v>1029125.601</v>
      </c>
      <c r="C1856" s="1">
        <v>1557372.7511292496</v>
      </c>
      <c r="D1856" s="1">
        <f t="shared" si="28"/>
        <v>-528247.15012924955</v>
      </c>
      <c r="E1856" s="1">
        <v>5</v>
      </c>
      <c r="F1856" s="1">
        <v>24</v>
      </c>
      <c r="G1856" s="1">
        <v>6</v>
      </c>
      <c r="H1856" s="1">
        <v>0</v>
      </c>
      <c r="I1856" s="1">
        <v>0</v>
      </c>
      <c r="J1856" s="1">
        <v>1</v>
      </c>
      <c r="K1856" s="1">
        <v>1</v>
      </c>
      <c r="L1856" s="1">
        <v>0</v>
      </c>
      <c r="M1856" s="1">
        <v>0</v>
      </c>
    </row>
    <row r="1857" spans="1:13">
      <c r="A1857" s="1">
        <v>1856</v>
      </c>
      <c r="B1857" s="1">
        <v>857427.54150000005</v>
      </c>
      <c r="C1857" s="1">
        <v>1710812.0464753846</v>
      </c>
      <c r="D1857" s="1">
        <f t="shared" si="28"/>
        <v>-853384.50497538457</v>
      </c>
      <c r="E1857" s="1">
        <v>22</v>
      </c>
      <c r="F1857" s="1">
        <v>11</v>
      </c>
      <c r="G1857" s="1">
        <v>2</v>
      </c>
      <c r="H1857" s="1">
        <v>1</v>
      </c>
      <c r="I1857" s="1">
        <v>0</v>
      </c>
      <c r="J1857" s="1">
        <v>2</v>
      </c>
      <c r="K1857" s="1">
        <v>0</v>
      </c>
      <c r="L1857" s="1">
        <v>0</v>
      </c>
      <c r="M1857" s="1">
        <v>0</v>
      </c>
    </row>
    <row r="1858" spans="1:13">
      <c r="A1858" s="1">
        <v>1857</v>
      </c>
      <c r="B1858" s="1">
        <v>884357.05649999995</v>
      </c>
      <c r="C1858" s="1">
        <v>668643.48861044564</v>
      </c>
      <c r="D1858" s="1">
        <f t="shared" ref="D1858:D1921" si="29">B1858-C1858</f>
        <v>215713.56788955431</v>
      </c>
      <c r="E1858" s="1">
        <v>17</v>
      </c>
      <c r="F1858" s="1">
        <v>14</v>
      </c>
      <c r="G1858" s="1">
        <v>4</v>
      </c>
      <c r="H1858" s="1">
        <v>2</v>
      </c>
      <c r="I1858" s="1">
        <v>0</v>
      </c>
      <c r="J1858" s="1">
        <v>1</v>
      </c>
      <c r="K1858" s="1">
        <v>1</v>
      </c>
      <c r="L1858" s="1">
        <v>0</v>
      </c>
      <c r="M1858" s="1">
        <v>1</v>
      </c>
    </row>
    <row r="1859" spans="1:13">
      <c r="A1859" s="1">
        <v>1858</v>
      </c>
      <c r="B1859" s="1">
        <v>944986.00890000002</v>
      </c>
      <c r="C1859" s="1">
        <v>617276.29038719344</v>
      </c>
      <c r="D1859" s="1">
        <f t="shared" si="29"/>
        <v>327709.71851280658</v>
      </c>
      <c r="E1859" s="1">
        <v>22</v>
      </c>
      <c r="F1859" s="1">
        <v>9</v>
      </c>
      <c r="G1859" s="1">
        <v>4</v>
      </c>
      <c r="H1859" s="1">
        <v>2</v>
      </c>
      <c r="I1859" s="1">
        <v>0</v>
      </c>
      <c r="J1859" s="1">
        <v>0</v>
      </c>
      <c r="K1859" s="1">
        <v>0</v>
      </c>
      <c r="L1859" s="1">
        <v>0</v>
      </c>
      <c r="M1859" s="1">
        <v>1</v>
      </c>
    </row>
    <row r="1860" spans="1:13">
      <c r="A1860" s="1">
        <v>1859</v>
      </c>
      <c r="B1860" s="1">
        <v>944999.34470000002</v>
      </c>
      <c r="C1860" s="1">
        <v>769392.21885545051</v>
      </c>
      <c r="D1860" s="1">
        <f t="shared" si="29"/>
        <v>175607.1258445495</v>
      </c>
      <c r="E1860" s="1">
        <v>13</v>
      </c>
      <c r="F1860" s="1">
        <v>16</v>
      </c>
      <c r="G1860" s="1">
        <v>6</v>
      </c>
      <c r="H1860" s="1">
        <v>0</v>
      </c>
      <c r="I1860" s="1">
        <v>0</v>
      </c>
      <c r="J1860" s="1">
        <v>2</v>
      </c>
      <c r="K1860" s="1">
        <v>0</v>
      </c>
      <c r="L1860" s="1">
        <v>0</v>
      </c>
      <c r="M1860" s="1">
        <v>1</v>
      </c>
    </row>
    <row r="1861" spans="1:13">
      <c r="A1861" s="1">
        <v>1860</v>
      </c>
      <c r="B1861" s="1">
        <v>1007624.7854000001</v>
      </c>
      <c r="C1861" s="1">
        <v>879273.0475137023</v>
      </c>
      <c r="D1861" s="1">
        <f t="shared" si="29"/>
        <v>128351.73788629775</v>
      </c>
      <c r="E1861" s="1">
        <v>8</v>
      </c>
      <c r="F1861" s="1">
        <v>22</v>
      </c>
      <c r="G1861" s="1">
        <v>5</v>
      </c>
      <c r="H1861" s="1">
        <v>0</v>
      </c>
      <c r="I1861" s="1">
        <v>1</v>
      </c>
      <c r="J1861" s="1">
        <v>0</v>
      </c>
      <c r="K1861" s="1">
        <v>2</v>
      </c>
      <c r="L1861" s="1">
        <v>0</v>
      </c>
      <c r="M1861" s="1">
        <v>0</v>
      </c>
    </row>
    <row r="1862" spans="1:13">
      <c r="A1862" s="1">
        <v>1861</v>
      </c>
      <c r="B1862" s="1">
        <v>869366.06499999994</v>
      </c>
      <c r="C1862" s="1">
        <v>1845300.4342645113</v>
      </c>
      <c r="D1862" s="1">
        <f t="shared" si="29"/>
        <v>-975934.36926451139</v>
      </c>
      <c r="E1862" s="1">
        <v>15</v>
      </c>
      <c r="F1862" s="1">
        <v>14</v>
      </c>
      <c r="G1862" s="1">
        <v>6</v>
      </c>
      <c r="H1862" s="1">
        <v>0</v>
      </c>
      <c r="I1862" s="1">
        <v>0</v>
      </c>
      <c r="J1862" s="1">
        <v>0</v>
      </c>
      <c r="K1862" s="1">
        <v>1</v>
      </c>
      <c r="L1862" s="1">
        <v>0</v>
      </c>
      <c r="M1862" s="1">
        <v>0</v>
      </c>
    </row>
    <row r="1863" spans="1:13">
      <c r="A1863" s="1">
        <v>1862</v>
      </c>
      <c r="B1863" s="1">
        <v>1132154.3581999999</v>
      </c>
      <c r="C1863" s="1">
        <v>662788.03802633751</v>
      </c>
      <c r="D1863" s="1">
        <f t="shared" si="29"/>
        <v>469366.32017366239</v>
      </c>
      <c r="E1863" s="1">
        <v>10</v>
      </c>
      <c r="F1863" s="1">
        <v>20</v>
      </c>
      <c r="G1863" s="1">
        <v>5</v>
      </c>
      <c r="H1863" s="1">
        <v>0</v>
      </c>
      <c r="I1863" s="1">
        <v>0</v>
      </c>
      <c r="J1863" s="1">
        <v>1</v>
      </c>
      <c r="K1863" s="1">
        <v>1</v>
      </c>
      <c r="L1863" s="1">
        <v>0</v>
      </c>
      <c r="M1863" s="1">
        <v>0</v>
      </c>
    </row>
    <row r="1864" spans="1:13">
      <c r="A1864" s="1">
        <v>1863</v>
      </c>
      <c r="B1864" s="1">
        <v>984617.03099999996</v>
      </c>
      <c r="C1864" s="1">
        <v>681799.31579339807</v>
      </c>
      <c r="D1864" s="1">
        <f t="shared" si="29"/>
        <v>302817.71520660189</v>
      </c>
      <c r="E1864" s="1">
        <v>16</v>
      </c>
      <c r="F1864" s="1">
        <v>12</v>
      </c>
      <c r="G1864" s="1">
        <v>7</v>
      </c>
      <c r="H1864" s="1">
        <v>1</v>
      </c>
      <c r="I1864" s="1">
        <v>0</v>
      </c>
      <c r="J1864" s="1">
        <v>0</v>
      </c>
      <c r="K1864" s="1">
        <v>1</v>
      </c>
      <c r="L1864" s="1">
        <v>0</v>
      </c>
      <c r="M1864" s="1">
        <v>0</v>
      </c>
    </row>
    <row r="1865" spans="1:13">
      <c r="A1865" s="1">
        <v>1864</v>
      </c>
      <c r="B1865" s="1">
        <v>878828.91529999999</v>
      </c>
      <c r="C1865" s="1">
        <v>1424425.5189240105</v>
      </c>
      <c r="D1865" s="1">
        <f t="shared" si="29"/>
        <v>-545596.60362401046</v>
      </c>
      <c r="E1865" s="1">
        <v>11</v>
      </c>
      <c r="F1865" s="1">
        <v>21</v>
      </c>
      <c r="G1865" s="1">
        <v>3</v>
      </c>
      <c r="H1865" s="1">
        <v>2</v>
      </c>
      <c r="I1865" s="1">
        <v>0</v>
      </c>
      <c r="J1865" s="1">
        <v>0</v>
      </c>
      <c r="K1865" s="1">
        <v>1</v>
      </c>
      <c r="L1865" s="1">
        <v>1</v>
      </c>
      <c r="M1865" s="1">
        <v>0</v>
      </c>
    </row>
    <row r="1866" spans="1:13">
      <c r="A1866" s="1">
        <v>1865</v>
      </c>
      <c r="B1866" s="1">
        <v>901008.19510000001</v>
      </c>
      <c r="C1866" s="1">
        <v>511716.15672927885</v>
      </c>
      <c r="D1866" s="1">
        <f t="shared" si="29"/>
        <v>389292.03837072116</v>
      </c>
      <c r="E1866" s="1">
        <v>15</v>
      </c>
      <c r="F1866" s="1">
        <v>14</v>
      </c>
      <c r="G1866" s="1">
        <v>6</v>
      </c>
      <c r="H1866" s="1">
        <v>1</v>
      </c>
      <c r="I1866" s="1">
        <v>0</v>
      </c>
      <c r="J1866" s="1">
        <v>0</v>
      </c>
      <c r="K1866" s="1">
        <v>1</v>
      </c>
      <c r="L1866" s="1">
        <v>0</v>
      </c>
      <c r="M1866" s="1">
        <v>0</v>
      </c>
    </row>
    <row r="1867" spans="1:13">
      <c r="A1867" s="1">
        <v>1866</v>
      </c>
      <c r="B1867" s="1">
        <v>933396.68400000001</v>
      </c>
      <c r="C1867" s="1">
        <v>743257.71147780912</v>
      </c>
      <c r="D1867" s="1">
        <f t="shared" si="29"/>
        <v>190138.97252219089</v>
      </c>
      <c r="E1867" s="1">
        <v>8</v>
      </c>
      <c r="F1867" s="1">
        <v>22</v>
      </c>
      <c r="G1867" s="1">
        <v>5</v>
      </c>
      <c r="H1867" s="1">
        <v>2</v>
      </c>
      <c r="I1867" s="1">
        <v>0</v>
      </c>
      <c r="J1867" s="1">
        <v>0</v>
      </c>
      <c r="K1867" s="1">
        <v>2</v>
      </c>
      <c r="L1867" s="1">
        <v>0</v>
      </c>
      <c r="M1867" s="1">
        <v>1</v>
      </c>
    </row>
    <row r="1868" spans="1:13">
      <c r="A1868" s="1">
        <v>1867</v>
      </c>
      <c r="B1868" s="1">
        <v>866800.05839999998</v>
      </c>
      <c r="C1868" s="1">
        <v>657441.79911270284</v>
      </c>
      <c r="D1868" s="1">
        <f t="shared" si="29"/>
        <v>209358.25928729714</v>
      </c>
      <c r="E1868" s="1">
        <v>8</v>
      </c>
      <c r="F1868" s="1">
        <v>24</v>
      </c>
      <c r="G1868" s="1">
        <v>3</v>
      </c>
      <c r="H1868" s="1">
        <v>1</v>
      </c>
      <c r="I1868" s="1">
        <v>0</v>
      </c>
      <c r="J1868" s="1">
        <v>2</v>
      </c>
      <c r="K1868" s="1">
        <v>0</v>
      </c>
      <c r="L1868" s="1">
        <v>0</v>
      </c>
      <c r="M1868" s="1">
        <v>0</v>
      </c>
    </row>
    <row r="1869" spans="1:13">
      <c r="A1869" s="1">
        <v>1868</v>
      </c>
      <c r="B1869" s="1">
        <v>963849.71089999995</v>
      </c>
      <c r="C1869" s="1">
        <v>1144178.0714172446</v>
      </c>
      <c r="D1869" s="1">
        <f t="shared" si="29"/>
        <v>-180328.36051724467</v>
      </c>
      <c r="E1869" s="1">
        <v>9</v>
      </c>
      <c r="F1869" s="1">
        <v>21</v>
      </c>
      <c r="G1869" s="1">
        <v>5</v>
      </c>
      <c r="H1869" s="1">
        <v>1</v>
      </c>
      <c r="I1869" s="1">
        <v>0</v>
      </c>
      <c r="J1869" s="1">
        <v>0</v>
      </c>
      <c r="K1869" s="1">
        <v>1</v>
      </c>
      <c r="L1869" s="1">
        <v>1</v>
      </c>
      <c r="M1869" s="1">
        <v>0</v>
      </c>
    </row>
    <row r="1870" spans="1:13">
      <c r="A1870" s="1">
        <v>1869</v>
      </c>
      <c r="B1870" s="1">
        <v>917656.19169999997</v>
      </c>
      <c r="C1870" s="1">
        <v>887686.0690143042</v>
      </c>
      <c r="D1870" s="1">
        <f t="shared" si="29"/>
        <v>29970.122685695766</v>
      </c>
      <c r="E1870" s="1">
        <v>13</v>
      </c>
      <c r="F1870" s="1">
        <v>19</v>
      </c>
      <c r="G1870" s="1">
        <v>3</v>
      </c>
      <c r="H1870" s="1">
        <v>1</v>
      </c>
      <c r="I1870" s="1">
        <v>0</v>
      </c>
      <c r="J1870" s="1">
        <v>0</v>
      </c>
      <c r="K1870" s="1">
        <v>1</v>
      </c>
      <c r="L1870" s="1">
        <v>0</v>
      </c>
      <c r="M1870" s="1">
        <v>0</v>
      </c>
    </row>
    <row r="1871" spans="1:13">
      <c r="A1871" s="1">
        <v>1870</v>
      </c>
      <c r="B1871" s="1">
        <v>1023349.4919</v>
      </c>
      <c r="C1871" s="1">
        <v>1108577.67365395</v>
      </c>
      <c r="D1871" s="1">
        <f t="shared" si="29"/>
        <v>-85228.181753949961</v>
      </c>
      <c r="E1871" s="1">
        <v>5</v>
      </c>
      <c r="F1871" s="1">
        <v>21</v>
      </c>
      <c r="G1871" s="1">
        <v>9</v>
      </c>
      <c r="H1871" s="1">
        <v>2</v>
      </c>
      <c r="I1871" s="1">
        <v>0</v>
      </c>
      <c r="J1871" s="1">
        <v>2</v>
      </c>
      <c r="K1871" s="1">
        <v>0</v>
      </c>
      <c r="L1871" s="1">
        <v>0</v>
      </c>
      <c r="M1871" s="1">
        <v>1</v>
      </c>
    </row>
    <row r="1872" spans="1:13">
      <c r="A1872" s="1">
        <v>1871</v>
      </c>
      <c r="B1872" s="1">
        <v>956570.54819999996</v>
      </c>
      <c r="C1872" s="1">
        <v>976186.9338903036</v>
      </c>
      <c r="D1872" s="1">
        <f t="shared" si="29"/>
        <v>-19616.385690303636</v>
      </c>
      <c r="E1872" s="1">
        <v>17</v>
      </c>
      <c r="F1872" s="1">
        <v>15</v>
      </c>
      <c r="G1872" s="1">
        <v>3</v>
      </c>
      <c r="H1872" s="1">
        <v>2</v>
      </c>
      <c r="I1872" s="1">
        <v>0</v>
      </c>
      <c r="J1872" s="1">
        <v>1</v>
      </c>
      <c r="K1872" s="1">
        <v>1</v>
      </c>
      <c r="L1872" s="1">
        <v>0</v>
      </c>
      <c r="M1872" s="1">
        <v>1</v>
      </c>
    </row>
    <row r="1873" spans="1:13">
      <c r="A1873" s="1">
        <v>1872</v>
      </c>
      <c r="B1873" s="1">
        <v>998827.14469999995</v>
      </c>
      <c r="C1873" s="1">
        <v>1262757.0590917682</v>
      </c>
      <c r="D1873" s="1">
        <f t="shared" si="29"/>
        <v>-263929.91439176828</v>
      </c>
      <c r="E1873" s="1">
        <v>13</v>
      </c>
      <c r="F1873" s="1">
        <v>17</v>
      </c>
      <c r="G1873" s="1">
        <v>5</v>
      </c>
      <c r="H1873" s="1">
        <v>2</v>
      </c>
      <c r="I1873" s="1">
        <v>0</v>
      </c>
      <c r="J1873" s="1">
        <v>0</v>
      </c>
      <c r="K1873" s="1">
        <v>2</v>
      </c>
      <c r="L1873" s="1">
        <v>0</v>
      </c>
      <c r="M1873" s="1">
        <v>1</v>
      </c>
    </row>
    <row r="1874" spans="1:13">
      <c r="A1874" s="1">
        <v>1873</v>
      </c>
      <c r="B1874" s="1">
        <v>911460.23309999995</v>
      </c>
      <c r="C1874" s="1">
        <v>738927.86250912864</v>
      </c>
      <c r="D1874" s="1">
        <f t="shared" si="29"/>
        <v>172532.37059087132</v>
      </c>
      <c r="E1874" s="1">
        <v>8</v>
      </c>
      <c r="F1874" s="1">
        <v>20</v>
      </c>
      <c r="G1874" s="1">
        <v>7</v>
      </c>
      <c r="H1874" s="1">
        <v>0</v>
      </c>
      <c r="I1874" s="1">
        <v>1</v>
      </c>
      <c r="J1874" s="1">
        <v>0</v>
      </c>
      <c r="K1874" s="1">
        <v>1</v>
      </c>
      <c r="L1874" s="1">
        <v>0</v>
      </c>
      <c r="M1874" s="1">
        <v>0</v>
      </c>
    </row>
    <row r="1875" spans="1:13">
      <c r="A1875" s="1">
        <v>1874</v>
      </c>
      <c r="B1875" s="1">
        <v>940788.71189999999</v>
      </c>
      <c r="C1875" s="1">
        <v>868685.85473814874</v>
      </c>
      <c r="D1875" s="1">
        <f t="shared" si="29"/>
        <v>72102.857161851251</v>
      </c>
      <c r="E1875" s="1">
        <v>14</v>
      </c>
      <c r="F1875" s="1">
        <v>18</v>
      </c>
      <c r="G1875" s="1">
        <v>3</v>
      </c>
      <c r="H1875" s="1">
        <v>0</v>
      </c>
      <c r="I1875" s="1">
        <v>1</v>
      </c>
      <c r="J1875" s="1">
        <v>0</v>
      </c>
      <c r="K1875" s="1">
        <v>1</v>
      </c>
      <c r="L1875" s="1">
        <v>1</v>
      </c>
      <c r="M1875" s="1">
        <v>0</v>
      </c>
    </row>
    <row r="1876" spans="1:13">
      <c r="A1876" s="1">
        <v>1875</v>
      </c>
      <c r="B1876" s="1">
        <v>853919.96900000004</v>
      </c>
      <c r="C1876" s="1">
        <v>580554.91936869943</v>
      </c>
      <c r="D1876" s="1">
        <f t="shared" si="29"/>
        <v>273365.04963130062</v>
      </c>
      <c r="E1876" s="1">
        <v>15</v>
      </c>
      <c r="F1876" s="1">
        <v>16</v>
      </c>
      <c r="G1876" s="1">
        <v>4</v>
      </c>
      <c r="H1876" s="1">
        <v>2</v>
      </c>
      <c r="I1876" s="1">
        <v>0</v>
      </c>
      <c r="J1876" s="1">
        <v>1</v>
      </c>
      <c r="K1876" s="1">
        <v>1</v>
      </c>
      <c r="L1876" s="1">
        <v>0</v>
      </c>
      <c r="M1876" s="1">
        <v>0</v>
      </c>
    </row>
    <row r="1877" spans="1:13">
      <c r="A1877" s="1">
        <v>1876</v>
      </c>
      <c r="B1877" s="1">
        <v>836908.84950000001</v>
      </c>
      <c r="C1877" s="1">
        <v>716336.96428952226</v>
      </c>
      <c r="D1877" s="1">
        <f t="shared" si="29"/>
        <v>120571.88521047775</v>
      </c>
      <c r="E1877" s="1">
        <v>12</v>
      </c>
      <c r="F1877" s="1">
        <v>18</v>
      </c>
      <c r="G1877" s="1">
        <v>5</v>
      </c>
      <c r="H1877" s="1">
        <v>2</v>
      </c>
      <c r="I1877" s="1">
        <v>0</v>
      </c>
      <c r="J1877" s="1">
        <v>0</v>
      </c>
      <c r="K1877" s="1">
        <v>0</v>
      </c>
      <c r="L1877" s="1">
        <v>0</v>
      </c>
      <c r="M1877" s="1">
        <v>0</v>
      </c>
    </row>
    <row r="1878" spans="1:13">
      <c r="A1878" s="1">
        <v>1877</v>
      </c>
      <c r="B1878" s="1">
        <v>1033135.8524</v>
      </c>
      <c r="C1878" s="1">
        <v>680800.14743606723</v>
      </c>
      <c r="D1878" s="1">
        <f t="shared" si="29"/>
        <v>352335.70496393275</v>
      </c>
      <c r="E1878" s="1">
        <v>10</v>
      </c>
      <c r="F1878" s="1">
        <v>19</v>
      </c>
      <c r="G1878" s="1">
        <v>6</v>
      </c>
      <c r="H1878" s="1">
        <v>1</v>
      </c>
      <c r="I1878" s="1">
        <v>0</v>
      </c>
      <c r="J1878" s="1">
        <v>1</v>
      </c>
      <c r="K1878" s="1">
        <v>1</v>
      </c>
      <c r="L1878" s="1">
        <v>0</v>
      </c>
      <c r="M1878" s="1">
        <v>0</v>
      </c>
    </row>
    <row r="1879" spans="1:13">
      <c r="A1879" s="1">
        <v>1878</v>
      </c>
      <c r="B1879" s="1">
        <v>950859.84809999994</v>
      </c>
      <c r="C1879" s="1">
        <v>885267.60325020307</v>
      </c>
      <c r="D1879" s="1">
        <f t="shared" si="29"/>
        <v>65592.244849796873</v>
      </c>
      <c r="E1879" s="1">
        <v>10</v>
      </c>
      <c r="F1879" s="1">
        <v>19</v>
      </c>
      <c r="G1879" s="1">
        <v>6</v>
      </c>
      <c r="H1879" s="1">
        <v>0</v>
      </c>
      <c r="I1879" s="1">
        <v>0</v>
      </c>
      <c r="J1879" s="1">
        <v>0</v>
      </c>
      <c r="K1879" s="1">
        <v>0</v>
      </c>
      <c r="L1879" s="1">
        <v>0</v>
      </c>
      <c r="M1879" s="1">
        <v>0</v>
      </c>
    </row>
    <row r="1880" spans="1:13">
      <c r="A1880" s="1">
        <v>1879</v>
      </c>
      <c r="B1880" s="1">
        <v>964331.87509999995</v>
      </c>
      <c r="C1880" s="1">
        <v>993613.19400112506</v>
      </c>
      <c r="D1880" s="1">
        <f t="shared" si="29"/>
        <v>-29281.318901125109</v>
      </c>
      <c r="E1880" s="1">
        <v>11</v>
      </c>
      <c r="F1880" s="1">
        <v>18</v>
      </c>
      <c r="G1880" s="1">
        <v>6</v>
      </c>
      <c r="H1880" s="1">
        <v>1</v>
      </c>
      <c r="I1880" s="1">
        <v>1</v>
      </c>
      <c r="J1880" s="1">
        <v>1</v>
      </c>
      <c r="K1880" s="1">
        <v>1</v>
      </c>
      <c r="L1880" s="1">
        <v>0</v>
      </c>
      <c r="M1880" s="1">
        <v>1</v>
      </c>
    </row>
    <row r="1881" spans="1:13">
      <c r="A1881" s="1">
        <v>1880</v>
      </c>
      <c r="B1881" s="1">
        <v>857194.50840000005</v>
      </c>
      <c r="C1881" s="1">
        <v>1148189.5024569626</v>
      </c>
      <c r="D1881" s="1">
        <f t="shared" si="29"/>
        <v>-290994.99405696255</v>
      </c>
      <c r="E1881" s="1">
        <v>16</v>
      </c>
      <c r="F1881" s="1">
        <v>15</v>
      </c>
      <c r="G1881" s="1">
        <v>4</v>
      </c>
      <c r="H1881" s="1">
        <v>2</v>
      </c>
      <c r="I1881" s="1">
        <v>0</v>
      </c>
      <c r="J1881" s="1">
        <v>0</v>
      </c>
      <c r="K1881" s="1">
        <v>1</v>
      </c>
      <c r="L1881" s="1">
        <v>0</v>
      </c>
      <c r="M1881" s="1">
        <v>0</v>
      </c>
    </row>
    <row r="1882" spans="1:13">
      <c r="A1882" s="1">
        <v>1881</v>
      </c>
      <c r="B1882" s="1">
        <v>977901.35549999995</v>
      </c>
      <c r="C1882" s="1">
        <v>932563.25289106311</v>
      </c>
      <c r="D1882" s="1">
        <f t="shared" si="29"/>
        <v>45338.102608936839</v>
      </c>
      <c r="E1882" s="1">
        <v>15</v>
      </c>
      <c r="F1882" s="1">
        <v>12</v>
      </c>
      <c r="G1882" s="1">
        <v>8</v>
      </c>
      <c r="H1882" s="1">
        <v>1</v>
      </c>
      <c r="I1882" s="1">
        <v>1</v>
      </c>
      <c r="J1882" s="1">
        <v>1</v>
      </c>
      <c r="K1882" s="1">
        <v>1</v>
      </c>
      <c r="L1882" s="1">
        <v>0</v>
      </c>
      <c r="M1882" s="1">
        <v>0</v>
      </c>
    </row>
    <row r="1883" spans="1:13">
      <c r="A1883" s="1">
        <v>1882</v>
      </c>
      <c r="B1883" s="1">
        <v>984998.8872</v>
      </c>
      <c r="C1883" s="1">
        <v>946749.25264544797</v>
      </c>
      <c r="D1883" s="1">
        <f t="shared" si="29"/>
        <v>38249.634554552031</v>
      </c>
      <c r="E1883" s="1">
        <v>9</v>
      </c>
      <c r="F1883" s="1">
        <v>18</v>
      </c>
      <c r="G1883" s="1">
        <v>8</v>
      </c>
      <c r="H1883" s="1">
        <v>0</v>
      </c>
      <c r="I1883" s="1">
        <v>1</v>
      </c>
      <c r="J1883" s="1">
        <v>1</v>
      </c>
      <c r="K1883" s="1">
        <v>0</v>
      </c>
      <c r="L1883" s="1">
        <v>1</v>
      </c>
      <c r="M1883" s="1">
        <v>0</v>
      </c>
    </row>
    <row r="1884" spans="1:13">
      <c r="A1884" s="1">
        <v>1883</v>
      </c>
      <c r="B1884" s="1">
        <v>880718.93790000002</v>
      </c>
      <c r="C1884" s="1">
        <v>1430432.5935390943</v>
      </c>
      <c r="D1884" s="1">
        <f t="shared" si="29"/>
        <v>-549713.6556390943</v>
      </c>
      <c r="E1884" s="1">
        <v>10</v>
      </c>
      <c r="F1884" s="1">
        <v>24</v>
      </c>
      <c r="G1884" s="1">
        <v>1</v>
      </c>
      <c r="H1884" s="1">
        <v>1</v>
      </c>
      <c r="I1884" s="1">
        <v>0</v>
      </c>
      <c r="J1884" s="1">
        <v>0</v>
      </c>
      <c r="K1884" s="1">
        <v>1</v>
      </c>
      <c r="L1884" s="1">
        <v>1</v>
      </c>
      <c r="M1884" s="1">
        <v>0</v>
      </c>
    </row>
    <row r="1885" spans="1:13">
      <c r="A1885" s="1">
        <v>1884</v>
      </c>
      <c r="B1885" s="1">
        <v>970153.55310000002</v>
      </c>
      <c r="C1885" s="1">
        <v>1482634.3238837291</v>
      </c>
      <c r="D1885" s="1">
        <f t="shared" si="29"/>
        <v>-512480.77078372904</v>
      </c>
      <c r="E1885" s="1">
        <v>13</v>
      </c>
      <c r="F1885" s="1">
        <v>17</v>
      </c>
      <c r="G1885" s="1">
        <v>5</v>
      </c>
      <c r="H1885" s="1">
        <v>0</v>
      </c>
      <c r="I1885" s="1">
        <v>0</v>
      </c>
      <c r="J1885" s="1">
        <v>0</v>
      </c>
      <c r="K1885" s="1">
        <v>1</v>
      </c>
      <c r="L1885" s="1">
        <v>0</v>
      </c>
      <c r="M1885" s="1">
        <v>0</v>
      </c>
    </row>
    <row r="1886" spans="1:13">
      <c r="A1886" s="1">
        <v>1885</v>
      </c>
      <c r="B1886" s="1">
        <v>895275.84840000002</v>
      </c>
      <c r="C1886" s="1">
        <v>524692.47911775159</v>
      </c>
      <c r="D1886" s="1">
        <f t="shared" si="29"/>
        <v>370583.36928224843</v>
      </c>
      <c r="E1886" s="1">
        <v>12</v>
      </c>
      <c r="F1886" s="1">
        <v>14</v>
      </c>
      <c r="G1886" s="1">
        <v>9</v>
      </c>
      <c r="H1886" s="1">
        <v>1</v>
      </c>
      <c r="I1886" s="1">
        <v>0</v>
      </c>
      <c r="J1886" s="1">
        <v>1</v>
      </c>
      <c r="K1886" s="1">
        <v>0</v>
      </c>
      <c r="L1886" s="1">
        <v>0</v>
      </c>
      <c r="M1886" s="1">
        <v>0</v>
      </c>
    </row>
    <row r="1887" spans="1:13">
      <c r="A1887" s="1">
        <v>1886</v>
      </c>
      <c r="B1887" s="1">
        <v>874260.64119999995</v>
      </c>
      <c r="C1887" s="1">
        <v>550884.67249674792</v>
      </c>
      <c r="D1887" s="1">
        <f t="shared" si="29"/>
        <v>323375.96870325203</v>
      </c>
      <c r="E1887" s="1">
        <v>16</v>
      </c>
      <c r="F1887" s="1">
        <v>14</v>
      </c>
      <c r="G1887" s="1">
        <v>5</v>
      </c>
      <c r="H1887" s="1">
        <v>1</v>
      </c>
      <c r="I1887" s="1">
        <v>0</v>
      </c>
      <c r="J1887" s="1">
        <v>2</v>
      </c>
      <c r="K1887" s="1">
        <v>0</v>
      </c>
      <c r="L1887" s="1">
        <v>0</v>
      </c>
      <c r="M1887" s="1">
        <v>0</v>
      </c>
    </row>
    <row r="1888" spans="1:13">
      <c r="A1888" s="1">
        <v>1887</v>
      </c>
      <c r="B1888" s="1">
        <v>933738.06700000004</v>
      </c>
      <c r="C1888" s="1">
        <v>1128043.1939700851</v>
      </c>
      <c r="D1888" s="1">
        <f t="shared" si="29"/>
        <v>-194305.12697008508</v>
      </c>
      <c r="E1888" s="1">
        <v>14</v>
      </c>
      <c r="F1888" s="1">
        <v>15</v>
      </c>
      <c r="G1888" s="1">
        <v>6</v>
      </c>
      <c r="H1888" s="1">
        <v>2</v>
      </c>
      <c r="I1888" s="1">
        <v>0</v>
      </c>
      <c r="J1888" s="1">
        <v>0</v>
      </c>
      <c r="K1888" s="1">
        <v>1</v>
      </c>
      <c r="L1888" s="1">
        <v>0</v>
      </c>
      <c r="M1888" s="1">
        <v>1</v>
      </c>
    </row>
    <row r="1889" spans="1:13">
      <c r="A1889" s="1">
        <v>1888</v>
      </c>
      <c r="B1889" s="1">
        <v>885880.71250000002</v>
      </c>
      <c r="C1889" s="1">
        <v>1068442.8969186386</v>
      </c>
      <c r="D1889" s="1">
        <f t="shared" si="29"/>
        <v>-182562.18441863859</v>
      </c>
      <c r="E1889" s="1">
        <v>13</v>
      </c>
      <c r="F1889" s="1">
        <v>18</v>
      </c>
      <c r="G1889" s="1">
        <v>4</v>
      </c>
      <c r="H1889" s="1">
        <v>0</v>
      </c>
      <c r="I1889" s="1">
        <v>0</v>
      </c>
      <c r="J1889" s="1">
        <v>0</v>
      </c>
      <c r="K1889" s="1">
        <v>1</v>
      </c>
      <c r="L1889" s="1">
        <v>0</v>
      </c>
      <c r="M1889" s="1">
        <v>0</v>
      </c>
    </row>
    <row r="1890" spans="1:13">
      <c r="A1890" s="1">
        <v>1889</v>
      </c>
      <c r="B1890" s="1">
        <v>987577.46140000003</v>
      </c>
      <c r="C1890" s="1">
        <v>988549.10973111319</v>
      </c>
      <c r="D1890" s="1">
        <f t="shared" si="29"/>
        <v>-971.64833111315966</v>
      </c>
      <c r="E1890" s="1">
        <v>8</v>
      </c>
      <c r="F1890" s="1">
        <v>20</v>
      </c>
      <c r="G1890" s="1">
        <v>7</v>
      </c>
      <c r="H1890" s="1">
        <v>0</v>
      </c>
      <c r="I1890" s="1">
        <v>0</v>
      </c>
      <c r="J1890" s="1">
        <v>0</v>
      </c>
      <c r="K1890" s="1">
        <v>1</v>
      </c>
      <c r="L1890" s="1">
        <v>0</v>
      </c>
      <c r="M1890" s="1">
        <v>0</v>
      </c>
    </row>
    <row r="1891" spans="1:13">
      <c r="A1891" s="1">
        <v>1890</v>
      </c>
      <c r="B1891" s="1">
        <v>969230.14139999996</v>
      </c>
      <c r="C1891" s="1">
        <v>727386.84352847235</v>
      </c>
      <c r="D1891" s="1">
        <f t="shared" si="29"/>
        <v>241843.29787152761</v>
      </c>
      <c r="E1891" s="1">
        <v>12</v>
      </c>
      <c r="F1891" s="1">
        <v>17</v>
      </c>
      <c r="G1891" s="1">
        <v>6</v>
      </c>
      <c r="H1891" s="1">
        <v>1</v>
      </c>
      <c r="I1891" s="1">
        <v>0</v>
      </c>
      <c r="J1891" s="1">
        <v>1</v>
      </c>
      <c r="K1891" s="1">
        <v>1</v>
      </c>
      <c r="L1891" s="1">
        <v>0</v>
      </c>
      <c r="M1891" s="1">
        <v>0</v>
      </c>
    </row>
    <row r="1892" spans="1:13">
      <c r="A1892" s="1">
        <v>1891</v>
      </c>
      <c r="B1892" s="1">
        <v>879259.26850000001</v>
      </c>
      <c r="C1892" s="1">
        <v>933337.81876331801</v>
      </c>
      <c r="D1892" s="1">
        <f t="shared" si="29"/>
        <v>-54078.550263318</v>
      </c>
      <c r="E1892" s="1">
        <v>8</v>
      </c>
      <c r="F1892" s="1">
        <v>21</v>
      </c>
      <c r="G1892" s="1">
        <v>6</v>
      </c>
      <c r="H1892" s="1">
        <v>1</v>
      </c>
      <c r="I1892" s="1">
        <v>0</v>
      </c>
      <c r="J1892" s="1">
        <v>1</v>
      </c>
      <c r="K1892" s="1">
        <v>1</v>
      </c>
      <c r="L1892" s="1">
        <v>0</v>
      </c>
      <c r="M1892" s="1">
        <v>0</v>
      </c>
    </row>
    <row r="1893" spans="1:13">
      <c r="A1893" s="1">
        <v>1892</v>
      </c>
      <c r="B1893" s="1">
        <v>1035972.7323</v>
      </c>
      <c r="C1893" s="1">
        <v>777334.31884276622</v>
      </c>
      <c r="D1893" s="1">
        <f t="shared" si="29"/>
        <v>258638.41345723381</v>
      </c>
      <c r="E1893" s="1">
        <v>11</v>
      </c>
      <c r="F1893" s="1">
        <v>19</v>
      </c>
      <c r="G1893" s="1">
        <v>5</v>
      </c>
      <c r="H1893" s="1">
        <v>0</v>
      </c>
      <c r="I1893" s="1">
        <v>0</v>
      </c>
      <c r="J1893" s="1">
        <v>0</v>
      </c>
      <c r="K1893" s="1">
        <v>1</v>
      </c>
      <c r="L1893" s="1">
        <v>0</v>
      </c>
      <c r="M1893" s="1">
        <v>0</v>
      </c>
    </row>
    <row r="1894" spans="1:13">
      <c r="A1894" s="1">
        <v>1893</v>
      </c>
      <c r="B1894" s="1">
        <v>1043605.8387</v>
      </c>
      <c r="C1894" s="1">
        <v>591104.75599272549</v>
      </c>
      <c r="D1894" s="1">
        <f t="shared" si="29"/>
        <v>452501.08270727447</v>
      </c>
      <c r="E1894" s="1">
        <v>4</v>
      </c>
      <c r="F1894" s="1">
        <v>27</v>
      </c>
      <c r="G1894" s="1">
        <v>4</v>
      </c>
      <c r="H1894" s="1">
        <v>2</v>
      </c>
      <c r="I1894" s="1">
        <v>0</v>
      </c>
      <c r="J1894" s="1">
        <v>2</v>
      </c>
      <c r="K1894" s="1">
        <v>0</v>
      </c>
      <c r="L1894" s="1">
        <v>0</v>
      </c>
      <c r="M1894" s="1">
        <v>0</v>
      </c>
    </row>
    <row r="1895" spans="1:13">
      <c r="A1895" s="1">
        <v>1894</v>
      </c>
      <c r="B1895" s="1">
        <v>952080.89969999995</v>
      </c>
      <c r="C1895" s="1">
        <v>789577.5630915513</v>
      </c>
      <c r="D1895" s="1">
        <f t="shared" si="29"/>
        <v>162503.33660844865</v>
      </c>
      <c r="E1895" s="1">
        <v>13</v>
      </c>
      <c r="F1895" s="1">
        <v>17</v>
      </c>
      <c r="G1895" s="1">
        <v>5</v>
      </c>
      <c r="H1895" s="1">
        <v>2</v>
      </c>
      <c r="I1895" s="1">
        <v>0</v>
      </c>
      <c r="J1895" s="1">
        <v>1</v>
      </c>
      <c r="K1895" s="1">
        <v>1</v>
      </c>
      <c r="L1895" s="1">
        <v>0</v>
      </c>
      <c r="M1895" s="1">
        <v>0</v>
      </c>
    </row>
    <row r="1896" spans="1:13">
      <c r="A1896" s="1">
        <v>1895</v>
      </c>
      <c r="B1896" s="1">
        <v>918038.91020000004</v>
      </c>
      <c r="C1896" s="1">
        <v>688893.02584110678</v>
      </c>
      <c r="D1896" s="1">
        <f t="shared" si="29"/>
        <v>229145.88435889327</v>
      </c>
      <c r="E1896" s="1">
        <v>18</v>
      </c>
      <c r="F1896" s="1">
        <v>10</v>
      </c>
      <c r="G1896" s="1">
        <v>7</v>
      </c>
      <c r="H1896" s="1">
        <v>0</v>
      </c>
      <c r="I1896" s="1">
        <v>0</v>
      </c>
      <c r="J1896" s="1">
        <v>0</v>
      </c>
      <c r="K1896" s="1">
        <v>0</v>
      </c>
      <c r="L1896" s="1">
        <v>0</v>
      </c>
      <c r="M1896" s="1">
        <v>1</v>
      </c>
    </row>
    <row r="1897" spans="1:13">
      <c r="A1897" s="1">
        <v>1896</v>
      </c>
      <c r="B1897" s="1">
        <v>1001833.6012</v>
      </c>
      <c r="C1897" s="1">
        <v>802359.20821801317</v>
      </c>
      <c r="D1897" s="1">
        <f t="shared" si="29"/>
        <v>199474.39298198686</v>
      </c>
      <c r="E1897" s="1">
        <v>12</v>
      </c>
      <c r="F1897" s="1">
        <v>14</v>
      </c>
      <c r="G1897" s="1">
        <v>9</v>
      </c>
      <c r="H1897" s="1">
        <v>1</v>
      </c>
      <c r="I1897" s="1">
        <v>1</v>
      </c>
      <c r="J1897" s="1">
        <v>1</v>
      </c>
      <c r="K1897" s="1">
        <v>0</v>
      </c>
      <c r="L1897" s="1">
        <v>1</v>
      </c>
      <c r="M1897" s="1">
        <v>1</v>
      </c>
    </row>
    <row r="1898" spans="1:13">
      <c r="A1898" s="1">
        <v>1897</v>
      </c>
      <c r="B1898" s="1">
        <v>931654.84499999997</v>
      </c>
      <c r="C1898" s="1">
        <v>1401509.0423854874</v>
      </c>
      <c r="D1898" s="1">
        <f t="shared" si="29"/>
        <v>-469854.19738548738</v>
      </c>
      <c r="E1898" s="1">
        <v>12</v>
      </c>
      <c r="F1898" s="1">
        <v>12</v>
      </c>
      <c r="G1898" s="1">
        <v>11</v>
      </c>
      <c r="H1898" s="1">
        <v>2</v>
      </c>
      <c r="I1898" s="1">
        <v>0</v>
      </c>
      <c r="J1898" s="1">
        <v>2</v>
      </c>
      <c r="K1898" s="1">
        <v>0</v>
      </c>
      <c r="L1898" s="1">
        <v>0</v>
      </c>
      <c r="M1898" s="1">
        <v>1</v>
      </c>
    </row>
    <row r="1899" spans="1:13">
      <c r="A1899" s="1">
        <v>1898</v>
      </c>
      <c r="B1899" s="1">
        <v>966969.4682</v>
      </c>
      <c r="C1899" s="1">
        <v>1061483.8879796423</v>
      </c>
      <c r="D1899" s="1">
        <f t="shared" si="29"/>
        <v>-94514.419779642252</v>
      </c>
      <c r="E1899" s="1">
        <v>12</v>
      </c>
      <c r="F1899" s="1">
        <v>18</v>
      </c>
      <c r="G1899" s="1">
        <v>5</v>
      </c>
      <c r="H1899" s="1">
        <v>0</v>
      </c>
      <c r="I1899" s="1">
        <v>0</v>
      </c>
      <c r="J1899" s="1">
        <v>0</v>
      </c>
      <c r="K1899" s="1">
        <v>0</v>
      </c>
      <c r="L1899" s="1">
        <v>0</v>
      </c>
      <c r="M1899" s="1">
        <v>1</v>
      </c>
    </row>
    <row r="1900" spans="1:13">
      <c r="A1900" s="1">
        <v>1899</v>
      </c>
      <c r="B1900" s="1">
        <v>898233.52159999998</v>
      </c>
      <c r="C1900" s="1">
        <v>1120537.6425852017</v>
      </c>
      <c r="D1900" s="1">
        <f t="shared" si="29"/>
        <v>-222304.12098520168</v>
      </c>
      <c r="E1900" s="1">
        <v>13</v>
      </c>
      <c r="F1900" s="1">
        <v>19</v>
      </c>
      <c r="G1900" s="1">
        <v>3</v>
      </c>
      <c r="H1900" s="1">
        <v>1</v>
      </c>
      <c r="I1900" s="1">
        <v>0</v>
      </c>
      <c r="J1900" s="1">
        <v>1</v>
      </c>
      <c r="K1900" s="1">
        <v>0</v>
      </c>
      <c r="L1900" s="1">
        <v>1</v>
      </c>
      <c r="M1900" s="1">
        <v>1</v>
      </c>
    </row>
    <row r="1901" spans="1:13">
      <c r="A1901" s="1">
        <v>1900</v>
      </c>
      <c r="B1901" s="1">
        <v>1029157.1360000001</v>
      </c>
      <c r="C1901" s="1">
        <v>677067.38917358452</v>
      </c>
      <c r="D1901" s="1">
        <f t="shared" si="29"/>
        <v>352089.74682641553</v>
      </c>
      <c r="E1901" s="1">
        <v>16</v>
      </c>
      <c r="F1901" s="1">
        <v>15</v>
      </c>
      <c r="G1901" s="1">
        <v>4</v>
      </c>
      <c r="H1901" s="1">
        <v>0</v>
      </c>
      <c r="I1901" s="1">
        <v>0</v>
      </c>
      <c r="J1901" s="1">
        <v>1</v>
      </c>
      <c r="K1901" s="1">
        <v>1</v>
      </c>
      <c r="L1901" s="1">
        <v>0</v>
      </c>
      <c r="M1901" s="1">
        <v>0</v>
      </c>
    </row>
    <row r="1902" spans="1:13">
      <c r="A1902" s="1">
        <v>1901</v>
      </c>
      <c r="B1902" s="1">
        <v>984730.18920000002</v>
      </c>
      <c r="C1902" s="1">
        <v>690269.08085815015</v>
      </c>
      <c r="D1902" s="1">
        <f t="shared" si="29"/>
        <v>294461.10834184987</v>
      </c>
      <c r="E1902" s="1">
        <v>9</v>
      </c>
      <c r="F1902" s="1">
        <v>18</v>
      </c>
      <c r="G1902" s="1">
        <v>8</v>
      </c>
      <c r="H1902" s="1">
        <v>0</v>
      </c>
      <c r="I1902" s="1">
        <v>0</v>
      </c>
      <c r="J1902" s="1">
        <v>0</v>
      </c>
      <c r="K1902" s="1">
        <v>1</v>
      </c>
      <c r="L1902" s="1">
        <v>1</v>
      </c>
      <c r="M1902" s="1">
        <v>0</v>
      </c>
    </row>
    <row r="1903" spans="1:13">
      <c r="A1903" s="1">
        <v>1902</v>
      </c>
      <c r="B1903" s="1">
        <v>936305.20629999996</v>
      </c>
      <c r="C1903" s="1">
        <v>1276922.428691152</v>
      </c>
      <c r="D1903" s="1">
        <f t="shared" si="29"/>
        <v>-340617.22239115206</v>
      </c>
      <c r="E1903" s="1">
        <v>10</v>
      </c>
      <c r="F1903" s="1">
        <v>19</v>
      </c>
      <c r="G1903" s="1">
        <v>6</v>
      </c>
      <c r="H1903" s="1">
        <v>2</v>
      </c>
      <c r="I1903" s="1">
        <v>0</v>
      </c>
      <c r="J1903" s="1">
        <v>0</v>
      </c>
      <c r="K1903" s="1">
        <v>1</v>
      </c>
      <c r="L1903" s="1">
        <v>0</v>
      </c>
      <c r="M1903" s="1">
        <v>0</v>
      </c>
    </row>
    <row r="1904" spans="1:13">
      <c r="A1904" s="1">
        <v>1903</v>
      </c>
      <c r="B1904" s="1">
        <v>1018004.7287</v>
      </c>
      <c r="C1904" s="1">
        <v>707835.95392022922</v>
      </c>
      <c r="D1904" s="1">
        <f t="shared" si="29"/>
        <v>310168.77477977076</v>
      </c>
      <c r="E1904" s="1">
        <v>8</v>
      </c>
      <c r="F1904" s="1">
        <v>17</v>
      </c>
      <c r="G1904" s="1">
        <v>10</v>
      </c>
      <c r="H1904" s="1">
        <v>1</v>
      </c>
      <c r="I1904" s="1">
        <v>0</v>
      </c>
      <c r="J1904" s="1">
        <v>1</v>
      </c>
      <c r="K1904" s="1">
        <v>0</v>
      </c>
      <c r="L1904" s="1">
        <v>0</v>
      </c>
      <c r="M1904" s="1">
        <v>0</v>
      </c>
    </row>
    <row r="1905" spans="1:13">
      <c r="A1905" s="1">
        <v>1904</v>
      </c>
      <c r="B1905" s="1">
        <v>1020442.7181000001</v>
      </c>
      <c r="C1905" s="1">
        <v>605943.68515226094</v>
      </c>
      <c r="D1905" s="1">
        <f t="shared" si="29"/>
        <v>414499.03294773912</v>
      </c>
      <c r="E1905" s="1">
        <v>7</v>
      </c>
      <c r="F1905" s="1">
        <v>24</v>
      </c>
      <c r="G1905" s="1">
        <v>4</v>
      </c>
      <c r="H1905" s="1">
        <v>2</v>
      </c>
      <c r="I1905" s="1">
        <v>0</v>
      </c>
      <c r="J1905" s="1">
        <v>0</v>
      </c>
      <c r="K1905" s="1">
        <v>1</v>
      </c>
      <c r="L1905" s="1">
        <v>0</v>
      </c>
      <c r="M1905" s="1">
        <v>1</v>
      </c>
    </row>
    <row r="1906" spans="1:13">
      <c r="A1906" s="1">
        <v>1905</v>
      </c>
      <c r="B1906" s="1">
        <v>918674.78319999995</v>
      </c>
      <c r="C1906" s="1">
        <v>708424.5177138485</v>
      </c>
      <c r="D1906" s="1">
        <f t="shared" si="29"/>
        <v>210250.26548615145</v>
      </c>
      <c r="E1906" s="1">
        <v>15</v>
      </c>
      <c r="F1906" s="1">
        <v>13</v>
      </c>
      <c r="G1906" s="1">
        <v>7</v>
      </c>
      <c r="H1906" s="1">
        <v>0</v>
      </c>
      <c r="I1906" s="1">
        <v>0</v>
      </c>
      <c r="J1906" s="1">
        <v>1</v>
      </c>
      <c r="K1906" s="1">
        <v>1</v>
      </c>
      <c r="L1906" s="1">
        <v>0</v>
      </c>
      <c r="M1906" s="1">
        <v>0</v>
      </c>
    </row>
    <row r="1907" spans="1:13">
      <c r="A1907" s="1">
        <v>1906</v>
      </c>
      <c r="B1907" s="1">
        <v>785727.90520000004</v>
      </c>
      <c r="C1907" s="1">
        <v>1000137.5820081441</v>
      </c>
      <c r="D1907" s="1">
        <f t="shared" si="29"/>
        <v>-214409.67680814408</v>
      </c>
      <c r="E1907" s="1">
        <v>21</v>
      </c>
      <c r="F1907" s="1">
        <v>13</v>
      </c>
      <c r="G1907" s="1">
        <v>1</v>
      </c>
      <c r="H1907" s="1">
        <v>0</v>
      </c>
      <c r="I1907" s="1">
        <v>0</v>
      </c>
      <c r="J1907" s="1">
        <v>0</v>
      </c>
      <c r="K1907" s="1">
        <v>2</v>
      </c>
      <c r="L1907" s="1">
        <v>0</v>
      </c>
      <c r="M1907" s="1">
        <v>0</v>
      </c>
    </row>
    <row r="1908" spans="1:13">
      <c r="A1908" s="1">
        <v>1907</v>
      </c>
      <c r="B1908" s="1">
        <v>898435.11609999998</v>
      </c>
      <c r="C1908" s="1">
        <v>784648.679181944</v>
      </c>
      <c r="D1908" s="1">
        <f t="shared" si="29"/>
        <v>113786.43691805599</v>
      </c>
      <c r="E1908" s="1">
        <v>15</v>
      </c>
      <c r="F1908" s="1">
        <v>15</v>
      </c>
      <c r="G1908" s="1">
        <v>5</v>
      </c>
      <c r="H1908" s="1">
        <v>1</v>
      </c>
      <c r="I1908" s="1">
        <v>0</v>
      </c>
      <c r="J1908" s="1">
        <v>1</v>
      </c>
      <c r="K1908" s="1">
        <v>1</v>
      </c>
      <c r="L1908" s="1">
        <v>0</v>
      </c>
      <c r="M1908" s="1">
        <v>0</v>
      </c>
    </row>
    <row r="1909" spans="1:13">
      <c r="A1909" s="1">
        <v>1908</v>
      </c>
      <c r="B1909" s="1">
        <v>872641.32689999999</v>
      </c>
      <c r="C1909" s="1">
        <v>997373.74665317964</v>
      </c>
      <c r="D1909" s="1">
        <f t="shared" si="29"/>
        <v>-124732.41975317965</v>
      </c>
      <c r="E1909" s="1">
        <v>16</v>
      </c>
      <c r="F1909" s="1">
        <v>14</v>
      </c>
      <c r="G1909" s="1">
        <v>5</v>
      </c>
      <c r="H1909" s="1">
        <v>1</v>
      </c>
      <c r="I1909" s="1">
        <v>1</v>
      </c>
      <c r="J1909" s="1">
        <v>1</v>
      </c>
      <c r="K1909" s="1">
        <v>1</v>
      </c>
      <c r="L1909" s="1">
        <v>0</v>
      </c>
      <c r="M1909" s="1">
        <v>1</v>
      </c>
    </row>
    <row r="1910" spans="1:13">
      <c r="A1910" s="1">
        <v>1909</v>
      </c>
      <c r="B1910" s="1">
        <v>968500.66540000006</v>
      </c>
      <c r="C1910" s="1">
        <v>870679.16484989319</v>
      </c>
      <c r="D1910" s="1">
        <f t="shared" si="29"/>
        <v>97821.500550106866</v>
      </c>
      <c r="E1910" s="1">
        <v>8</v>
      </c>
      <c r="F1910" s="1">
        <v>21</v>
      </c>
      <c r="G1910" s="1">
        <v>6</v>
      </c>
      <c r="H1910" s="1">
        <v>0</v>
      </c>
      <c r="I1910" s="1">
        <v>0</v>
      </c>
      <c r="J1910" s="1">
        <v>1</v>
      </c>
      <c r="K1910" s="1">
        <v>1</v>
      </c>
      <c r="L1910" s="1">
        <v>0</v>
      </c>
      <c r="M1910" s="1">
        <v>0</v>
      </c>
    </row>
    <row r="1911" spans="1:13">
      <c r="A1911" s="1">
        <v>1910</v>
      </c>
      <c r="B1911" s="1">
        <v>886579.68519999995</v>
      </c>
      <c r="C1911" s="1">
        <v>807993.2743577864</v>
      </c>
      <c r="D1911" s="1">
        <f t="shared" si="29"/>
        <v>78586.410842213547</v>
      </c>
      <c r="E1911" s="1">
        <v>14</v>
      </c>
      <c r="F1911" s="1">
        <v>14</v>
      </c>
      <c r="G1911" s="1">
        <v>7</v>
      </c>
      <c r="H1911" s="1">
        <v>1</v>
      </c>
      <c r="I1911" s="1">
        <v>0</v>
      </c>
      <c r="J1911" s="1">
        <v>0</v>
      </c>
      <c r="K1911" s="1">
        <v>0</v>
      </c>
      <c r="L1911" s="1">
        <v>0</v>
      </c>
      <c r="M1911" s="1">
        <v>0</v>
      </c>
    </row>
    <row r="1912" spans="1:13">
      <c r="A1912" s="1">
        <v>1911</v>
      </c>
      <c r="B1912" s="1">
        <v>920064.50919999997</v>
      </c>
      <c r="C1912" s="1">
        <v>641063.9295672382</v>
      </c>
      <c r="D1912" s="1">
        <f t="shared" si="29"/>
        <v>279000.57963276177</v>
      </c>
      <c r="E1912" s="1">
        <v>13</v>
      </c>
      <c r="F1912" s="1">
        <v>18</v>
      </c>
      <c r="G1912" s="1">
        <v>4</v>
      </c>
      <c r="H1912" s="1">
        <v>0</v>
      </c>
      <c r="I1912" s="1">
        <v>1</v>
      </c>
      <c r="J1912" s="1">
        <v>0</v>
      </c>
      <c r="K1912" s="1">
        <v>1</v>
      </c>
      <c r="L1912" s="1">
        <v>0</v>
      </c>
      <c r="M1912" s="1">
        <v>0</v>
      </c>
    </row>
    <row r="1913" spans="1:13">
      <c r="A1913" s="1">
        <v>1912</v>
      </c>
      <c r="B1913" s="1">
        <v>905919.62009999994</v>
      </c>
      <c r="C1913" s="1">
        <v>1407591.4547842555</v>
      </c>
      <c r="D1913" s="1">
        <f t="shared" si="29"/>
        <v>-501671.83468425553</v>
      </c>
      <c r="E1913" s="1">
        <v>10</v>
      </c>
      <c r="F1913" s="1">
        <v>18</v>
      </c>
      <c r="G1913" s="1">
        <v>7</v>
      </c>
      <c r="H1913" s="1">
        <v>0</v>
      </c>
      <c r="I1913" s="1">
        <v>0</v>
      </c>
      <c r="J1913" s="1">
        <v>1</v>
      </c>
      <c r="K1913" s="1">
        <v>0</v>
      </c>
      <c r="L1913" s="1">
        <v>0</v>
      </c>
      <c r="M1913" s="1">
        <v>0</v>
      </c>
    </row>
    <row r="1914" spans="1:13">
      <c r="A1914" s="1">
        <v>1913</v>
      </c>
      <c r="B1914" s="1">
        <v>891390.4057</v>
      </c>
      <c r="C1914" s="1">
        <v>924799.9437612911</v>
      </c>
      <c r="D1914" s="1">
        <f t="shared" si="29"/>
        <v>-33409.538061291096</v>
      </c>
      <c r="E1914" s="1">
        <v>6</v>
      </c>
      <c r="F1914" s="1">
        <v>24</v>
      </c>
      <c r="G1914" s="1">
        <v>5</v>
      </c>
      <c r="H1914" s="1">
        <v>0</v>
      </c>
      <c r="I1914" s="1">
        <v>0</v>
      </c>
      <c r="J1914" s="1">
        <v>2</v>
      </c>
      <c r="K1914" s="1">
        <v>0</v>
      </c>
      <c r="L1914" s="1">
        <v>0</v>
      </c>
      <c r="M1914" s="1">
        <v>0</v>
      </c>
    </row>
    <row r="1915" spans="1:13">
      <c r="A1915" s="1">
        <v>1914</v>
      </c>
      <c r="B1915" s="1">
        <v>910770.18559999997</v>
      </c>
      <c r="C1915" s="1">
        <v>1097278.1300894658</v>
      </c>
      <c r="D1915" s="1">
        <f t="shared" si="29"/>
        <v>-186507.94448946579</v>
      </c>
      <c r="E1915" s="1">
        <v>16</v>
      </c>
      <c r="F1915" s="1">
        <v>14</v>
      </c>
      <c r="G1915" s="1">
        <v>5</v>
      </c>
      <c r="H1915" s="1">
        <v>2</v>
      </c>
      <c r="I1915" s="1">
        <v>0</v>
      </c>
      <c r="J1915" s="1">
        <v>1</v>
      </c>
      <c r="K1915" s="1">
        <v>1</v>
      </c>
      <c r="L1915" s="1">
        <v>0</v>
      </c>
      <c r="M1915" s="1">
        <v>1</v>
      </c>
    </row>
    <row r="1916" spans="1:13">
      <c r="A1916" s="1">
        <v>1915</v>
      </c>
      <c r="B1916" s="1">
        <v>926579.87760000001</v>
      </c>
      <c r="C1916" s="1">
        <v>1159972.137079773</v>
      </c>
      <c r="D1916" s="1">
        <f t="shared" si="29"/>
        <v>-233392.259479773</v>
      </c>
      <c r="E1916" s="1">
        <v>13</v>
      </c>
      <c r="F1916" s="1">
        <v>17</v>
      </c>
      <c r="G1916" s="1">
        <v>5</v>
      </c>
      <c r="H1916" s="1">
        <v>0</v>
      </c>
      <c r="I1916" s="1">
        <v>0</v>
      </c>
      <c r="J1916" s="1">
        <v>0</v>
      </c>
      <c r="K1916" s="1">
        <v>0</v>
      </c>
      <c r="L1916" s="1">
        <v>0</v>
      </c>
      <c r="M1916" s="1">
        <v>0</v>
      </c>
    </row>
    <row r="1917" spans="1:13">
      <c r="A1917" s="1">
        <v>1916</v>
      </c>
      <c r="B1917" s="1">
        <v>939900.95200000005</v>
      </c>
      <c r="C1917" s="1">
        <v>976268.68918195646</v>
      </c>
      <c r="D1917" s="1">
        <f t="shared" si="29"/>
        <v>-36367.737181956414</v>
      </c>
      <c r="E1917" s="1">
        <v>27</v>
      </c>
      <c r="F1917" s="1">
        <v>7</v>
      </c>
      <c r="G1917" s="1">
        <v>1</v>
      </c>
      <c r="H1917" s="1">
        <v>0</v>
      </c>
      <c r="I1917" s="1">
        <v>0</v>
      </c>
      <c r="J1917" s="1">
        <v>1</v>
      </c>
      <c r="K1917" s="1">
        <v>1</v>
      </c>
      <c r="L1917" s="1">
        <v>0</v>
      </c>
      <c r="M1917" s="1">
        <v>0</v>
      </c>
    </row>
    <row r="1918" spans="1:13">
      <c r="A1918" s="1">
        <v>1917</v>
      </c>
      <c r="B1918" s="1">
        <v>873964.87549999997</v>
      </c>
      <c r="C1918" s="1">
        <v>672652.03719808965</v>
      </c>
      <c r="D1918" s="1">
        <f t="shared" si="29"/>
        <v>201312.83830191032</v>
      </c>
      <c r="E1918" s="1">
        <v>18</v>
      </c>
      <c r="F1918" s="1">
        <v>15</v>
      </c>
      <c r="G1918" s="1">
        <v>2</v>
      </c>
      <c r="H1918" s="1">
        <v>1</v>
      </c>
      <c r="I1918" s="1">
        <v>1</v>
      </c>
      <c r="J1918" s="1">
        <v>2</v>
      </c>
      <c r="K1918" s="1">
        <v>0</v>
      </c>
      <c r="L1918" s="1">
        <v>0</v>
      </c>
      <c r="M1918" s="1">
        <v>0</v>
      </c>
    </row>
    <row r="1919" spans="1:13">
      <c r="A1919" s="1">
        <v>1918</v>
      </c>
      <c r="B1919" s="1">
        <v>935639.61789999995</v>
      </c>
      <c r="C1919" s="1">
        <v>1182062.0445264219</v>
      </c>
      <c r="D1919" s="1">
        <f t="shared" si="29"/>
        <v>-246422.42662642198</v>
      </c>
      <c r="E1919" s="1">
        <v>9</v>
      </c>
      <c r="F1919" s="1">
        <v>24</v>
      </c>
      <c r="G1919" s="1">
        <v>2</v>
      </c>
      <c r="H1919" s="1">
        <v>0</v>
      </c>
      <c r="I1919" s="1">
        <v>1</v>
      </c>
      <c r="J1919" s="1">
        <v>1</v>
      </c>
      <c r="K1919" s="1">
        <v>0</v>
      </c>
      <c r="L1919" s="1">
        <v>1</v>
      </c>
      <c r="M1919" s="1">
        <v>1</v>
      </c>
    </row>
    <row r="1920" spans="1:13">
      <c r="A1920" s="1">
        <v>1919</v>
      </c>
      <c r="B1920" s="1">
        <v>845741.30689999997</v>
      </c>
      <c r="C1920" s="1">
        <v>1523495.1075777044</v>
      </c>
      <c r="D1920" s="1">
        <f t="shared" si="29"/>
        <v>-677753.80067770439</v>
      </c>
      <c r="E1920" s="1">
        <v>19</v>
      </c>
      <c r="F1920" s="1">
        <v>12</v>
      </c>
      <c r="G1920" s="1">
        <v>4</v>
      </c>
      <c r="H1920" s="1">
        <v>0</v>
      </c>
      <c r="I1920" s="1">
        <v>0</v>
      </c>
      <c r="J1920" s="1">
        <v>1</v>
      </c>
      <c r="K1920" s="1">
        <v>1</v>
      </c>
      <c r="L1920" s="1">
        <v>0</v>
      </c>
      <c r="M1920" s="1">
        <v>0</v>
      </c>
    </row>
    <row r="1921" spans="1:13">
      <c r="A1921" s="1">
        <v>1920</v>
      </c>
      <c r="B1921" s="1">
        <v>924821.66830000002</v>
      </c>
      <c r="C1921" s="1">
        <v>786470.16893793456</v>
      </c>
      <c r="D1921" s="1">
        <f t="shared" si="29"/>
        <v>138351.49936206546</v>
      </c>
      <c r="E1921" s="1">
        <v>15</v>
      </c>
      <c r="F1921" s="1">
        <v>16</v>
      </c>
      <c r="G1921" s="1">
        <v>4</v>
      </c>
      <c r="H1921" s="1">
        <v>1</v>
      </c>
      <c r="I1921" s="1">
        <v>0</v>
      </c>
      <c r="J1921" s="1">
        <v>0</v>
      </c>
      <c r="K1921" s="1">
        <v>2</v>
      </c>
      <c r="L1921" s="1">
        <v>0</v>
      </c>
      <c r="M1921" s="1">
        <v>0</v>
      </c>
    </row>
    <row r="1922" spans="1:13">
      <c r="A1922" s="1">
        <v>1921</v>
      </c>
      <c r="B1922" s="1">
        <v>933487.66709999996</v>
      </c>
      <c r="C1922" s="1">
        <v>705782.63691728539</v>
      </c>
      <c r="D1922" s="1">
        <f t="shared" ref="D1922:D1985" si="30">B1922-C1922</f>
        <v>227705.03018271457</v>
      </c>
      <c r="E1922" s="1">
        <v>5</v>
      </c>
      <c r="F1922" s="1">
        <v>22</v>
      </c>
      <c r="G1922" s="1">
        <v>8</v>
      </c>
      <c r="H1922" s="1">
        <v>1</v>
      </c>
      <c r="I1922" s="1">
        <v>0</v>
      </c>
      <c r="J1922" s="1">
        <v>1</v>
      </c>
      <c r="K1922" s="1">
        <v>1</v>
      </c>
      <c r="L1922" s="1">
        <v>0</v>
      </c>
      <c r="M1922" s="1">
        <v>0</v>
      </c>
    </row>
    <row r="1923" spans="1:13">
      <c r="A1923" s="1">
        <v>1922</v>
      </c>
      <c r="B1923" s="1">
        <v>895725.37210000004</v>
      </c>
      <c r="C1923" s="1">
        <v>767818.80412992032</v>
      </c>
      <c r="D1923" s="1">
        <f t="shared" si="30"/>
        <v>127906.56797007972</v>
      </c>
      <c r="E1923" s="1">
        <v>19</v>
      </c>
      <c r="F1923" s="1">
        <v>13</v>
      </c>
      <c r="G1923" s="1">
        <v>3</v>
      </c>
      <c r="H1923" s="1">
        <v>1</v>
      </c>
      <c r="I1923" s="1">
        <v>0</v>
      </c>
      <c r="J1923" s="1">
        <v>2</v>
      </c>
      <c r="K1923" s="1">
        <v>0</v>
      </c>
      <c r="L1923" s="1">
        <v>0</v>
      </c>
      <c r="M1923" s="1">
        <v>1</v>
      </c>
    </row>
    <row r="1924" spans="1:13">
      <c r="A1924" s="1">
        <v>1923</v>
      </c>
      <c r="B1924" s="1">
        <v>898449.95660000003</v>
      </c>
      <c r="C1924" s="1">
        <v>962116.23384269013</v>
      </c>
      <c r="D1924" s="1">
        <f t="shared" si="30"/>
        <v>-63666.277242690092</v>
      </c>
      <c r="E1924" s="1">
        <v>20</v>
      </c>
      <c r="F1924" s="1">
        <v>11</v>
      </c>
      <c r="G1924" s="1">
        <v>4</v>
      </c>
      <c r="H1924" s="1">
        <v>2</v>
      </c>
      <c r="I1924" s="1">
        <v>0</v>
      </c>
      <c r="J1924" s="1">
        <v>0</v>
      </c>
      <c r="K1924" s="1">
        <v>1</v>
      </c>
      <c r="L1924" s="1">
        <v>0</v>
      </c>
      <c r="M1924" s="1">
        <v>0</v>
      </c>
    </row>
    <row r="1925" spans="1:13">
      <c r="A1925" s="1">
        <v>1924</v>
      </c>
      <c r="B1925" s="1">
        <v>826766.64879999997</v>
      </c>
      <c r="C1925" s="1">
        <v>887622.37776315375</v>
      </c>
      <c r="D1925" s="1">
        <f t="shared" si="30"/>
        <v>-60855.728963153786</v>
      </c>
      <c r="E1925" s="1">
        <v>16</v>
      </c>
      <c r="F1925" s="1">
        <v>14</v>
      </c>
      <c r="G1925" s="1">
        <v>5</v>
      </c>
      <c r="H1925" s="1">
        <v>2</v>
      </c>
      <c r="I1925" s="1">
        <v>0</v>
      </c>
      <c r="J1925" s="1">
        <v>0</v>
      </c>
      <c r="K1925" s="1">
        <v>1</v>
      </c>
      <c r="L1925" s="1">
        <v>0</v>
      </c>
      <c r="M1925" s="1">
        <v>0</v>
      </c>
    </row>
    <row r="1926" spans="1:13">
      <c r="A1926" s="1">
        <v>1925</v>
      </c>
      <c r="B1926" s="1">
        <v>1009516.8786000001</v>
      </c>
      <c r="C1926" s="1">
        <v>1433802.9015212997</v>
      </c>
      <c r="D1926" s="1">
        <f t="shared" si="30"/>
        <v>-424286.02292129968</v>
      </c>
      <c r="E1926" s="1">
        <v>18</v>
      </c>
      <c r="F1926" s="1">
        <v>12</v>
      </c>
      <c r="G1926" s="1">
        <v>5</v>
      </c>
      <c r="H1926" s="1">
        <v>2</v>
      </c>
      <c r="I1926" s="1">
        <v>0</v>
      </c>
      <c r="J1926" s="1">
        <v>1</v>
      </c>
      <c r="K1926" s="1">
        <v>1</v>
      </c>
      <c r="L1926" s="1">
        <v>0</v>
      </c>
      <c r="M1926" s="1">
        <v>0</v>
      </c>
    </row>
    <row r="1927" spans="1:13">
      <c r="A1927" s="1">
        <v>1926</v>
      </c>
      <c r="B1927" s="1">
        <v>918288.4449</v>
      </c>
      <c r="C1927" s="1">
        <v>1102398.7375749908</v>
      </c>
      <c r="D1927" s="1">
        <f t="shared" si="30"/>
        <v>-184110.29267499084</v>
      </c>
      <c r="E1927" s="1">
        <v>7</v>
      </c>
      <c r="F1927" s="1">
        <v>24</v>
      </c>
      <c r="G1927" s="1">
        <v>4</v>
      </c>
      <c r="H1927" s="1">
        <v>0</v>
      </c>
      <c r="I1927" s="1">
        <v>1</v>
      </c>
      <c r="J1927" s="1">
        <v>0</v>
      </c>
      <c r="K1927" s="1">
        <v>1</v>
      </c>
      <c r="L1927" s="1">
        <v>0</v>
      </c>
      <c r="M1927" s="1">
        <v>0</v>
      </c>
    </row>
    <row r="1928" spans="1:13">
      <c r="A1928" s="1">
        <v>1927</v>
      </c>
      <c r="B1928" s="1">
        <v>1026296.1289</v>
      </c>
      <c r="C1928" s="1">
        <v>787348.14480245358</v>
      </c>
      <c r="D1928" s="1">
        <f t="shared" si="30"/>
        <v>238947.98409754643</v>
      </c>
      <c r="E1928" s="1">
        <v>10</v>
      </c>
      <c r="F1928" s="1">
        <v>23</v>
      </c>
      <c r="G1928" s="1">
        <v>2</v>
      </c>
      <c r="H1928" s="1">
        <v>1</v>
      </c>
      <c r="I1928" s="1">
        <v>0</v>
      </c>
      <c r="J1928" s="1">
        <v>1</v>
      </c>
      <c r="K1928" s="1">
        <v>1</v>
      </c>
      <c r="L1928" s="1">
        <v>0</v>
      </c>
      <c r="M1928" s="1">
        <v>0</v>
      </c>
    </row>
    <row r="1929" spans="1:13">
      <c r="A1929" s="1">
        <v>1928</v>
      </c>
      <c r="B1929" s="1">
        <v>989199.3003</v>
      </c>
      <c r="C1929" s="1">
        <v>1481253.0283684316</v>
      </c>
      <c r="D1929" s="1">
        <f t="shared" si="30"/>
        <v>-492053.72806843161</v>
      </c>
      <c r="E1929" s="1">
        <v>5</v>
      </c>
      <c r="F1929" s="1">
        <v>25</v>
      </c>
      <c r="G1929" s="1">
        <v>5</v>
      </c>
      <c r="H1929" s="1">
        <v>1</v>
      </c>
      <c r="I1929" s="1">
        <v>0</v>
      </c>
      <c r="J1929" s="1">
        <v>0</v>
      </c>
      <c r="K1929" s="1">
        <v>1</v>
      </c>
      <c r="L1929" s="1">
        <v>0</v>
      </c>
      <c r="M1929" s="1">
        <v>0</v>
      </c>
    </row>
    <row r="1930" spans="1:13">
      <c r="A1930" s="1">
        <v>1929</v>
      </c>
      <c r="B1930" s="1">
        <v>966686.71759999997</v>
      </c>
      <c r="C1930" s="1">
        <v>1356615.7232606211</v>
      </c>
      <c r="D1930" s="1">
        <f t="shared" si="30"/>
        <v>-389929.0056606211</v>
      </c>
      <c r="E1930" s="1">
        <v>17</v>
      </c>
      <c r="F1930" s="1">
        <v>11</v>
      </c>
      <c r="G1930" s="1">
        <v>7</v>
      </c>
      <c r="H1930" s="1">
        <v>1</v>
      </c>
      <c r="I1930" s="1">
        <v>1</v>
      </c>
      <c r="J1930" s="1">
        <v>0</v>
      </c>
      <c r="K1930" s="1">
        <v>0</v>
      </c>
      <c r="L1930" s="1">
        <v>0</v>
      </c>
      <c r="M1930" s="1">
        <v>0</v>
      </c>
    </row>
    <row r="1931" spans="1:13">
      <c r="A1931" s="1">
        <v>1930</v>
      </c>
      <c r="B1931" s="1">
        <v>1019044.7909</v>
      </c>
      <c r="C1931" s="1">
        <v>689040.21388482058</v>
      </c>
      <c r="D1931" s="1">
        <f t="shared" si="30"/>
        <v>330004.57701517944</v>
      </c>
      <c r="E1931" s="1">
        <v>9</v>
      </c>
      <c r="F1931" s="1">
        <v>23</v>
      </c>
      <c r="G1931" s="1">
        <v>3</v>
      </c>
      <c r="H1931" s="1">
        <v>2</v>
      </c>
      <c r="I1931" s="1">
        <v>0</v>
      </c>
      <c r="J1931" s="1">
        <v>2</v>
      </c>
      <c r="K1931" s="1">
        <v>0</v>
      </c>
      <c r="L1931" s="1">
        <v>0</v>
      </c>
      <c r="M1931" s="1">
        <v>1</v>
      </c>
    </row>
    <row r="1932" spans="1:13">
      <c r="A1932" s="1">
        <v>1931</v>
      </c>
      <c r="B1932" s="1">
        <v>968855.68940000003</v>
      </c>
      <c r="C1932" s="1">
        <v>1379612.218650396</v>
      </c>
      <c r="D1932" s="1">
        <f t="shared" si="30"/>
        <v>-410756.52925039595</v>
      </c>
      <c r="E1932" s="1">
        <v>7</v>
      </c>
      <c r="F1932" s="1">
        <v>25</v>
      </c>
      <c r="G1932" s="1">
        <v>3</v>
      </c>
      <c r="H1932" s="1">
        <v>0</v>
      </c>
      <c r="I1932" s="1">
        <v>0</v>
      </c>
      <c r="J1932" s="1">
        <v>2</v>
      </c>
      <c r="K1932" s="1">
        <v>0</v>
      </c>
      <c r="L1932" s="1">
        <v>0</v>
      </c>
      <c r="M1932" s="1">
        <v>1</v>
      </c>
    </row>
    <row r="1933" spans="1:13">
      <c r="A1933" s="1">
        <v>1932</v>
      </c>
      <c r="B1933" s="1">
        <v>915005.58259999997</v>
      </c>
      <c r="C1933" s="1">
        <v>543812.38124798879</v>
      </c>
      <c r="D1933" s="1">
        <f t="shared" si="30"/>
        <v>371193.20135201118</v>
      </c>
      <c r="E1933" s="1">
        <v>6</v>
      </c>
      <c r="F1933" s="1">
        <v>24</v>
      </c>
      <c r="G1933" s="1">
        <v>5</v>
      </c>
      <c r="H1933" s="1">
        <v>0</v>
      </c>
      <c r="I1933" s="1">
        <v>2</v>
      </c>
      <c r="J1933" s="1">
        <v>0</v>
      </c>
      <c r="K1933" s="1">
        <v>1</v>
      </c>
      <c r="L1933" s="1">
        <v>0</v>
      </c>
      <c r="M1933" s="1">
        <v>0</v>
      </c>
    </row>
    <row r="1934" spans="1:13">
      <c r="A1934" s="1">
        <v>1933</v>
      </c>
      <c r="B1934" s="1">
        <v>901316.23239999998</v>
      </c>
      <c r="C1934" s="1">
        <v>1168795.6171893417</v>
      </c>
      <c r="D1934" s="1">
        <f t="shared" si="30"/>
        <v>-267479.38478934171</v>
      </c>
      <c r="E1934" s="1">
        <v>15</v>
      </c>
      <c r="F1934" s="1">
        <v>16</v>
      </c>
      <c r="G1934" s="1">
        <v>4</v>
      </c>
      <c r="H1934" s="1">
        <v>1</v>
      </c>
      <c r="I1934" s="1">
        <v>1</v>
      </c>
      <c r="J1934" s="1">
        <v>0</v>
      </c>
      <c r="K1934" s="1">
        <v>0</v>
      </c>
      <c r="L1934" s="1">
        <v>0</v>
      </c>
      <c r="M1934" s="1">
        <v>0</v>
      </c>
    </row>
    <row r="1935" spans="1:13">
      <c r="A1935" s="1">
        <v>1934</v>
      </c>
      <c r="B1935" s="1">
        <v>898450.74569999997</v>
      </c>
      <c r="C1935" s="1">
        <v>923241.3322798335</v>
      </c>
      <c r="D1935" s="1">
        <f t="shared" si="30"/>
        <v>-24790.586579833529</v>
      </c>
      <c r="E1935" s="1">
        <v>16</v>
      </c>
      <c r="F1935" s="1">
        <v>15</v>
      </c>
      <c r="G1935" s="1">
        <v>4</v>
      </c>
      <c r="H1935" s="1">
        <v>0</v>
      </c>
      <c r="I1935" s="1">
        <v>0</v>
      </c>
      <c r="J1935" s="1">
        <v>0</v>
      </c>
      <c r="K1935" s="1">
        <v>1</v>
      </c>
      <c r="L1935" s="1">
        <v>0</v>
      </c>
      <c r="M1935" s="1">
        <v>0</v>
      </c>
    </row>
    <row r="1936" spans="1:13">
      <c r="A1936" s="1">
        <v>1935</v>
      </c>
      <c r="B1936" s="1">
        <v>996783.71180000005</v>
      </c>
      <c r="C1936" s="1">
        <v>1819859.3405502094</v>
      </c>
      <c r="D1936" s="1">
        <f t="shared" si="30"/>
        <v>-823075.62875020935</v>
      </c>
      <c r="E1936" s="1">
        <v>14</v>
      </c>
      <c r="F1936" s="1">
        <v>16</v>
      </c>
      <c r="G1936" s="1">
        <v>5</v>
      </c>
      <c r="H1936" s="1">
        <v>0</v>
      </c>
      <c r="I1936" s="1">
        <v>0</v>
      </c>
      <c r="J1936" s="1">
        <v>2</v>
      </c>
      <c r="K1936" s="1">
        <v>0</v>
      </c>
      <c r="L1936" s="1">
        <v>0</v>
      </c>
      <c r="M1936" s="1">
        <v>1</v>
      </c>
    </row>
    <row r="1937" spans="1:13">
      <c r="A1937" s="1">
        <v>1936</v>
      </c>
      <c r="B1937" s="1">
        <v>856637.67480000004</v>
      </c>
      <c r="C1937" s="1">
        <v>923884.5507131347</v>
      </c>
      <c r="D1937" s="1">
        <f t="shared" si="30"/>
        <v>-67246.87591313466</v>
      </c>
      <c r="E1937" s="1">
        <v>22</v>
      </c>
      <c r="F1937" s="1">
        <v>9</v>
      </c>
      <c r="G1937" s="1">
        <v>4</v>
      </c>
      <c r="H1937" s="1">
        <v>0</v>
      </c>
      <c r="I1937" s="1">
        <v>0</v>
      </c>
      <c r="J1937" s="1">
        <v>1</v>
      </c>
      <c r="K1937" s="1">
        <v>0</v>
      </c>
      <c r="L1937" s="1">
        <v>0</v>
      </c>
      <c r="M1937" s="1">
        <v>0</v>
      </c>
    </row>
    <row r="1938" spans="1:13">
      <c r="A1938" s="1">
        <v>1937</v>
      </c>
      <c r="B1938" s="1">
        <v>969063.3406</v>
      </c>
      <c r="C1938" s="1">
        <v>1511181.8547181785</v>
      </c>
      <c r="D1938" s="1">
        <f t="shared" si="30"/>
        <v>-542118.51411817851</v>
      </c>
      <c r="E1938" s="1">
        <v>19</v>
      </c>
      <c r="F1938" s="1">
        <v>14</v>
      </c>
      <c r="G1938" s="1">
        <v>2</v>
      </c>
      <c r="H1938" s="1">
        <v>2</v>
      </c>
      <c r="I1938" s="1">
        <v>0</v>
      </c>
      <c r="J1938" s="1">
        <v>0</v>
      </c>
      <c r="K1938" s="1">
        <v>1</v>
      </c>
      <c r="L1938" s="1">
        <v>0</v>
      </c>
      <c r="M1938" s="1">
        <v>0</v>
      </c>
    </row>
    <row r="1939" spans="1:13">
      <c r="A1939" s="1">
        <v>1938</v>
      </c>
      <c r="B1939" s="1">
        <v>970413.94539999997</v>
      </c>
      <c r="C1939" s="1">
        <v>484749.5448790224</v>
      </c>
      <c r="D1939" s="1">
        <f t="shared" si="30"/>
        <v>485664.40052097756</v>
      </c>
      <c r="E1939" s="1">
        <v>7</v>
      </c>
      <c r="F1939" s="1">
        <v>23</v>
      </c>
      <c r="G1939" s="1">
        <v>5</v>
      </c>
      <c r="H1939" s="1">
        <v>2</v>
      </c>
      <c r="I1939" s="1">
        <v>0</v>
      </c>
      <c r="J1939" s="1">
        <v>0</v>
      </c>
      <c r="K1939" s="1">
        <v>1</v>
      </c>
      <c r="L1939" s="1">
        <v>0</v>
      </c>
      <c r="M1939" s="1">
        <v>0</v>
      </c>
    </row>
    <row r="1940" spans="1:13">
      <c r="A1940" s="1">
        <v>1939</v>
      </c>
      <c r="B1940" s="1">
        <v>993188.45360000001</v>
      </c>
      <c r="C1940" s="1">
        <v>1213194.0843265811</v>
      </c>
      <c r="D1940" s="1">
        <f t="shared" si="30"/>
        <v>-220005.63072658109</v>
      </c>
      <c r="E1940" s="1">
        <v>15</v>
      </c>
      <c r="F1940" s="1">
        <v>15</v>
      </c>
      <c r="G1940" s="1">
        <v>5</v>
      </c>
      <c r="H1940" s="1">
        <v>1</v>
      </c>
      <c r="I1940" s="1">
        <v>0</v>
      </c>
      <c r="J1940" s="1">
        <v>1</v>
      </c>
      <c r="K1940" s="1">
        <v>1</v>
      </c>
      <c r="L1940" s="1">
        <v>0</v>
      </c>
      <c r="M1940" s="1">
        <v>0</v>
      </c>
    </row>
    <row r="1941" spans="1:13">
      <c r="A1941" s="1">
        <v>1940</v>
      </c>
      <c r="B1941" s="1">
        <v>965771.38100000005</v>
      </c>
      <c r="C1941" s="1">
        <v>671194.85983163246</v>
      </c>
      <c r="D1941" s="1">
        <f t="shared" si="30"/>
        <v>294576.52116836759</v>
      </c>
      <c r="E1941" s="1">
        <v>12</v>
      </c>
      <c r="F1941" s="1">
        <v>19</v>
      </c>
      <c r="G1941" s="1">
        <v>4</v>
      </c>
      <c r="H1941" s="1">
        <v>0</v>
      </c>
      <c r="I1941" s="1">
        <v>1</v>
      </c>
      <c r="J1941" s="1">
        <v>0</v>
      </c>
      <c r="K1941" s="1">
        <v>0</v>
      </c>
      <c r="L1941" s="1">
        <v>0</v>
      </c>
      <c r="M1941" s="1">
        <v>0</v>
      </c>
    </row>
    <row r="1942" spans="1:13">
      <c r="A1942" s="1">
        <v>1941</v>
      </c>
      <c r="B1942" s="1">
        <v>913231.77780000004</v>
      </c>
      <c r="C1942" s="1">
        <v>853316.64556892484</v>
      </c>
      <c r="D1942" s="1">
        <f t="shared" si="30"/>
        <v>59915.1322310752</v>
      </c>
      <c r="E1942" s="1">
        <v>9</v>
      </c>
      <c r="F1942" s="1">
        <v>21</v>
      </c>
      <c r="G1942" s="1">
        <v>5</v>
      </c>
      <c r="H1942" s="1">
        <v>1</v>
      </c>
      <c r="I1942" s="1">
        <v>0</v>
      </c>
      <c r="J1942" s="1">
        <v>1</v>
      </c>
      <c r="K1942" s="1">
        <v>1</v>
      </c>
      <c r="L1942" s="1">
        <v>0</v>
      </c>
      <c r="M1942" s="1">
        <v>0</v>
      </c>
    </row>
    <row r="1943" spans="1:13">
      <c r="A1943" s="1">
        <v>1942</v>
      </c>
      <c r="B1943" s="1">
        <v>927049.88219999999</v>
      </c>
      <c r="C1943" s="1">
        <v>717447.3468524334</v>
      </c>
      <c r="D1943" s="1">
        <f t="shared" si="30"/>
        <v>209602.53534756659</v>
      </c>
      <c r="E1943" s="1">
        <v>6</v>
      </c>
      <c r="F1943" s="1">
        <v>26</v>
      </c>
      <c r="G1943" s="1">
        <v>3</v>
      </c>
      <c r="H1943" s="1">
        <v>1</v>
      </c>
      <c r="I1943" s="1">
        <v>0</v>
      </c>
      <c r="J1943" s="1">
        <v>0</v>
      </c>
      <c r="K1943" s="1">
        <v>0</v>
      </c>
      <c r="L1943" s="1">
        <v>1</v>
      </c>
      <c r="M1943" s="1">
        <v>1</v>
      </c>
    </row>
    <row r="1944" spans="1:13">
      <c r="A1944" s="1">
        <v>1943</v>
      </c>
      <c r="B1944" s="1">
        <v>916211.96230000001</v>
      </c>
      <c r="C1944" s="1">
        <v>598141.27647098666</v>
      </c>
      <c r="D1944" s="1">
        <f t="shared" si="30"/>
        <v>318070.68582901335</v>
      </c>
      <c r="E1944" s="1">
        <v>17</v>
      </c>
      <c r="F1944" s="1">
        <v>13</v>
      </c>
      <c r="G1944" s="1">
        <v>5</v>
      </c>
      <c r="H1944" s="1">
        <v>0</v>
      </c>
      <c r="I1944" s="1">
        <v>0</v>
      </c>
      <c r="J1944" s="1">
        <v>1</v>
      </c>
      <c r="K1944" s="1">
        <v>0</v>
      </c>
      <c r="L1944" s="1">
        <v>0</v>
      </c>
      <c r="M1944" s="1">
        <v>1</v>
      </c>
    </row>
    <row r="1945" spans="1:13">
      <c r="A1945" s="1">
        <v>1944</v>
      </c>
      <c r="B1945" s="1">
        <v>865888.62</v>
      </c>
      <c r="C1945" s="1">
        <v>691051.61462929181</v>
      </c>
      <c r="D1945" s="1">
        <f t="shared" si="30"/>
        <v>174837.00537070818</v>
      </c>
      <c r="E1945" s="1">
        <v>16</v>
      </c>
      <c r="F1945" s="1">
        <v>17</v>
      </c>
      <c r="G1945" s="1">
        <v>2</v>
      </c>
      <c r="H1945" s="1">
        <v>2</v>
      </c>
      <c r="I1945" s="1">
        <v>0</v>
      </c>
      <c r="J1945" s="1">
        <v>0</v>
      </c>
      <c r="K1945" s="1">
        <v>1</v>
      </c>
      <c r="L1945" s="1">
        <v>0</v>
      </c>
      <c r="M1945" s="1">
        <v>0</v>
      </c>
    </row>
    <row r="1946" spans="1:13">
      <c r="A1946" s="1">
        <v>1945</v>
      </c>
      <c r="B1946" s="1">
        <v>901652.90709999995</v>
      </c>
      <c r="C1946" s="1">
        <v>1038700.9237191321</v>
      </c>
      <c r="D1946" s="1">
        <f t="shared" si="30"/>
        <v>-137048.01661913213</v>
      </c>
      <c r="E1946" s="1">
        <v>17</v>
      </c>
      <c r="F1946" s="1">
        <v>13</v>
      </c>
      <c r="G1946" s="1">
        <v>5</v>
      </c>
      <c r="H1946" s="1">
        <v>2</v>
      </c>
      <c r="I1946" s="1">
        <v>0</v>
      </c>
      <c r="J1946" s="1">
        <v>0</v>
      </c>
      <c r="K1946" s="1">
        <v>1</v>
      </c>
      <c r="L1946" s="1">
        <v>0</v>
      </c>
      <c r="M1946" s="1">
        <v>0</v>
      </c>
    </row>
    <row r="1947" spans="1:13">
      <c r="A1947" s="1">
        <v>1946</v>
      </c>
      <c r="B1947" s="1">
        <v>891400.29330000002</v>
      </c>
      <c r="C1947" s="1">
        <v>775973.90711603197</v>
      </c>
      <c r="D1947" s="1">
        <f t="shared" si="30"/>
        <v>115426.38618396805</v>
      </c>
      <c r="E1947" s="1">
        <v>3</v>
      </c>
      <c r="F1947" s="1">
        <v>30</v>
      </c>
      <c r="G1947" s="1">
        <v>2</v>
      </c>
      <c r="H1947" s="1">
        <v>0</v>
      </c>
      <c r="I1947" s="1">
        <v>1</v>
      </c>
      <c r="J1947" s="1">
        <v>1</v>
      </c>
      <c r="K1947" s="1">
        <v>0</v>
      </c>
      <c r="L1947" s="1">
        <v>0</v>
      </c>
      <c r="M1947" s="1">
        <v>0</v>
      </c>
    </row>
    <row r="1948" spans="1:13">
      <c r="A1948" s="1">
        <v>1947</v>
      </c>
      <c r="B1948" s="1">
        <v>999212.09239999996</v>
      </c>
      <c r="C1948" s="1">
        <v>828300.39986716397</v>
      </c>
      <c r="D1948" s="1">
        <f t="shared" si="30"/>
        <v>170911.69253283599</v>
      </c>
      <c r="E1948" s="1">
        <v>14</v>
      </c>
      <c r="F1948" s="1">
        <v>17</v>
      </c>
      <c r="G1948" s="1">
        <v>4</v>
      </c>
      <c r="H1948" s="1">
        <v>0</v>
      </c>
      <c r="I1948" s="1">
        <v>0</v>
      </c>
      <c r="J1948" s="1">
        <v>0</v>
      </c>
      <c r="K1948" s="1">
        <v>1</v>
      </c>
      <c r="L1948" s="1">
        <v>0</v>
      </c>
      <c r="M1948" s="1">
        <v>1</v>
      </c>
    </row>
    <row r="1949" spans="1:13">
      <c r="A1949" s="1">
        <v>1948</v>
      </c>
      <c r="B1949" s="1">
        <v>958767.10609999998</v>
      </c>
      <c r="C1949" s="1">
        <v>720002.42414826842</v>
      </c>
      <c r="D1949" s="1">
        <f t="shared" si="30"/>
        <v>238764.68195173156</v>
      </c>
      <c r="E1949" s="1">
        <v>10</v>
      </c>
      <c r="F1949" s="1">
        <v>19</v>
      </c>
      <c r="G1949" s="1">
        <v>6</v>
      </c>
      <c r="H1949" s="1">
        <v>0</v>
      </c>
      <c r="I1949" s="1">
        <v>0</v>
      </c>
      <c r="J1949" s="1">
        <v>0</v>
      </c>
      <c r="K1949" s="1">
        <v>0</v>
      </c>
      <c r="L1949" s="1">
        <v>1</v>
      </c>
      <c r="M1949" s="1">
        <v>0</v>
      </c>
    </row>
    <row r="1950" spans="1:13">
      <c r="A1950" s="1">
        <v>1949</v>
      </c>
      <c r="B1950" s="1">
        <v>866038.83299999998</v>
      </c>
      <c r="C1950" s="1">
        <v>753376.41843034665</v>
      </c>
      <c r="D1950" s="1">
        <f t="shared" si="30"/>
        <v>112662.41456965334</v>
      </c>
      <c r="E1950" s="1">
        <v>20</v>
      </c>
      <c r="F1950" s="1">
        <v>12</v>
      </c>
      <c r="G1950" s="1">
        <v>3</v>
      </c>
      <c r="H1950" s="1">
        <v>1</v>
      </c>
      <c r="I1950" s="1">
        <v>1</v>
      </c>
      <c r="J1950" s="1">
        <v>1</v>
      </c>
      <c r="K1950" s="1">
        <v>1</v>
      </c>
      <c r="L1950" s="1">
        <v>0</v>
      </c>
      <c r="M1950" s="1">
        <v>0</v>
      </c>
    </row>
    <row r="1951" spans="1:13">
      <c r="A1951" s="1">
        <v>1950</v>
      </c>
      <c r="B1951" s="1">
        <v>869595.2169</v>
      </c>
      <c r="C1951" s="1">
        <v>1095267.8226200764</v>
      </c>
      <c r="D1951" s="1">
        <f t="shared" si="30"/>
        <v>-225672.60572007636</v>
      </c>
      <c r="E1951" s="1">
        <v>15</v>
      </c>
      <c r="F1951" s="1">
        <v>17</v>
      </c>
      <c r="G1951" s="1">
        <v>3</v>
      </c>
      <c r="H1951" s="1">
        <v>0</v>
      </c>
      <c r="I1951" s="1">
        <v>0</v>
      </c>
      <c r="J1951" s="1">
        <v>1</v>
      </c>
      <c r="K1951" s="1">
        <v>1</v>
      </c>
      <c r="L1951" s="1">
        <v>0</v>
      </c>
      <c r="M1951" s="1">
        <v>1</v>
      </c>
    </row>
    <row r="1952" spans="1:13">
      <c r="A1952" s="1">
        <v>1951</v>
      </c>
      <c r="B1952" s="1">
        <v>907678.01309999998</v>
      </c>
      <c r="C1952" s="1">
        <v>592916.91492893198</v>
      </c>
      <c r="D1952" s="1">
        <f t="shared" si="30"/>
        <v>314761.09817106801</v>
      </c>
      <c r="E1952" s="1">
        <v>15</v>
      </c>
      <c r="F1952" s="1">
        <v>16</v>
      </c>
      <c r="G1952" s="1">
        <v>4</v>
      </c>
      <c r="H1952" s="1">
        <v>2</v>
      </c>
      <c r="I1952" s="1">
        <v>0</v>
      </c>
      <c r="J1952" s="1">
        <v>0</v>
      </c>
      <c r="K1952" s="1">
        <v>1</v>
      </c>
      <c r="L1952" s="1">
        <v>0</v>
      </c>
      <c r="M1952" s="1">
        <v>0</v>
      </c>
    </row>
    <row r="1953" spans="1:13">
      <c r="A1953" s="1">
        <v>1952</v>
      </c>
      <c r="B1953" s="1">
        <v>941187.46120000002</v>
      </c>
      <c r="C1953" s="1">
        <v>601034.05351799005</v>
      </c>
      <c r="D1953" s="1">
        <f t="shared" si="30"/>
        <v>340153.40768200997</v>
      </c>
      <c r="E1953" s="1">
        <v>12</v>
      </c>
      <c r="F1953" s="1">
        <v>17</v>
      </c>
      <c r="G1953" s="1">
        <v>6</v>
      </c>
      <c r="H1953" s="1">
        <v>1</v>
      </c>
      <c r="I1953" s="1">
        <v>0</v>
      </c>
      <c r="J1953" s="1">
        <v>2</v>
      </c>
      <c r="K1953" s="1">
        <v>0</v>
      </c>
      <c r="L1953" s="1">
        <v>0</v>
      </c>
      <c r="M1953" s="1">
        <v>0</v>
      </c>
    </row>
    <row r="1954" spans="1:13">
      <c r="A1954" s="1">
        <v>1953</v>
      </c>
      <c r="B1954" s="1">
        <v>951875.19070000004</v>
      </c>
      <c r="C1954" s="1">
        <v>661146.87327375775</v>
      </c>
      <c r="D1954" s="1">
        <f t="shared" si="30"/>
        <v>290728.31742624228</v>
      </c>
      <c r="E1954" s="1">
        <v>3</v>
      </c>
      <c r="F1954" s="1">
        <v>25</v>
      </c>
      <c r="G1954" s="1">
        <v>7</v>
      </c>
      <c r="H1954" s="1">
        <v>2</v>
      </c>
      <c r="I1954" s="1">
        <v>0</v>
      </c>
      <c r="J1954" s="1">
        <v>1</v>
      </c>
      <c r="K1954" s="1">
        <v>1</v>
      </c>
      <c r="L1954" s="1">
        <v>0</v>
      </c>
      <c r="M1954" s="1">
        <v>0</v>
      </c>
    </row>
    <row r="1955" spans="1:13">
      <c r="A1955" s="1">
        <v>1954</v>
      </c>
      <c r="B1955" s="1">
        <v>918470.9656</v>
      </c>
      <c r="C1955" s="1">
        <v>654144.0019683023</v>
      </c>
      <c r="D1955" s="1">
        <f t="shared" si="30"/>
        <v>264326.9636316977</v>
      </c>
      <c r="E1955" s="1">
        <v>12</v>
      </c>
      <c r="F1955" s="1">
        <v>17</v>
      </c>
      <c r="G1955" s="1">
        <v>6</v>
      </c>
      <c r="H1955" s="1">
        <v>0</v>
      </c>
      <c r="I1955" s="1">
        <v>0</v>
      </c>
      <c r="J1955" s="1">
        <v>1</v>
      </c>
      <c r="K1955" s="1">
        <v>0</v>
      </c>
      <c r="L1955" s="1">
        <v>0</v>
      </c>
      <c r="M1955" s="1">
        <v>0</v>
      </c>
    </row>
    <row r="1956" spans="1:13">
      <c r="A1956" s="1">
        <v>1955</v>
      </c>
      <c r="B1956" s="1">
        <v>888314.03249999997</v>
      </c>
      <c r="C1956" s="1">
        <v>1991612.4073481648</v>
      </c>
      <c r="D1956" s="1">
        <f t="shared" si="30"/>
        <v>-1103298.3748481649</v>
      </c>
      <c r="E1956" s="1">
        <v>17</v>
      </c>
      <c r="F1956" s="1">
        <v>14</v>
      </c>
      <c r="G1956" s="1">
        <v>4</v>
      </c>
      <c r="H1956" s="1">
        <v>0</v>
      </c>
      <c r="I1956" s="1">
        <v>0</v>
      </c>
      <c r="J1956" s="1">
        <v>0</v>
      </c>
      <c r="K1956" s="1">
        <v>2</v>
      </c>
      <c r="L1956" s="1">
        <v>0</v>
      </c>
      <c r="M1956" s="1">
        <v>1</v>
      </c>
    </row>
    <row r="1957" spans="1:13">
      <c r="A1957" s="1">
        <v>1956</v>
      </c>
      <c r="B1957" s="1">
        <v>882386.48849999998</v>
      </c>
      <c r="C1957" s="1">
        <v>881112.3382950027</v>
      </c>
      <c r="D1957" s="1">
        <f t="shared" si="30"/>
        <v>1274.1502049972769</v>
      </c>
      <c r="E1957" s="1">
        <v>16</v>
      </c>
      <c r="F1957" s="1">
        <v>15</v>
      </c>
      <c r="G1957" s="1">
        <v>4</v>
      </c>
      <c r="H1957" s="1">
        <v>2</v>
      </c>
      <c r="I1957" s="1">
        <v>0</v>
      </c>
      <c r="J1957" s="1">
        <v>1</v>
      </c>
      <c r="K1957" s="1">
        <v>0</v>
      </c>
      <c r="L1957" s="1">
        <v>0</v>
      </c>
      <c r="M1957" s="1">
        <v>1</v>
      </c>
    </row>
    <row r="1958" spans="1:13">
      <c r="A1958" s="1">
        <v>1957</v>
      </c>
      <c r="B1958" s="1">
        <v>873661.14610000001</v>
      </c>
      <c r="C1958" s="1">
        <v>1420471.9981963681</v>
      </c>
      <c r="D1958" s="1">
        <f t="shared" si="30"/>
        <v>-546810.85209636809</v>
      </c>
      <c r="E1958" s="1">
        <v>17</v>
      </c>
      <c r="F1958" s="1">
        <v>16</v>
      </c>
      <c r="G1958" s="1">
        <v>2</v>
      </c>
      <c r="H1958" s="1">
        <v>1</v>
      </c>
      <c r="I1958" s="1">
        <v>0</v>
      </c>
      <c r="J1958" s="1">
        <v>0</v>
      </c>
      <c r="K1958" s="1">
        <v>1</v>
      </c>
      <c r="L1958" s="1">
        <v>1</v>
      </c>
      <c r="M1958" s="1">
        <v>0</v>
      </c>
    </row>
    <row r="1959" spans="1:13">
      <c r="A1959" s="1">
        <v>1958</v>
      </c>
      <c r="B1959" s="1">
        <v>972884.00009999995</v>
      </c>
      <c r="C1959" s="1">
        <v>1126767.5854227189</v>
      </c>
      <c r="D1959" s="1">
        <f t="shared" si="30"/>
        <v>-153883.58532271895</v>
      </c>
      <c r="E1959" s="1">
        <v>13</v>
      </c>
      <c r="F1959" s="1">
        <v>16</v>
      </c>
      <c r="G1959" s="1">
        <v>6</v>
      </c>
      <c r="H1959" s="1">
        <v>0</v>
      </c>
      <c r="I1959" s="1">
        <v>1</v>
      </c>
      <c r="J1959" s="1">
        <v>0</v>
      </c>
      <c r="K1959" s="1">
        <v>2</v>
      </c>
      <c r="L1959" s="1">
        <v>0</v>
      </c>
      <c r="M1959" s="1">
        <v>1</v>
      </c>
    </row>
    <row r="1960" spans="1:13">
      <c r="A1960" s="1">
        <v>1959</v>
      </c>
      <c r="B1960" s="1">
        <v>846757.61040000001</v>
      </c>
      <c r="C1960" s="1">
        <v>1088500.5479816226</v>
      </c>
      <c r="D1960" s="1">
        <f t="shared" si="30"/>
        <v>-241742.93758162262</v>
      </c>
      <c r="E1960" s="1">
        <v>18</v>
      </c>
      <c r="F1960" s="1">
        <v>10</v>
      </c>
      <c r="G1960" s="1">
        <v>7</v>
      </c>
      <c r="H1960" s="1">
        <v>1</v>
      </c>
      <c r="I1960" s="1">
        <v>0</v>
      </c>
      <c r="J1960" s="1">
        <v>1</v>
      </c>
      <c r="K1960" s="1">
        <v>0</v>
      </c>
      <c r="L1960" s="1">
        <v>0</v>
      </c>
      <c r="M1960" s="1">
        <v>0</v>
      </c>
    </row>
    <row r="1961" spans="1:13">
      <c r="A1961" s="1">
        <v>1960</v>
      </c>
      <c r="B1961" s="1">
        <v>971962.5281</v>
      </c>
      <c r="C1961" s="1">
        <v>320460.83672161133</v>
      </c>
      <c r="D1961" s="1">
        <f t="shared" si="30"/>
        <v>651501.69137838867</v>
      </c>
      <c r="E1961" s="1">
        <v>13</v>
      </c>
      <c r="F1961" s="1">
        <v>17</v>
      </c>
      <c r="G1961" s="1">
        <v>5</v>
      </c>
      <c r="H1961" s="1">
        <v>2</v>
      </c>
      <c r="I1961" s="1">
        <v>0</v>
      </c>
      <c r="J1961" s="1">
        <v>2</v>
      </c>
      <c r="K1961" s="1">
        <v>0</v>
      </c>
      <c r="L1961" s="1">
        <v>0</v>
      </c>
      <c r="M1961" s="1">
        <v>0</v>
      </c>
    </row>
    <row r="1962" spans="1:13">
      <c r="A1962" s="1">
        <v>1961</v>
      </c>
      <c r="B1962" s="1">
        <v>944113.30379999999</v>
      </c>
      <c r="C1962" s="1">
        <v>613711.83989811782</v>
      </c>
      <c r="D1962" s="1">
        <f t="shared" si="30"/>
        <v>330401.46390188218</v>
      </c>
      <c r="E1962" s="1">
        <v>8</v>
      </c>
      <c r="F1962" s="1">
        <v>20</v>
      </c>
      <c r="G1962" s="1">
        <v>7</v>
      </c>
      <c r="H1962" s="1">
        <v>1</v>
      </c>
      <c r="I1962" s="1">
        <v>0</v>
      </c>
      <c r="J1962" s="1">
        <v>0</v>
      </c>
      <c r="K1962" s="1">
        <v>2</v>
      </c>
      <c r="L1962" s="1">
        <v>0</v>
      </c>
      <c r="M1962" s="1">
        <v>0</v>
      </c>
    </row>
    <row r="1963" spans="1:13">
      <c r="A1963" s="1">
        <v>1962</v>
      </c>
      <c r="B1963" s="1">
        <v>944036.89370000002</v>
      </c>
      <c r="C1963" s="1">
        <v>856677.79101312603</v>
      </c>
      <c r="D1963" s="1">
        <f t="shared" si="30"/>
        <v>87359.102686873986</v>
      </c>
      <c r="E1963" s="1">
        <v>14</v>
      </c>
      <c r="F1963" s="1">
        <v>18</v>
      </c>
      <c r="G1963" s="1">
        <v>3</v>
      </c>
      <c r="H1963" s="1">
        <v>0</v>
      </c>
      <c r="I1963" s="1">
        <v>0</v>
      </c>
      <c r="J1963" s="1">
        <v>0</v>
      </c>
      <c r="K1963" s="1">
        <v>1</v>
      </c>
      <c r="L1963" s="1">
        <v>1</v>
      </c>
      <c r="M1963" s="1">
        <v>1</v>
      </c>
    </row>
    <row r="1964" spans="1:13">
      <c r="A1964" s="1">
        <v>1963</v>
      </c>
      <c r="B1964" s="1">
        <v>974410.16910000006</v>
      </c>
      <c r="C1964" s="1">
        <v>659181.67119170807</v>
      </c>
      <c r="D1964" s="1">
        <f t="shared" si="30"/>
        <v>315228.49790829199</v>
      </c>
      <c r="E1964" s="1">
        <v>13</v>
      </c>
      <c r="F1964" s="1">
        <v>15</v>
      </c>
      <c r="G1964" s="1">
        <v>7</v>
      </c>
      <c r="H1964" s="1">
        <v>1</v>
      </c>
      <c r="I1964" s="1">
        <v>1</v>
      </c>
      <c r="J1964" s="1">
        <v>1</v>
      </c>
      <c r="K1964" s="1">
        <v>1</v>
      </c>
      <c r="L1964" s="1">
        <v>0</v>
      </c>
      <c r="M1964" s="1">
        <v>0</v>
      </c>
    </row>
    <row r="1965" spans="1:13">
      <c r="A1965" s="1">
        <v>1964</v>
      </c>
      <c r="B1965" s="1">
        <v>916728.89469999995</v>
      </c>
      <c r="C1965" s="1">
        <v>1024753.5090782768</v>
      </c>
      <c r="D1965" s="1">
        <f t="shared" si="30"/>
        <v>-108024.61437827686</v>
      </c>
      <c r="E1965" s="1">
        <v>11</v>
      </c>
      <c r="F1965" s="1">
        <v>20</v>
      </c>
      <c r="G1965" s="1">
        <v>4</v>
      </c>
      <c r="H1965" s="1">
        <v>1</v>
      </c>
      <c r="I1965" s="1">
        <v>1</v>
      </c>
      <c r="J1965" s="1">
        <v>1</v>
      </c>
      <c r="K1965" s="1">
        <v>1</v>
      </c>
      <c r="L1965" s="1">
        <v>0</v>
      </c>
      <c r="M1965" s="1">
        <v>0</v>
      </c>
    </row>
    <row r="1966" spans="1:13">
      <c r="A1966" s="1">
        <v>1965</v>
      </c>
      <c r="B1966" s="1">
        <v>984193.03040000005</v>
      </c>
      <c r="C1966" s="1">
        <v>646210.67810168362</v>
      </c>
      <c r="D1966" s="1">
        <f t="shared" si="30"/>
        <v>337982.35229831643</v>
      </c>
      <c r="E1966" s="1">
        <v>12</v>
      </c>
      <c r="F1966" s="1">
        <v>17</v>
      </c>
      <c r="G1966" s="1">
        <v>6</v>
      </c>
      <c r="H1966" s="1">
        <v>0</v>
      </c>
      <c r="I1966" s="1">
        <v>0</v>
      </c>
      <c r="J1966" s="1">
        <v>1</v>
      </c>
      <c r="K1966" s="1">
        <v>1</v>
      </c>
      <c r="L1966" s="1">
        <v>0</v>
      </c>
      <c r="M1966" s="1">
        <v>0</v>
      </c>
    </row>
    <row r="1967" spans="1:13">
      <c r="A1967" s="1">
        <v>1966</v>
      </c>
      <c r="B1967" s="1">
        <v>1025053.9965</v>
      </c>
      <c r="C1967" s="1">
        <v>941676.34840676712</v>
      </c>
      <c r="D1967" s="1">
        <f t="shared" si="30"/>
        <v>83377.648093232885</v>
      </c>
      <c r="E1967" s="1">
        <v>8</v>
      </c>
      <c r="F1967" s="1">
        <v>22</v>
      </c>
      <c r="G1967" s="1">
        <v>5</v>
      </c>
      <c r="H1967" s="1">
        <v>2</v>
      </c>
      <c r="I1967" s="1">
        <v>0</v>
      </c>
      <c r="J1967" s="1">
        <v>0</v>
      </c>
      <c r="K1967" s="1">
        <v>0</v>
      </c>
      <c r="L1967" s="1">
        <v>0</v>
      </c>
      <c r="M1967" s="1">
        <v>0</v>
      </c>
    </row>
    <row r="1968" spans="1:13">
      <c r="A1968" s="1">
        <v>1967</v>
      </c>
      <c r="B1968" s="1">
        <v>955966.51020000002</v>
      </c>
      <c r="C1968" s="1">
        <v>987671.88847231865</v>
      </c>
      <c r="D1968" s="1">
        <f t="shared" si="30"/>
        <v>-31705.37827231863</v>
      </c>
      <c r="E1968" s="1">
        <v>17</v>
      </c>
      <c r="F1968" s="1">
        <v>13</v>
      </c>
      <c r="G1968" s="1">
        <v>5</v>
      </c>
      <c r="H1968" s="1">
        <v>2</v>
      </c>
      <c r="I1968" s="1">
        <v>0</v>
      </c>
      <c r="J1968" s="1">
        <v>0</v>
      </c>
      <c r="K1968" s="1">
        <v>2</v>
      </c>
      <c r="L1968" s="1">
        <v>0</v>
      </c>
      <c r="M1968" s="1">
        <v>0</v>
      </c>
    </row>
    <row r="1969" spans="1:13">
      <c r="A1969" s="1">
        <v>1968</v>
      </c>
      <c r="B1969" s="1">
        <v>892667.78810000001</v>
      </c>
      <c r="C1969" s="1">
        <v>857800.38502863608</v>
      </c>
      <c r="D1969" s="1">
        <f t="shared" si="30"/>
        <v>34867.403071363922</v>
      </c>
      <c r="E1969" s="1">
        <v>17</v>
      </c>
      <c r="F1969" s="1">
        <v>17</v>
      </c>
      <c r="G1969" s="1">
        <v>1</v>
      </c>
      <c r="H1969" s="1">
        <v>2</v>
      </c>
      <c r="I1969" s="1">
        <v>0</v>
      </c>
      <c r="J1969" s="1">
        <v>1</v>
      </c>
      <c r="K1969" s="1">
        <v>1</v>
      </c>
      <c r="L1969" s="1">
        <v>0</v>
      </c>
      <c r="M1969" s="1">
        <v>1</v>
      </c>
    </row>
    <row r="1970" spans="1:13">
      <c r="A1970" s="1">
        <v>1969</v>
      </c>
      <c r="B1970" s="1">
        <v>890043.1385</v>
      </c>
      <c r="C1970" s="1">
        <v>1051089.3071090123</v>
      </c>
      <c r="D1970" s="1">
        <f t="shared" si="30"/>
        <v>-161046.16860901227</v>
      </c>
      <c r="E1970" s="1">
        <v>22</v>
      </c>
      <c r="F1970" s="1">
        <v>10</v>
      </c>
      <c r="G1970" s="1">
        <v>3</v>
      </c>
      <c r="H1970" s="1">
        <v>1</v>
      </c>
      <c r="I1970" s="1">
        <v>0</v>
      </c>
      <c r="J1970" s="1">
        <v>2</v>
      </c>
      <c r="K1970" s="1">
        <v>0</v>
      </c>
      <c r="L1970" s="1">
        <v>0</v>
      </c>
      <c r="M1970" s="1">
        <v>0</v>
      </c>
    </row>
    <row r="1971" spans="1:13">
      <c r="A1971" s="1">
        <v>1970</v>
      </c>
      <c r="B1971" s="1">
        <v>938853.04229999997</v>
      </c>
      <c r="C1971" s="1">
        <v>803976.19924188266</v>
      </c>
      <c r="D1971" s="1">
        <f t="shared" si="30"/>
        <v>134876.84305811732</v>
      </c>
      <c r="E1971" s="1">
        <v>14</v>
      </c>
      <c r="F1971" s="1">
        <v>17</v>
      </c>
      <c r="G1971" s="1">
        <v>4</v>
      </c>
      <c r="H1971" s="1">
        <v>1</v>
      </c>
      <c r="I1971" s="1">
        <v>0</v>
      </c>
      <c r="J1971" s="1">
        <v>0</v>
      </c>
      <c r="K1971" s="1">
        <v>1</v>
      </c>
      <c r="L1971" s="1">
        <v>0</v>
      </c>
      <c r="M1971" s="1">
        <v>0</v>
      </c>
    </row>
    <row r="1972" spans="1:13">
      <c r="A1972" s="1">
        <v>1971</v>
      </c>
      <c r="B1972" s="1">
        <v>996318.6679</v>
      </c>
      <c r="C1972" s="1">
        <v>1555777.0646364242</v>
      </c>
      <c r="D1972" s="1">
        <f t="shared" si="30"/>
        <v>-559458.39673642418</v>
      </c>
      <c r="E1972" s="1">
        <v>11</v>
      </c>
      <c r="F1972" s="1">
        <v>16</v>
      </c>
      <c r="G1972" s="1">
        <v>8</v>
      </c>
      <c r="H1972" s="1">
        <v>2</v>
      </c>
      <c r="I1972" s="1">
        <v>0</v>
      </c>
      <c r="J1972" s="1">
        <v>0</v>
      </c>
      <c r="K1972" s="1">
        <v>1</v>
      </c>
      <c r="L1972" s="1">
        <v>0</v>
      </c>
      <c r="M1972" s="1">
        <v>0</v>
      </c>
    </row>
    <row r="1973" spans="1:13">
      <c r="A1973" s="1">
        <v>1972</v>
      </c>
      <c r="B1973" s="1">
        <v>909246.81019999995</v>
      </c>
      <c r="C1973" s="1">
        <v>729114.08067534876</v>
      </c>
      <c r="D1973" s="1">
        <f t="shared" si="30"/>
        <v>180132.72952465119</v>
      </c>
      <c r="E1973" s="1">
        <v>10</v>
      </c>
      <c r="F1973" s="1">
        <v>21</v>
      </c>
      <c r="G1973" s="1">
        <v>4</v>
      </c>
      <c r="H1973" s="1">
        <v>2</v>
      </c>
      <c r="I1973" s="1">
        <v>0</v>
      </c>
      <c r="J1973" s="1">
        <v>0</v>
      </c>
      <c r="K1973" s="1">
        <v>2</v>
      </c>
      <c r="L1973" s="1">
        <v>0</v>
      </c>
      <c r="M1973" s="1">
        <v>0</v>
      </c>
    </row>
    <row r="1974" spans="1:13">
      <c r="A1974" s="1">
        <v>1973</v>
      </c>
      <c r="B1974" s="1">
        <v>951147.4436</v>
      </c>
      <c r="C1974" s="1">
        <v>905961.33436549583</v>
      </c>
      <c r="D1974" s="1">
        <f t="shared" si="30"/>
        <v>45186.109234504169</v>
      </c>
      <c r="E1974" s="1">
        <v>14</v>
      </c>
      <c r="F1974" s="1">
        <v>16</v>
      </c>
      <c r="G1974" s="1">
        <v>5</v>
      </c>
      <c r="H1974" s="1">
        <v>0</v>
      </c>
      <c r="I1974" s="1">
        <v>0</v>
      </c>
      <c r="J1974" s="1">
        <v>0</v>
      </c>
      <c r="K1974" s="1">
        <v>0</v>
      </c>
      <c r="L1974" s="1">
        <v>0</v>
      </c>
      <c r="M1974" s="1">
        <v>1</v>
      </c>
    </row>
    <row r="1975" spans="1:13">
      <c r="A1975" s="1">
        <v>1974</v>
      </c>
      <c r="B1975" s="1">
        <v>953715.5379</v>
      </c>
      <c r="C1975" s="1">
        <v>894680.31941026531</v>
      </c>
      <c r="D1975" s="1">
        <f t="shared" si="30"/>
        <v>59035.218489734689</v>
      </c>
      <c r="E1975" s="1">
        <v>16</v>
      </c>
      <c r="F1975" s="1">
        <v>16</v>
      </c>
      <c r="G1975" s="1">
        <v>3</v>
      </c>
      <c r="H1975" s="1">
        <v>1</v>
      </c>
      <c r="I1975" s="1">
        <v>0</v>
      </c>
      <c r="J1975" s="1">
        <v>1</v>
      </c>
      <c r="K1975" s="1">
        <v>1</v>
      </c>
      <c r="L1975" s="1">
        <v>0</v>
      </c>
      <c r="M1975" s="1">
        <v>1</v>
      </c>
    </row>
    <row r="1976" spans="1:13">
      <c r="A1976" s="1">
        <v>1975</v>
      </c>
      <c r="B1976" s="1">
        <v>843294.41009999998</v>
      </c>
      <c r="C1976" s="1">
        <v>828562.7406840499</v>
      </c>
      <c r="D1976" s="1">
        <f t="shared" si="30"/>
        <v>14731.669415950077</v>
      </c>
      <c r="E1976" s="1">
        <v>12</v>
      </c>
      <c r="F1976" s="1">
        <v>18</v>
      </c>
      <c r="G1976" s="1">
        <v>5</v>
      </c>
      <c r="H1976" s="1">
        <v>1</v>
      </c>
      <c r="I1976" s="1">
        <v>0</v>
      </c>
      <c r="J1976" s="1">
        <v>1</v>
      </c>
      <c r="K1976" s="1">
        <v>1</v>
      </c>
      <c r="L1976" s="1">
        <v>0</v>
      </c>
      <c r="M1976" s="1">
        <v>0</v>
      </c>
    </row>
    <row r="1977" spans="1:13">
      <c r="A1977" s="1">
        <v>1976</v>
      </c>
      <c r="B1977" s="1">
        <v>860828.27029999997</v>
      </c>
      <c r="C1977" s="1">
        <v>707158.41751005128</v>
      </c>
      <c r="D1977" s="1">
        <f t="shared" si="30"/>
        <v>153669.85278994869</v>
      </c>
      <c r="E1977" s="1">
        <v>12</v>
      </c>
      <c r="F1977" s="1">
        <v>19</v>
      </c>
      <c r="G1977" s="1">
        <v>4</v>
      </c>
      <c r="H1977" s="1">
        <v>2</v>
      </c>
      <c r="I1977" s="1">
        <v>0</v>
      </c>
      <c r="J1977" s="1">
        <v>0</v>
      </c>
      <c r="K1977" s="1">
        <v>1</v>
      </c>
      <c r="L1977" s="1">
        <v>0</v>
      </c>
      <c r="M1977" s="1">
        <v>0</v>
      </c>
    </row>
    <row r="1978" spans="1:13">
      <c r="A1978" s="1">
        <v>1977</v>
      </c>
      <c r="B1978" s="1">
        <v>903036.94200000004</v>
      </c>
      <c r="C1978" s="1">
        <v>3296851.4380054045</v>
      </c>
      <c r="D1978" s="1">
        <f t="shared" si="30"/>
        <v>-2393814.4960054047</v>
      </c>
      <c r="E1978" s="1">
        <v>12</v>
      </c>
      <c r="F1978" s="1">
        <v>19</v>
      </c>
      <c r="G1978" s="1">
        <v>4</v>
      </c>
      <c r="H1978" s="1">
        <v>0</v>
      </c>
      <c r="I1978" s="1">
        <v>0</v>
      </c>
      <c r="J1978" s="1">
        <v>0</v>
      </c>
      <c r="K1978" s="1">
        <v>1</v>
      </c>
      <c r="L1978" s="1">
        <v>0</v>
      </c>
      <c r="M1978" s="1">
        <v>1</v>
      </c>
    </row>
    <row r="1979" spans="1:13">
      <c r="A1979" s="1">
        <v>1978</v>
      </c>
      <c r="B1979" s="1">
        <v>1073719.4509000001</v>
      </c>
      <c r="C1979" s="1">
        <v>2016842.4165204805</v>
      </c>
      <c r="D1979" s="1">
        <f t="shared" si="30"/>
        <v>-943122.96562048048</v>
      </c>
      <c r="E1979" s="1">
        <v>5</v>
      </c>
      <c r="F1979" s="1">
        <v>23</v>
      </c>
      <c r="G1979" s="1">
        <v>7</v>
      </c>
      <c r="H1979" s="1">
        <v>0</v>
      </c>
      <c r="I1979" s="1">
        <v>0</v>
      </c>
      <c r="J1979" s="1">
        <v>0</v>
      </c>
      <c r="K1979" s="1">
        <v>0</v>
      </c>
      <c r="L1979" s="1">
        <v>0</v>
      </c>
      <c r="M1979" s="1">
        <v>1</v>
      </c>
    </row>
    <row r="1980" spans="1:13">
      <c r="A1980" s="1">
        <v>1979</v>
      </c>
      <c r="B1980" s="1">
        <v>951583.1067</v>
      </c>
      <c r="C1980" s="1">
        <v>1234049.3861854998</v>
      </c>
      <c r="D1980" s="1">
        <f t="shared" si="30"/>
        <v>-282466.27948549984</v>
      </c>
      <c r="E1980" s="1">
        <v>12</v>
      </c>
      <c r="F1980" s="1">
        <v>17</v>
      </c>
      <c r="G1980" s="1">
        <v>6</v>
      </c>
      <c r="H1980" s="1">
        <v>2</v>
      </c>
      <c r="I1980" s="1">
        <v>0</v>
      </c>
      <c r="J1980" s="1">
        <v>0</v>
      </c>
      <c r="K1980" s="1">
        <v>1</v>
      </c>
      <c r="L1980" s="1">
        <v>0</v>
      </c>
      <c r="M1980" s="1">
        <v>0</v>
      </c>
    </row>
    <row r="1981" spans="1:13">
      <c r="A1981" s="1">
        <v>1980</v>
      </c>
      <c r="B1981" s="1">
        <v>1042576.8337</v>
      </c>
      <c r="C1981" s="1">
        <v>1217579.6211246953</v>
      </c>
      <c r="D1981" s="1">
        <f t="shared" si="30"/>
        <v>-175002.78742469533</v>
      </c>
      <c r="E1981" s="1">
        <v>4</v>
      </c>
      <c r="F1981" s="1">
        <v>26</v>
      </c>
      <c r="G1981" s="1">
        <v>5</v>
      </c>
      <c r="H1981" s="1">
        <v>1</v>
      </c>
      <c r="I1981" s="1">
        <v>0</v>
      </c>
      <c r="J1981" s="1">
        <v>1</v>
      </c>
      <c r="K1981" s="1">
        <v>0</v>
      </c>
      <c r="L1981" s="1">
        <v>0</v>
      </c>
      <c r="M1981" s="1">
        <v>0</v>
      </c>
    </row>
    <row r="1982" spans="1:13">
      <c r="A1982" s="1">
        <v>1981</v>
      </c>
      <c r="B1982" s="1">
        <v>982867.41709999996</v>
      </c>
      <c r="C1982" s="1">
        <v>518754.21542364906</v>
      </c>
      <c r="D1982" s="1">
        <f t="shared" si="30"/>
        <v>464113.2016763509</v>
      </c>
      <c r="E1982" s="1">
        <v>11</v>
      </c>
      <c r="F1982" s="1">
        <v>21</v>
      </c>
      <c r="G1982" s="1">
        <v>3</v>
      </c>
      <c r="H1982" s="1">
        <v>1</v>
      </c>
      <c r="I1982" s="1">
        <v>1</v>
      </c>
      <c r="J1982" s="1">
        <v>2</v>
      </c>
      <c r="K1982" s="1">
        <v>0</v>
      </c>
      <c r="L1982" s="1">
        <v>0</v>
      </c>
      <c r="M1982" s="1">
        <v>1</v>
      </c>
    </row>
    <row r="1983" spans="1:13">
      <c r="A1983" s="1">
        <v>1982</v>
      </c>
      <c r="B1983" s="1">
        <v>1012054.1785</v>
      </c>
      <c r="C1983" s="1">
        <v>1241227.1687176079</v>
      </c>
      <c r="D1983" s="1">
        <f t="shared" si="30"/>
        <v>-229172.99021760782</v>
      </c>
      <c r="E1983" s="1">
        <v>15</v>
      </c>
      <c r="F1983" s="1">
        <v>13</v>
      </c>
      <c r="G1983" s="1">
        <v>7</v>
      </c>
      <c r="H1983" s="1">
        <v>2</v>
      </c>
      <c r="I1983" s="1">
        <v>0</v>
      </c>
      <c r="J1983" s="1">
        <v>0</v>
      </c>
      <c r="K1983" s="1">
        <v>2</v>
      </c>
      <c r="L1983" s="1">
        <v>0</v>
      </c>
      <c r="M1983" s="1">
        <v>1</v>
      </c>
    </row>
    <row r="1984" spans="1:13">
      <c r="A1984" s="1">
        <v>1983</v>
      </c>
      <c r="B1984" s="1">
        <v>957415.19550000003</v>
      </c>
      <c r="C1984" s="1">
        <v>877745.6440487653</v>
      </c>
      <c r="D1984" s="1">
        <f t="shared" si="30"/>
        <v>79669.551451234729</v>
      </c>
      <c r="E1984" s="1">
        <v>11</v>
      </c>
      <c r="F1984" s="1">
        <v>15</v>
      </c>
      <c r="G1984" s="1">
        <v>9</v>
      </c>
      <c r="H1984" s="1">
        <v>1</v>
      </c>
      <c r="I1984" s="1">
        <v>1</v>
      </c>
      <c r="J1984" s="1">
        <v>0</v>
      </c>
      <c r="K1984" s="1">
        <v>1</v>
      </c>
      <c r="L1984" s="1">
        <v>0</v>
      </c>
      <c r="M1984" s="1">
        <v>0</v>
      </c>
    </row>
    <row r="1985" spans="1:13">
      <c r="A1985" s="1">
        <v>1984</v>
      </c>
      <c r="B1985" s="1">
        <v>873349.01740000001</v>
      </c>
      <c r="C1985" s="1">
        <v>1285943.448956799</v>
      </c>
      <c r="D1985" s="1">
        <f t="shared" si="30"/>
        <v>-412594.43155679898</v>
      </c>
      <c r="E1985" s="1">
        <v>22</v>
      </c>
      <c r="F1985" s="1">
        <v>8</v>
      </c>
      <c r="G1985" s="1">
        <v>5</v>
      </c>
      <c r="H1985" s="1">
        <v>1</v>
      </c>
      <c r="I1985" s="1">
        <v>0</v>
      </c>
      <c r="J1985" s="1">
        <v>0</v>
      </c>
      <c r="K1985" s="1">
        <v>0</v>
      </c>
      <c r="L1985" s="1">
        <v>0</v>
      </c>
      <c r="M1985" s="1">
        <v>1</v>
      </c>
    </row>
    <row r="1986" spans="1:13">
      <c r="A1986" s="1">
        <v>1985</v>
      </c>
      <c r="B1986" s="1">
        <v>913802.14639999997</v>
      </c>
      <c r="C1986" s="1">
        <v>874669.566987828</v>
      </c>
      <c r="D1986" s="1">
        <f t="shared" ref="D1986:D2049" si="31">B1986-C1986</f>
        <v>39132.579412171966</v>
      </c>
      <c r="E1986" s="1">
        <v>15</v>
      </c>
      <c r="F1986" s="1">
        <v>18</v>
      </c>
      <c r="G1986" s="1">
        <v>2</v>
      </c>
      <c r="H1986" s="1">
        <v>0</v>
      </c>
      <c r="I1986" s="1">
        <v>0</v>
      </c>
      <c r="J1986" s="1">
        <v>2</v>
      </c>
      <c r="K1986" s="1">
        <v>0</v>
      </c>
      <c r="L1986" s="1">
        <v>0</v>
      </c>
      <c r="M1986" s="1">
        <v>0</v>
      </c>
    </row>
    <row r="1987" spans="1:13">
      <c r="A1987" s="1">
        <v>1986</v>
      </c>
      <c r="B1987" s="1">
        <v>810245.34849999996</v>
      </c>
      <c r="C1987" s="1">
        <v>952248.19324422767</v>
      </c>
      <c r="D1987" s="1">
        <f t="shared" si="31"/>
        <v>-142002.84474422771</v>
      </c>
      <c r="E1987" s="1">
        <v>14</v>
      </c>
      <c r="F1987" s="1">
        <v>16</v>
      </c>
      <c r="G1987" s="1">
        <v>5</v>
      </c>
      <c r="H1987" s="1">
        <v>1</v>
      </c>
      <c r="I1987" s="1">
        <v>0</v>
      </c>
      <c r="J1987" s="1">
        <v>2</v>
      </c>
      <c r="K1987" s="1">
        <v>0</v>
      </c>
      <c r="L1987" s="1">
        <v>0</v>
      </c>
      <c r="M1987" s="1">
        <v>0</v>
      </c>
    </row>
    <row r="1988" spans="1:13">
      <c r="A1988" s="1">
        <v>1987</v>
      </c>
      <c r="B1988" s="1">
        <v>845132.23699999996</v>
      </c>
      <c r="C1988" s="1">
        <v>553695.78116117103</v>
      </c>
      <c r="D1988" s="1">
        <f t="shared" si="31"/>
        <v>291436.45583882893</v>
      </c>
      <c r="E1988" s="1">
        <v>21</v>
      </c>
      <c r="F1988" s="1">
        <v>9</v>
      </c>
      <c r="G1988" s="1">
        <v>5</v>
      </c>
      <c r="H1988" s="1">
        <v>0</v>
      </c>
      <c r="I1988" s="1">
        <v>1</v>
      </c>
      <c r="J1988" s="1">
        <v>1</v>
      </c>
      <c r="K1988" s="1">
        <v>0</v>
      </c>
      <c r="L1988" s="1">
        <v>0</v>
      </c>
      <c r="M1988" s="1">
        <v>0</v>
      </c>
    </row>
    <row r="1989" spans="1:13">
      <c r="A1989" s="1">
        <v>1988</v>
      </c>
      <c r="B1989" s="1">
        <v>954823.52009999997</v>
      </c>
      <c r="C1989" s="1">
        <v>701949.46889108338</v>
      </c>
      <c r="D1989" s="1">
        <f t="shared" si="31"/>
        <v>252874.05120891659</v>
      </c>
      <c r="E1989" s="1">
        <v>12</v>
      </c>
      <c r="F1989" s="1">
        <v>16</v>
      </c>
      <c r="G1989" s="1">
        <v>7</v>
      </c>
      <c r="H1989" s="1">
        <v>0</v>
      </c>
      <c r="I1989" s="1">
        <v>1</v>
      </c>
      <c r="J1989" s="1">
        <v>2</v>
      </c>
      <c r="K1989" s="1">
        <v>0</v>
      </c>
      <c r="L1989" s="1">
        <v>0</v>
      </c>
      <c r="M1989" s="1">
        <v>0</v>
      </c>
    </row>
    <row r="1990" spans="1:13">
      <c r="A1990" s="1">
        <v>1989</v>
      </c>
      <c r="B1990" s="1">
        <v>900455.65419999999</v>
      </c>
      <c r="C1990" s="1">
        <v>643176.48796981876</v>
      </c>
      <c r="D1990" s="1">
        <f t="shared" si="31"/>
        <v>257279.16623018123</v>
      </c>
      <c r="E1990" s="1">
        <v>14</v>
      </c>
      <c r="F1990" s="1">
        <v>15</v>
      </c>
      <c r="G1990" s="1">
        <v>6</v>
      </c>
      <c r="H1990" s="1">
        <v>2</v>
      </c>
      <c r="I1990" s="1">
        <v>0</v>
      </c>
      <c r="J1990" s="1">
        <v>1</v>
      </c>
      <c r="K1990" s="1">
        <v>1</v>
      </c>
      <c r="L1990" s="1">
        <v>0</v>
      </c>
      <c r="M1990" s="1">
        <v>1</v>
      </c>
    </row>
    <row r="1991" spans="1:13">
      <c r="A1991" s="1">
        <v>1990</v>
      </c>
      <c r="B1991" s="1">
        <v>942431.82990000001</v>
      </c>
      <c r="C1991" s="1">
        <v>706996.94324631291</v>
      </c>
      <c r="D1991" s="1">
        <f t="shared" si="31"/>
        <v>235434.88665368711</v>
      </c>
      <c r="E1991" s="1">
        <v>12</v>
      </c>
      <c r="F1991" s="1">
        <v>14</v>
      </c>
      <c r="G1991" s="1">
        <v>9</v>
      </c>
      <c r="H1991" s="1">
        <v>0</v>
      </c>
      <c r="I1991" s="1">
        <v>1</v>
      </c>
      <c r="J1991" s="1">
        <v>0</v>
      </c>
      <c r="K1991" s="1">
        <v>0</v>
      </c>
      <c r="L1991" s="1">
        <v>0</v>
      </c>
      <c r="M1991" s="1">
        <v>0</v>
      </c>
    </row>
    <row r="1992" spans="1:13">
      <c r="A1992" s="1">
        <v>1991</v>
      </c>
      <c r="B1992" s="1">
        <v>956976.3493</v>
      </c>
      <c r="C1992" s="1">
        <v>882562.79702864308</v>
      </c>
      <c r="D1992" s="1">
        <f t="shared" si="31"/>
        <v>74413.552271356923</v>
      </c>
      <c r="E1992" s="1">
        <v>15</v>
      </c>
      <c r="F1992" s="1">
        <v>13</v>
      </c>
      <c r="G1992" s="1">
        <v>7</v>
      </c>
      <c r="H1992" s="1">
        <v>0</v>
      </c>
      <c r="I1992" s="1">
        <v>0</v>
      </c>
      <c r="J1992" s="1">
        <v>0</v>
      </c>
      <c r="K1992" s="1">
        <v>1</v>
      </c>
      <c r="L1992" s="1">
        <v>0</v>
      </c>
      <c r="M1992" s="1">
        <v>0</v>
      </c>
    </row>
    <row r="1993" spans="1:13">
      <c r="A1993" s="1">
        <v>1992</v>
      </c>
      <c r="B1993" s="1">
        <v>851035.08440000005</v>
      </c>
      <c r="C1993" s="1">
        <v>2093408.9207038621</v>
      </c>
      <c r="D1993" s="1">
        <f t="shared" si="31"/>
        <v>-1242373.836303862</v>
      </c>
      <c r="E1993" s="1">
        <v>26</v>
      </c>
      <c r="F1993" s="1">
        <v>4</v>
      </c>
      <c r="G1993" s="1">
        <v>5</v>
      </c>
      <c r="H1993" s="1">
        <v>1</v>
      </c>
      <c r="I1993" s="1">
        <v>0</v>
      </c>
      <c r="J1993" s="1">
        <v>0</v>
      </c>
      <c r="K1993" s="1">
        <v>0</v>
      </c>
      <c r="L1993" s="1">
        <v>0</v>
      </c>
      <c r="M1993" s="1">
        <v>0</v>
      </c>
    </row>
    <row r="1994" spans="1:13">
      <c r="A1994" s="1">
        <v>1993</v>
      </c>
      <c r="B1994" s="1">
        <v>999029.38740000001</v>
      </c>
      <c r="C1994" s="1">
        <v>843157.52576792345</v>
      </c>
      <c r="D1994" s="1">
        <f t="shared" si="31"/>
        <v>155871.86163207656</v>
      </c>
      <c r="E1994" s="1">
        <v>7</v>
      </c>
      <c r="F1994" s="1">
        <v>20</v>
      </c>
      <c r="G1994" s="1">
        <v>8</v>
      </c>
      <c r="H1994" s="1">
        <v>1</v>
      </c>
      <c r="I1994" s="1">
        <v>0</v>
      </c>
      <c r="J1994" s="1">
        <v>1</v>
      </c>
      <c r="K1994" s="1">
        <v>0</v>
      </c>
      <c r="L1994" s="1">
        <v>0</v>
      </c>
      <c r="M1994" s="1">
        <v>0</v>
      </c>
    </row>
    <row r="1995" spans="1:13">
      <c r="A1995" s="1">
        <v>1994</v>
      </c>
      <c r="B1995" s="1">
        <v>848988.60690000001</v>
      </c>
      <c r="C1995" s="1">
        <v>1028743.9348263802</v>
      </c>
      <c r="D1995" s="1">
        <f t="shared" si="31"/>
        <v>-179755.32792638021</v>
      </c>
      <c r="E1995" s="1">
        <v>22</v>
      </c>
      <c r="F1995" s="1">
        <v>10</v>
      </c>
      <c r="G1995" s="1">
        <v>3</v>
      </c>
      <c r="H1995" s="1">
        <v>1</v>
      </c>
      <c r="I1995" s="1">
        <v>0</v>
      </c>
      <c r="J1995" s="1">
        <v>0</v>
      </c>
      <c r="K1995" s="1">
        <v>0</v>
      </c>
      <c r="L1995" s="1">
        <v>0</v>
      </c>
      <c r="M1995" s="1">
        <v>1</v>
      </c>
    </row>
    <row r="1996" spans="1:13">
      <c r="A1996" s="1">
        <v>1995</v>
      </c>
      <c r="B1996" s="1">
        <v>895458.66989999998</v>
      </c>
      <c r="C1996" s="1">
        <v>763589.48867449025</v>
      </c>
      <c r="D1996" s="1">
        <f t="shared" si="31"/>
        <v>131869.18122550973</v>
      </c>
      <c r="E1996" s="1">
        <v>13</v>
      </c>
      <c r="F1996" s="1">
        <v>19</v>
      </c>
      <c r="G1996" s="1">
        <v>3</v>
      </c>
      <c r="H1996" s="1">
        <v>2</v>
      </c>
      <c r="I1996" s="1">
        <v>0</v>
      </c>
      <c r="J1996" s="1">
        <v>1</v>
      </c>
      <c r="K1996" s="1">
        <v>1</v>
      </c>
      <c r="L1996" s="1">
        <v>0</v>
      </c>
      <c r="M1996" s="1">
        <v>0</v>
      </c>
    </row>
    <row r="1997" spans="1:13">
      <c r="A1997" s="1">
        <v>1996</v>
      </c>
      <c r="B1997" s="1">
        <v>920409.86939999997</v>
      </c>
      <c r="C1997" s="1">
        <v>1359347.1339266985</v>
      </c>
      <c r="D1997" s="1">
        <f t="shared" si="31"/>
        <v>-438937.26452669851</v>
      </c>
      <c r="E1997" s="1">
        <v>22</v>
      </c>
      <c r="F1997" s="1">
        <v>9</v>
      </c>
      <c r="G1997" s="1">
        <v>4</v>
      </c>
      <c r="H1997" s="1">
        <v>1</v>
      </c>
      <c r="I1997" s="1">
        <v>0</v>
      </c>
      <c r="J1997" s="1">
        <v>0</v>
      </c>
      <c r="K1997" s="1">
        <v>0</v>
      </c>
      <c r="L1997" s="1">
        <v>0</v>
      </c>
      <c r="M1997" s="1">
        <v>0</v>
      </c>
    </row>
    <row r="1998" spans="1:13">
      <c r="A1998" s="1">
        <v>1997</v>
      </c>
      <c r="B1998" s="1">
        <v>989117.57409999997</v>
      </c>
      <c r="C1998" s="1">
        <v>1363314.1096119743</v>
      </c>
      <c r="D1998" s="1">
        <f t="shared" si="31"/>
        <v>-374196.53551197436</v>
      </c>
      <c r="E1998" s="1">
        <v>9</v>
      </c>
      <c r="F1998" s="1">
        <v>24</v>
      </c>
      <c r="G1998" s="1">
        <v>2</v>
      </c>
      <c r="H1998" s="1">
        <v>0</v>
      </c>
      <c r="I1998" s="1">
        <v>0</v>
      </c>
      <c r="J1998" s="1">
        <v>1</v>
      </c>
      <c r="K1998" s="1">
        <v>0</v>
      </c>
      <c r="L1998" s="1">
        <v>0</v>
      </c>
      <c r="M1998" s="1">
        <v>0</v>
      </c>
    </row>
    <row r="1999" spans="1:13">
      <c r="A1999" s="1">
        <v>1998</v>
      </c>
      <c r="B1999" s="1">
        <v>935273.93799999997</v>
      </c>
      <c r="C1999" s="1">
        <v>1052025.4490361046</v>
      </c>
      <c r="D1999" s="1">
        <f t="shared" si="31"/>
        <v>-116751.51103610464</v>
      </c>
      <c r="E1999" s="1">
        <v>14</v>
      </c>
      <c r="F1999" s="1">
        <v>16</v>
      </c>
      <c r="G1999" s="1">
        <v>5</v>
      </c>
      <c r="H1999" s="1">
        <v>1</v>
      </c>
      <c r="I1999" s="1">
        <v>0</v>
      </c>
      <c r="J1999" s="1">
        <v>1</v>
      </c>
      <c r="K1999" s="1">
        <v>1</v>
      </c>
      <c r="L1999" s="1">
        <v>0</v>
      </c>
      <c r="M1999" s="1">
        <v>0</v>
      </c>
    </row>
    <row r="2000" spans="1:13">
      <c r="A2000" s="1">
        <v>1999</v>
      </c>
      <c r="B2000" s="1">
        <v>828421.20719999995</v>
      </c>
      <c r="C2000" s="1">
        <v>850127.98395212402</v>
      </c>
      <c r="D2000" s="1">
        <f t="shared" si="31"/>
        <v>-21706.776752124075</v>
      </c>
      <c r="E2000" s="1">
        <v>24</v>
      </c>
      <c r="F2000" s="1">
        <v>5</v>
      </c>
      <c r="G2000" s="1">
        <v>6</v>
      </c>
      <c r="H2000" s="1">
        <v>1</v>
      </c>
      <c r="I2000" s="1">
        <v>0</v>
      </c>
      <c r="J2000" s="1">
        <v>0</v>
      </c>
      <c r="K2000" s="1">
        <v>0</v>
      </c>
      <c r="L2000" s="1">
        <v>0</v>
      </c>
      <c r="M2000" s="1">
        <v>1</v>
      </c>
    </row>
    <row r="2001" spans="1:13">
      <c r="A2001" s="1">
        <v>2000</v>
      </c>
      <c r="B2001" s="1">
        <v>991524.05449999997</v>
      </c>
      <c r="C2001" s="1">
        <v>865164.95600217651</v>
      </c>
      <c r="D2001" s="1">
        <f t="shared" si="31"/>
        <v>126359.09849782346</v>
      </c>
      <c r="E2001" s="1">
        <v>16</v>
      </c>
      <c r="F2001" s="1">
        <v>14</v>
      </c>
      <c r="G2001" s="1">
        <v>5</v>
      </c>
      <c r="H2001" s="1">
        <v>2</v>
      </c>
      <c r="I2001" s="1">
        <v>0</v>
      </c>
      <c r="J2001" s="1">
        <v>0</v>
      </c>
      <c r="K2001" s="1">
        <v>1</v>
      </c>
      <c r="L2001" s="1">
        <v>0</v>
      </c>
      <c r="M2001" s="1">
        <v>0</v>
      </c>
    </row>
    <row r="2002" spans="1:13">
      <c r="A2002" s="1">
        <v>2001</v>
      </c>
      <c r="B2002" s="1">
        <v>927130.82330000005</v>
      </c>
      <c r="C2002" s="1">
        <v>700350.66761043039</v>
      </c>
      <c r="D2002" s="1">
        <f t="shared" si="31"/>
        <v>226780.15568956966</v>
      </c>
      <c r="E2002" s="1">
        <v>11</v>
      </c>
      <c r="F2002" s="1">
        <v>19</v>
      </c>
      <c r="G2002" s="1">
        <v>5</v>
      </c>
      <c r="H2002" s="1">
        <v>2</v>
      </c>
      <c r="I2002" s="1">
        <v>0</v>
      </c>
      <c r="J2002" s="1">
        <v>0</v>
      </c>
      <c r="K2002" s="1">
        <v>1</v>
      </c>
      <c r="L2002" s="1">
        <v>0</v>
      </c>
      <c r="M2002" s="1">
        <v>0</v>
      </c>
    </row>
    <row r="2003" spans="1:13">
      <c r="A2003" s="1">
        <v>2002</v>
      </c>
      <c r="B2003" s="1">
        <v>882094.4817</v>
      </c>
      <c r="C2003" s="1">
        <v>892371.25296937511</v>
      </c>
      <c r="D2003" s="1">
        <f t="shared" si="31"/>
        <v>-10276.771269375109</v>
      </c>
      <c r="E2003" s="1">
        <v>17</v>
      </c>
      <c r="F2003" s="1">
        <v>13</v>
      </c>
      <c r="G2003" s="1">
        <v>5</v>
      </c>
      <c r="H2003" s="1">
        <v>1</v>
      </c>
      <c r="I2003" s="1">
        <v>1</v>
      </c>
      <c r="J2003" s="1">
        <v>2</v>
      </c>
      <c r="K2003" s="1">
        <v>0</v>
      </c>
      <c r="L2003" s="1">
        <v>0</v>
      </c>
      <c r="M2003" s="1">
        <v>0</v>
      </c>
    </row>
    <row r="2004" spans="1:13">
      <c r="A2004" s="1">
        <v>2003</v>
      </c>
      <c r="B2004" s="1">
        <v>918260.21860000002</v>
      </c>
      <c r="C2004" s="1">
        <v>891885.34479602834</v>
      </c>
      <c r="D2004" s="1">
        <f t="shared" si="31"/>
        <v>26374.873803971685</v>
      </c>
      <c r="E2004" s="1">
        <v>11</v>
      </c>
      <c r="F2004" s="1">
        <v>19</v>
      </c>
      <c r="G2004" s="1">
        <v>5</v>
      </c>
      <c r="H2004" s="1">
        <v>1</v>
      </c>
      <c r="I2004" s="1">
        <v>0</v>
      </c>
      <c r="J2004" s="1">
        <v>1</v>
      </c>
      <c r="K2004" s="1">
        <v>1</v>
      </c>
      <c r="L2004" s="1">
        <v>0</v>
      </c>
      <c r="M2004" s="1">
        <v>0</v>
      </c>
    </row>
    <row r="2005" spans="1:13">
      <c r="A2005" s="1">
        <v>2004</v>
      </c>
      <c r="B2005" s="1">
        <v>985503.01210000005</v>
      </c>
      <c r="C2005" s="1">
        <v>925711.87934080826</v>
      </c>
      <c r="D2005" s="1">
        <f t="shared" si="31"/>
        <v>59791.132759191794</v>
      </c>
      <c r="E2005" s="1">
        <v>13</v>
      </c>
      <c r="F2005" s="1">
        <v>17</v>
      </c>
      <c r="G2005" s="1">
        <v>5</v>
      </c>
      <c r="H2005" s="1">
        <v>2</v>
      </c>
      <c r="I2005" s="1">
        <v>0</v>
      </c>
      <c r="J2005" s="1">
        <v>0</v>
      </c>
      <c r="K2005" s="1">
        <v>2</v>
      </c>
      <c r="L2005" s="1">
        <v>0</v>
      </c>
      <c r="M2005" s="1">
        <v>0</v>
      </c>
    </row>
    <row r="2006" spans="1:13">
      <c r="A2006" s="1">
        <v>2005</v>
      </c>
      <c r="B2006" s="1">
        <v>1067020.8207</v>
      </c>
      <c r="C2006" s="1">
        <v>1255458.1738547375</v>
      </c>
      <c r="D2006" s="1">
        <f t="shared" si="31"/>
        <v>-188437.3531547375</v>
      </c>
      <c r="E2006" s="1">
        <v>12</v>
      </c>
      <c r="F2006" s="1">
        <v>14</v>
      </c>
      <c r="G2006" s="1">
        <v>9</v>
      </c>
      <c r="H2006" s="1">
        <v>1</v>
      </c>
      <c r="I2006" s="1">
        <v>0</v>
      </c>
      <c r="J2006" s="1">
        <v>1</v>
      </c>
      <c r="K2006" s="1">
        <v>0</v>
      </c>
      <c r="L2006" s="1">
        <v>0</v>
      </c>
      <c r="M2006" s="1">
        <v>1</v>
      </c>
    </row>
    <row r="2007" spans="1:13">
      <c r="A2007" s="1">
        <v>2006</v>
      </c>
      <c r="B2007" s="1">
        <v>905160.33889999997</v>
      </c>
      <c r="C2007" s="1">
        <v>987875.43111492565</v>
      </c>
      <c r="D2007" s="1">
        <f t="shared" si="31"/>
        <v>-82715.09221492568</v>
      </c>
      <c r="E2007" s="1">
        <v>17</v>
      </c>
      <c r="F2007" s="1">
        <v>15</v>
      </c>
      <c r="G2007" s="1">
        <v>3</v>
      </c>
      <c r="H2007" s="1">
        <v>1</v>
      </c>
      <c r="I2007" s="1">
        <v>0</v>
      </c>
      <c r="J2007" s="1">
        <v>1</v>
      </c>
      <c r="K2007" s="1">
        <v>0</v>
      </c>
      <c r="L2007" s="1">
        <v>0</v>
      </c>
      <c r="M2007" s="1">
        <v>0</v>
      </c>
    </row>
    <row r="2008" spans="1:13">
      <c r="A2008" s="1">
        <v>2007</v>
      </c>
      <c r="B2008" s="1">
        <v>866751.11349999998</v>
      </c>
      <c r="C2008" s="1">
        <v>838831.77892415982</v>
      </c>
      <c r="D2008" s="1">
        <f t="shared" si="31"/>
        <v>27919.334575840156</v>
      </c>
      <c r="E2008" s="1">
        <v>15</v>
      </c>
      <c r="F2008" s="1">
        <v>17</v>
      </c>
      <c r="G2008" s="1">
        <v>3</v>
      </c>
      <c r="H2008" s="1">
        <v>2</v>
      </c>
      <c r="I2008" s="1">
        <v>0</v>
      </c>
      <c r="J2008" s="1">
        <v>1</v>
      </c>
      <c r="K2008" s="1">
        <v>1</v>
      </c>
      <c r="L2008" s="1">
        <v>0</v>
      </c>
      <c r="M2008" s="1">
        <v>1</v>
      </c>
    </row>
    <row r="2009" spans="1:13">
      <c r="A2009" s="1">
        <v>2008</v>
      </c>
      <c r="B2009" s="1">
        <v>1012011.3074</v>
      </c>
      <c r="C2009" s="1">
        <v>1067449.345927496</v>
      </c>
      <c r="D2009" s="1">
        <f t="shared" si="31"/>
        <v>-55438.038527495926</v>
      </c>
      <c r="E2009" s="1">
        <v>9</v>
      </c>
      <c r="F2009" s="1">
        <v>20</v>
      </c>
      <c r="G2009" s="1">
        <v>6</v>
      </c>
      <c r="H2009" s="1">
        <v>0</v>
      </c>
      <c r="I2009" s="1">
        <v>0</v>
      </c>
      <c r="J2009" s="1">
        <v>2</v>
      </c>
      <c r="K2009" s="1">
        <v>0</v>
      </c>
      <c r="L2009" s="1">
        <v>0</v>
      </c>
      <c r="M2009" s="1">
        <v>0</v>
      </c>
    </row>
    <row r="2010" spans="1:13">
      <c r="A2010" s="1">
        <v>2009</v>
      </c>
      <c r="B2010" s="1">
        <v>943616.34759999998</v>
      </c>
      <c r="C2010" s="1">
        <v>941118.12647661404</v>
      </c>
      <c r="D2010" s="1">
        <f t="shared" si="31"/>
        <v>2498.2211233859416</v>
      </c>
      <c r="E2010" s="1">
        <v>18</v>
      </c>
      <c r="F2010" s="1">
        <v>11</v>
      </c>
      <c r="G2010" s="1">
        <v>6</v>
      </c>
      <c r="H2010" s="1">
        <v>0</v>
      </c>
      <c r="I2010" s="1">
        <v>0</v>
      </c>
      <c r="J2010" s="1">
        <v>0</v>
      </c>
      <c r="K2010" s="1">
        <v>1</v>
      </c>
      <c r="L2010" s="1">
        <v>0</v>
      </c>
      <c r="M2010" s="1">
        <v>0</v>
      </c>
    </row>
    <row r="2011" spans="1:13">
      <c r="A2011" s="1">
        <v>2010</v>
      </c>
      <c r="B2011" s="1">
        <v>955470.71660000004</v>
      </c>
      <c r="C2011" s="1">
        <v>998400.8987193763</v>
      </c>
      <c r="D2011" s="1">
        <f t="shared" si="31"/>
        <v>-42930.182119376259</v>
      </c>
      <c r="E2011" s="1">
        <v>14</v>
      </c>
      <c r="F2011" s="1">
        <v>17</v>
      </c>
      <c r="G2011" s="1">
        <v>4</v>
      </c>
      <c r="H2011" s="1">
        <v>1</v>
      </c>
      <c r="I2011" s="1">
        <v>0</v>
      </c>
      <c r="J2011" s="1">
        <v>0</v>
      </c>
      <c r="K2011" s="1">
        <v>2</v>
      </c>
      <c r="L2011" s="1">
        <v>0</v>
      </c>
      <c r="M2011" s="1">
        <v>0</v>
      </c>
    </row>
    <row r="2012" spans="1:13">
      <c r="A2012" s="1">
        <v>2011</v>
      </c>
      <c r="B2012" s="1">
        <v>1016718.5024</v>
      </c>
      <c r="C2012" s="1">
        <v>638647.23959373427</v>
      </c>
      <c r="D2012" s="1">
        <f t="shared" si="31"/>
        <v>378071.26280626573</v>
      </c>
      <c r="E2012" s="1">
        <v>11</v>
      </c>
      <c r="F2012" s="1">
        <v>17</v>
      </c>
      <c r="G2012" s="1">
        <v>7</v>
      </c>
      <c r="H2012" s="1">
        <v>0</v>
      </c>
      <c r="I2012" s="1">
        <v>0</v>
      </c>
      <c r="J2012" s="1">
        <v>1</v>
      </c>
      <c r="K2012" s="1">
        <v>1</v>
      </c>
      <c r="L2012" s="1">
        <v>0</v>
      </c>
      <c r="M2012" s="1">
        <v>1</v>
      </c>
    </row>
    <row r="2013" spans="1:13">
      <c r="A2013" s="1">
        <v>2012</v>
      </c>
      <c r="B2013" s="1">
        <v>930710.89780000004</v>
      </c>
      <c r="C2013" s="1">
        <v>839576.17434010725</v>
      </c>
      <c r="D2013" s="1">
        <f t="shared" si="31"/>
        <v>91134.72345989279</v>
      </c>
      <c r="E2013" s="1">
        <v>5</v>
      </c>
      <c r="F2013" s="1">
        <v>26</v>
      </c>
      <c r="G2013" s="1">
        <v>4</v>
      </c>
      <c r="H2013" s="1">
        <v>0</v>
      </c>
      <c r="I2013" s="1">
        <v>0</v>
      </c>
      <c r="J2013" s="1">
        <v>1</v>
      </c>
      <c r="K2013" s="1">
        <v>0</v>
      </c>
      <c r="L2013" s="1">
        <v>0</v>
      </c>
      <c r="M2013" s="1">
        <v>0</v>
      </c>
    </row>
    <row r="2014" spans="1:13">
      <c r="A2014" s="1">
        <v>2013</v>
      </c>
      <c r="B2014" s="1">
        <v>847567.74049999996</v>
      </c>
      <c r="C2014" s="1">
        <v>973655.24649889965</v>
      </c>
      <c r="D2014" s="1">
        <f t="shared" si="31"/>
        <v>-126087.50599889969</v>
      </c>
      <c r="E2014" s="1">
        <v>20</v>
      </c>
      <c r="F2014" s="1">
        <v>11</v>
      </c>
      <c r="G2014" s="1">
        <v>4</v>
      </c>
      <c r="H2014" s="1">
        <v>2</v>
      </c>
      <c r="I2014" s="1">
        <v>0</v>
      </c>
      <c r="J2014" s="1">
        <v>1</v>
      </c>
      <c r="K2014" s="1">
        <v>1</v>
      </c>
      <c r="L2014" s="1">
        <v>0</v>
      </c>
      <c r="M2014" s="1">
        <v>0</v>
      </c>
    </row>
    <row r="2015" spans="1:13">
      <c r="A2015" s="1">
        <v>2014</v>
      </c>
      <c r="B2015" s="1">
        <v>824856.45889999997</v>
      </c>
      <c r="C2015" s="1">
        <v>696497.87694125657</v>
      </c>
      <c r="D2015" s="1">
        <f t="shared" si="31"/>
        <v>128358.58195874339</v>
      </c>
      <c r="E2015" s="1">
        <v>20</v>
      </c>
      <c r="F2015" s="1">
        <v>9</v>
      </c>
      <c r="G2015" s="1">
        <v>6</v>
      </c>
      <c r="H2015" s="1">
        <v>0</v>
      </c>
      <c r="I2015" s="1">
        <v>0</v>
      </c>
      <c r="J2015" s="1">
        <v>0</v>
      </c>
      <c r="K2015" s="1">
        <v>0</v>
      </c>
      <c r="L2015" s="1">
        <v>0</v>
      </c>
      <c r="M2015" s="1">
        <v>0</v>
      </c>
    </row>
    <row r="2016" spans="1:13">
      <c r="A2016" s="1">
        <v>2015</v>
      </c>
      <c r="B2016" s="1">
        <v>898542.88780000003</v>
      </c>
      <c r="C2016" s="1">
        <v>886697.99052815535</v>
      </c>
      <c r="D2016" s="1">
        <f t="shared" si="31"/>
        <v>11844.897271844675</v>
      </c>
      <c r="E2016" s="1">
        <v>15</v>
      </c>
      <c r="F2016" s="1">
        <v>18</v>
      </c>
      <c r="G2016" s="1">
        <v>2</v>
      </c>
      <c r="H2016" s="1">
        <v>1</v>
      </c>
      <c r="I2016" s="1">
        <v>0</v>
      </c>
      <c r="J2016" s="1">
        <v>2</v>
      </c>
      <c r="K2016" s="1">
        <v>0</v>
      </c>
      <c r="L2016" s="1">
        <v>0</v>
      </c>
      <c r="M2016" s="1">
        <v>0</v>
      </c>
    </row>
    <row r="2017" spans="1:13">
      <c r="A2017" s="1">
        <v>2016</v>
      </c>
      <c r="B2017" s="1">
        <v>916751.36730000004</v>
      </c>
      <c r="C2017" s="1">
        <v>1561477.1803144286</v>
      </c>
      <c r="D2017" s="1">
        <f t="shared" si="31"/>
        <v>-644725.8130144286</v>
      </c>
      <c r="E2017" s="1">
        <v>12</v>
      </c>
      <c r="F2017" s="1">
        <v>20</v>
      </c>
      <c r="G2017" s="1">
        <v>3</v>
      </c>
      <c r="H2017" s="1">
        <v>1</v>
      </c>
      <c r="I2017" s="1">
        <v>0</v>
      </c>
      <c r="J2017" s="1">
        <v>0</v>
      </c>
      <c r="K2017" s="1">
        <v>2</v>
      </c>
      <c r="L2017" s="1">
        <v>0</v>
      </c>
      <c r="M2017" s="1">
        <v>0</v>
      </c>
    </row>
    <row r="2018" spans="1:13">
      <c r="A2018" s="1">
        <v>2017</v>
      </c>
      <c r="B2018" s="1">
        <v>874558.47230000002</v>
      </c>
      <c r="C2018" s="1">
        <v>932894.29105532297</v>
      </c>
      <c r="D2018" s="1">
        <f t="shared" si="31"/>
        <v>-58335.818755322951</v>
      </c>
      <c r="E2018" s="1">
        <v>10</v>
      </c>
      <c r="F2018" s="1">
        <v>23</v>
      </c>
      <c r="G2018" s="1">
        <v>2</v>
      </c>
      <c r="H2018" s="1">
        <v>0</v>
      </c>
      <c r="I2018" s="1">
        <v>0</v>
      </c>
      <c r="J2018" s="1">
        <v>1</v>
      </c>
      <c r="K2018" s="1">
        <v>1</v>
      </c>
      <c r="L2018" s="1">
        <v>0</v>
      </c>
      <c r="M2018" s="1">
        <v>0</v>
      </c>
    </row>
    <row r="2019" spans="1:13">
      <c r="A2019" s="1">
        <v>2018</v>
      </c>
      <c r="B2019" s="1">
        <v>961667.9057</v>
      </c>
      <c r="C2019" s="1">
        <v>679327.92716619954</v>
      </c>
      <c r="D2019" s="1">
        <f t="shared" si="31"/>
        <v>282339.97853380046</v>
      </c>
      <c r="E2019" s="1">
        <v>13</v>
      </c>
      <c r="F2019" s="1">
        <v>15</v>
      </c>
      <c r="G2019" s="1">
        <v>7</v>
      </c>
      <c r="H2019" s="1">
        <v>1</v>
      </c>
      <c r="I2019" s="1">
        <v>0</v>
      </c>
      <c r="J2019" s="1">
        <v>0</v>
      </c>
      <c r="K2019" s="1">
        <v>0</v>
      </c>
      <c r="L2019" s="1">
        <v>1</v>
      </c>
      <c r="M2019" s="1">
        <v>0</v>
      </c>
    </row>
    <row r="2020" spans="1:13">
      <c r="A2020" s="1">
        <v>2019</v>
      </c>
      <c r="B2020" s="1">
        <v>898332.14179999998</v>
      </c>
      <c r="C2020" s="1">
        <v>937803.89858080668</v>
      </c>
      <c r="D2020" s="1">
        <f t="shared" si="31"/>
        <v>-39471.756780806696</v>
      </c>
      <c r="E2020" s="1">
        <v>18</v>
      </c>
      <c r="F2020" s="1">
        <v>14</v>
      </c>
      <c r="G2020" s="1">
        <v>3</v>
      </c>
      <c r="H2020" s="1">
        <v>1</v>
      </c>
      <c r="I2020" s="1">
        <v>0</v>
      </c>
      <c r="J2020" s="1">
        <v>1</v>
      </c>
      <c r="K2020" s="1">
        <v>0</v>
      </c>
      <c r="L2020" s="1">
        <v>0</v>
      </c>
      <c r="M2020" s="1">
        <v>1</v>
      </c>
    </row>
    <row r="2021" spans="1:13">
      <c r="A2021" s="1">
        <v>2020</v>
      </c>
      <c r="B2021" s="1">
        <v>923335.65780000004</v>
      </c>
      <c r="C2021" s="1">
        <v>896235.70254805475</v>
      </c>
      <c r="D2021" s="1">
        <f t="shared" si="31"/>
        <v>27099.955251945299</v>
      </c>
      <c r="E2021" s="1">
        <v>17</v>
      </c>
      <c r="F2021" s="1">
        <v>13</v>
      </c>
      <c r="G2021" s="1">
        <v>5</v>
      </c>
      <c r="H2021" s="1">
        <v>1</v>
      </c>
      <c r="I2021" s="1">
        <v>1</v>
      </c>
      <c r="J2021" s="1">
        <v>0</v>
      </c>
      <c r="K2021" s="1">
        <v>0</v>
      </c>
      <c r="L2021" s="1">
        <v>0</v>
      </c>
      <c r="M2021" s="1">
        <v>0</v>
      </c>
    </row>
    <row r="2022" spans="1:13">
      <c r="A2022" s="1">
        <v>2021</v>
      </c>
      <c r="B2022" s="1">
        <v>830828.16399999999</v>
      </c>
      <c r="C2022" s="1">
        <v>1342695.4039222149</v>
      </c>
      <c r="D2022" s="1">
        <f t="shared" si="31"/>
        <v>-511867.23992221488</v>
      </c>
      <c r="E2022" s="1">
        <v>21</v>
      </c>
      <c r="F2022" s="1">
        <v>10</v>
      </c>
      <c r="G2022" s="1">
        <v>4</v>
      </c>
      <c r="H2022" s="1">
        <v>0</v>
      </c>
      <c r="I2022" s="1">
        <v>0</v>
      </c>
      <c r="J2022" s="1">
        <v>2</v>
      </c>
      <c r="K2022" s="1">
        <v>0</v>
      </c>
      <c r="L2022" s="1">
        <v>0</v>
      </c>
      <c r="M2022" s="1">
        <v>0</v>
      </c>
    </row>
    <row r="2023" spans="1:13">
      <c r="A2023" s="1">
        <v>2022</v>
      </c>
      <c r="B2023" s="1">
        <v>880501.5196</v>
      </c>
      <c r="C2023" s="1">
        <v>779043.4380609967</v>
      </c>
      <c r="D2023" s="1">
        <f t="shared" si="31"/>
        <v>101458.08153900329</v>
      </c>
      <c r="E2023" s="1">
        <v>7</v>
      </c>
      <c r="F2023" s="1">
        <v>23</v>
      </c>
      <c r="G2023" s="1">
        <v>5</v>
      </c>
      <c r="H2023" s="1">
        <v>1</v>
      </c>
      <c r="I2023" s="1">
        <v>1</v>
      </c>
      <c r="J2023" s="1">
        <v>0</v>
      </c>
      <c r="K2023" s="1">
        <v>2</v>
      </c>
      <c r="L2023" s="1">
        <v>0</v>
      </c>
      <c r="M2023" s="1">
        <v>0</v>
      </c>
    </row>
    <row r="2024" spans="1:13">
      <c r="A2024" s="1">
        <v>2023</v>
      </c>
      <c r="B2024" s="1">
        <v>953728.28</v>
      </c>
      <c r="C2024" s="1">
        <v>1152418.8228109952</v>
      </c>
      <c r="D2024" s="1">
        <f t="shared" si="31"/>
        <v>-198690.54281099513</v>
      </c>
      <c r="E2024" s="1">
        <v>5</v>
      </c>
      <c r="F2024" s="1">
        <v>25</v>
      </c>
      <c r="G2024" s="1">
        <v>5</v>
      </c>
      <c r="H2024" s="1">
        <v>0</v>
      </c>
      <c r="I2024" s="1">
        <v>0</v>
      </c>
      <c r="J2024" s="1">
        <v>0</v>
      </c>
      <c r="K2024" s="1">
        <v>0</v>
      </c>
      <c r="L2024" s="1">
        <v>0</v>
      </c>
      <c r="M2024" s="1">
        <v>0</v>
      </c>
    </row>
    <row r="2025" spans="1:13">
      <c r="A2025" s="1">
        <v>2024</v>
      </c>
      <c r="B2025" s="1">
        <v>894176.97259999998</v>
      </c>
      <c r="C2025" s="1">
        <v>657573.31103692169</v>
      </c>
      <c r="D2025" s="1">
        <f t="shared" si="31"/>
        <v>236603.66156307829</v>
      </c>
      <c r="E2025" s="1">
        <v>11</v>
      </c>
      <c r="F2025" s="1">
        <v>19</v>
      </c>
      <c r="G2025" s="1">
        <v>5</v>
      </c>
      <c r="H2025" s="1">
        <v>0</v>
      </c>
      <c r="I2025" s="1">
        <v>1</v>
      </c>
      <c r="J2025" s="1">
        <v>1</v>
      </c>
      <c r="K2025" s="1">
        <v>1</v>
      </c>
      <c r="L2025" s="1">
        <v>0</v>
      </c>
      <c r="M2025" s="1">
        <v>1</v>
      </c>
    </row>
    <row r="2026" spans="1:13">
      <c r="A2026" s="1">
        <v>2025</v>
      </c>
      <c r="B2026" s="1">
        <v>1007315.5046</v>
      </c>
      <c r="C2026" s="1">
        <v>1271065.0793952323</v>
      </c>
      <c r="D2026" s="1">
        <f t="shared" si="31"/>
        <v>-263749.57479523227</v>
      </c>
      <c r="E2026" s="1">
        <v>2</v>
      </c>
      <c r="F2026" s="1">
        <v>25</v>
      </c>
      <c r="G2026" s="1">
        <v>8</v>
      </c>
      <c r="H2026" s="1">
        <v>1</v>
      </c>
      <c r="I2026" s="1">
        <v>0</v>
      </c>
      <c r="J2026" s="1">
        <v>0</v>
      </c>
      <c r="K2026" s="1">
        <v>0</v>
      </c>
      <c r="L2026" s="1">
        <v>0</v>
      </c>
      <c r="M2026" s="1">
        <v>0</v>
      </c>
    </row>
    <row r="2027" spans="1:13">
      <c r="A2027" s="1">
        <v>2026</v>
      </c>
      <c r="B2027" s="1">
        <v>867139.76710000006</v>
      </c>
      <c r="C2027" s="1">
        <v>966037.85524240904</v>
      </c>
      <c r="D2027" s="1">
        <f t="shared" si="31"/>
        <v>-98898.088142408989</v>
      </c>
      <c r="E2027" s="1">
        <v>12</v>
      </c>
      <c r="F2027" s="1">
        <v>16</v>
      </c>
      <c r="G2027" s="1">
        <v>7</v>
      </c>
      <c r="H2027" s="1">
        <v>1</v>
      </c>
      <c r="I2027" s="1">
        <v>0</v>
      </c>
      <c r="J2027" s="1">
        <v>0</v>
      </c>
      <c r="K2027" s="1">
        <v>2</v>
      </c>
      <c r="L2027" s="1">
        <v>0</v>
      </c>
      <c r="M2027" s="1">
        <v>0</v>
      </c>
    </row>
    <row r="2028" spans="1:13">
      <c r="A2028" s="1">
        <v>2027</v>
      </c>
      <c r="B2028" s="1">
        <v>871344.85739999998</v>
      </c>
      <c r="C2028" s="1">
        <v>656505.52782422351</v>
      </c>
      <c r="D2028" s="1">
        <f t="shared" si="31"/>
        <v>214839.32957577647</v>
      </c>
      <c r="E2028" s="1">
        <v>14</v>
      </c>
      <c r="F2028" s="1">
        <v>14</v>
      </c>
      <c r="G2028" s="1">
        <v>7</v>
      </c>
      <c r="H2028" s="1">
        <v>0</v>
      </c>
      <c r="I2028" s="1">
        <v>0</v>
      </c>
      <c r="J2028" s="1">
        <v>1</v>
      </c>
      <c r="K2028" s="1">
        <v>0</v>
      </c>
      <c r="L2028" s="1">
        <v>0</v>
      </c>
      <c r="M2028" s="1">
        <v>1</v>
      </c>
    </row>
    <row r="2029" spans="1:13">
      <c r="A2029" s="1">
        <v>2028</v>
      </c>
      <c r="B2029" s="1">
        <v>915509.82079999999</v>
      </c>
      <c r="C2029" s="1">
        <v>479785.53727655893</v>
      </c>
      <c r="D2029" s="1">
        <f t="shared" si="31"/>
        <v>435724.28352344106</v>
      </c>
      <c r="E2029" s="1">
        <v>13</v>
      </c>
      <c r="F2029" s="1">
        <v>18</v>
      </c>
      <c r="G2029" s="1">
        <v>4</v>
      </c>
      <c r="H2029" s="1">
        <v>1</v>
      </c>
      <c r="I2029" s="1">
        <v>0</v>
      </c>
      <c r="J2029" s="1">
        <v>2</v>
      </c>
      <c r="K2029" s="1">
        <v>0</v>
      </c>
      <c r="L2029" s="1">
        <v>0</v>
      </c>
      <c r="M2029" s="1">
        <v>0</v>
      </c>
    </row>
    <row r="2030" spans="1:13">
      <c r="A2030" s="1">
        <v>2029</v>
      </c>
      <c r="B2030" s="1">
        <v>862670.09499999997</v>
      </c>
      <c r="C2030" s="1">
        <v>762003.06385496922</v>
      </c>
      <c r="D2030" s="1">
        <f t="shared" si="31"/>
        <v>100667.03114503075</v>
      </c>
      <c r="E2030" s="1">
        <v>19</v>
      </c>
      <c r="F2030" s="1">
        <v>10</v>
      </c>
      <c r="G2030" s="1">
        <v>6</v>
      </c>
      <c r="H2030" s="1">
        <v>1</v>
      </c>
      <c r="I2030" s="1">
        <v>0</v>
      </c>
      <c r="J2030" s="1">
        <v>1</v>
      </c>
      <c r="K2030" s="1">
        <v>1</v>
      </c>
      <c r="L2030" s="1">
        <v>0</v>
      </c>
      <c r="M2030" s="1">
        <v>0</v>
      </c>
    </row>
    <row r="2031" spans="1:13">
      <c r="A2031" s="1">
        <v>2030</v>
      </c>
      <c r="B2031" s="1">
        <v>944983.97829999996</v>
      </c>
      <c r="C2031" s="1">
        <v>655225.64076918073</v>
      </c>
      <c r="D2031" s="1">
        <f t="shared" si="31"/>
        <v>289758.33753081923</v>
      </c>
      <c r="E2031" s="1">
        <v>7</v>
      </c>
      <c r="F2031" s="1">
        <v>24</v>
      </c>
      <c r="G2031" s="1">
        <v>4</v>
      </c>
      <c r="H2031" s="1">
        <v>2</v>
      </c>
      <c r="I2031" s="1">
        <v>0</v>
      </c>
      <c r="J2031" s="1">
        <v>0</v>
      </c>
      <c r="K2031" s="1">
        <v>1</v>
      </c>
      <c r="L2031" s="1">
        <v>0</v>
      </c>
      <c r="M2031" s="1">
        <v>1</v>
      </c>
    </row>
    <row r="2032" spans="1:13">
      <c r="A2032" s="1">
        <v>2031</v>
      </c>
      <c r="B2032" s="1">
        <v>1054344.1048999999</v>
      </c>
      <c r="C2032" s="1">
        <v>327893.61726200802</v>
      </c>
      <c r="D2032" s="1">
        <f t="shared" si="31"/>
        <v>726450.4876379919</v>
      </c>
      <c r="E2032" s="1">
        <v>6</v>
      </c>
      <c r="F2032" s="1">
        <v>24</v>
      </c>
      <c r="G2032" s="1">
        <v>5</v>
      </c>
      <c r="H2032" s="1">
        <v>0</v>
      </c>
      <c r="I2032" s="1">
        <v>1</v>
      </c>
      <c r="J2032" s="1">
        <v>1</v>
      </c>
      <c r="K2032" s="1">
        <v>1</v>
      </c>
      <c r="L2032" s="1">
        <v>0</v>
      </c>
      <c r="M2032" s="1">
        <v>0</v>
      </c>
    </row>
    <row r="2033" spans="1:13">
      <c r="A2033" s="1">
        <v>2032</v>
      </c>
      <c r="B2033" s="1">
        <v>919622.83860000002</v>
      </c>
      <c r="C2033" s="1">
        <v>643541.34160069015</v>
      </c>
      <c r="D2033" s="1">
        <f t="shared" si="31"/>
        <v>276081.49699930986</v>
      </c>
      <c r="E2033" s="1">
        <v>15</v>
      </c>
      <c r="F2033" s="1">
        <v>16</v>
      </c>
      <c r="G2033" s="1">
        <v>4</v>
      </c>
      <c r="H2033" s="1">
        <v>2</v>
      </c>
      <c r="I2033" s="1">
        <v>0</v>
      </c>
      <c r="J2033" s="1">
        <v>0</v>
      </c>
      <c r="K2033" s="1">
        <v>0</v>
      </c>
      <c r="L2033" s="1">
        <v>0</v>
      </c>
      <c r="M2033" s="1">
        <v>1</v>
      </c>
    </row>
    <row r="2034" spans="1:13">
      <c r="A2034" s="1">
        <v>2033</v>
      </c>
      <c r="B2034" s="1">
        <v>974848.70299999998</v>
      </c>
      <c r="C2034" s="1">
        <v>3215710.9521169378</v>
      </c>
      <c r="D2034" s="1">
        <f t="shared" si="31"/>
        <v>-2240862.2491169376</v>
      </c>
      <c r="E2034" s="1">
        <v>10</v>
      </c>
      <c r="F2034" s="1">
        <v>17</v>
      </c>
      <c r="G2034" s="1">
        <v>8</v>
      </c>
      <c r="H2034" s="1">
        <v>0</v>
      </c>
      <c r="I2034" s="1">
        <v>1</v>
      </c>
      <c r="J2034" s="1">
        <v>0</v>
      </c>
      <c r="K2034" s="1">
        <v>0</v>
      </c>
      <c r="L2034" s="1">
        <v>1</v>
      </c>
      <c r="M2034" s="1">
        <v>0</v>
      </c>
    </row>
    <row r="2035" spans="1:13">
      <c r="A2035" s="1">
        <v>2034</v>
      </c>
      <c r="B2035" s="1">
        <v>851186.13769999996</v>
      </c>
      <c r="C2035" s="1">
        <v>595533.62371716811</v>
      </c>
      <c r="D2035" s="1">
        <f t="shared" si="31"/>
        <v>255652.51398283185</v>
      </c>
      <c r="E2035" s="1">
        <v>17</v>
      </c>
      <c r="F2035" s="1">
        <v>14</v>
      </c>
      <c r="G2035" s="1">
        <v>4</v>
      </c>
      <c r="H2035" s="1">
        <v>0</v>
      </c>
      <c r="I2035" s="1">
        <v>0</v>
      </c>
      <c r="J2035" s="1">
        <v>0</v>
      </c>
      <c r="K2035" s="1">
        <v>1</v>
      </c>
      <c r="L2035" s="1">
        <v>0</v>
      </c>
      <c r="M2035" s="1">
        <v>1</v>
      </c>
    </row>
    <row r="2036" spans="1:13">
      <c r="A2036" s="1">
        <v>2035</v>
      </c>
      <c r="B2036" s="1">
        <v>1044894.6072</v>
      </c>
      <c r="C2036" s="1">
        <v>591011.74633570702</v>
      </c>
      <c r="D2036" s="1">
        <f t="shared" si="31"/>
        <v>453882.86086429295</v>
      </c>
      <c r="E2036" s="1">
        <v>9</v>
      </c>
      <c r="F2036" s="1">
        <v>20</v>
      </c>
      <c r="G2036" s="1">
        <v>6</v>
      </c>
      <c r="H2036" s="1">
        <v>0</v>
      </c>
      <c r="I2036" s="1">
        <v>2</v>
      </c>
      <c r="J2036" s="1">
        <v>0</v>
      </c>
      <c r="K2036" s="1">
        <v>0</v>
      </c>
      <c r="L2036" s="1">
        <v>0</v>
      </c>
      <c r="M2036" s="1">
        <v>0</v>
      </c>
    </row>
    <row r="2037" spans="1:13">
      <c r="A2037" s="1">
        <v>2036</v>
      </c>
      <c r="B2037" s="1">
        <v>871592.03689999995</v>
      </c>
      <c r="C2037" s="1">
        <v>2467270.8016038481</v>
      </c>
      <c r="D2037" s="1">
        <f t="shared" si="31"/>
        <v>-1595678.7647038482</v>
      </c>
      <c r="E2037" s="1">
        <v>14</v>
      </c>
      <c r="F2037" s="1">
        <v>17</v>
      </c>
      <c r="G2037" s="1">
        <v>4</v>
      </c>
      <c r="H2037" s="1">
        <v>1</v>
      </c>
      <c r="I2037" s="1">
        <v>0</v>
      </c>
      <c r="J2037" s="1">
        <v>0</v>
      </c>
      <c r="K2037" s="1">
        <v>1</v>
      </c>
      <c r="L2037" s="1">
        <v>1</v>
      </c>
      <c r="M2037" s="1">
        <v>0</v>
      </c>
    </row>
    <row r="2038" spans="1:13">
      <c r="A2038" s="1">
        <v>2037</v>
      </c>
      <c r="B2038" s="1">
        <v>902900.62419999996</v>
      </c>
      <c r="C2038" s="1">
        <v>1567532.5400403938</v>
      </c>
      <c r="D2038" s="1">
        <f t="shared" si="31"/>
        <v>-664631.91584039386</v>
      </c>
      <c r="E2038" s="1">
        <v>15</v>
      </c>
      <c r="F2038" s="1">
        <v>18</v>
      </c>
      <c r="G2038" s="1">
        <v>2</v>
      </c>
      <c r="H2038" s="1">
        <v>2</v>
      </c>
      <c r="I2038" s="1">
        <v>0</v>
      </c>
      <c r="J2038" s="1">
        <v>2</v>
      </c>
      <c r="K2038" s="1">
        <v>0</v>
      </c>
      <c r="L2038" s="1">
        <v>0</v>
      </c>
      <c r="M2038" s="1">
        <v>1</v>
      </c>
    </row>
    <row r="2039" spans="1:13">
      <c r="A2039" s="1">
        <v>2038</v>
      </c>
      <c r="B2039" s="1">
        <v>951570.61040000001</v>
      </c>
      <c r="C2039" s="1">
        <v>1290686.4108591059</v>
      </c>
      <c r="D2039" s="1">
        <f t="shared" si="31"/>
        <v>-339115.80045910587</v>
      </c>
      <c r="E2039" s="1">
        <v>5</v>
      </c>
      <c r="F2039" s="1">
        <v>26</v>
      </c>
      <c r="G2039" s="1">
        <v>4</v>
      </c>
      <c r="H2039" s="1">
        <v>0</v>
      </c>
      <c r="I2039" s="1">
        <v>1</v>
      </c>
      <c r="J2039" s="1">
        <v>0</v>
      </c>
      <c r="K2039" s="1">
        <v>1</v>
      </c>
      <c r="L2039" s="1">
        <v>0</v>
      </c>
      <c r="M2039" s="1">
        <v>0</v>
      </c>
    </row>
    <row r="2040" spans="1:13">
      <c r="A2040" s="1">
        <v>2039</v>
      </c>
      <c r="B2040" s="1">
        <v>932440.96950000001</v>
      </c>
      <c r="C2040" s="1">
        <v>865670.89819998713</v>
      </c>
      <c r="D2040" s="1">
        <f t="shared" si="31"/>
        <v>66770.071300012874</v>
      </c>
      <c r="E2040" s="1">
        <v>12</v>
      </c>
      <c r="F2040" s="1">
        <v>19</v>
      </c>
      <c r="G2040" s="1">
        <v>4</v>
      </c>
      <c r="H2040" s="1">
        <v>0</v>
      </c>
      <c r="I2040" s="1">
        <v>0</v>
      </c>
      <c r="J2040" s="1">
        <v>0</v>
      </c>
      <c r="K2040" s="1">
        <v>1</v>
      </c>
      <c r="L2040" s="1">
        <v>0</v>
      </c>
      <c r="M2040" s="1">
        <v>0</v>
      </c>
    </row>
    <row r="2041" spans="1:13">
      <c r="A2041" s="1">
        <v>2040</v>
      </c>
      <c r="B2041" s="1">
        <v>874655.40610000002</v>
      </c>
      <c r="C2041" s="1">
        <v>879169.99176876363</v>
      </c>
      <c r="D2041" s="1">
        <f t="shared" si="31"/>
        <v>-4514.5856687636115</v>
      </c>
      <c r="E2041" s="1">
        <v>7</v>
      </c>
      <c r="F2041" s="1">
        <v>23</v>
      </c>
      <c r="G2041" s="1">
        <v>5</v>
      </c>
      <c r="H2041" s="1">
        <v>1</v>
      </c>
      <c r="I2041" s="1">
        <v>0</v>
      </c>
      <c r="J2041" s="1">
        <v>1</v>
      </c>
      <c r="K2041" s="1">
        <v>0</v>
      </c>
      <c r="L2041" s="1">
        <v>1</v>
      </c>
      <c r="M2041" s="1">
        <v>0</v>
      </c>
    </row>
    <row r="2042" spans="1:13">
      <c r="A2042" s="1">
        <v>2041</v>
      </c>
      <c r="B2042" s="1">
        <v>946302.61450000003</v>
      </c>
      <c r="C2042" s="1">
        <v>734348.76242834597</v>
      </c>
      <c r="D2042" s="1">
        <f t="shared" si="31"/>
        <v>211953.85207165405</v>
      </c>
      <c r="E2042" s="1">
        <v>16</v>
      </c>
      <c r="F2042" s="1">
        <v>16</v>
      </c>
      <c r="G2042" s="1">
        <v>3</v>
      </c>
      <c r="H2042" s="1">
        <v>1</v>
      </c>
      <c r="I2042" s="1">
        <v>0</v>
      </c>
      <c r="J2042" s="1">
        <v>2</v>
      </c>
      <c r="K2042" s="1">
        <v>0</v>
      </c>
      <c r="L2042" s="1">
        <v>0</v>
      </c>
      <c r="M2042" s="1">
        <v>0</v>
      </c>
    </row>
    <row r="2043" spans="1:13">
      <c r="A2043" s="1">
        <v>2042</v>
      </c>
      <c r="B2043" s="1">
        <v>898677.69519999996</v>
      </c>
      <c r="C2043" s="1">
        <v>1586013.0519121233</v>
      </c>
      <c r="D2043" s="1">
        <f t="shared" si="31"/>
        <v>-687335.35671212338</v>
      </c>
      <c r="E2043" s="1">
        <v>7</v>
      </c>
      <c r="F2043" s="1">
        <v>20</v>
      </c>
      <c r="G2043" s="1">
        <v>8</v>
      </c>
      <c r="H2043" s="1">
        <v>1</v>
      </c>
      <c r="I2043" s="1">
        <v>0</v>
      </c>
      <c r="J2043" s="1">
        <v>2</v>
      </c>
      <c r="K2043" s="1">
        <v>0</v>
      </c>
      <c r="L2043" s="1">
        <v>0</v>
      </c>
      <c r="M2043" s="1">
        <v>1</v>
      </c>
    </row>
    <row r="2044" spans="1:13">
      <c r="A2044" s="1">
        <v>2043</v>
      </c>
      <c r="B2044" s="1">
        <v>919837.59420000005</v>
      </c>
      <c r="C2044" s="1">
        <v>1712930.992086526</v>
      </c>
      <c r="D2044" s="1">
        <f t="shared" si="31"/>
        <v>-793093.39788652596</v>
      </c>
      <c r="E2044" s="1">
        <v>12</v>
      </c>
      <c r="F2044" s="1">
        <v>18</v>
      </c>
      <c r="G2044" s="1">
        <v>5</v>
      </c>
      <c r="H2044" s="1">
        <v>0</v>
      </c>
      <c r="I2044" s="1">
        <v>1</v>
      </c>
      <c r="J2044" s="1">
        <v>1</v>
      </c>
      <c r="K2044" s="1">
        <v>0</v>
      </c>
      <c r="L2044" s="1">
        <v>0</v>
      </c>
      <c r="M2044" s="1">
        <v>0</v>
      </c>
    </row>
    <row r="2045" spans="1:13">
      <c r="A2045" s="1">
        <v>2044</v>
      </c>
      <c r="B2045" s="1">
        <v>898568.23659999995</v>
      </c>
      <c r="C2045" s="1">
        <v>755673.26068901503</v>
      </c>
      <c r="D2045" s="1">
        <f t="shared" si="31"/>
        <v>142894.97591098491</v>
      </c>
      <c r="E2045" s="1">
        <v>9</v>
      </c>
      <c r="F2045" s="1">
        <v>23</v>
      </c>
      <c r="G2045" s="1">
        <v>3</v>
      </c>
      <c r="H2045" s="1">
        <v>0</v>
      </c>
      <c r="I2045" s="1">
        <v>0</v>
      </c>
      <c r="J2045" s="1">
        <v>0</v>
      </c>
      <c r="K2045" s="1">
        <v>1</v>
      </c>
      <c r="L2045" s="1">
        <v>0</v>
      </c>
      <c r="M2045" s="1">
        <v>1</v>
      </c>
    </row>
    <row r="2046" spans="1:13">
      <c r="A2046" s="1">
        <v>2045</v>
      </c>
      <c r="B2046" s="1">
        <v>1017575.454</v>
      </c>
      <c r="C2046" s="1">
        <v>1608346.3054135442</v>
      </c>
      <c r="D2046" s="1">
        <f t="shared" si="31"/>
        <v>-590770.85141354415</v>
      </c>
      <c r="E2046" s="1">
        <v>12</v>
      </c>
      <c r="F2046" s="1">
        <v>16</v>
      </c>
      <c r="G2046" s="1">
        <v>7</v>
      </c>
      <c r="H2046" s="1">
        <v>2</v>
      </c>
      <c r="I2046" s="1">
        <v>0</v>
      </c>
      <c r="J2046" s="1">
        <v>0</v>
      </c>
      <c r="K2046" s="1">
        <v>1</v>
      </c>
      <c r="L2046" s="1">
        <v>0</v>
      </c>
      <c r="M2046" s="1">
        <v>0</v>
      </c>
    </row>
    <row r="2047" spans="1:13">
      <c r="A2047" s="1">
        <v>2046</v>
      </c>
      <c r="B2047" s="1">
        <v>841512.16870000004</v>
      </c>
      <c r="C2047" s="1">
        <v>852849.01789606712</v>
      </c>
      <c r="D2047" s="1">
        <f t="shared" si="31"/>
        <v>-11336.84919606708</v>
      </c>
      <c r="E2047" s="1">
        <v>23</v>
      </c>
      <c r="F2047" s="1">
        <v>10</v>
      </c>
      <c r="G2047" s="1">
        <v>2</v>
      </c>
      <c r="H2047" s="1">
        <v>0</v>
      </c>
      <c r="I2047" s="1">
        <v>0</v>
      </c>
      <c r="J2047" s="1">
        <v>0</v>
      </c>
      <c r="K2047" s="1">
        <v>0</v>
      </c>
      <c r="L2047" s="1">
        <v>0</v>
      </c>
      <c r="M2047" s="1">
        <v>1</v>
      </c>
    </row>
    <row r="2048" spans="1:13">
      <c r="A2048" s="1">
        <v>2047</v>
      </c>
      <c r="B2048" s="1">
        <v>1067193.4955</v>
      </c>
      <c r="C2048" s="1">
        <v>642369.32794266485</v>
      </c>
      <c r="D2048" s="1">
        <f t="shared" si="31"/>
        <v>424824.16755733511</v>
      </c>
      <c r="E2048" s="1">
        <v>5</v>
      </c>
      <c r="F2048" s="1">
        <v>22</v>
      </c>
      <c r="G2048" s="1">
        <v>8</v>
      </c>
      <c r="H2048" s="1">
        <v>2</v>
      </c>
      <c r="I2048" s="1">
        <v>0</v>
      </c>
      <c r="J2048" s="1">
        <v>0</v>
      </c>
      <c r="K2048" s="1">
        <v>0</v>
      </c>
      <c r="L2048" s="1">
        <v>0</v>
      </c>
      <c r="M2048" s="1">
        <v>0</v>
      </c>
    </row>
    <row r="2049" spans="1:13">
      <c r="A2049" s="1">
        <v>2048</v>
      </c>
      <c r="B2049" s="1">
        <v>805254.79249999998</v>
      </c>
      <c r="C2049" s="1">
        <v>698011.97972156131</v>
      </c>
      <c r="D2049" s="1">
        <f t="shared" si="31"/>
        <v>107242.81277843867</v>
      </c>
      <c r="E2049" s="1">
        <v>21</v>
      </c>
      <c r="F2049" s="1">
        <v>8</v>
      </c>
      <c r="G2049" s="1">
        <v>6</v>
      </c>
      <c r="H2049" s="1">
        <v>0</v>
      </c>
      <c r="I2049" s="1">
        <v>0</v>
      </c>
      <c r="J2049" s="1">
        <v>2</v>
      </c>
      <c r="K2049" s="1">
        <v>0</v>
      </c>
      <c r="L2049" s="1">
        <v>0</v>
      </c>
      <c r="M2049" s="1">
        <v>0</v>
      </c>
    </row>
    <row r="2050" spans="1:13">
      <c r="A2050" s="1">
        <v>2049</v>
      </c>
      <c r="B2050" s="1">
        <v>821874.09069999994</v>
      </c>
      <c r="C2050" s="1">
        <v>434323.39216802455</v>
      </c>
      <c r="D2050" s="1">
        <f t="shared" ref="D2050:D2113" si="32">B2050-C2050</f>
        <v>387550.69853197539</v>
      </c>
      <c r="E2050" s="1">
        <v>17</v>
      </c>
      <c r="F2050" s="1">
        <v>16</v>
      </c>
      <c r="G2050" s="1">
        <v>2</v>
      </c>
      <c r="H2050" s="1">
        <v>0</v>
      </c>
      <c r="I2050" s="1">
        <v>0</v>
      </c>
      <c r="J2050" s="1">
        <v>1</v>
      </c>
      <c r="K2050" s="1">
        <v>1</v>
      </c>
      <c r="L2050" s="1">
        <v>0</v>
      </c>
      <c r="M2050" s="1">
        <v>0</v>
      </c>
    </row>
    <row r="2051" spans="1:13">
      <c r="A2051" s="1">
        <v>2050</v>
      </c>
      <c r="B2051" s="1">
        <v>936845.69799999997</v>
      </c>
      <c r="C2051" s="1">
        <v>601084.91058106697</v>
      </c>
      <c r="D2051" s="1">
        <f t="shared" si="32"/>
        <v>335760.787418933</v>
      </c>
      <c r="E2051" s="1">
        <v>11</v>
      </c>
      <c r="F2051" s="1">
        <v>19</v>
      </c>
      <c r="G2051" s="1">
        <v>5</v>
      </c>
      <c r="H2051" s="1">
        <v>2</v>
      </c>
      <c r="I2051" s="1">
        <v>0</v>
      </c>
      <c r="J2051" s="1">
        <v>0</v>
      </c>
      <c r="K2051" s="1">
        <v>1</v>
      </c>
      <c r="L2051" s="1">
        <v>0</v>
      </c>
      <c r="M2051" s="1">
        <v>1</v>
      </c>
    </row>
    <row r="2052" spans="1:13">
      <c r="A2052" s="1">
        <v>2051</v>
      </c>
      <c r="B2052" s="1">
        <v>913478.3493</v>
      </c>
      <c r="C2052" s="1">
        <v>821478.46330255584</v>
      </c>
      <c r="D2052" s="1">
        <f t="shared" si="32"/>
        <v>91999.885997444158</v>
      </c>
      <c r="E2052" s="1">
        <v>12</v>
      </c>
      <c r="F2052" s="1">
        <v>19</v>
      </c>
      <c r="G2052" s="1">
        <v>4</v>
      </c>
      <c r="H2052" s="1">
        <v>1</v>
      </c>
      <c r="I2052" s="1">
        <v>0</v>
      </c>
      <c r="J2052" s="1">
        <v>0</v>
      </c>
      <c r="K2052" s="1">
        <v>0</v>
      </c>
      <c r="L2052" s="1">
        <v>2</v>
      </c>
      <c r="M2052" s="1">
        <v>0</v>
      </c>
    </row>
    <row r="2053" spans="1:13">
      <c r="A2053" s="1">
        <v>2052</v>
      </c>
      <c r="B2053" s="1">
        <v>984873.39269999997</v>
      </c>
      <c r="C2053" s="1">
        <v>1560723.2434243881</v>
      </c>
      <c r="D2053" s="1">
        <f t="shared" si="32"/>
        <v>-575849.85072438815</v>
      </c>
      <c r="E2053" s="1">
        <v>12</v>
      </c>
      <c r="F2053" s="1">
        <v>18</v>
      </c>
      <c r="G2053" s="1">
        <v>5</v>
      </c>
      <c r="H2053" s="1">
        <v>1</v>
      </c>
      <c r="I2053" s="1">
        <v>1</v>
      </c>
      <c r="J2053" s="1">
        <v>0</v>
      </c>
      <c r="K2053" s="1">
        <v>0</v>
      </c>
      <c r="L2053" s="1">
        <v>0</v>
      </c>
      <c r="M2053" s="1">
        <v>0</v>
      </c>
    </row>
    <row r="2054" spans="1:13">
      <c r="A2054" s="1">
        <v>2053</v>
      </c>
      <c r="B2054" s="1">
        <v>925433.43550000002</v>
      </c>
      <c r="C2054" s="1">
        <v>582950.0727335437</v>
      </c>
      <c r="D2054" s="1">
        <f t="shared" si="32"/>
        <v>342483.36276645632</v>
      </c>
      <c r="E2054" s="1">
        <v>16</v>
      </c>
      <c r="F2054" s="1">
        <v>13</v>
      </c>
      <c r="G2054" s="1">
        <v>6</v>
      </c>
      <c r="H2054" s="1">
        <v>2</v>
      </c>
      <c r="I2054" s="1">
        <v>0</v>
      </c>
      <c r="J2054" s="1">
        <v>0</v>
      </c>
      <c r="K2054" s="1">
        <v>0</v>
      </c>
      <c r="L2054" s="1">
        <v>0</v>
      </c>
      <c r="M2054" s="1">
        <v>0</v>
      </c>
    </row>
    <row r="2055" spans="1:13">
      <c r="A2055" s="1">
        <v>2054</v>
      </c>
      <c r="B2055" s="1">
        <v>816347.76899999997</v>
      </c>
      <c r="C2055" s="1">
        <v>1871386.5573867001</v>
      </c>
      <c r="D2055" s="1">
        <f t="shared" si="32"/>
        <v>-1055038.7883867002</v>
      </c>
      <c r="E2055" s="1">
        <v>22</v>
      </c>
      <c r="F2055" s="1">
        <v>9</v>
      </c>
      <c r="G2055" s="1">
        <v>4</v>
      </c>
      <c r="H2055" s="1">
        <v>1</v>
      </c>
      <c r="I2055" s="1">
        <v>0</v>
      </c>
      <c r="J2055" s="1">
        <v>2</v>
      </c>
      <c r="K2055" s="1">
        <v>0</v>
      </c>
      <c r="L2055" s="1">
        <v>0</v>
      </c>
      <c r="M2055" s="1">
        <v>0</v>
      </c>
    </row>
    <row r="2056" spans="1:13">
      <c r="A2056" s="1">
        <v>2055</v>
      </c>
      <c r="B2056" s="1">
        <v>868710.11620000005</v>
      </c>
      <c r="C2056" s="1">
        <v>1190531.9573306402</v>
      </c>
      <c r="D2056" s="1">
        <f t="shared" si="32"/>
        <v>-321821.84113064012</v>
      </c>
      <c r="E2056" s="1">
        <v>14</v>
      </c>
      <c r="F2056" s="1">
        <v>18</v>
      </c>
      <c r="G2056" s="1">
        <v>3</v>
      </c>
      <c r="H2056" s="1">
        <v>0</v>
      </c>
      <c r="I2056" s="1">
        <v>1</v>
      </c>
      <c r="J2056" s="1">
        <v>1</v>
      </c>
      <c r="K2056" s="1">
        <v>1</v>
      </c>
      <c r="L2056" s="1">
        <v>0</v>
      </c>
      <c r="M2056" s="1">
        <v>0</v>
      </c>
    </row>
    <row r="2057" spans="1:13">
      <c r="A2057" s="1">
        <v>2056</v>
      </c>
      <c r="B2057" s="1">
        <v>976757.9595</v>
      </c>
      <c r="C2057" s="1">
        <v>887866.1352495295</v>
      </c>
      <c r="D2057" s="1">
        <f t="shared" si="32"/>
        <v>88891.824250470498</v>
      </c>
      <c r="E2057" s="1">
        <v>12</v>
      </c>
      <c r="F2057" s="1">
        <v>16</v>
      </c>
      <c r="G2057" s="1">
        <v>7</v>
      </c>
      <c r="H2057" s="1">
        <v>0</v>
      </c>
      <c r="I2057" s="1">
        <v>0</v>
      </c>
      <c r="J2057" s="1">
        <v>0</v>
      </c>
      <c r="K2057" s="1">
        <v>2</v>
      </c>
      <c r="L2057" s="1">
        <v>0</v>
      </c>
      <c r="M2057" s="1">
        <v>0</v>
      </c>
    </row>
    <row r="2058" spans="1:13">
      <c r="A2058" s="1">
        <v>2057</v>
      </c>
      <c r="B2058" s="1">
        <v>1061823.2452</v>
      </c>
      <c r="C2058" s="1">
        <v>885834.85532605869</v>
      </c>
      <c r="D2058" s="1">
        <f t="shared" si="32"/>
        <v>175988.38987394131</v>
      </c>
      <c r="E2058" s="1">
        <v>12</v>
      </c>
      <c r="F2058" s="1">
        <v>15</v>
      </c>
      <c r="G2058" s="1">
        <v>8</v>
      </c>
      <c r="H2058" s="1">
        <v>1</v>
      </c>
      <c r="I2058" s="1">
        <v>0</v>
      </c>
      <c r="J2058" s="1">
        <v>1</v>
      </c>
      <c r="K2058" s="1">
        <v>0</v>
      </c>
      <c r="L2058" s="1">
        <v>0</v>
      </c>
      <c r="M2058" s="1">
        <v>0</v>
      </c>
    </row>
    <row r="2059" spans="1:13">
      <c r="A2059" s="1">
        <v>2058</v>
      </c>
      <c r="B2059" s="1">
        <v>997297.67550000001</v>
      </c>
      <c r="C2059" s="1">
        <v>803779.67981790181</v>
      </c>
      <c r="D2059" s="1">
        <f t="shared" si="32"/>
        <v>193517.9956820982</v>
      </c>
      <c r="E2059" s="1">
        <v>11</v>
      </c>
      <c r="F2059" s="1">
        <v>20</v>
      </c>
      <c r="G2059" s="1">
        <v>4</v>
      </c>
      <c r="H2059" s="1">
        <v>1</v>
      </c>
      <c r="I2059" s="1">
        <v>0</v>
      </c>
      <c r="J2059" s="1">
        <v>0</v>
      </c>
      <c r="K2059" s="1">
        <v>2</v>
      </c>
      <c r="L2059" s="1">
        <v>0</v>
      </c>
      <c r="M2059" s="1">
        <v>0</v>
      </c>
    </row>
    <row r="2060" spans="1:13">
      <c r="A2060" s="1">
        <v>2059</v>
      </c>
      <c r="B2060" s="1">
        <v>877600.91099999996</v>
      </c>
      <c r="C2060" s="1">
        <v>1146261.9355311934</v>
      </c>
      <c r="D2060" s="1">
        <f t="shared" si="32"/>
        <v>-268661.02453119343</v>
      </c>
      <c r="E2060" s="1">
        <v>10</v>
      </c>
      <c r="F2060" s="1">
        <v>19</v>
      </c>
      <c r="G2060" s="1">
        <v>6</v>
      </c>
      <c r="H2060" s="1">
        <v>0</v>
      </c>
      <c r="I2060" s="1">
        <v>1</v>
      </c>
      <c r="J2060" s="1">
        <v>1</v>
      </c>
      <c r="K2060" s="1">
        <v>1</v>
      </c>
      <c r="L2060" s="1">
        <v>0</v>
      </c>
      <c r="M2060" s="1">
        <v>0</v>
      </c>
    </row>
    <row r="2061" spans="1:13">
      <c r="A2061" s="1">
        <v>2060</v>
      </c>
      <c r="B2061" s="1">
        <v>837858.59279999998</v>
      </c>
      <c r="C2061" s="1">
        <v>1201134.3006689423</v>
      </c>
      <c r="D2061" s="1">
        <f t="shared" si="32"/>
        <v>-363275.70786894229</v>
      </c>
      <c r="E2061" s="1">
        <v>14</v>
      </c>
      <c r="F2061" s="1">
        <v>17</v>
      </c>
      <c r="G2061" s="1">
        <v>4</v>
      </c>
      <c r="H2061" s="1">
        <v>2</v>
      </c>
      <c r="I2061" s="1">
        <v>0</v>
      </c>
      <c r="J2061" s="1">
        <v>1</v>
      </c>
      <c r="K2061" s="1">
        <v>0</v>
      </c>
      <c r="L2061" s="1">
        <v>0</v>
      </c>
      <c r="M2061" s="1">
        <v>1</v>
      </c>
    </row>
    <row r="2062" spans="1:13">
      <c r="A2062" s="1">
        <v>2061</v>
      </c>
      <c r="B2062" s="1">
        <v>917312.95019999996</v>
      </c>
      <c r="C2062" s="1">
        <v>1199936.962728044</v>
      </c>
      <c r="D2062" s="1">
        <f t="shared" si="32"/>
        <v>-282624.01252804406</v>
      </c>
      <c r="E2062" s="1">
        <v>23</v>
      </c>
      <c r="F2062" s="1">
        <v>9</v>
      </c>
      <c r="G2062" s="1">
        <v>3</v>
      </c>
      <c r="H2062" s="1">
        <v>0</v>
      </c>
      <c r="I2062" s="1">
        <v>0</v>
      </c>
      <c r="J2062" s="1">
        <v>0</v>
      </c>
      <c r="K2062" s="1">
        <v>1</v>
      </c>
      <c r="L2062" s="1">
        <v>0</v>
      </c>
      <c r="M2062" s="1">
        <v>1</v>
      </c>
    </row>
    <row r="2063" spans="1:13">
      <c r="A2063" s="1">
        <v>2062</v>
      </c>
      <c r="B2063" s="1">
        <v>902529.93599999999</v>
      </c>
      <c r="C2063" s="1">
        <v>1032404.1587404462</v>
      </c>
      <c r="D2063" s="1">
        <f t="shared" si="32"/>
        <v>-129874.22274044622</v>
      </c>
      <c r="E2063" s="1">
        <v>19</v>
      </c>
      <c r="F2063" s="1">
        <v>10</v>
      </c>
      <c r="G2063" s="1">
        <v>6</v>
      </c>
      <c r="H2063" s="1">
        <v>1</v>
      </c>
      <c r="I2063" s="1">
        <v>1</v>
      </c>
      <c r="J2063" s="1">
        <v>0</v>
      </c>
      <c r="K2063" s="1">
        <v>0</v>
      </c>
      <c r="L2063" s="1">
        <v>0</v>
      </c>
      <c r="M2063" s="1">
        <v>0</v>
      </c>
    </row>
    <row r="2064" spans="1:13">
      <c r="A2064" s="1">
        <v>2063</v>
      </c>
      <c r="B2064" s="1">
        <v>894675.57869999995</v>
      </c>
      <c r="C2064" s="1">
        <v>1180865.2557988614</v>
      </c>
      <c r="D2064" s="1">
        <f t="shared" si="32"/>
        <v>-286189.67709886143</v>
      </c>
      <c r="E2064" s="1">
        <v>13</v>
      </c>
      <c r="F2064" s="1">
        <v>19</v>
      </c>
      <c r="G2064" s="1">
        <v>3</v>
      </c>
      <c r="H2064" s="1">
        <v>0</v>
      </c>
      <c r="I2064" s="1">
        <v>0</v>
      </c>
      <c r="J2064" s="1">
        <v>1</v>
      </c>
      <c r="K2064" s="1">
        <v>0</v>
      </c>
      <c r="L2064" s="1">
        <v>0</v>
      </c>
      <c r="M2064" s="1">
        <v>0</v>
      </c>
    </row>
    <row r="2065" spans="1:13">
      <c r="A2065" s="1">
        <v>2064</v>
      </c>
      <c r="B2065" s="1">
        <v>1090891.7145</v>
      </c>
      <c r="C2065" s="1">
        <v>945046.26297235035</v>
      </c>
      <c r="D2065" s="1">
        <f t="shared" si="32"/>
        <v>145845.45152764965</v>
      </c>
      <c r="E2065" s="1">
        <v>8</v>
      </c>
      <c r="F2065" s="1">
        <v>21</v>
      </c>
      <c r="G2065" s="1">
        <v>6</v>
      </c>
      <c r="H2065" s="1">
        <v>1</v>
      </c>
      <c r="I2065" s="1">
        <v>1</v>
      </c>
      <c r="J2065" s="1">
        <v>0</v>
      </c>
      <c r="K2065" s="1">
        <v>0</v>
      </c>
      <c r="L2065" s="1">
        <v>0</v>
      </c>
      <c r="M2065" s="1">
        <v>0</v>
      </c>
    </row>
    <row r="2066" spans="1:13">
      <c r="A2066" s="1">
        <v>2065</v>
      </c>
      <c r="B2066" s="1">
        <v>951816.86990000005</v>
      </c>
      <c r="C2066" s="1">
        <v>860019.02214830078</v>
      </c>
      <c r="D2066" s="1">
        <f t="shared" si="32"/>
        <v>91797.847751699272</v>
      </c>
      <c r="E2066" s="1">
        <v>14</v>
      </c>
      <c r="F2066" s="1">
        <v>13</v>
      </c>
      <c r="G2066" s="1">
        <v>8</v>
      </c>
      <c r="H2066" s="1">
        <v>0</v>
      </c>
      <c r="I2066" s="1">
        <v>0</v>
      </c>
      <c r="J2066" s="1">
        <v>0</v>
      </c>
      <c r="K2066" s="1">
        <v>0</v>
      </c>
      <c r="L2066" s="1">
        <v>0</v>
      </c>
      <c r="M2066" s="1">
        <v>0</v>
      </c>
    </row>
    <row r="2067" spans="1:13">
      <c r="A2067" s="1">
        <v>2066</v>
      </c>
      <c r="B2067" s="1">
        <v>1008110.4155999999</v>
      </c>
      <c r="C2067" s="1">
        <v>811847.99105517089</v>
      </c>
      <c r="D2067" s="1">
        <f t="shared" si="32"/>
        <v>196262.42454482906</v>
      </c>
      <c r="E2067" s="1">
        <v>10</v>
      </c>
      <c r="F2067" s="1">
        <v>16</v>
      </c>
      <c r="G2067" s="1">
        <v>9</v>
      </c>
      <c r="H2067" s="1">
        <v>1</v>
      </c>
      <c r="I2067" s="1">
        <v>1</v>
      </c>
      <c r="J2067" s="1">
        <v>0</v>
      </c>
      <c r="K2067" s="1">
        <v>1</v>
      </c>
      <c r="L2067" s="1">
        <v>0</v>
      </c>
      <c r="M2067" s="1">
        <v>0</v>
      </c>
    </row>
    <row r="2068" spans="1:13">
      <c r="A2068" s="1">
        <v>2067</v>
      </c>
      <c r="B2068" s="1">
        <v>887227.89789999998</v>
      </c>
      <c r="C2068" s="1">
        <v>721028.20336574037</v>
      </c>
      <c r="D2068" s="1">
        <f t="shared" si="32"/>
        <v>166199.69453425962</v>
      </c>
      <c r="E2068" s="1">
        <v>19</v>
      </c>
      <c r="F2068" s="1">
        <v>13</v>
      </c>
      <c r="G2068" s="1">
        <v>3</v>
      </c>
      <c r="H2068" s="1">
        <v>1</v>
      </c>
      <c r="I2068" s="1">
        <v>0</v>
      </c>
      <c r="J2068" s="1">
        <v>0</v>
      </c>
      <c r="K2068" s="1">
        <v>0</v>
      </c>
      <c r="L2068" s="1">
        <v>0</v>
      </c>
      <c r="M2068" s="1">
        <v>1</v>
      </c>
    </row>
    <row r="2069" spans="1:13">
      <c r="A2069" s="1">
        <v>2068</v>
      </c>
      <c r="B2069" s="1">
        <v>911118.8676</v>
      </c>
      <c r="C2069" s="1">
        <v>1151404.8156567486</v>
      </c>
      <c r="D2069" s="1">
        <f t="shared" si="32"/>
        <v>-240285.9480567486</v>
      </c>
      <c r="E2069" s="1">
        <v>4</v>
      </c>
      <c r="F2069" s="1">
        <v>21</v>
      </c>
      <c r="G2069" s="1">
        <v>10</v>
      </c>
      <c r="H2069" s="1">
        <v>1</v>
      </c>
      <c r="I2069" s="1">
        <v>0</v>
      </c>
      <c r="J2069" s="1">
        <v>0</v>
      </c>
      <c r="K2069" s="1">
        <v>0</v>
      </c>
      <c r="L2069" s="1">
        <v>0</v>
      </c>
      <c r="M2069" s="1">
        <v>0</v>
      </c>
    </row>
    <row r="2070" spans="1:13">
      <c r="A2070" s="1">
        <v>2069</v>
      </c>
      <c r="B2070" s="1">
        <v>833961.23899999994</v>
      </c>
      <c r="C2070" s="1">
        <v>1285629.7811493315</v>
      </c>
      <c r="D2070" s="1">
        <f t="shared" si="32"/>
        <v>-451668.54214933154</v>
      </c>
      <c r="E2070" s="1">
        <v>13</v>
      </c>
      <c r="F2070" s="1">
        <v>17</v>
      </c>
      <c r="G2070" s="1">
        <v>5</v>
      </c>
      <c r="H2070" s="1">
        <v>2</v>
      </c>
      <c r="I2070" s="1">
        <v>0</v>
      </c>
      <c r="J2070" s="1">
        <v>0</v>
      </c>
      <c r="K2070" s="1">
        <v>1</v>
      </c>
      <c r="L2070" s="1">
        <v>1</v>
      </c>
      <c r="M2070" s="1">
        <v>0</v>
      </c>
    </row>
    <row r="2071" spans="1:13">
      <c r="A2071" s="1">
        <v>2070</v>
      </c>
      <c r="B2071" s="1">
        <v>895750.19380000001</v>
      </c>
      <c r="C2071" s="1">
        <v>897439.86038670165</v>
      </c>
      <c r="D2071" s="1">
        <f t="shared" si="32"/>
        <v>-1689.6665867016418</v>
      </c>
      <c r="E2071" s="1">
        <v>16</v>
      </c>
      <c r="F2071" s="1">
        <v>15</v>
      </c>
      <c r="G2071" s="1">
        <v>4</v>
      </c>
      <c r="H2071" s="1">
        <v>0</v>
      </c>
      <c r="I2071" s="1">
        <v>0</v>
      </c>
      <c r="J2071" s="1">
        <v>1</v>
      </c>
      <c r="K2071" s="1">
        <v>0</v>
      </c>
      <c r="L2071" s="1">
        <v>0</v>
      </c>
      <c r="M2071" s="1">
        <v>0</v>
      </c>
    </row>
    <row r="2072" spans="1:13">
      <c r="A2072" s="1">
        <v>2071</v>
      </c>
      <c r="B2072" s="1">
        <v>1035205.4080000001</v>
      </c>
      <c r="C2072" s="1">
        <v>492748.93345377292</v>
      </c>
      <c r="D2072" s="1">
        <f t="shared" si="32"/>
        <v>542456.47454622714</v>
      </c>
      <c r="E2072" s="1">
        <v>6</v>
      </c>
      <c r="F2072" s="1">
        <v>22</v>
      </c>
      <c r="G2072" s="1">
        <v>7</v>
      </c>
      <c r="H2072" s="1">
        <v>0</v>
      </c>
      <c r="I2072" s="1">
        <v>1</v>
      </c>
      <c r="J2072" s="1">
        <v>0</v>
      </c>
      <c r="K2072" s="1">
        <v>0</v>
      </c>
      <c r="L2072" s="1">
        <v>0</v>
      </c>
      <c r="M2072" s="1">
        <v>1</v>
      </c>
    </row>
    <row r="2073" spans="1:13">
      <c r="A2073" s="1">
        <v>2072</v>
      </c>
      <c r="B2073" s="1">
        <v>844666.61010000005</v>
      </c>
      <c r="C2073" s="1">
        <v>787568.47131826263</v>
      </c>
      <c r="D2073" s="1">
        <f t="shared" si="32"/>
        <v>57098.13878173742</v>
      </c>
      <c r="E2073" s="1">
        <v>13</v>
      </c>
      <c r="F2073" s="1">
        <v>16</v>
      </c>
      <c r="G2073" s="1">
        <v>6</v>
      </c>
      <c r="H2073" s="1">
        <v>1</v>
      </c>
      <c r="I2073" s="1">
        <v>1</v>
      </c>
      <c r="J2073" s="1">
        <v>0</v>
      </c>
      <c r="K2073" s="1">
        <v>0</v>
      </c>
      <c r="L2073" s="1">
        <v>0</v>
      </c>
      <c r="M2073" s="1">
        <v>1</v>
      </c>
    </row>
    <row r="2074" spans="1:13">
      <c r="A2074" s="1">
        <v>2073</v>
      </c>
      <c r="B2074" s="1">
        <v>963648.47770000005</v>
      </c>
      <c r="C2074" s="1">
        <v>1055547.8061356528</v>
      </c>
      <c r="D2074" s="1">
        <f t="shared" si="32"/>
        <v>-91899.328435652773</v>
      </c>
      <c r="E2074" s="1">
        <v>11</v>
      </c>
      <c r="F2074" s="1">
        <v>18</v>
      </c>
      <c r="G2074" s="1">
        <v>6</v>
      </c>
      <c r="H2074" s="1">
        <v>2</v>
      </c>
      <c r="I2074" s="1">
        <v>0</v>
      </c>
      <c r="J2074" s="1">
        <v>0</v>
      </c>
      <c r="K2074" s="1">
        <v>1</v>
      </c>
      <c r="L2074" s="1">
        <v>0</v>
      </c>
      <c r="M2074" s="1">
        <v>1</v>
      </c>
    </row>
    <row r="2075" spans="1:13">
      <c r="A2075" s="1">
        <v>2074</v>
      </c>
      <c r="B2075" s="1">
        <v>914581.05350000004</v>
      </c>
      <c r="C2075" s="1">
        <v>804302.23827443155</v>
      </c>
      <c r="D2075" s="1">
        <f t="shared" si="32"/>
        <v>110278.81522556848</v>
      </c>
      <c r="E2075" s="1">
        <v>10</v>
      </c>
      <c r="F2075" s="1">
        <v>21</v>
      </c>
      <c r="G2075" s="1">
        <v>4</v>
      </c>
      <c r="H2075" s="1">
        <v>0</v>
      </c>
      <c r="I2075" s="1">
        <v>2</v>
      </c>
      <c r="J2075" s="1">
        <v>0</v>
      </c>
      <c r="K2075" s="1">
        <v>0</v>
      </c>
      <c r="L2075" s="1">
        <v>0</v>
      </c>
      <c r="M2075" s="1">
        <v>0</v>
      </c>
    </row>
    <row r="2076" spans="1:13">
      <c r="A2076" s="1">
        <v>2075</v>
      </c>
      <c r="B2076" s="1">
        <v>953417.22360000003</v>
      </c>
      <c r="C2076" s="1">
        <v>919429.91116994817</v>
      </c>
      <c r="D2076" s="1">
        <f t="shared" si="32"/>
        <v>33987.312430051854</v>
      </c>
      <c r="E2076" s="1">
        <v>19</v>
      </c>
      <c r="F2076" s="1">
        <v>15</v>
      </c>
      <c r="G2076" s="1">
        <v>1</v>
      </c>
      <c r="H2076" s="1">
        <v>1</v>
      </c>
      <c r="I2076" s="1">
        <v>0</v>
      </c>
      <c r="J2076" s="1">
        <v>0</v>
      </c>
      <c r="K2076" s="1">
        <v>1</v>
      </c>
      <c r="L2076" s="1">
        <v>0</v>
      </c>
      <c r="M2076" s="1">
        <v>1</v>
      </c>
    </row>
    <row r="2077" spans="1:13">
      <c r="A2077" s="1">
        <v>2076</v>
      </c>
      <c r="B2077" s="1">
        <v>902959.83089999994</v>
      </c>
      <c r="C2077" s="1">
        <v>582568.49211354973</v>
      </c>
      <c r="D2077" s="1">
        <f t="shared" si="32"/>
        <v>320391.33878645021</v>
      </c>
      <c r="E2077" s="1">
        <v>20</v>
      </c>
      <c r="F2077" s="1">
        <v>11</v>
      </c>
      <c r="G2077" s="1">
        <v>4</v>
      </c>
      <c r="H2077" s="1">
        <v>2</v>
      </c>
      <c r="I2077" s="1">
        <v>0</v>
      </c>
      <c r="J2077" s="1">
        <v>1</v>
      </c>
      <c r="K2077" s="1">
        <v>0</v>
      </c>
      <c r="L2077" s="1">
        <v>0</v>
      </c>
      <c r="M2077" s="1">
        <v>0</v>
      </c>
    </row>
    <row r="2078" spans="1:13">
      <c r="A2078" s="1">
        <v>2077</v>
      </c>
      <c r="B2078" s="1">
        <v>1025028.1016000001</v>
      </c>
      <c r="C2078" s="1">
        <v>755429.42552223708</v>
      </c>
      <c r="D2078" s="1">
        <f t="shared" si="32"/>
        <v>269598.67607776297</v>
      </c>
      <c r="E2078" s="1">
        <v>14</v>
      </c>
      <c r="F2078" s="1">
        <v>17</v>
      </c>
      <c r="G2078" s="1">
        <v>4</v>
      </c>
      <c r="H2078" s="1">
        <v>0</v>
      </c>
      <c r="I2078" s="1">
        <v>0</v>
      </c>
      <c r="J2078" s="1">
        <v>0</v>
      </c>
      <c r="K2078" s="1">
        <v>0</v>
      </c>
      <c r="L2078" s="1">
        <v>0</v>
      </c>
      <c r="M2078" s="1">
        <v>0</v>
      </c>
    </row>
    <row r="2079" spans="1:13">
      <c r="A2079" s="1">
        <v>2078</v>
      </c>
      <c r="B2079" s="1">
        <v>937846.57720000006</v>
      </c>
      <c r="C2079" s="1">
        <v>2072743.8696992975</v>
      </c>
      <c r="D2079" s="1">
        <f t="shared" si="32"/>
        <v>-1134897.2924992973</v>
      </c>
      <c r="E2079" s="1">
        <v>18</v>
      </c>
      <c r="F2079" s="1">
        <v>12</v>
      </c>
      <c r="G2079" s="1">
        <v>5</v>
      </c>
      <c r="H2079" s="1">
        <v>1</v>
      </c>
      <c r="I2079" s="1">
        <v>0</v>
      </c>
      <c r="J2079" s="1">
        <v>1</v>
      </c>
      <c r="K2079" s="1">
        <v>1</v>
      </c>
      <c r="L2079" s="1">
        <v>0</v>
      </c>
      <c r="M2079" s="1">
        <v>0</v>
      </c>
    </row>
    <row r="2080" spans="1:13">
      <c r="A2080" s="1">
        <v>2079</v>
      </c>
      <c r="B2080" s="1">
        <v>895861.70090000005</v>
      </c>
      <c r="C2080" s="1">
        <v>671534.59489266737</v>
      </c>
      <c r="D2080" s="1">
        <f t="shared" si="32"/>
        <v>224327.10600733268</v>
      </c>
      <c r="E2080" s="1">
        <v>10</v>
      </c>
      <c r="F2080" s="1">
        <v>20</v>
      </c>
      <c r="G2080" s="1">
        <v>5</v>
      </c>
      <c r="H2080" s="1">
        <v>2</v>
      </c>
      <c r="I2080" s="1">
        <v>0</v>
      </c>
      <c r="J2080" s="1">
        <v>0</v>
      </c>
      <c r="K2080" s="1">
        <v>1</v>
      </c>
      <c r="L2080" s="1">
        <v>1</v>
      </c>
      <c r="M2080" s="1">
        <v>0</v>
      </c>
    </row>
    <row r="2081" spans="1:13">
      <c r="A2081" s="1">
        <v>2080</v>
      </c>
      <c r="B2081" s="1">
        <v>877511.43740000005</v>
      </c>
      <c r="C2081" s="1">
        <v>1209765.9621984344</v>
      </c>
      <c r="D2081" s="1">
        <f t="shared" si="32"/>
        <v>-332254.52479843434</v>
      </c>
      <c r="E2081" s="1">
        <v>20</v>
      </c>
      <c r="F2081" s="1">
        <v>12</v>
      </c>
      <c r="G2081" s="1">
        <v>3</v>
      </c>
      <c r="H2081" s="1">
        <v>1</v>
      </c>
      <c r="I2081" s="1">
        <v>0</v>
      </c>
      <c r="J2081" s="1">
        <v>2</v>
      </c>
      <c r="K2081" s="1">
        <v>0</v>
      </c>
      <c r="L2081" s="1">
        <v>0</v>
      </c>
      <c r="M2081" s="1">
        <v>0</v>
      </c>
    </row>
    <row r="2082" spans="1:13">
      <c r="A2082" s="1">
        <v>2081</v>
      </c>
      <c r="B2082" s="1">
        <v>951035.60459999996</v>
      </c>
      <c r="C2082" s="1">
        <v>1399777.5881394064</v>
      </c>
      <c r="D2082" s="1">
        <f t="shared" si="32"/>
        <v>-448741.98353940644</v>
      </c>
      <c r="E2082" s="1">
        <v>10</v>
      </c>
      <c r="F2082" s="1">
        <v>19</v>
      </c>
      <c r="G2082" s="1">
        <v>6</v>
      </c>
      <c r="H2082" s="1">
        <v>0</v>
      </c>
      <c r="I2082" s="1">
        <v>0</v>
      </c>
      <c r="J2082" s="1">
        <v>1</v>
      </c>
      <c r="K2082" s="1">
        <v>1</v>
      </c>
      <c r="L2082" s="1">
        <v>0</v>
      </c>
      <c r="M2082" s="1">
        <v>0</v>
      </c>
    </row>
    <row r="2083" spans="1:13">
      <c r="A2083" s="1">
        <v>2082</v>
      </c>
      <c r="B2083" s="1">
        <v>845185.4423</v>
      </c>
      <c r="C2083" s="1">
        <v>898395.28089223185</v>
      </c>
      <c r="D2083" s="1">
        <f t="shared" si="32"/>
        <v>-53209.838592231856</v>
      </c>
      <c r="E2083" s="1">
        <v>21</v>
      </c>
      <c r="F2083" s="1">
        <v>12</v>
      </c>
      <c r="G2083" s="1">
        <v>2</v>
      </c>
      <c r="H2083" s="1">
        <v>0</v>
      </c>
      <c r="I2083" s="1">
        <v>1</v>
      </c>
      <c r="J2083" s="1">
        <v>0</v>
      </c>
      <c r="K2083" s="1">
        <v>1</v>
      </c>
      <c r="L2083" s="1">
        <v>0</v>
      </c>
      <c r="M2083" s="1">
        <v>0</v>
      </c>
    </row>
    <row r="2084" spans="1:13">
      <c r="A2084" s="1">
        <v>2083</v>
      </c>
      <c r="B2084" s="1">
        <v>988874.32189999998</v>
      </c>
      <c r="C2084" s="1">
        <v>1111856.6733883743</v>
      </c>
      <c r="D2084" s="1">
        <f t="shared" si="32"/>
        <v>-122982.35148837429</v>
      </c>
      <c r="E2084" s="1">
        <v>12</v>
      </c>
      <c r="F2084" s="1">
        <v>15</v>
      </c>
      <c r="G2084" s="1">
        <v>8</v>
      </c>
      <c r="H2084" s="1">
        <v>0</v>
      </c>
      <c r="I2084" s="1">
        <v>0</v>
      </c>
      <c r="J2084" s="1">
        <v>1</v>
      </c>
      <c r="K2084" s="1">
        <v>1</v>
      </c>
      <c r="L2084" s="1">
        <v>0</v>
      </c>
      <c r="M2084" s="1">
        <v>1</v>
      </c>
    </row>
    <row r="2085" spans="1:13">
      <c r="A2085" s="1">
        <v>2084</v>
      </c>
      <c r="B2085" s="1">
        <v>980779.44209999999</v>
      </c>
      <c r="C2085" s="1">
        <v>813904.14548477391</v>
      </c>
      <c r="D2085" s="1">
        <f t="shared" si="32"/>
        <v>166875.29661522608</v>
      </c>
      <c r="E2085" s="1">
        <v>17</v>
      </c>
      <c r="F2085" s="1">
        <v>11</v>
      </c>
      <c r="G2085" s="1">
        <v>7</v>
      </c>
      <c r="H2085" s="1">
        <v>0</v>
      </c>
      <c r="I2085" s="1">
        <v>0</v>
      </c>
      <c r="J2085" s="1">
        <v>0</v>
      </c>
      <c r="K2085" s="1">
        <v>0</v>
      </c>
      <c r="L2085" s="1">
        <v>0</v>
      </c>
      <c r="M2085" s="1">
        <v>0</v>
      </c>
    </row>
    <row r="2086" spans="1:13">
      <c r="A2086" s="1">
        <v>2085</v>
      </c>
      <c r="B2086" s="1">
        <v>876095.31090000004</v>
      </c>
      <c r="C2086" s="1">
        <v>1585914.6955089509</v>
      </c>
      <c r="D2086" s="1">
        <f t="shared" si="32"/>
        <v>-709819.38460895082</v>
      </c>
      <c r="E2086" s="1">
        <v>15</v>
      </c>
      <c r="F2086" s="1">
        <v>16</v>
      </c>
      <c r="G2086" s="1">
        <v>4</v>
      </c>
      <c r="H2086" s="1">
        <v>2</v>
      </c>
      <c r="I2086" s="1">
        <v>0</v>
      </c>
      <c r="J2086" s="1">
        <v>0</v>
      </c>
      <c r="K2086" s="1">
        <v>1</v>
      </c>
      <c r="L2086" s="1">
        <v>0</v>
      </c>
      <c r="M2086" s="1">
        <v>0</v>
      </c>
    </row>
    <row r="2087" spans="1:13">
      <c r="A2087" s="1">
        <v>2086</v>
      </c>
      <c r="B2087" s="1">
        <v>959018.82609999995</v>
      </c>
      <c r="C2087" s="1">
        <v>1189899.1873716977</v>
      </c>
      <c r="D2087" s="1">
        <f t="shared" si="32"/>
        <v>-230880.3612716978</v>
      </c>
      <c r="E2087" s="1">
        <v>13</v>
      </c>
      <c r="F2087" s="1">
        <v>17</v>
      </c>
      <c r="G2087" s="1">
        <v>5</v>
      </c>
      <c r="H2087" s="1">
        <v>0</v>
      </c>
      <c r="I2087" s="1">
        <v>0</v>
      </c>
      <c r="J2087" s="1">
        <v>1</v>
      </c>
      <c r="K2087" s="1">
        <v>1</v>
      </c>
      <c r="L2087" s="1">
        <v>0</v>
      </c>
      <c r="M2087" s="1">
        <v>0</v>
      </c>
    </row>
    <row r="2088" spans="1:13">
      <c r="A2088" s="1">
        <v>2087</v>
      </c>
      <c r="B2088" s="1">
        <v>1067145.0115</v>
      </c>
      <c r="C2088" s="1">
        <v>1317955.1974647725</v>
      </c>
      <c r="D2088" s="1">
        <f t="shared" si="32"/>
        <v>-250810.18596477248</v>
      </c>
      <c r="E2088" s="1">
        <v>12</v>
      </c>
      <c r="F2088" s="1">
        <v>16</v>
      </c>
      <c r="G2088" s="1">
        <v>7</v>
      </c>
      <c r="H2088" s="1">
        <v>1</v>
      </c>
      <c r="I2088" s="1">
        <v>0</v>
      </c>
      <c r="J2088" s="1">
        <v>1</v>
      </c>
      <c r="K2088" s="1">
        <v>1</v>
      </c>
      <c r="L2088" s="1">
        <v>0</v>
      </c>
      <c r="M2088" s="1">
        <v>0</v>
      </c>
    </row>
    <row r="2089" spans="1:13">
      <c r="A2089" s="1">
        <v>2088</v>
      </c>
      <c r="B2089" s="1">
        <v>920752.38029999996</v>
      </c>
      <c r="C2089" s="1">
        <v>684265.89149236865</v>
      </c>
      <c r="D2089" s="1">
        <f t="shared" si="32"/>
        <v>236486.48880763131</v>
      </c>
      <c r="E2089" s="1">
        <v>18</v>
      </c>
      <c r="F2089" s="1">
        <v>12</v>
      </c>
      <c r="G2089" s="1">
        <v>5</v>
      </c>
      <c r="H2089" s="1">
        <v>1</v>
      </c>
      <c r="I2089" s="1">
        <v>0</v>
      </c>
      <c r="J2089" s="1">
        <v>0</v>
      </c>
      <c r="K2089" s="1">
        <v>2</v>
      </c>
      <c r="L2089" s="1">
        <v>0</v>
      </c>
      <c r="M2089" s="1">
        <v>0</v>
      </c>
    </row>
    <row r="2090" spans="1:13">
      <c r="A2090" s="1">
        <v>2089</v>
      </c>
      <c r="B2090" s="1">
        <v>928447.7781</v>
      </c>
      <c r="C2090" s="1">
        <v>618365.42860148032</v>
      </c>
      <c r="D2090" s="1">
        <f t="shared" si="32"/>
        <v>310082.34949851967</v>
      </c>
      <c r="E2090" s="1">
        <v>10</v>
      </c>
      <c r="F2090" s="1">
        <v>20</v>
      </c>
      <c r="G2090" s="1">
        <v>5</v>
      </c>
      <c r="H2090" s="1">
        <v>2</v>
      </c>
      <c r="I2090" s="1">
        <v>0</v>
      </c>
      <c r="J2090" s="1">
        <v>0</v>
      </c>
      <c r="K2090" s="1">
        <v>2</v>
      </c>
      <c r="L2090" s="1">
        <v>0</v>
      </c>
      <c r="M2090" s="1">
        <v>0</v>
      </c>
    </row>
    <row r="2091" spans="1:13">
      <c r="A2091" s="1">
        <v>2090</v>
      </c>
      <c r="B2091" s="1">
        <v>889890.61490000004</v>
      </c>
      <c r="C2091" s="1">
        <v>1184782.0174485845</v>
      </c>
      <c r="D2091" s="1">
        <f t="shared" si="32"/>
        <v>-294891.4025485845</v>
      </c>
      <c r="E2091" s="1">
        <v>16</v>
      </c>
      <c r="F2091" s="1">
        <v>11</v>
      </c>
      <c r="G2091" s="1">
        <v>8</v>
      </c>
      <c r="H2091" s="1">
        <v>0</v>
      </c>
      <c r="I2091" s="1">
        <v>0</v>
      </c>
      <c r="J2091" s="1">
        <v>0</v>
      </c>
      <c r="K2091" s="1">
        <v>1</v>
      </c>
      <c r="L2091" s="1">
        <v>1</v>
      </c>
      <c r="M2091" s="1">
        <v>0</v>
      </c>
    </row>
    <row r="2092" spans="1:13">
      <c r="A2092" s="1">
        <v>2091</v>
      </c>
      <c r="B2092" s="1">
        <v>1106656.5123999999</v>
      </c>
      <c r="C2092" s="1">
        <v>965225.1120048383</v>
      </c>
      <c r="D2092" s="1">
        <f t="shared" si="32"/>
        <v>141431.40039516159</v>
      </c>
      <c r="E2092" s="1">
        <v>9</v>
      </c>
      <c r="F2092" s="1">
        <v>23</v>
      </c>
      <c r="G2092" s="1">
        <v>3</v>
      </c>
      <c r="H2092" s="1">
        <v>2</v>
      </c>
      <c r="I2092" s="1">
        <v>0</v>
      </c>
      <c r="J2092" s="1">
        <v>0</v>
      </c>
      <c r="K2092" s="1">
        <v>0</v>
      </c>
      <c r="L2092" s="1">
        <v>0</v>
      </c>
      <c r="M2092" s="1">
        <v>0</v>
      </c>
    </row>
    <row r="2093" spans="1:13">
      <c r="A2093" s="1">
        <v>2092</v>
      </c>
      <c r="B2093" s="1">
        <v>1097794.6819</v>
      </c>
      <c r="C2093" s="1">
        <v>870601.64022986847</v>
      </c>
      <c r="D2093" s="1">
        <f t="shared" si="32"/>
        <v>227193.0416701315</v>
      </c>
      <c r="E2093" s="1">
        <v>12</v>
      </c>
      <c r="F2093" s="1">
        <v>16</v>
      </c>
      <c r="G2093" s="1">
        <v>7</v>
      </c>
      <c r="H2093" s="1">
        <v>1</v>
      </c>
      <c r="I2093" s="1">
        <v>1</v>
      </c>
      <c r="J2093" s="1">
        <v>1</v>
      </c>
      <c r="K2093" s="1">
        <v>0</v>
      </c>
      <c r="L2093" s="1">
        <v>1</v>
      </c>
      <c r="M2093" s="1">
        <v>0</v>
      </c>
    </row>
    <row r="2094" spans="1:13">
      <c r="A2094" s="1">
        <v>2093</v>
      </c>
      <c r="B2094" s="1">
        <v>899674.29249999998</v>
      </c>
      <c r="C2094" s="1">
        <v>982323.69315005501</v>
      </c>
      <c r="D2094" s="1">
        <f t="shared" si="32"/>
        <v>-82649.400650055031</v>
      </c>
      <c r="E2094" s="1">
        <v>11</v>
      </c>
      <c r="F2094" s="1">
        <v>22</v>
      </c>
      <c r="G2094" s="1">
        <v>2</v>
      </c>
      <c r="H2094" s="1">
        <v>0</v>
      </c>
      <c r="I2094" s="1">
        <v>0</v>
      </c>
      <c r="J2094" s="1">
        <v>1</v>
      </c>
      <c r="K2094" s="1">
        <v>1</v>
      </c>
      <c r="L2094" s="1">
        <v>0</v>
      </c>
      <c r="M2094" s="1">
        <v>1</v>
      </c>
    </row>
    <row r="2095" spans="1:13">
      <c r="A2095" s="1">
        <v>2094</v>
      </c>
      <c r="B2095" s="1">
        <v>1063230.8370999999</v>
      </c>
      <c r="C2095" s="1">
        <v>953999.53897285985</v>
      </c>
      <c r="D2095" s="1">
        <f t="shared" si="32"/>
        <v>109231.29812714003</v>
      </c>
      <c r="E2095" s="1">
        <v>6</v>
      </c>
      <c r="F2095" s="1">
        <v>21</v>
      </c>
      <c r="G2095" s="1">
        <v>8</v>
      </c>
      <c r="H2095" s="1">
        <v>1</v>
      </c>
      <c r="I2095" s="1">
        <v>0</v>
      </c>
      <c r="J2095" s="1">
        <v>1</v>
      </c>
      <c r="K2095" s="1">
        <v>1</v>
      </c>
      <c r="L2095" s="1">
        <v>0</v>
      </c>
      <c r="M2095" s="1">
        <v>0</v>
      </c>
    </row>
    <row r="2096" spans="1:13">
      <c r="A2096" s="1">
        <v>2095</v>
      </c>
      <c r="B2096" s="1">
        <v>903937.0416</v>
      </c>
      <c r="C2096" s="1">
        <v>865212.77337788988</v>
      </c>
      <c r="D2096" s="1">
        <f t="shared" si="32"/>
        <v>38724.268222110113</v>
      </c>
      <c r="E2096" s="1">
        <v>16</v>
      </c>
      <c r="F2096" s="1">
        <v>14</v>
      </c>
      <c r="G2096" s="1">
        <v>5</v>
      </c>
      <c r="H2096" s="1">
        <v>0</v>
      </c>
      <c r="I2096" s="1">
        <v>0</v>
      </c>
      <c r="J2096" s="1">
        <v>0</v>
      </c>
      <c r="K2096" s="1">
        <v>0</v>
      </c>
      <c r="L2096" s="1">
        <v>0</v>
      </c>
      <c r="M2096" s="1">
        <v>1</v>
      </c>
    </row>
    <row r="2097" spans="1:13">
      <c r="A2097" s="1">
        <v>2096</v>
      </c>
      <c r="B2097" s="1">
        <v>972704.61490000004</v>
      </c>
      <c r="C2097" s="1">
        <v>956156.89214461902</v>
      </c>
      <c r="D2097" s="1">
        <f t="shared" si="32"/>
        <v>16547.722755381023</v>
      </c>
      <c r="E2097" s="1">
        <v>6</v>
      </c>
      <c r="F2097" s="1">
        <v>20</v>
      </c>
      <c r="G2097" s="1">
        <v>9</v>
      </c>
      <c r="H2097" s="1">
        <v>1</v>
      </c>
      <c r="I2097" s="1">
        <v>1</v>
      </c>
      <c r="J2097" s="1">
        <v>1</v>
      </c>
      <c r="K2097" s="1">
        <v>0</v>
      </c>
      <c r="L2097" s="1">
        <v>0</v>
      </c>
      <c r="M2097" s="1">
        <v>0</v>
      </c>
    </row>
    <row r="2098" spans="1:13">
      <c r="A2098" s="1">
        <v>2097</v>
      </c>
      <c r="B2098" s="1">
        <v>969621.31429999997</v>
      </c>
      <c r="C2098" s="1">
        <v>767827.56299930159</v>
      </c>
      <c r="D2098" s="1">
        <f t="shared" si="32"/>
        <v>201793.75130069838</v>
      </c>
      <c r="E2098" s="1">
        <v>7</v>
      </c>
      <c r="F2098" s="1">
        <v>21</v>
      </c>
      <c r="G2098" s="1">
        <v>7</v>
      </c>
      <c r="H2098" s="1">
        <v>1</v>
      </c>
      <c r="I2098" s="1">
        <v>0</v>
      </c>
      <c r="J2098" s="1">
        <v>1</v>
      </c>
      <c r="K2098" s="1">
        <v>0</v>
      </c>
      <c r="L2098" s="1">
        <v>0</v>
      </c>
      <c r="M2098" s="1">
        <v>0</v>
      </c>
    </row>
    <row r="2099" spans="1:13">
      <c r="A2099" s="1">
        <v>2098</v>
      </c>
      <c r="B2099" s="1">
        <v>898635.33479999995</v>
      </c>
      <c r="C2099" s="1">
        <v>871268.35192188865</v>
      </c>
      <c r="D2099" s="1">
        <f t="shared" si="32"/>
        <v>27366.982878111303</v>
      </c>
      <c r="E2099" s="1">
        <v>9</v>
      </c>
      <c r="F2099" s="1">
        <v>23</v>
      </c>
      <c r="G2099" s="1">
        <v>3</v>
      </c>
      <c r="H2099" s="1">
        <v>1</v>
      </c>
      <c r="I2099" s="1">
        <v>0</v>
      </c>
      <c r="J2099" s="1">
        <v>1</v>
      </c>
      <c r="K2099" s="1">
        <v>0</v>
      </c>
      <c r="L2099" s="1">
        <v>0</v>
      </c>
      <c r="M2099" s="1">
        <v>0</v>
      </c>
    </row>
    <row r="2100" spans="1:13">
      <c r="A2100" s="1">
        <v>2099</v>
      </c>
      <c r="B2100" s="1">
        <v>940969.32979999995</v>
      </c>
      <c r="C2100" s="1">
        <v>794429.85440078506</v>
      </c>
      <c r="D2100" s="1">
        <f t="shared" si="32"/>
        <v>146539.47539921489</v>
      </c>
      <c r="E2100" s="1">
        <v>18</v>
      </c>
      <c r="F2100" s="1">
        <v>12</v>
      </c>
      <c r="G2100" s="1">
        <v>5</v>
      </c>
      <c r="H2100" s="1">
        <v>2</v>
      </c>
      <c r="I2100" s="1">
        <v>0</v>
      </c>
      <c r="J2100" s="1">
        <v>0</v>
      </c>
      <c r="K2100" s="1">
        <v>1</v>
      </c>
      <c r="L2100" s="1">
        <v>0</v>
      </c>
      <c r="M2100" s="1">
        <v>1</v>
      </c>
    </row>
    <row r="2101" spans="1:13">
      <c r="A2101" s="1">
        <v>2100</v>
      </c>
      <c r="B2101" s="1">
        <v>932410.50910000002</v>
      </c>
      <c r="C2101" s="1">
        <v>716483.454510501</v>
      </c>
      <c r="D2101" s="1">
        <f t="shared" si="32"/>
        <v>215927.05458949902</v>
      </c>
      <c r="E2101" s="1">
        <v>6</v>
      </c>
      <c r="F2101" s="1">
        <v>25</v>
      </c>
      <c r="G2101" s="1">
        <v>4</v>
      </c>
      <c r="H2101" s="1">
        <v>1</v>
      </c>
      <c r="I2101" s="1">
        <v>0</v>
      </c>
      <c r="J2101" s="1">
        <v>1</v>
      </c>
      <c r="K2101" s="1">
        <v>0</v>
      </c>
      <c r="L2101" s="1">
        <v>0</v>
      </c>
      <c r="M2101" s="1">
        <v>1</v>
      </c>
    </row>
    <row r="2102" spans="1:13">
      <c r="A2102" s="1">
        <v>2101</v>
      </c>
      <c r="B2102" s="1">
        <v>929710.65110000002</v>
      </c>
      <c r="C2102" s="1">
        <v>818759.10007465829</v>
      </c>
      <c r="D2102" s="1">
        <f t="shared" si="32"/>
        <v>110951.55102534173</v>
      </c>
      <c r="E2102" s="1">
        <v>11</v>
      </c>
      <c r="F2102" s="1">
        <v>21</v>
      </c>
      <c r="G2102" s="1">
        <v>3</v>
      </c>
      <c r="H2102" s="1">
        <v>1</v>
      </c>
      <c r="I2102" s="1">
        <v>0</v>
      </c>
      <c r="J2102" s="1">
        <v>0</v>
      </c>
      <c r="K2102" s="1">
        <v>0</v>
      </c>
      <c r="L2102" s="1">
        <v>0</v>
      </c>
      <c r="M2102" s="1">
        <v>0</v>
      </c>
    </row>
    <row r="2103" spans="1:13">
      <c r="A2103" s="1">
        <v>2102</v>
      </c>
      <c r="B2103" s="1">
        <v>926463.53269999998</v>
      </c>
      <c r="C2103" s="1">
        <v>1605461.8163509122</v>
      </c>
      <c r="D2103" s="1">
        <f t="shared" si="32"/>
        <v>-678998.28365091223</v>
      </c>
      <c r="E2103" s="1">
        <v>16</v>
      </c>
      <c r="F2103" s="1">
        <v>13</v>
      </c>
      <c r="G2103" s="1">
        <v>6</v>
      </c>
      <c r="H2103" s="1">
        <v>1</v>
      </c>
      <c r="I2103" s="1">
        <v>0</v>
      </c>
      <c r="J2103" s="1">
        <v>0</v>
      </c>
      <c r="K2103" s="1">
        <v>0</v>
      </c>
      <c r="L2103" s="1">
        <v>0</v>
      </c>
      <c r="M2103" s="1">
        <v>1</v>
      </c>
    </row>
    <row r="2104" spans="1:13">
      <c r="A2104" s="1">
        <v>2103</v>
      </c>
      <c r="B2104" s="1">
        <v>959370.0662</v>
      </c>
      <c r="C2104" s="1">
        <v>685990.02523289574</v>
      </c>
      <c r="D2104" s="1">
        <f t="shared" si="32"/>
        <v>273380.04096710426</v>
      </c>
      <c r="E2104" s="1">
        <v>7</v>
      </c>
      <c r="F2104" s="1">
        <v>22</v>
      </c>
      <c r="G2104" s="1">
        <v>6</v>
      </c>
      <c r="H2104" s="1">
        <v>1</v>
      </c>
      <c r="I2104" s="1">
        <v>0</v>
      </c>
      <c r="J2104" s="1">
        <v>2</v>
      </c>
      <c r="K2104" s="1">
        <v>0</v>
      </c>
      <c r="L2104" s="1">
        <v>0</v>
      </c>
      <c r="M2104" s="1">
        <v>0</v>
      </c>
    </row>
    <row r="2105" spans="1:13">
      <c r="A2105" s="1">
        <v>2104</v>
      </c>
      <c r="B2105" s="1">
        <v>1056107.4129999999</v>
      </c>
      <c r="C2105" s="1">
        <v>1325059.1165779317</v>
      </c>
      <c r="D2105" s="1">
        <f t="shared" si="32"/>
        <v>-268951.70357793174</v>
      </c>
      <c r="E2105" s="1">
        <v>6</v>
      </c>
      <c r="F2105" s="1">
        <v>25</v>
      </c>
      <c r="G2105" s="1">
        <v>4</v>
      </c>
      <c r="H2105" s="1">
        <v>1</v>
      </c>
      <c r="I2105" s="1">
        <v>0</v>
      </c>
      <c r="J2105" s="1">
        <v>0</v>
      </c>
      <c r="K2105" s="1">
        <v>1</v>
      </c>
      <c r="L2105" s="1">
        <v>0</v>
      </c>
      <c r="M2105" s="1">
        <v>0</v>
      </c>
    </row>
    <row r="2106" spans="1:13">
      <c r="A2106" s="1">
        <v>2105</v>
      </c>
      <c r="B2106" s="1">
        <v>923490.73959999997</v>
      </c>
      <c r="C2106" s="1">
        <v>480758.82909955503</v>
      </c>
      <c r="D2106" s="1">
        <f t="shared" si="32"/>
        <v>442731.91050044494</v>
      </c>
      <c r="E2106" s="1">
        <v>21</v>
      </c>
      <c r="F2106" s="1">
        <v>11</v>
      </c>
      <c r="G2106" s="1">
        <v>3</v>
      </c>
      <c r="H2106" s="1">
        <v>1</v>
      </c>
      <c r="I2106" s="1">
        <v>0</v>
      </c>
      <c r="J2106" s="1">
        <v>1</v>
      </c>
      <c r="K2106" s="1">
        <v>0</v>
      </c>
      <c r="L2106" s="1">
        <v>0</v>
      </c>
      <c r="M2106" s="1">
        <v>0</v>
      </c>
    </row>
    <row r="2107" spans="1:13">
      <c r="A2107" s="1">
        <v>2106</v>
      </c>
      <c r="B2107" s="1">
        <v>934612.58140000002</v>
      </c>
      <c r="C2107" s="1">
        <v>826734.70772954426</v>
      </c>
      <c r="D2107" s="1">
        <f t="shared" si="32"/>
        <v>107877.87367045577</v>
      </c>
      <c r="E2107" s="1">
        <v>15</v>
      </c>
      <c r="F2107" s="1">
        <v>19</v>
      </c>
      <c r="G2107" s="1">
        <v>1</v>
      </c>
      <c r="H2107" s="1">
        <v>0</v>
      </c>
      <c r="I2107" s="1">
        <v>2</v>
      </c>
      <c r="J2107" s="1">
        <v>0</v>
      </c>
      <c r="K2107" s="1">
        <v>1</v>
      </c>
      <c r="L2107" s="1">
        <v>0</v>
      </c>
      <c r="M2107" s="1">
        <v>0</v>
      </c>
    </row>
    <row r="2108" spans="1:13">
      <c r="A2108" s="1">
        <v>2107</v>
      </c>
      <c r="B2108" s="1">
        <v>1032169.4652</v>
      </c>
      <c r="C2108" s="1">
        <v>1086084.1127430969</v>
      </c>
      <c r="D2108" s="1">
        <f t="shared" si="32"/>
        <v>-53914.647543096915</v>
      </c>
      <c r="E2108" s="1">
        <v>11</v>
      </c>
      <c r="F2108" s="1">
        <v>16</v>
      </c>
      <c r="G2108" s="1">
        <v>8</v>
      </c>
      <c r="H2108" s="1">
        <v>0</v>
      </c>
      <c r="I2108" s="1">
        <v>1</v>
      </c>
      <c r="J2108" s="1">
        <v>0</v>
      </c>
      <c r="K2108" s="1">
        <v>0</v>
      </c>
      <c r="L2108" s="1">
        <v>1</v>
      </c>
      <c r="M2108" s="1">
        <v>0</v>
      </c>
    </row>
    <row r="2109" spans="1:13">
      <c r="A2109" s="1">
        <v>2108</v>
      </c>
      <c r="B2109" s="1">
        <v>1042297.1266</v>
      </c>
      <c r="C2109" s="1">
        <v>905102.15946142445</v>
      </c>
      <c r="D2109" s="1">
        <f t="shared" si="32"/>
        <v>137194.96713857551</v>
      </c>
      <c r="E2109" s="1">
        <v>12</v>
      </c>
      <c r="F2109" s="1">
        <v>18</v>
      </c>
      <c r="G2109" s="1">
        <v>5</v>
      </c>
      <c r="H2109" s="1">
        <v>0</v>
      </c>
      <c r="I2109" s="1">
        <v>0</v>
      </c>
      <c r="J2109" s="1">
        <v>1</v>
      </c>
      <c r="K2109" s="1">
        <v>0</v>
      </c>
      <c r="L2109" s="1">
        <v>0</v>
      </c>
      <c r="M2109" s="1">
        <v>0</v>
      </c>
    </row>
    <row r="2110" spans="1:13">
      <c r="A2110" s="1">
        <v>2109</v>
      </c>
      <c r="B2110" s="1">
        <v>938376.91040000005</v>
      </c>
      <c r="C2110" s="1">
        <v>742882.94503112149</v>
      </c>
      <c r="D2110" s="1">
        <f t="shared" si="32"/>
        <v>195493.96536887856</v>
      </c>
      <c r="E2110" s="1">
        <v>4</v>
      </c>
      <c r="F2110" s="1">
        <v>25</v>
      </c>
      <c r="G2110" s="1">
        <v>6</v>
      </c>
      <c r="H2110" s="1">
        <v>1</v>
      </c>
      <c r="I2110" s="1">
        <v>0</v>
      </c>
      <c r="J2110" s="1">
        <v>2</v>
      </c>
      <c r="K2110" s="1">
        <v>0</v>
      </c>
      <c r="L2110" s="1">
        <v>0</v>
      </c>
      <c r="M2110" s="1">
        <v>1</v>
      </c>
    </row>
    <row r="2111" spans="1:13">
      <c r="A2111" s="1">
        <v>2110</v>
      </c>
      <c r="B2111" s="1">
        <v>984722.64690000005</v>
      </c>
      <c r="C2111" s="1">
        <v>533249.85893946781</v>
      </c>
      <c r="D2111" s="1">
        <f t="shared" si="32"/>
        <v>451472.78796053224</v>
      </c>
      <c r="E2111" s="1">
        <v>16</v>
      </c>
      <c r="F2111" s="1">
        <v>17</v>
      </c>
      <c r="G2111" s="1">
        <v>2</v>
      </c>
      <c r="H2111" s="1">
        <v>2</v>
      </c>
      <c r="I2111" s="1">
        <v>0</v>
      </c>
      <c r="J2111" s="1">
        <v>0</v>
      </c>
      <c r="K2111" s="1">
        <v>0</v>
      </c>
      <c r="L2111" s="1">
        <v>0</v>
      </c>
      <c r="M2111" s="1">
        <v>0</v>
      </c>
    </row>
    <row r="2112" spans="1:13">
      <c r="A2112" s="1">
        <v>2111</v>
      </c>
      <c r="B2112" s="1">
        <v>835696.88549999997</v>
      </c>
      <c r="C2112" s="1">
        <v>2071683.7818544614</v>
      </c>
      <c r="D2112" s="1">
        <f t="shared" si="32"/>
        <v>-1235986.8963544616</v>
      </c>
      <c r="E2112" s="1">
        <v>23</v>
      </c>
      <c r="F2112" s="1">
        <v>7</v>
      </c>
      <c r="G2112" s="1">
        <v>5</v>
      </c>
      <c r="H2112" s="1">
        <v>2</v>
      </c>
      <c r="I2112" s="1">
        <v>0</v>
      </c>
      <c r="J2112" s="1">
        <v>0</v>
      </c>
      <c r="K2112" s="1">
        <v>0</v>
      </c>
      <c r="L2112" s="1">
        <v>0</v>
      </c>
      <c r="M2112" s="1">
        <v>1</v>
      </c>
    </row>
    <row r="2113" spans="1:13">
      <c r="A2113" s="1">
        <v>2112</v>
      </c>
      <c r="B2113" s="1">
        <v>966934.40399999998</v>
      </c>
      <c r="C2113" s="1">
        <v>534672.74210245418</v>
      </c>
      <c r="D2113" s="1">
        <f t="shared" si="32"/>
        <v>432261.6618975458</v>
      </c>
      <c r="E2113" s="1">
        <v>9</v>
      </c>
      <c r="F2113" s="1">
        <v>21</v>
      </c>
      <c r="G2113" s="1">
        <v>5</v>
      </c>
      <c r="H2113" s="1">
        <v>2</v>
      </c>
      <c r="I2113" s="1">
        <v>0</v>
      </c>
      <c r="J2113" s="1">
        <v>0</v>
      </c>
      <c r="K2113" s="1">
        <v>0</v>
      </c>
      <c r="L2113" s="1">
        <v>0</v>
      </c>
      <c r="M2113" s="1">
        <v>1</v>
      </c>
    </row>
    <row r="2114" spans="1:13">
      <c r="A2114" s="1">
        <v>2113</v>
      </c>
      <c r="B2114" s="1">
        <v>893109.70810000005</v>
      </c>
      <c r="C2114" s="1">
        <v>604486.67305889935</v>
      </c>
      <c r="D2114" s="1">
        <f t="shared" ref="D2114:D2177" si="33">B2114-C2114</f>
        <v>288623.03504110069</v>
      </c>
      <c r="E2114" s="1">
        <v>9</v>
      </c>
      <c r="F2114" s="1">
        <v>25</v>
      </c>
      <c r="G2114" s="1">
        <v>1</v>
      </c>
      <c r="H2114" s="1">
        <v>0</v>
      </c>
      <c r="I2114" s="1">
        <v>0</v>
      </c>
      <c r="J2114" s="1">
        <v>0</v>
      </c>
      <c r="K2114" s="1">
        <v>0</v>
      </c>
      <c r="L2114" s="1">
        <v>0</v>
      </c>
      <c r="M2114" s="1">
        <v>1</v>
      </c>
    </row>
    <row r="2115" spans="1:13">
      <c r="A2115" s="1">
        <v>2114</v>
      </c>
      <c r="B2115" s="1">
        <v>1054360.7982000001</v>
      </c>
      <c r="C2115" s="1">
        <v>1335772.3561992699</v>
      </c>
      <c r="D2115" s="1">
        <f t="shared" si="33"/>
        <v>-281411.5579992698</v>
      </c>
      <c r="E2115" s="1">
        <v>8</v>
      </c>
      <c r="F2115" s="1">
        <v>23</v>
      </c>
      <c r="G2115" s="1">
        <v>4</v>
      </c>
      <c r="H2115" s="1">
        <v>0</v>
      </c>
      <c r="I2115" s="1">
        <v>0</v>
      </c>
      <c r="J2115" s="1">
        <v>0</v>
      </c>
      <c r="K2115" s="1">
        <v>0</v>
      </c>
      <c r="L2115" s="1">
        <v>0</v>
      </c>
      <c r="M2115" s="1">
        <v>0</v>
      </c>
    </row>
    <row r="2116" spans="1:13">
      <c r="A2116" s="1">
        <v>2115</v>
      </c>
      <c r="B2116" s="1">
        <v>830086.40469999996</v>
      </c>
      <c r="C2116" s="1">
        <v>807623.63205498306</v>
      </c>
      <c r="D2116" s="1">
        <f t="shared" si="33"/>
        <v>22462.772645016899</v>
      </c>
      <c r="E2116" s="1">
        <v>16</v>
      </c>
      <c r="F2116" s="1">
        <v>13</v>
      </c>
      <c r="G2116" s="1">
        <v>6</v>
      </c>
      <c r="H2116" s="1">
        <v>1</v>
      </c>
      <c r="I2116" s="1">
        <v>0</v>
      </c>
      <c r="J2116" s="1">
        <v>0</v>
      </c>
      <c r="K2116" s="1">
        <v>0</v>
      </c>
      <c r="L2116" s="1">
        <v>1</v>
      </c>
      <c r="M2116" s="1">
        <v>1</v>
      </c>
    </row>
    <row r="2117" spans="1:13">
      <c r="A2117" s="1">
        <v>2116</v>
      </c>
      <c r="B2117" s="1">
        <v>942905.0416</v>
      </c>
      <c r="C2117" s="1">
        <v>1135890.9923546906</v>
      </c>
      <c r="D2117" s="1">
        <f t="shared" si="33"/>
        <v>-192985.95075469057</v>
      </c>
      <c r="E2117" s="1">
        <v>21</v>
      </c>
      <c r="F2117" s="1">
        <v>9</v>
      </c>
      <c r="G2117" s="1">
        <v>5</v>
      </c>
      <c r="H2117" s="1">
        <v>1</v>
      </c>
      <c r="I2117" s="1">
        <v>0</v>
      </c>
      <c r="J2117" s="1">
        <v>1</v>
      </c>
      <c r="K2117" s="1">
        <v>0</v>
      </c>
      <c r="L2117" s="1">
        <v>0</v>
      </c>
      <c r="M2117" s="1">
        <v>0</v>
      </c>
    </row>
    <row r="2118" spans="1:13">
      <c r="A2118" s="1">
        <v>2117</v>
      </c>
      <c r="B2118" s="1">
        <v>970788.54890000005</v>
      </c>
      <c r="C2118" s="1">
        <v>848952.69304464012</v>
      </c>
      <c r="D2118" s="1">
        <f t="shared" si="33"/>
        <v>121835.85585535993</v>
      </c>
      <c r="E2118" s="1">
        <v>12</v>
      </c>
      <c r="F2118" s="1">
        <v>17</v>
      </c>
      <c r="G2118" s="1">
        <v>6</v>
      </c>
      <c r="H2118" s="1">
        <v>2</v>
      </c>
      <c r="I2118" s="1">
        <v>0</v>
      </c>
      <c r="J2118" s="1">
        <v>1</v>
      </c>
      <c r="K2118" s="1">
        <v>1</v>
      </c>
      <c r="L2118" s="1">
        <v>0</v>
      </c>
      <c r="M2118" s="1">
        <v>0</v>
      </c>
    </row>
    <row r="2119" spans="1:13">
      <c r="A2119" s="1">
        <v>2118</v>
      </c>
      <c r="B2119" s="1">
        <v>959546.94750000001</v>
      </c>
      <c r="C2119" s="1">
        <v>1211063.6415468785</v>
      </c>
      <c r="D2119" s="1">
        <f t="shared" si="33"/>
        <v>-251516.69404687849</v>
      </c>
      <c r="E2119" s="1">
        <v>12</v>
      </c>
      <c r="F2119" s="1">
        <v>18</v>
      </c>
      <c r="G2119" s="1">
        <v>5</v>
      </c>
      <c r="H2119" s="1">
        <v>0</v>
      </c>
      <c r="I2119" s="1">
        <v>0</v>
      </c>
      <c r="J2119" s="1">
        <v>0</v>
      </c>
      <c r="K2119" s="1">
        <v>0</v>
      </c>
      <c r="L2119" s="1">
        <v>0</v>
      </c>
      <c r="M2119" s="1">
        <v>0</v>
      </c>
    </row>
    <row r="2120" spans="1:13">
      <c r="A2120" s="1">
        <v>2119</v>
      </c>
      <c r="B2120" s="1">
        <v>909033.71600000001</v>
      </c>
      <c r="C2120" s="1">
        <v>645354.2154843529</v>
      </c>
      <c r="D2120" s="1">
        <f t="shared" si="33"/>
        <v>263679.50051564712</v>
      </c>
      <c r="E2120" s="1">
        <v>12</v>
      </c>
      <c r="F2120" s="1">
        <v>20</v>
      </c>
      <c r="G2120" s="1">
        <v>3</v>
      </c>
      <c r="H2120" s="1">
        <v>0</v>
      </c>
      <c r="I2120" s="1">
        <v>0</v>
      </c>
      <c r="J2120" s="1">
        <v>1</v>
      </c>
      <c r="K2120" s="1">
        <v>1</v>
      </c>
      <c r="L2120" s="1">
        <v>0</v>
      </c>
      <c r="M2120" s="1">
        <v>0</v>
      </c>
    </row>
    <row r="2121" spans="1:13">
      <c r="A2121" s="1">
        <v>2120</v>
      </c>
      <c r="B2121" s="1">
        <v>989171.74650000001</v>
      </c>
      <c r="C2121" s="1">
        <v>3174729.7153509744</v>
      </c>
      <c r="D2121" s="1">
        <f t="shared" si="33"/>
        <v>-2185557.9688509745</v>
      </c>
      <c r="E2121" s="1">
        <v>13</v>
      </c>
      <c r="F2121" s="1">
        <v>17</v>
      </c>
      <c r="G2121" s="1">
        <v>5</v>
      </c>
      <c r="H2121" s="1">
        <v>0</v>
      </c>
      <c r="I2121" s="1">
        <v>0</v>
      </c>
      <c r="J2121" s="1">
        <v>1</v>
      </c>
      <c r="K2121" s="1">
        <v>1</v>
      </c>
      <c r="L2121" s="1">
        <v>0</v>
      </c>
      <c r="M2121" s="1">
        <v>0</v>
      </c>
    </row>
    <row r="2122" spans="1:13">
      <c r="A2122" s="1">
        <v>2121</v>
      </c>
      <c r="B2122" s="1">
        <v>978662.27469999995</v>
      </c>
      <c r="C2122" s="1">
        <v>575877.85383504699</v>
      </c>
      <c r="D2122" s="1">
        <f t="shared" si="33"/>
        <v>402784.42086495296</v>
      </c>
      <c r="E2122" s="1">
        <v>12</v>
      </c>
      <c r="F2122" s="1">
        <v>16</v>
      </c>
      <c r="G2122" s="1">
        <v>7</v>
      </c>
      <c r="H2122" s="1">
        <v>1</v>
      </c>
      <c r="I2122" s="1">
        <v>0</v>
      </c>
      <c r="J2122" s="1">
        <v>0</v>
      </c>
      <c r="K2122" s="1">
        <v>1</v>
      </c>
      <c r="L2122" s="1">
        <v>0</v>
      </c>
      <c r="M2122" s="1">
        <v>1</v>
      </c>
    </row>
    <row r="2123" spans="1:13">
      <c r="A2123" s="1">
        <v>2122</v>
      </c>
      <c r="B2123" s="1">
        <v>965217.1764</v>
      </c>
      <c r="C2123" s="1">
        <v>767407.04222993087</v>
      </c>
      <c r="D2123" s="1">
        <f t="shared" si="33"/>
        <v>197810.13417006913</v>
      </c>
      <c r="E2123" s="1">
        <v>11</v>
      </c>
      <c r="F2123" s="1">
        <v>19</v>
      </c>
      <c r="G2123" s="1">
        <v>5</v>
      </c>
      <c r="H2123" s="1">
        <v>1</v>
      </c>
      <c r="I2123" s="1">
        <v>0</v>
      </c>
      <c r="J2123" s="1">
        <v>0</v>
      </c>
      <c r="K2123" s="1">
        <v>1</v>
      </c>
      <c r="L2123" s="1">
        <v>0</v>
      </c>
      <c r="M2123" s="1">
        <v>1</v>
      </c>
    </row>
    <row r="2124" spans="1:13">
      <c r="A2124" s="1">
        <v>2123</v>
      </c>
      <c r="B2124" s="1">
        <v>997554.90159999998</v>
      </c>
      <c r="C2124" s="1">
        <v>728371.93330448761</v>
      </c>
      <c r="D2124" s="1">
        <f t="shared" si="33"/>
        <v>269182.96829551237</v>
      </c>
      <c r="E2124" s="1">
        <v>6</v>
      </c>
      <c r="F2124" s="1">
        <v>25</v>
      </c>
      <c r="G2124" s="1">
        <v>4</v>
      </c>
      <c r="H2124" s="1">
        <v>1</v>
      </c>
      <c r="I2124" s="1">
        <v>0</v>
      </c>
      <c r="J2124" s="1">
        <v>2</v>
      </c>
      <c r="K2124" s="1">
        <v>0</v>
      </c>
      <c r="L2124" s="1">
        <v>0</v>
      </c>
      <c r="M2124" s="1">
        <v>0</v>
      </c>
    </row>
    <row r="2125" spans="1:13">
      <c r="A2125" s="1">
        <v>2124</v>
      </c>
      <c r="B2125" s="1">
        <v>908680.51729999995</v>
      </c>
      <c r="C2125" s="1">
        <v>698715.46639766276</v>
      </c>
      <c r="D2125" s="1">
        <f t="shared" si="33"/>
        <v>209965.05090233719</v>
      </c>
      <c r="E2125" s="1">
        <v>11</v>
      </c>
      <c r="F2125" s="1">
        <v>20</v>
      </c>
      <c r="G2125" s="1">
        <v>4</v>
      </c>
      <c r="H2125" s="1">
        <v>0</v>
      </c>
      <c r="I2125" s="1">
        <v>0</v>
      </c>
      <c r="J2125" s="1">
        <v>0</v>
      </c>
      <c r="K2125" s="1">
        <v>0</v>
      </c>
      <c r="L2125" s="1">
        <v>0</v>
      </c>
      <c r="M2125" s="1">
        <v>1</v>
      </c>
    </row>
    <row r="2126" spans="1:13">
      <c r="A2126" s="1">
        <v>2125</v>
      </c>
      <c r="B2126" s="1">
        <v>875741.3223</v>
      </c>
      <c r="C2126" s="1">
        <v>1590628.2346534987</v>
      </c>
      <c r="D2126" s="1">
        <f t="shared" si="33"/>
        <v>-714886.91235349874</v>
      </c>
      <c r="E2126" s="1">
        <v>22</v>
      </c>
      <c r="F2126" s="1">
        <v>9</v>
      </c>
      <c r="G2126" s="1">
        <v>4</v>
      </c>
      <c r="H2126" s="1">
        <v>2</v>
      </c>
      <c r="I2126" s="1">
        <v>0</v>
      </c>
      <c r="J2126" s="1">
        <v>0</v>
      </c>
      <c r="K2126" s="1">
        <v>0</v>
      </c>
      <c r="L2126" s="1">
        <v>0</v>
      </c>
      <c r="M2126" s="1">
        <v>0</v>
      </c>
    </row>
    <row r="2127" spans="1:13">
      <c r="A2127" s="1">
        <v>2126</v>
      </c>
      <c r="B2127" s="1">
        <v>948602.25069999998</v>
      </c>
      <c r="C2127" s="1">
        <v>840847.30581464001</v>
      </c>
      <c r="D2127" s="1">
        <f t="shared" si="33"/>
        <v>107754.94488535996</v>
      </c>
      <c r="E2127" s="1">
        <v>14</v>
      </c>
      <c r="F2127" s="1">
        <v>15</v>
      </c>
      <c r="G2127" s="1">
        <v>6</v>
      </c>
      <c r="H2127" s="1">
        <v>1</v>
      </c>
      <c r="I2127" s="1">
        <v>1</v>
      </c>
      <c r="J2127" s="1">
        <v>1</v>
      </c>
      <c r="K2127" s="1">
        <v>0</v>
      </c>
      <c r="L2127" s="1">
        <v>0</v>
      </c>
      <c r="M2127" s="1">
        <v>0</v>
      </c>
    </row>
    <row r="2128" spans="1:13">
      <c r="A2128" s="1">
        <v>2127</v>
      </c>
      <c r="B2128" s="1">
        <v>883336.2746</v>
      </c>
      <c r="C2128" s="1">
        <v>1207076.0964361941</v>
      </c>
      <c r="D2128" s="1">
        <f t="shared" si="33"/>
        <v>-323739.82183619414</v>
      </c>
      <c r="E2128" s="1">
        <v>16</v>
      </c>
      <c r="F2128" s="1">
        <v>17</v>
      </c>
      <c r="G2128" s="1">
        <v>2</v>
      </c>
      <c r="H2128" s="1">
        <v>0</v>
      </c>
      <c r="I2128" s="1">
        <v>0</v>
      </c>
      <c r="J2128" s="1">
        <v>0</v>
      </c>
      <c r="K2128" s="1">
        <v>0</v>
      </c>
      <c r="L2128" s="1">
        <v>0</v>
      </c>
      <c r="M2128" s="1">
        <v>1</v>
      </c>
    </row>
    <row r="2129" spans="1:13">
      <c r="A2129" s="1">
        <v>2128</v>
      </c>
      <c r="B2129" s="1">
        <v>983141.79729999998</v>
      </c>
      <c r="C2129" s="1">
        <v>751544.28753218299</v>
      </c>
      <c r="D2129" s="1">
        <f t="shared" si="33"/>
        <v>231597.50976781698</v>
      </c>
      <c r="E2129" s="1">
        <v>12</v>
      </c>
      <c r="F2129" s="1">
        <v>15</v>
      </c>
      <c r="G2129" s="1">
        <v>8</v>
      </c>
      <c r="H2129" s="1">
        <v>0</v>
      </c>
      <c r="I2129" s="1">
        <v>0</v>
      </c>
      <c r="J2129" s="1">
        <v>1</v>
      </c>
      <c r="K2129" s="1">
        <v>1</v>
      </c>
      <c r="L2129" s="1">
        <v>0</v>
      </c>
      <c r="M2129" s="1">
        <v>1</v>
      </c>
    </row>
    <row r="2130" spans="1:13">
      <c r="A2130" s="1">
        <v>2129</v>
      </c>
      <c r="B2130" s="1">
        <v>941646.83680000005</v>
      </c>
      <c r="C2130" s="1">
        <v>786428.58785995713</v>
      </c>
      <c r="D2130" s="1">
        <f t="shared" si="33"/>
        <v>155218.24894004292</v>
      </c>
      <c r="E2130" s="1">
        <v>6</v>
      </c>
      <c r="F2130" s="1">
        <v>24</v>
      </c>
      <c r="G2130" s="1">
        <v>5</v>
      </c>
      <c r="H2130" s="1">
        <v>1</v>
      </c>
      <c r="I2130" s="1">
        <v>0</v>
      </c>
      <c r="J2130" s="1">
        <v>2</v>
      </c>
      <c r="K2130" s="1">
        <v>0</v>
      </c>
      <c r="L2130" s="1">
        <v>0</v>
      </c>
      <c r="M2130" s="1">
        <v>1</v>
      </c>
    </row>
    <row r="2131" spans="1:13">
      <c r="A2131" s="1">
        <v>2130</v>
      </c>
      <c r="B2131" s="1">
        <v>909261.52509999997</v>
      </c>
      <c r="C2131" s="1">
        <v>719129.80577534193</v>
      </c>
      <c r="D2131" s="1">
        <f t="shared" si="33"/>
        <v>190131.71932465804</v>
      </c>
      <c r="E2131" s="1">
        <v>15</v>
      </c>
      <c r="F2131" s="1">
        <v>13</v>
      </c>
      <c r="G2131" s="1">
        <v>7</v>
      </c>
      <c r="H2131" s="1">
        <v>1</v>
      </c>
      <c r="I2131" s="1">
        <v>0</v>
      </c>
      <c r="J2131" s="1">
        <v>0</v>
      </c>
      <c r="K2131" s="1">
        <v>1</v>
      </c>
      <c r="L2131" s="1">
        <v>1</v>
      </c>
      <c r="M2131" s="1">
        <v>0</v>
      </c>
    </row>
    <row r="2132" spans="1:13">
      <c r="A2132" s="1">
        <v>2131</v>
      </c>
      <c r="B2132" s="1">
        <v>926866.44819999998</v>
      </c>
      <c r="C2132" s="1">
        <v>935090.76781293191</v>
      </c>
      <c r="D2132" s="1">
        <f t="shared" si="33"/>
        <v>-8224.3196129319258</v>
      </c>
      <c r="E2132" s="1">
        <v>16</v>
      </c>
      <c r="F2132" s="1">
        <v>13</v>
      </c>
      <c r="G2132" s="1">
        <v>6</v>
      </c>
      <c r="H2132" s="1">
        <v>0</v>
      </c>
      <c r="I2132" s="1">
        <v>0</v>
      </c>
      <c r="J2132" s="1">
        <v>1</v>
      </c>
      <c r="K2132" s="1">
        <v>1</v>
      </c>
      <c r="L2132" s="1">
        <v>0</v>
      </c>
      <c r="M2132" s="1">
        <v>1</v>
      </c>
    </row>
    <row r="2133" spans="1:13">
      <c r="A2133" s="1">
        <v>2132</v>
      </c>
      <c r="B2133" s="1">
        <v>923052.78879999998</v>
      </c>
      <c r="C2133" s="1">
        <v>1253084.506089855</v>
      </c>
      <c r="D2133" s="1">
        <f t="shared" si="33"/>
        <v>-330031.71728985501</v>
      </c>
      <c r="E2133" s="1">
        <v>14</v>
      </c>
      <c r="F2133" s="1">
        <v>15</v>
      </c>
      <c r="G2133" s="1">
        <v>6</v>
      </c>
      <c r="H2133" s="1">
        <v>1</v>
      </c>
      <c r="I2133" s="1">
        <v>1</v>
      </c>
      <c r="J2133" s="1">
        <v>2</v>
      </c>
      <c r="K2133" s="1">
        <v>0</v>
      </c>
      <c r="L2133" s="1">
        <v>0</v>
      </c>
      <c r="M2133" s="1">
        <v>1</v>
      </c>
    </row>
    <row r="2134" spans="1:13">
      <c r="A2134" s="1">
        <v>2133</v>
      </c>
      <c r="B2134" s="1">
        <v>992655.54399999999</v>
      </c>
      <c r="C2134" s="1">
        <v>1026517.0176430328</v>
      </c>
      <c r="D2134" s="1">
        <f t="shared" si="33"/>
        <v>-33861.473643032834</v>
      </c>
      <c r="E2134" s="1">
        <v>9</v>
      </c>
      <c r="F2134" s="1">
        <v>19</v>
      </c>
      <c r="G2134" s="1">
        <v>7</v>
      </c>
      <c r="H2134" s="1">
        <v>1</v>
      </c>
      <c r="I2134" s="1">
        <v>0</v>
      </c>
      <c r="J2134" s="1">
        <v>1</v>
      </c>
      <c r="K2134" s="1">
        <v>1</v>
      </c>
      <c r="L2134" s="1">
        <v>0</v>
      </c>
      <c r="M2134" s="1">
        <v>1</v>
      </c>
    </row>
    <row r="2135" spans="1:13">
      <c r="A2135" s="1">
        <v>2134</v>
      </c>
      <c r="B2135" s="1">
        <v>875105.96479999996</v>
      </c>
      <c r="C2135" s="1">
        <v>1710674.9939453653</v>
      </c>
      <c r="D2135" s="1">
        <f t="shared" si="33"/>
        <v>-835569.02914536535</v>
      </c>
      <c r="E2135" s="1">
        <v>15</v>
      </c>
      <c r="F2135" s="1">
        <v>15</v>
      </c>
      <c r="G2135" s="1">
        <v>5</v>
      </c>
      <c r="H2135" s="1">
        <v>1</v>
      </c>
      <c r="I2135" s="1">
        <v>0</v>
      </c>
      <c r="J2135" s="1">
        <v>0</v>
      </c>
      <c r="K2135" s="1">
        <v>1</v>
      </c>
      <c r="L2135" s="1">
        <v>0</v>
      </c>
      <c r="M2135" s="1">
        <v>0</v>
      </c>
    </row>
    <row r="2136" spans="1:13">
      <c r="A2136" s="1">
        <v>2135</v>
      </c>
      <c r="B2136" s="1">
        <v>938733.37769999995</v>
      </c>
      <c r="C2136" s="1">
        <v>842660.77541787457</v>
      </c>
      <c r="D2136" s="1">
        <f t="shared" si="33"/>
        <v>96072.602282125386</v>
      </c>
      <c r="E2136" s="1">
        <v>10</v>
      </c>
      <c r="F2136" s="1">
        <v>19</v>
      </c>
      <c r="G2136" s="1">
        <v>6</v>
      </c>
      <c r="H2136" s="1">
        <v>1</v>
      </c>
      <c r="I2136" s="1">
        <v>0</v>
      </c>
      <c r="J2136" s="1">
        <v>0</v>
      </c>
      <c r="K2136" s="1">
        <v>0</v>
      </c>
      <c r="L2136" s="1">
        <v>0</v>
      </c>
      <c r="M2136" s="1">
        <v>0</v>
      </c>
    </row>
    <row r="2137" spans="1:13">
      <c r="A2137" s="1">
        <v>2136</v>
      </c>
      <c r="B2137" s="1">
        <v>841826.24620000005</v>
      </c>
      <c r="C2137" s="1">
        <v>893356.38656061445</v>
      </c>
      <c r="D2137" s="1">
        <f t="shared" si="33"/>
        <v>-51530.140360614401</v>
      </c>
      <c r="E2137" s="1">
        <v>23</v>
      </c>
      <c r="F2137" s="1">
        <v>9</v>
      </c>
      <c r="G2137" s="1">
        <v>3</v>
      </c>
      <c r="H2137" s="1">
        <v>2</v>
      </c>
      <c r="I2137" s="1">
        <v>0</v>
      </c>
      <c r="J2137" s="1">
        <v>1</v>
      </c>
      <c r="K2137" s="1">
        <v>0</v>
      </c>
      <c r="L2137" s="1">
        <v>0</v>
      </c>
      <c r="M2137" s="1">
        <v>0</v>
      </c>
    </row>
    <row r="2138" spans="1:13">
      <c r="A2138" s="1">
        <v>2137</v>
      </c>
      <c r="B2138" s="1">
        <v>912811.2291</v>
      </c>
      <c r="C2138" s="1">
        <v>768883.26285103895</v>
      </c>
      <c r="D2138" s="1">
        <f t="shared" si="33"/>
        <v>143927.96624896105</v>
      </c>
      <c r="E2138" s="1">
        <v>13</v>
      </c>
      <c r="F2138" s="1">
        <v>20</v>
      </c>
      <c r="G2138" s="1">
        <v>2</v>
      </c>
      <c r="H2138" s="1">
        <v>0</v>
      </c>
      <c r="I2138" s="1">
        <v>0</v>
      </c>
      <c r="J2138" s="1">
        <v>1</v>
      </c>
      <c r="K2138" s="1">
        <v>1</v>
      </c>
      <c r="L2138" s="1">
        <v>0</v>
      </c>
      <c r="M2138" s="1">
        <v>1</v>
      </c>
    </row>
    <row r="2139" spans="1:13">
      <c r="A2139" s="1">
        <v>2138</v>
      </c>
      <c r="B2139" s="1">
        <v>993226.80169999995</v>
      </c>
      <c r="C2139" s="1">
        <v>864009.80121000914</v>
      </c>
      <c r="D2139" s="1">
        <f t="shared" si="33"/>
        <v>129217.00048999081</v>
      </c>
      <c r="E2139" s="1">
        <v>6</v>
      </c>
      <c r="F2139" s="1">
        <v>23</v>
      </c>
      <c r="G2139" s="1">
        <v>6</v>
      </c>
      <c r="H2139" s="1">
        <v>1</v>
      </c>
      <c r="I2139" s="1">
        <v>0</v>
      </c>
      <c r="J2139" s="1">
        <v>0</v>
      </c>
      <c r="K2139" s="1">
        <v>0</v>
      </c>
      <c r="L2139" s="1">
        <v>0</v>
      </c>
      <c r="M2139" s="1">
        <v>0</v>
      </c>
    </row>
    <row r="2140" spans="1:13">
      <c r="A2140" s="1">
        <v>2139</v>
      </c>
      <c r="B2140" s="1">
        <v>1002878.536</v>
      </c>
      <c r="C2140" s="1">
        <v>1041039.6035527067</v>
      </c>
      <c r="D2140" s="1">
        <f t="shared" si="33"/>
        <v>-38161.067552706692</v>
      </c>
      <c r="E2140" s="1">
        <v>10</v>
      </c>
      <c r="F2140" s="1">
        <v>21</v>
      </c>
      <c r="G2140" s="1">
        <v>4</v>
      </c>
      <c r="H2140" s="1">
        <v>1</v>
      </c>
      <c r="I2140" s="1">
        <v>0</v>
      </c>
      <c r="J2140" s="1">
        <v>2</v>
      </c>
      <c r="K2140" s="1">
        <v>0</v>
      </c>
      <c r="L2140" s="1">
        <v>0</v>
      </c>
      <c r="M2140" s="1">
        <v>0</v>
      </c>
    </row>
    <row r="2141" spans="1:13">
      <c r="A2141" s="1">
        <v>2140</v>
      </c>
      <c r="B2141" s="1">
        <v>882723.10230000003</v>
      </c>
      <c r="C2141" s="1">
        <v>746046.0051924556</v>
      </c>
      <c r="D2141" s="1">
        <f t="shared" si="33"/>
        <v>136677.09710754442</v>
      </c>
      <c r="E2141" s="1">
        <v>21</v>
      </c>
      <c r="F2141" s="1">
        <v>11</v>
      </c>
      <c r="G2141" s="1">
        <v>3</v>
      </c>
      <c r="H2141" s="1">
        <v>2</v>
      </c>
      <c r="I2141" s="1">
        <v>0</v>
      </c>
      <c r="J2141" s="1">
        <v>0</v>
      </c>
      <c r="K2141" s="1">
        <v>2</v>
      </c>
      <c r="L2141" s="1">
        <v>0</v>
      </c>
      <c r="M2141" s="1">
        <v>0</v>
      </c>
    </row>
    <row r="2142" spans="1:13">
      <c r="A2142" s="1">
        <v>2141</v>
      </c>
      <c r="B2142" s="1">
        <v>845335.47930000001</v>
      </c>
      <c r="C2142" s="1">
        <v>808091.62977287848</v>
      </c>
      <c r="D2142" s="1">
        <f t="shared" si="33"/>
        <v>37243.849527121522</v>
      </c>
      <c r="E2142" s="1">
        <v>9</v>
      </c>
      <c r="F2142" s="1">
        <v>19</v>
      </c>
      <c r="G2142" s="1">
        <v>7</v>
      </c>
      <c r="H2142" s="1">
        <v>2</v>
      </c>
      <c r="I2142" s="1">
        <v>0</v>
      </c>
      <c r="J2142" s="1">
        <v>1</v>
      </c>
      <c r="K2142" s="1">
        <v>1</v>
      </c>
      <c r="L2142" s="1">
        <v>0</v>
      </c>
      <c r="M2142" s="1">
        <v>0</v>
      </c>
    </row>
    <row r="2143" spans="1:13">
      <c r="A2143" s="1">
        <v>2142</v>
      </c>
      <c r="B2143" s="1">
        <v>946026.21230000001</v>
      </c>
      <c r="C2143" s="1">
        <v>1013860.2312242888</v>
      </c>
      <c r="D2143" s="1">
        <f t="shared" si="33"/>
        <v>-67834.018924288801</v>
      </c>
      <c r="E2143" s="1">
        <v>15</v>
      </c>
      <c r="F2143" s="1">
        <v>13</v>
      </c>
      <c r="G2143" s="1">
        <v>7</v>
      </c>
      <c r="H2143" s="1">
        <v>0</v>
      </c>
      <c r="I2143" s="1">
        <v>0</v>
      </c>
      <c r="J2143" s="1">
        <v>2</v>
      </c>
      <c r="K2143" s="1">
        <v>0</v>
      </c>
      <c r="L2143" s="1">
        <v>0</v>
      </c>
      <c r="M2143" s="1">
        <v>1</v>
      </c>
    </row>
    <row r="2144" spans="1:13">
      <c r="A2144" s="1">
        <v>2143</v>
      </c>
      <c r="B2144" s="1">
        <v>811087.91839999997</v>
      </c>
      <c r="C2144" s="1">
        <v>614872.07722316089</v>
      </c>
      <c r="D2144" s="1">
        <f t="shared" si="33"/>
        <v>196215.84117683908</v>
      </c>
      <c r="E2144" s="1">
        <v>7</v>
      </c>
      <c r="F2144" s="1">
        <v>22</v>
      </c>
      <c r="G2144" s="1">
        <v>6</v>
      </c>
      <c r="H2144" s="1">
        <v>0</v>
      </c>
      <c r="I2144" s="1">
        <v>0</v>
      </c>
      <c r="J2144" s="1">
        <v>0</v>
      </c>
      <c r="K2144" s="1">
        <v>0</v>
      </c>
      <c r="L2144" s="1">
        <v>0</v>
      </c>
      <c r="M2144" s="1">
        <v>0</v>
      </c>
    </row>
    <row r="2145" spans="1:13">
      <c r="A2145" s="1">
        <v>2144</v>
      </c>
      <c r="B2145" s="1">
        <v>853720.34459999995</v>
      </c>
      <c r="C2145" s="1">
        <v>702887.12094248307</v>
      </c>
      <c r="D2145" s="1">
        <f t="shared" si="33"/>
        <v>150833.22365751688</v>
      </c>
      <c r="E2145" s="1">
        <v>24</v>
      </c>
      <c r="F2145" s="1">
        <v>7</v>
      </c>
      <c r="G2145" s="1">
        <v>4</v>
      </c>
      <c r="H2145" s="1">
        <v>2</v>
      </c>
      <c r="I2145" s="1">
        <v>0</v>
      </c>
      <c r="J2145" s="1">
        <v>1</v>
      </c>
      <c r="K2145" s="1">
        <v>1</v>
      </c>
      <c r="L2145" s="1">
        <v>0</v>
      </c>
      <c r="M2145" s="1">
        <v>1</v>
      </c>
    </row>
    <row r="2146" spans="1:13">
      <c r="A2146" s="1">
        <v>2145</v>
      </c>
      <c r="B2146" s="1">
        <v>960978.64439999999</v>
      </c>
      <c r="C2146" s="1">
        <v>832709.46138663986</v>
      </c>
      <c r="D2146" s="1">
        <f t="shared" si="33"/>
        <v>128269.18301336013</v>
      </c>
      <c r="E2146" s="1">
        <v>17</v>
      </c>
      <c r="F2146" s="1">
        <v>14</v>
      </c>
      <c r="G2146" s="1">
        <v>4</v>
      </c>
      <c r="H2146" s="1">
        <v>1</v>
      </c>
      <c r="I2146" s="1">
        <v>1</v>
      </c>
      <c r="J2146" s="1">
        <v>0</v>
      </c>
      <c r="K2146" s="1">
        <v>1</v>
      </c>
      <c r="L2146" s="1">
        <v>0</v>
      </c>
      <c r="M2146" s="1">
        <v>0</v>
      </c>
    </row>
    <row r="2147" spans="1:13">
      <c r="A2147" s="1">
        <v>2146</v>
      </c>
      <c r="B2147" s="1">
        <v>844649.60699999996</v>
      </c>
      <c r="C2147" s="1">
        <v>903988.18624421197</v>
      </c>
      <c r="D2147" s="1">
        <f t="shared" si="33"/>
        <v>-59338.579244212015</v>
      </c>
      <c r="E2147" s="1">
        <v>6</v>
      </c>
      <c r="F2147" s="1">
        <v>26</v>
      </c>
      <c r="G2147" s="1">
        <v>3</v>
      </c>
      <c r="H2147" s="1">
        <v>0</v>
      </c>
      <c r="I2147" s="1">
        <v>1</v>
      </c>
      <c r="J2147" s="1">
        <v>1</v>
      </c>
      <c r="K2147" s="1">
        <v>1</v>
      </c>
      <c r="L2147" s="1">
        <v>0</v>
      </c>
      <c r="M2147" s="1">
        <v>0</v>
      </c>
    </row>
    <row r="2148" spans="1:13">
      <c r="A2148" s="1">
        <v>2147</v>
      </c>
      <c r="B2148" s="1">
        <v>926638.58790000004</v>
      </c>
      <c r="C2148" s="1">
        <v>913681.91089630383</v>
      </c>
      <c r="D2148" s="1">
        <f t="shared" si="33"/>
        <v>12956.677003696212</v>
      </c>
      <c r="E2148" s="1">
        <v>12</v>
      </c>
      <c r="F2148" s="1">
        <v>20</v>
      </c>
      <c r="G2148" s="1">
        <v>3</v>
      </c>
      <c r="H2148" s="1">
        <v>0</v>
      </c>
      <c r="I2148" s="1">
        <v>1</v>
      </c>
      <c r="J2148" s="1">
        <v>0</v>
      </c>
      <c r="K2148" s="1">
        <v>1</v>
      </c>
      <c r="L2148" s="1">
        <v>0</v>
      </c>
      <c r="M2148" s="1">
        <v>1</v>
      </c>
    </row>
    <row r="2149" spans="1:13">
      <c r="A2149" s="1">
        <v>2148</v>
      </c>
      <c r="B2149" s="1">
        <v>993923.96810000006</v>
      </c>
      <c r="C2149" s="1">
        <v>598700.79217304464</v>
      </c>
      <c r="D2149" s="1">
        <f t="shared" si="33"/>
        <v>395223.17592695542</v>
      </c>
      <c r="E2149" s="1">
        <v>15</v>
      </c>
      <c r="F2149" s="1">
        <v>16</v>
      </c>
      <c r="G2149" s="1">
        <v>4</v>
      </c>
      <c r="H2149" s="1">
        <v>1</v>
      </c>
      <c r="I2149" s="1">
        <v>0</v>
      </c>
      <c r="J2149" s="1">
        <v>1</v>
      </c>
      <c r="K2149" s="1">
        <v>0</v>
      </c>
      <c r="L2149" s="1">
        <v>0</v>
      </c>
      <c r="M2149" s="1">
        <v>1</v>
      </c>
    </row>
    <row r="2150" spans="1:13">
      <c r="A2150" s="1">
        <v>2149</v>
      </c>
      <c r="B2150" s="1">
        <v>973890.62950000004</v>
      </c>
      <c r="C2150" s="1">
        <v>633697.2154679927</v>
      </c>
      <c r="D2150" s="1">
        <f t="shared" si="33"/>
        <v>340193.41403200733</v>
      </c>
      <c r="E2150" s="1">
        <v>12</v>
      </c>
      <c r="F2150" s="1">
        <v>16</v>
      </c>
      <c r="G2150" s="1">
        <v>7</v>
      </c>
      <c r="H2150" s="1">
        <v>0</v>
      </c>
      <c r="I2150" s="1">
        <v>0</v>
      </c>
      <c r="J2150" s="1">
        <v>0</v>
      </c>
      <c r="K2150" s="1">
        <v>1</v>
      </c>
      <c r="L2150" s="1">
        <v>1</v>
      </c>
      <c r="M2150" s="1">
        <v>0</v>
      </c>
    </row>
    <row r="2151" spans="1:13">
      <c r="A2151" s="1">
        <v>2150</v>
      </c>
      <c r="B2151" s="1">
        <v>982571.06059999997</v>
      </c>
      <c r="C2151" s="1">
        <v>2068260.4430958538</v>
      </c>
      <c r="D2151" s="1">
        <f t="shared" si="33"/>
        <v>-1085689.3824958538</v>
      </c>
      <c r="E2151" s="1">
        <v>11</v>
      </c>
      <c r="F2151" s="1">
        <v>22</v>
      </c>
      <c r="G2151" s="1">
        <v>2</v>
      </c>
      <c r="H2151" s="1">
        <v>1</v>
      </c>
      <c r="I2151" s="1">
        <v>0</v>
      </c>
      <c r="J2151" s="1">
        <v>1</v>
      </c>
      <c r="K2151" s="1">
        <v>0</v>
      </c>
      <c r="L2151" s="1">
        <v>0</v>
      </c>
      <c r="M2151" s="1">
        <v>0</v>
      </c>
    </row>
    <row r="2152" spans="1:13">
      <c r="A2152" s="1">
        <v>2151</v>
      </c>
      <c r="B2152" s="1">
        <v>900137.89569999999</v>
      </c>
      <c r="C2152" s="1">
        <v>1302072.4269426891</v>
      </c>
      <c r="D2152" s="1">
        <f t="shared" si="33"/>
        <v>-401934.53124268912</v>
      </c>
      <c r="E2152" s="1">
        <v>14</v>
      </c>
      <c r="F2152" s="1">
        <v>19</v>
      </c>
      <c r="G2152" s="1">
        <v>2</v>
      </c>
      <c r="H2152" s="1">
        <v>0</v>
      </c>
      <c r="I2152" s="1">
        <v>0</v>
      </c>
      <c r="J2152" s="1">
        <v>0</v>
      </c>
      <c r="K2152" s="1">
        <v>0</v>
      </c>
      <c r="L2152" s="1">
        <v>0</v>
      </c>
      <c r="M2152" s="1">
        <v>0</v>
      </c>
    </row>
    <row r="2153" spans="1:13">
      <c r="A2153" s="1">
        <v>2152</v>
      </c>
      <c r="B2153" s="1">
        <v>901059.21400000004</v>
      </c>
      <c r="C2153" s="1">
        <v>995821.71874470252</v>
      </c>
      <c r="D2153" s="1">
        <f t="shared" si="33"/>
        <v>-94762.504744702484</v>
      </c>
      <c r="E2153" s="1">
        <v>18</v>
      </c>
      <c r="F2153" s="1">
        <v>15</v>
      </c>
      <c r="G2153" s="1">
        <v>2</v>
      </c>
      <c r="H2153" s="1">
        <v>0</v>
      </c>
      <c r="I2153" s="1">
        <v>0</v>
      </c>
      <c r="J2153" s="1">
        <v>1</v>
      </c>
      <c r="K2153" s="1">
        <v>0</v>
      </c>
      <c r="L2153" s="1">
        <v>0</v>
      </c>
      <c r="M2153" s="1">
        <v>0</v>
      </c>
    </row>
    <row r="2154" spans="1:13">
      <c r="A2154" s="1">
        <v>2153</v>
      </c>
      <c r="B2154" s="1">
        <v>826476.54299999995</v>
      </c>
      <c r="C2154" s="1">
        <v>949839.88500985457</v>
      </c>
      <c r="D2154" s="1">
        <f t="shared" si="33"/>
        <v>-123363.34200985462</v>
      </c>
      <c r="E2154" s="1">
        <v>19</v>
      </c>
      <c r="F2154" s="1">
        <v>9</v>
      </c>
      <c r="G2154" s="1">
        <v>7</v>
      </c>
      <c r="H2154" s="1">
        <v>2</v>
      </c>
      <c r="I2154" s="1">
        <v>0</v>
      </c>
      <c r="J2154" s="1">
        <v>2</v>
      </c>
      <c r="K2154" s="1">
        <v>0</v>
      </c>
      <c r="L2154" s="1">
        <v>0</v>
      </c>
      <c r="M2154" s="1">
        <v>1</v>
      </c>
    </row>
    <row r="2155" spans="1:13">
      <c r="A2155" s="1">
        <v>2154</v>
      </c>
      <c r="B2155" s="1">
        <v>881213.48849999998</v>
      </c>
      <c r="C2155" s="1">
        <v>824624.5874944058</v>
      </c>
      <c r="D2155" s="1">
        <f t="shared" si="33"/>
        <v>56588.901005594176</v>
      </c>
      <c r="E2155" s="1">
        <v>13</v>
      </c>
      <c r="F2155" s="1">
        <v>18</v>
      </c>
      <c r="G2155" s="1">
        <v>4</v>
      </c>
      <c r="H2155" s="1">
        <v>2</v>
      </c>
      <c r="I2155" s="1">
        <v>0</v>
      </c>
      <c r="J2155" s="1">
        <v>0</v>
      </c>
      <c r="K2155" s="1">
        <v>2</v>
      </c>
      <c r="L2155" s="1">
        <v>0</v>
      </c>
      <c r="M2155" s="1">
        <v>1</v>
      </c>
    </row>
    <row r="2156" spans="1:13">
      <c r="A2156" s="1">
        <v>2155</v>
      </c>
      <c r="B2156" s="1">
        <v>914832.72329999995</v>
      </c>
      <c r="C2156" s="1">
        <v>873556.4144264455</v>
      </c>
      <c r="D2156" s="1">
        <f t="shared" si="33"/>
        <v>41276.308873554459</v>
      </c>
      <c r="E2156" s="1">
        <v>11</v>
      </c>
      <c r="F2156" s="1">
        <v>18</v>
      </c>
      <c r="G2156" s="1">
        <v>6</v>
      </c>
      <c r="H2156" s="1">
        <v>0</v>
      </c>
      <c r="I2156" s="1">
        <v>0</v>
      </c>
      <c r="J2156" s="1">
        <v>0</v>
      </c>
      <c r="K2156" s="1">
        <v>2</v>
      </c>
      <c r="L2156" s="1">
        <v>0</v>
      </c>
      <c r="M2156" s="1">
        <v>0</v>
      </c>
    </row>
    <row r="2157" spans="1:13">
      <c r="A2157" s="1">
        <v>2156</v>
      </c>
      <c r="B2157" s="1">
        <v>1039814.2738</v>
      </c>
      <c r="C2157" s="1">
        <v>920939.11253517459</v>
      </c>
      <c r="D2157" s="1">
        <f t="shared" si="33"/>
        <v>118875.16126482538</v>
      </c>
      <c r="E2157" s="1">
        <v>11</v>
      </c>
      <c r="F2157" s="1">
        <v>19</v>
      </c>
      <c r="G2157" s="1">
        <v>5</v>
      </c>
      <c r="H2157" s="1">
        <v>1</v>
      </c>
      <c r="I2157" s="1">
        <v>0</v>
      </c>
      <c r="J2157" s="1">
        <v>1</v>
      </c>
      <c r="K2157" s="1">
        <v>1</v>
      </c>
      <c r="L2157" s="1">
        <v>0</v>
      </c>
      <c r="M2157" s="1">
        <v>0</v>
      </c>
    </row>
    <row r="2158" spans="1:13">
      <c r="A2158" s="1">
        <v>2157</v>
      </c>
      <c r="B2158" s="1">
        <v>902366.59400000004</v>
      </c>
      <c r="C2158" s="1">
        <v>1410123.4348957879</v>
      </c>
      <c r="D2158" s="1">
        <f t="shared" si="33"/>
        <v>-507756.84089578781</v>
      </c>
      <c r="E2158" s="1">
        <v>25</v>
      </c>
      <c r="F2158" s="1">
        <v>7</v>
      </c>
      <c r="G2158" s="1">
        <v>3</v>
      </c>
      <c r="H2158" s="1">
        <v>0</v>
      </c>
      <c r="I2158" s="1">
        <v>0</v>
      </c>
      <c r="J2158" s="1">
        <v>1</v>
      </c>
      <c r="K2158" s="1">
        <v>0</v>
      </c>
      <c r="L2158" s="1">
        <v>0</v>
      </c>
      <c r="M2158" s="1">
        <v>0</v>
      </c>
    </row>
    <row r="2159" spans="1:13">
      <c r="A2159" s="1">
        <v>2158</v>
      </c>
      <c r="B2159" s="1">
        <v>970960.18480000005</v>
      </c>
      <c r="C2159" s="1">
        <v>992909.5537417772</v>
      </c>
      <c r="D2159" s="1">
        <f t="shared" si="33"/>
        <v>-21949.368941777153</v>
      </c>
      <c r="E2159" s="1">
        <v>7</v>
      </c>
      <c r="F2159" s="1">
        <v>24</v>
      </c>
      <c r="G2159" s="1">
        <v>4</v>
      </c>
      <c r="H2159" s="1">
        <v>1</v>
      </c>
      <c r="I2159" s="1">
        <v>0</v>
      </c>
      <c r="J2159" s="1">
        <v>0</v>
      </c>
      <c r="K2159" s="1">
        <v>1</v>
      </c>
      <c r="L2159" s="1">
        <v>0</v>
      </c>
      <c r="M2159" s="1">
        <v>1</v>
      </c>
    </row>
    <row r="2160" spans="1:13">
      <c r="A2160" s="1">
        <v>2159</v>
      </c>
      <c r="B2160" s="1">
        <v>979386.12549999997</v>
      </c>
      <c r="C2160" s="1">
        <v>1087047.4311058368</v>
      </c>
      <c r="D2160" s="1">
        <f t="shared" si="33"/>
        <v>-107661.30560583679</v>
      </c>
      <c r="E2160" s="1">
        <v>11</v>
      </c>
      <c r="F2160" s="1">
        <v>16</v>
      </c>
      <c r="G2160" s="1">
        <v>8</v>
      </c>
      <c r="H2160" s="1">
        <v>1</v>
      </c>
      <c r="I2160" s="1">
        <v>0</v>
      </c>
      <c r="J2160" s="1">
        <v>1</v>
      </c>
      <c r="K2160" s="1">
        <v>1</v>
      </c>
      <c r="L2160" s="1">
        <v>0</v>
      </c>
      <c r="M2160" s="1">
        <v>0</v>
      </c>
    </row>
    <row r="2161" spans="1:13">
      <c r="A2161" s="1">
        <v>2160</v>
      </c>
      <c r="B2161" s="1">
        <v>991156.14359999995</v>
      </c>
      <c r="C2161" s="1">
        <v>888139.88217906037</v>
      </c>
      <c r="D2161" s="1">
        <f t="shared" si="33"/>
        <v>103016.26142093958</v>
      </c>
      <c r="E2161" s="1">
        <v>14</v>
      </c>
      <c r="F2161" s="1">
        <v>15</v>
      </c>
      <c r="G2161" s="1">
        <v>6</v>
      </c>
      <c r="H2161" s="1">
        <v>0</v>
      </c>
      <c r="I2161" s="1">
        <v>0</v>
      </c>
      <c r="J2161" s="1">
        <v>0</v>
      </c>
      <c r="K2161" s="1">
        <v>1</v>
      </c>
      <c r="L2161" s="1">
        <v>0</v>
      </c>
      <c r="M2161" s="1">
        <v>1</v>
      </c>
    </row>
    <row r="2162" spans="1:13">
      <c r="A2162" s="1">
        <v>2161</v>
      </c>
      <c r="B2162" s="1">
        <v>798686.36750000005</v>
      </c>
      <c r="C2162" s="1">
        <v>1355991.7700034454</v>
      </c>
      <c r="D2162" s="1">
        <f t="shared" si="33"/>
        <v>-557305.4025034454</v>
      </c>
      <c r="E2162" s="1">
        <v>20</v>
      </c>
      <c r="F2162" s="1">
        <v>11</v>
      </c>
      <c r="G2162" s="1">
        <v>4</v>
      </c>
      <c r="H2162" s="1">
        <v>1</v>
      </c>
      <c r="I2162" s="1">
        <v>0</v>
      </c>
      <c r="J2162" s="1">
        <v>1</v>
      </c>
      <c r="K2162" s="1">
        <v>0</v>
      </c>
      <c r="L2162" s="1">
        <v>0</v>
      </c>
      <c r="M2162" s="1">
        <v>1</v>
      </c>
    </row>
    <row r="2163" spans="1:13">
      <c r="A2163" s="1">
        <v>2162</v>
      </c>
      <c r="B2163" s="1">
        <v>917931.77370000002</v>
      </c>
      <c r="C2163" s="1">
        <v>823261.51070892217</v>
      </c>
      <c r="D2163" s="1">
        <f t="shared" si="33"/>
        <v>94670.262991077849</v>
      </c>
      <c r="E2163" s="1">
        <v>19</v>
      </c>
      <c r="F2163" s="1">
        <v>13</v>
      </c>
      <c r="G2163" s="1">
        <v>3</v>
      </c>
      <c r="H2163" s="1">
        <v>0</v>
      </c>
      <c r="I2163" s="1">
        <v>0</v>
      </c>
      <c r="J2163" s="1">
        <v>0</v>
      </c>
      <c r="K2163" s="1">
        <v>1</v>
      </c>
      <c r="L2163" s="1">
        <v>0</v>
      </c>
      <c r="M2163" s="1">
        <v>0</v>
      </c>
    </row>
    <row r="2164" spans="1:13">
      <c r="A2164" s="1">
        <v>2163</v>
      </c>
      <c r="B2164" s="1">
        <v>927846.54619999998</v>
      </c>
      <c r="C2164" s="1">
        <v>559175.91377295705</v>
      </c>
      <c r="D2164" s="1">
        <f t="shared" si="33"/>
        <v>368670.63242704293</v>
      </c>
      <c r="E2164" s="1">
        <v>9</v>
      </c>
      <c r="F2164" s="1">
        <v>23</v>
      </c>
      <c r="G2164" s="1">
        <v>3</v>
      </c>
      <c r="H2164" s="1">
        <v>0</v>
      </c>
      <c r="I2164" s="1">
        <v>0</v>
      </c>
      <c r="J2164" s="1">
        <v>0</v>
      </c>
      <c r="K2164" s="1">
        <v>0</v>
      </c>
      <c r="L2164" s="1">
        <v>0</v>
      </c>
      <c r="M2164" s="1">
        <v>1</v>
      </c>
    </row>
    <row r="2165" spans="1:13">
      <c r="A2165" s="1">
        <v>2164</v>
      </c>
      <c r="B2165" s="1">
        <v>889216.06429999997</v>
      </c>
      <c r="C2165" s="1">
        <v>1030646.7478492648</v>
      </c>
      <c r="D2165" s="1">
        <f t="shared" si="33"/>
        <v>-141430.6835492648</v>
      </c>
      <c r="E2165" s="1">
        <v>15</v>
      </c>
      <c r="F2165" s="1">
        <v>14</v>
      </c>
      <c r="G2165" s="1">
        <v>6</v>
      </c>
      <c r="H2165" s="1">
        <v>0</v>
      </c>
      <c r="I2165" s="1">
        <v>0</v>
      </c>
      <c r="J2165" s="1">
        <v>0</v>
      </c>
      <c r="K2165" s="1">
        <v>0</v>
      </c>
      <c r="L2165" s="1">
        <v>0</v>
      </c>
      <c r="M2165" s="1">
        <v>0</v>
      </c>
    </row>
    <row r="2166" spans="1:13">
      <c r="A2166" s="1">
        <v>2165</v>
      </c>
      <c r="B2166" s="1">
        <v>981051.25379999995</v>
      </c>
      <c r="C2166" s="1">
        <v>933351.99431248778</v>
      </c>
      <c r="D2166" s="1">
        <f t="shared" si="33"/>
        <v>47699.259487512172</v>
      </c>
      <c r="E2166" s="1">
        <v>15</v>
      </c>
      <c r="F2166" s="1">
        <v>15</v>
      </c>
      <c r="G2166" s="1">
        <v>5</v>
      </c>
      <c r="H2166" s="1">
        <v>2</v>
      </c>
      <c r="I2166" s="1">
        <v>0</v>
      </c>
      <c r="J2166" s="1">
        <v>0</v>
      </c>
      <c r="K2166" s="1">
        <v>0</v>
      </c>
      <c r="L2166" s="1">
        <v>0</v>
      </c>
      <c r="M2166" s="1">
        <v>0</v>
      </c>
    </row>
    <row r="2167" spans="1:13">
      <c r="A2167" s="1">
        <v>2166</v>
      </c>
      <c r="B2167" s="1">
        <v>826452.75150000001</v>
      </c>
      <c r="C2167" s="1">
        <v>1319099.9183294117</v>
      </c>
      <c r="D2167" s="1">
        <f t="shared" si="33"/>
        <v>-492647.16682941164</v>
      </c>
      <c r="E2167" s="1">
        <v>23</v>
      </c>
      <c r="F2167" s="1">
        <v>11</v>
      </c>
      <c r="G2167" s="1">
        <v>1</v>
      </c>
      <c r="H2167" s="1">
        <v>1</v>
      </c>
      <c r="I2167" s="1">
        <v>1</v>
      </c>
      <c r="J2167" s="1">
        <v>1</v>
      </c>
      <c r="K2167" s="1">
        <v>1</v>
      </c>
      <c r="L2167" s="1">
        <v>0</v>
      </c>
      <c r="M2167" s="1">
        <v>1</v>
      </c>
    </row>
    <row r="2168" spans="1:13">
      <c r="A2168" s="1">
        <v>2167</v>
      </c>
      <c r="B2168" s="1">
        <v>971759.79929999996</v>
      </c>
      <c r="C2168" s="1">
        <v>1435215.7914652186</v>
      </c>
      <c r="D2168" s="1">
        <f t="shared" si="33"/>
        <v>-463455.99216521869</v>
      </c>
      <c r="E2168" s="1">
        <v>10</v>
      </c>
      <c r="F2168" s="1">
        <v>20</v>
      </c>
      <c r="G2168" s="1">
        <v>5</v>
      </c>
      <c r="H2168" s="1">
        <v>1</v>
      </c>
      <c r="I2168" s="1">
        <v>1</v>
      </c>
      <c r="J2168" s="1">
        <v>0</v>
      </c>
      <c r="K2168" s="1">
        <v>1</v>
      </c>
      <c r="L2168" s="1">
        <v>0</v>
      </c>
      <c r="M2168" s="1">
        <v>0</v>
      </c>
    </row>
    <row r="2169" spans="1:13">
      <c r="A2169" s="1">
        <v>2168</v>
      </c>
      <c r="B2169" s="1">
        <v>875731.05149999994</v>
      </c>
      <c r="C2169" s="1">
        <v>500030.30935120163</v>
      </c>
      <c r="D2169" s="1">
        <f t="shared" si="33"/>
        <v>375700.74214879831</v>
      </c>
      <c r="E2169" s="1">
        <v>19</v>
      </c>
      <c r="F2169" s="1">
        <v>12</v>
      </c>
      <c r="G2169" s="1">
        <v>4</v>
      </c>
      <c r="H2169" s="1">
        <v>1</v>
      </c>
      <c r="I2169" s="1">
        <v>1</v>
      </c>
      <c r="J2169" s="1">
        <v>0</v>
      </c>
      <c r="K2169" s="1">
        <v>0</v>
      </c>
      <c r="L2169" s="1">
        <v>0</v>
      </c>
      <c r="M2169" s="1">
        <v>0</v>
      </c>
    </row>
    <row r="2170" spans="1:13">
      <c r="A2170" s="1">
        <v>2169</v>
      </c>
      <c r="B2170" s="1">
        <v>956356.24230000004</v>
      </c>
      <c r="C2170" s="1">
        <v>1031009.8649472783</v>
      </c>
      <c r="D2170" s="1">
        <f t="shared" si="33"/>
        <v>-74653.622647278244</v>
      </c>
      <c r="E2170" s="1">
        <v>11</v>
      </c>
      <c r="F2170" s="1">
        <v>18</v>
      </c>
      <c r="G2170" s="1">
        <v>6</v>
      </c>
      <c r="H2170" s="1">
        <v>0</v>
      </c>
      <c r="I2170" s="1">
        <v>0</v>
      </c>
      <c r="J2170" s="1">
        <v>0</v>
      </c>
      <c r="K2170" s="1">
        <v>1</v>
      </c>
      <c r="L2170" s="1">
        <v>0</v>
      </c>
      <c r="M2170" s="1">
        <v>0</v>
      </c>
    </row>
    <row r="2171" spans="1:13">
      <c r="A2171" s="1">
        <v>2170</v>
      </c>
      <c r="B2171" s="1">
        <v>933139.26910000003</v>
      </c>
      <c r="C2171" s="1">
        <v>977503.87386970292</v>
      </c>
      <c r="D2171" s="1">
        <f t="shared" si="33"/>
        <v>-44364.604769702884</v>
      </c>
      <c r="E2171" s="1">
        <v>4</v>
      </c>
      <c r="F2171" s="1">
        <v>27</v>
      </c>
      <c r="G2171" s="1">
        <v>4</v>
      </c>
      <c r="H2171" s="1">
        <v>1</v>
      </c>
      <c r="I2171" s="1">
        <v>0</v>
      </c>
      <c r="J2171" s="1">
        <v>0</v>
      </c>
      <c r="K2171" s="1">
        <v>1</v>
      </c>
      <c r="L2171" s="1">
        <v>0</v>
      </c>
      <c r="M2171" s="1">
        <v>0</v>
      </c>
    </row>
    <row r="2172" spans="1:13">
      <c r="A2172" s="1">
        <v>2171</v>
      </c>
      <c r="B2172" s="1">
        <v>987581.54720000003</v>
      </c>
      <c r="C2172" s="1">
        <v>529153.08856514236</v>
      </c>
      <c r="D2172" s="1">
        <f t="shared" si="33"/>
        <v>458428.45863485767</v>
      </c>
      <c r="E2172" s="1">
        <v>8</v>
      </c>
      <c r="F2172" s="1">
        <v>24</v>
      </c>
      <c r="G2172" s="1">
        <v>3</v>
      </c>
      <c r="H2172" s="1">
        <v>1</v>
      </c>
      <c r="I2172" s="1">
        <v>0</v>
      </c>
      <c r="J2172" s="1">
        <v>2</v>
      </c>
      <c r="K2172" s="1">
        <v>0</v>
      </c>
      <c r="L2172" s="1">
        <v>0</v>
      </c>
      <c r="M2172" s="1">
        <v>0</v>
      </c>
    </row>
    <row r="2173" spans="1:13">
      <c r="A2173" s="1">
        <v>2172</v>
      </c>
      <c r="B2173" s="1">
        <v>916373.20979999995</v>
      </c>
      <c r="C2173" s="1">
        <v>1523219.9823345582</v>
      </c>
      <c r="D2173" s="1">
        <f t="shared" si="33"/>
        <v>-606846.7725345582</v>
      </c>
      <c r="E2173" s="1">
        <v>14</v>
      </c>
      <c r="F2173" s="1">
        <v>19</v>
      </c>
      <c r="G2173" s="1">
        <v>2</v>
      </c>
      <c r="H2173" s="1">
        <v>2</v>
      </c>
      <c r="I2173" s="1">
        <v>0</v>
      </c>
      <c r="J2173" s="1">
        <v>0</v>
      </c>
      <c r="K2173" s="1">
        <v>2</v>
      </c>
      <c r="L2173" s="1">
        <v>0</v>
      </c>
      <c r="M2173" s="1">
        <v>0</v>
      </c>
    </row>
    <row r="2174" spans="1:13">
      <c r="A2174" s="1">
        <v>2173</v>
      </c>
      <c r="B2174" s="1">
        <v>943715.26280000003</v>
      </c>
      <c r="C2174" s="1">
        <v>926767.58809823275</v>
      </c>
      <c r="D2174" s="1">
        <f t="shared" si="33"/>
        <v>16947.674701767275</v>
      </c>
      <c r="E2174" s="1">
        <v>8</v>
      </c>
      <c r="F2174" s="1">
        <v>23</v>
      </c>
      <c r="G2174" s="1">
        <v>4</v>
      </c>
      <c r="H2174" s="1">
        <v>0</v>
      </c>
      <c r="I2174" s="1">
        <v>0</v>
      </c>
      <c r="J2174" s="1">
        <v>1</v>
      </c>
      <c r="K2174" s="1">
        <v>0</v>
      </c>
      <c r="L2174" s="1">
        <v>1</v>
      </c>
      <c r="M2174" s="1">
        <v>1</v>
      </c>
    </row>
    <row r="2175" spans="1:13">
      <c r="A2175" s="1">
        <v>2174</v>
      </c>
      <c r="B2175" s="1">
        <v>959666.03350000002</v>
      </c>
      <c r="C2175" s="1">
        <v>721131.04307408782</v>
      </c>
      <c r="D2175" s="1">
        <f t="shared" si="33"/>
        <v>238534.9904259122</v>
      </c>
      <c r="E2175" s="1">
        <v>14</v>
      </c>
      <c r="F2175" s="1">
        <v>14</v>
      </c>
      <c r="G2175" s="1">
        <v>7</v>
      </c>
      <c r="H2175" s="1">
        <v>2</v>
      </c>
      <c r="I2175" s="1">
        <v>0</v>
      </c>
      <c r="J2175" s="1">
        <v>1</v>
      </c>
      <c r="K2175" s="1">
        <v>1</v>
      </c>
      <c r="L2175" s="1">
        <v>0</v>
      </c>
      <c r="M2175" s="1">
        <v>1</v>
      </c>
    </row>
    <row r="2176" spans="1:13">
      <c r="A2176" s="1">
        <v>2175</v>
      </c>
      <c r="B2176" s="1">
        <v>954555.37970000005</v>
      </c>
      <c r="C2176" s="1">
        <v>1248049.7447702694</v>
      </c>
      <c r="D2176" s="1">
        <f t="shared" si="33"/>
        <v>-293494.36507026933</v>
      </c>
      <c r="E2176" s="1">
        <v>13</v>
      </c>
      <c r="F2176" s="1">
        <v>14</v>
      </c>
      <c r="G2176" s="1">
        <v>8</v>
      </c>
      <c r="H2176" s="1">
        <v>1</v>
      </c>
      <c r="I2176" s="1">
        <v>1</v>
      </c>
      <c r="J2176" s="1">
        <v>2</v>
      </c>
      <c r="K2176" s="1">
        <v>0</v>
      </c>
      <c r="L2176" s="1">
        <v>0</v>
      </c>
      <c r="M2176" s="1">
        <v>1</v>
      </c>
    </row>
    <row r="2177" spans="1:13">
      <c r="A2177" s="1">
        <v>2176</v>
      </c>
      <c r="B2177" s="1">
        <v>1084866.4635000001</v>
      </c>
      <c r="C2177" s="1">
        <v>866601.98100614769</v>
      </c>
      <c r="D2177" s="1">
        <f t="shared" si="33"/>
        <v>218264.48249385238</v>
      </c>
      <c r="E2177" s="1">
        <v>4</v>
      </c>
      <c r="F2177" s="1">
        <v>24</v>
      </c>
      <c r="G2177" s="1">
        <v>7</v>
      </c>
      <c r="H2177" s="1">
        <v>1</v>
      </c>
      <c r="I2177" s="1">
        <v>0</v>
      </c>
      <c r="J2177" s="1">
        <v>1</v>
      </c>
      <c r="K2177" s="1">
        <v>0</v>
      </c>
      <c r="L2177" s="1">
        <v>1</v>
      </c>
      <c r="M2177" s="1">
        <v>0</v>
      </c>
    </row>
    <row r="2178" spans="1:13">
      <c r="A2178" s="1">
        <v>2177</v>
      </c>
      <c r="B2178" s="1">
        <v>946775.81579999998</v>
      </c>
      <c r="C2178" s="1">
        <v>988460.24456962547</v>
      </c>
      <c r="D2178" s="1">
        <f t="shared" ref="D2178:D2241" si="34">B2178-C2178</f>
        <v>-41684.428769625491</v>
      </c>
      <c r="E2178" s="1">
        <v>15</v>
      </c>
      <c r="F2178" s="1">
        <v>11</v>
      </c>
      <c r="G2178" s="1">
        <v>9</v>
      </c>
      <c r="H2178" s="1">
        <v>0</v>
      </c>
      <c r="I2178" s="1">
        <v>0</v>
      </c>
      <c r="J2178" s="1">
        <v>0</v>
      </c>
      <c r="K2178" s="1">
        <v>1</v>
      </c>
      <c r="L2178" s="1">
        <v>0</v>
      </c>
      <c r="M2178" s="1">
        <v>0</v>
      </c>
    </row>
    <row r="2179" spans="1:13">
      <c r="A2179" s="1">
        <v>2178</v>
      </c>
      <c r="B2179" s="1">
        <v>878998.89049999998</v>
      </c>
      <c r="C2179" s="1">
        <v>885497.64913167781</v>
      </c>
      <c r="D2179" s="1">
        <f t="shared" si="34"/>
        <v>-6498.7586316778325</v>
      </c>
      <c r="E2179" s="1">
        <v>13</v>
      </c>
      <c r="F2179" s="1">
        <v>19</v>
      </c>
      <c r="G2179" s="1">
        <v>3</v>
      </c>
      <c r="H2179" s="1">
        <v>0</v>
      </c>
      <c r="I2179" s="1">
        <v>1</v>
      </c>
      <c r="J2179" s="1">
        <v>0</v>
      </c>
      <c r="K2179" s="1">
        <v>0</v>
      </c>
      <c r="L2179" s="1">
        <v>0</v>
      </c>
      <c r="M2179" s="1">
        <v>0</v>
      </c>
    </row>
    <row r="2180" spans="1:13">
      <c r="A2180" s="1">
        <v>2179</v>
      </c>
      <c r="B2180" s="1">
        <v>905150.75459999999</v>
      </c>
      <c r="C2180" s="1">
        <v>1089687.9463021792</v>
      </c>
      <c r="D2180" s="1">
        <f t="shared" si="34"/>
        <v>-184537.19170217926</v>
      </c>
      <c r="E2180" s="1">
        <v>18</v>
      </c>
      <c r="F2180" s="1">
        <v>12</v>
      </c>
      <c r="G2180" s="1">
        <v>5</v>
      </c>
      <c r="H2180" s="1">
        <v>0</v>
      </c>
      <c r="I2180" s="1">
        <v>0</v>
      </c>
      <c r="J2180" s="1">
        <v>0</v>
      </c>
      <c r="K2180" s="1">
        <v>2</v>
      </c>
      <c r="L2180" s="1">
        <v>0</v>
      </c>
      <c r="M2180" s="1">
        <v>0</v>
      </c>
    </row>
    <row r="2181" spans="1:13">
      <c r="A2181" s="1">
        <v>2180</v>
      </c>
      <c r="B2181" s="1">
        <v>1003237.7608</v>
      </c>
      <c r="C2181" s="1">
        <v>631184.3914746138</v>
      </c>
      <c r="D2181" s="1">
        <f t="shared" si="34"/>
        <v>372053.36932538624</v>
      </c>
      <c r="E2181" s="1">
        <v>12</v>
      </c>
      <c r="F2181" s="1">
        <v>17</v>
      </c>
      <c r="G2181" s="1">
        <v>6</v>
      </c>
      <c r="H2181" s="1">
        <v>0</v>
      </c>
      <c r="I2181" s="1">
        <v>0</v>
      </c>
      <c r="J2181" s="1">
        <v>0</v>
      </c>
      <c r="K2181" s="1">
        <v>1</v>
      </c>
      <c r="L2181" s="1">
        <v>0</v>
      </c>
      <c r="M2181" s="1">
        <v>0</v>
      </c>
    </row>
    <row r="2182" spans="1:13">
      <c r="A2182" s="1">
        <v>2181</v>
      </c>
      <c r="B2182" s="1">
        <v>1026248.0303</v>
      </c>
      <c r="C2182" s="1">
        <v>1099699.0124953785</v>
      </c>
      <c r="D2182" s="1">
        <f t="shared" si="34"/>
        <v>-73450.982195378514</v>
      </c>
      <c r="E2182" s="1">
        <v>11</v>
      </c>
      <c r="F2182" s="1">
        <v>18</v>
      </c>
      <c r="G2182" s="1">
        <v>6</v>
      </c>
      <c r="H2182" s="1">
        <v>2</v>
      </c>
      <c r="I2182" s="1">
        <v>0</v>
      </c>
      <c r="J2182" s="1">
        <v>1</v>
      </c>
      <c r="K2182" s="1">
        <v>1</v>
      </c>
      <c r="L2182" s="1">
        <v>0</v>
      </c>
      <c r="M2182" s="1">
        <v>0</v>
      </c>
    </row>
    <row r="2183" spans="1:13">
      <c r="A2183" s="1">
        <v>2182</v>
      </c>
      <c r="B2183" s="1">
        <v>958764.41870000004</v>
      </c>
      <c r="C2183" s="1">
        <v>826318.01659151295</v>
      </c>
      <c r="D2183" s="1">
        <f t="shared" si="34"/>
        <v>132446.40210848709</v>
      </c>
      <c r="E2183" s="1">
        <v>8</v>
      </c>
      <c r="F2183" s="1">
        <v>19</v>
      </c>
      <c r="G2183" s="1">
        <v>8</v>
      </c>
      <c r="H2183" s="1">
        <v>0</v>
      </c>
      <c r="I2183" s="1">
        <v>0</v>
      </c>
      <c r="J2183" s="1">
        <v>2</v>
      </c>
      <c r="K2183" s="1">
        <v>0</v>
      </c>
      <c r="L2183" s="1">
        <v>0</v>
      </c>
      <c r="M2183" s="1">
        <v>0</v>
      </c>
    </row>
    <row r="2184" spans="1:13">
      <c r="A2184" s="1">
        <v>2183</v>
      </c>
      <c r="B2184" s="1">
        <v>873099.78379999998</v>
      </c>
      <c r="C2184" s="1">
        <v>688800.39409767906</v>
      </c>
      <c r="D2184" s="1">
        <f t="shared" si="34"/>
        <v>184299.38970232091</v>
      </c>
      <c r="E2184" s="1">
        <v>17</v>
      </c>
      <c r="F2184" s="1">
        <v>15</v>
      </c>
      <c r="G2184" s="1">
        <v>3</v>
      </c>
      <c r="H2184" s="1">
        <v>2</v>
      </c>
      <c r="I2184" s="1">
        <v>0</v>
      </c>
      <c r="J2184" s="1">
        <v>0</v>
      </c>
      <c r="K2184" s="1">
        <v>2</v>
      </c>
      <c r="L2184" s="1">
        <v>0</v>
      </c>
      <c r="M2184" s="1">
        <v>0</v>
      </c>
    </row>
    <row r="2185" spans="1:13">
      <c r="A2185" s="1">
        <v>2184</v>
      </c>
      <c r="B2185" s="1">
        <v>982460.3186</v>
      </c>
      <c r="C2185" s="1">
        <v>952690.09509482584</v>
      </c>
      <c r="D2185" s="1">
        <f t="shared" si="34"/>
        <v>29770.223505174159</v>
      </c>
      <c r="E2185" s="1">
        <v>7</v>
      </c>
      <c r="F2185" s="1">
        <v>22</v>
      </c>
      <c r="G2185" s="1">
        <v>6</v>
      </c>
      <c r="H2185" s="1">
        <v>0</v>
      </c>
      <c r="I2185" s="1">
        <v>0</v>
      </c>
      <c r="J2185" s="1">
        <v>0</v>
      </c>
      <c r="K2185" s="1">
        <v>1</v>
      </c>
      <c r="L2185" s="1">
        <v>0</v>
      </c>
      <c r="M2185" s="1">
        <v>1</v>
      </c>
    </row>
    <row r="2186" spans="1:13">
      <c r="A2186" s="1">
        <v>2185</v>
      </c>
      <c r="B2186" s="1">
        <v>915969.74069999997</v>
      </c>
      <c r="C2186" s="1">
        <v>760600.92418790213</v>
      </c>
      <c r="D2186" s="1">
        <f t="shared" si="34"/>
        <v>155368.81651209784</v>
      </c>
      <c r="E2186" s="1">
        <v>8</v>
      </c>
      <c r="F2186" s="1">
        <v>22</v>
      </c>
      <c r="G2186" s="1">
        <v>5</v>
      </c>
      <c r="H2186" s="1">
        <v>1</v>
      </c>
      <c r="I2186" s="1">
        <v>1</v>
      </c>
      <c r="J2186" s="1">
        <v>0</v>
      </c>
      <c r="K2186" s="1">
        <v>2</v>
      </c>
      <c r="L2186" s="1">
        <v>0</v>
      </c>
      <c r="M2186" s="1">
        <v>0</v>
      </c>
    </row>
    <row r="2187" spans="1:13">
      <c r="A2187" s="1">
        <v>2186</v>
      </c>
      <c r="B2187" s="1">
        <v>933214.6986</v>
      </c>
      <c r="C2187" s="1">
        <v>1134714.5585416146</v>
      </c>
      <c r="D2187" s="1">
        <f t="shared" si="34"/>
        <v>-201499.85994161456</v>
      </c>
      <c r="E2187" s="1">
        <v>10</v>
      </c>
      <c r="F2187" s="1">
        <v>21</v>
      </c>
      <c r="G2187" s="1">
        <v>4</v>
      </c>
      <c r="H2187" s="1">
        <v>1</v>
      </c>
      <c r="I2187" s="1">
        <v>0</v>
      </c>
      <c r="J2187" s="1">
        <v>0</v>
      </c>
      <c r="K2187" s="1">
        <v>1</v>
      </c>
      <c r="L2187" s="1">
        <v>0</v>
      </c>
      <c r="M2187" s="1">
        <v>0</v>
      </c>
    </row>
    <row r="2188" spans="1:13">
      <c r="A2188" s="1">
        <v>2187</v>
      </c>
      <c r="B2188" s="1">
        <v>869167.83970000001</v>
      </c>
      <c r="C2188" s="1">
        <v>432259.36091685307</v>
      </c>
      <c r="D2188" s="1">
        <f t="shared" si="34"/>
        <v>436908.47878314694</v>
      </c>
      <c r="E2188" s="1">
        <v>14</v>
      </c>
      <c r="F2188" s="1">
        <v>19</v>
      </c>
      <c r="G2188" s="1">
        <v>2</v>
      </c>
      <c r="H2188" s="1">
        <v>0</v>
      </c>
      <c r="I2188" s="1">
        <v>0</v>
      </c>
      <c r="J2188" s="1">
        <v>0</v>
      </c>
      <c r="K2188" s="1">
        <v>1</v>
      </c>
      <c r="L2188" s="1">
        <v>0</v>
      </c>
      <c r="M2188" s="1">
        <v>0</v>
      </c>
    </row>
    <row r="2189" spans="1:13">
      <c r="A2189" s="1">
        <v>2188</v>
      </c>
      <c r="B2189" s="1">
        <v>835318.65879999998</v>
      </c>
      <c r="C2189" s="1">
        <v>857501.76827536547</v>
      </c>
      <c r="D2189" s="1">
        <f t="shared" si="34"/>
        <v>-22183.109475365491</v>
      </c>
      <c r="E2189" s="1">
        <v>14</v>
      </c>
      <c r="F2189" s="1">
        <v>18</v>
      </c>
      <c r="G2189" s="1">
        <v>3</v>
      </c>
      <c r="H2189" s="1">
        <v>1</v>
      </c>
      <c r="I2189" s="1">
        <v>1</v>
      </c>
      <c r="J2189" s="1">
        <v>0</v>
      </c>
      <c r="K2189" s="1">
        <v>2</v>
      </c>
      <c r="L2189" s="1">
        <v>0</v>
      </c>
      <c r="M2189" s="1">
        <v>1</v>
      </c>
    </row>
    <row r="2190" spans="1:13">
      <c r="A2190" s="1">
        <v>2189</v>
      </c>
      <c r="B2190" s="1">
        <v>843024.41130000004</v>
      </c>
      <c r="C2190" s="1">
        <v>891074.76577502117</v>
      </c>
      <c r="D2190" s="1">
        <f t="shared" si="34"/>
        <v>-48050.354475021129</v>
      </c>
      <c r="E2190" s="1">
        <v>18</v>
      </c>
      <c r="F2190" s="1">
        <v>13</v>
      </c>
      <c r="G2190" s="1">
        <v>4</v>
      </c>
      <c r="H2190" s="1">
        <v>2</v>
      </c>
      <c r="I2190" s="1">
        <v>0</v>
      </c>
      <c r="J2190" s="1">
        <v>2</v>
      </c>
      <c r="K2190" s="1">
        <v>0</v>
      </c>
      <c r="L2190" s="1">
        <v>0</v>
      </c>
      <c r="M2190" s="1">
        <v>0</v>
      </c>
    </row>
    <row r="2191" spans="1:13">
      <c r="A2191" s="1">
        <v>2190</v>
      </c>
      <c r="B2191" s="1">
        <v>947692.30039999995</v>
      </c>
      <c r="C2191" s="1">
        <v>1346626.8843771981</v>
      </c>
      <c r="D2191" s="1">
        <f t="shared" si="34"/>
        <v>-398934.58397719811</v>
      </c>
      <c r="E2191" s="1">
        <v>11</v>
      </c>
      <c r="F2191" s="1">
        <v>19</v>
      </c>
      <c r="G2191" s="1">
        <v>5</v>
      </c>
      <c r="H2191" s="1">
        <v>1</v>
      </c>
      <c r="I2191" s="1">
        <v>1</v>
      </c>
      <c r="J2191" s="1">
        <v>1</v>
      </c>
      <c r="K2191" s="1">
        <v>1</v>
      </c>
      <c r="L2191" s="1">
        <v>0</v>
      </c>
      <c r="M2191" s="1">
        <v>1</v>
      </c>
    </row>
    <row r="2192" spans="1:13">
      <c r="A2192" s="1">
        <v>2191</v>
      </c>
      <c r="B2192" s="1">
        <v>907759.26969999995</v>
      </c>
      <c r="C2192" s="1">
        <v>800317.93530446675</v>
      </c>
      <c r="D2192" s="1">
        <f t="shared" si="34"/>
        <v>107441.33439553319</v>
      </c>
      <c r="E2192" s="1">
        <v>16</v>
      </c>
      <c r="F2192" s="1">
        <v>18</v>
      </c>
      <c r="G2192" s="1">
        <v>1</v>
      </c>
      <c r="H2192" s="1">
        <v>1</v>
      </c>
      <c r="I2192" s="1">
        <v>0</v>
      </c>
      <c r="J2192" s="1">
        <v>1</v>
      </c>
      <c r="K2192" s="1">
        <v>0</v>
      </c>
      <c r="L2192" s="1">
        <v>1</v>
      </c>
      <c r="M2192" s="1">
        <v>1</v>
      </c>
    </row>
    <row r="2193" spans="1:13">
      <c r="A2193" s="1">
        <v>2192</v>
      </c>
      <c r="B2193" s="1">
        <v>838824.31160000002</v>
      </c>
      <c r="C2193" s="1">
        <v>533653.36022642686</v>
      </c>
      <c r="D2193" s="1">
        <f t="shared" si="34"/>
        <v>305170.95137357316</v>
      </c>
      <c r="E2193" s="1">
        <v>18</v>
      </c>
      <c r="F2193" s="1">
        <v>12</v>
      </c>
      <c r="G2193" s="1">
        <v>5</v>
      </c>
      <c r="H2193" s="1">
        <v>2</v>
      </c>
      <c r="I2193" s="1">
        <v>0</v>
      </c>
      <c r="J2193" s="1">
        <v>1</v>
      </c>
      <c r="K2193" s="1">
        <v>1</v>
      </c>
      <c r="L2193" s="1">
        <v>0</v>
      </c>
      <c r="M2193" s="1">
        <v>0</v>
      </c>
    </row>
    <row r="2194" spans="1:13">
      <c r="A2194" s="1">
        <v>2193</v>
      </c>
      <c r="B2194" s="1">
        <v>902952.25690000004</v>
      </c>
      <c r="C2194" s="1">
        <v>745771.76648381504</v>
      </c>
      <c r="D2194" s="1">
        <f t="shared" si="34"/>
        <v>157180.490416185</v>
      </c>
      <c r="E2194" s="1">
        <v>17</v>
      </c>
      <c r="F2194" s="1">
        <v>15</v>
      </c>
      <c r="G2194" s="1">
        <v>3</v>
      </c>
      <c r="H2194" s="1">
        <v>1</v>
      </c>
      <c r="I2194" s="1">
        <v>0</v>
      </c>
      <c r="J2194" s="1">
        <v>2</v>
      </c>
      <c r="K2194" s="1">
        <v>0</v>
      </c>
      <c r="L2194" s="1">
        <v>0</v>
      </c>
      <c r="M2194" s="1">
        <v>0</v>
      </c>
    </row>
    <row r="2195" spans="1:13">
      <c r="A2195" s="1">
        <v>2194</v>
      </c>
      <c r="B2195" s="1">
        <v>885788.51020000002</v>
      </c>
      <c r="C2195" s="1">
        <v>765656.77447738615</v>
      </c>
      <c r="D2195" s="1">
        <f t="shared" si="34"/>
        <v>120131.73572261387</v>
      </c>
      <c r="E2195" s="1">
        <v>15</v>
      </c>
      <c r="F2195" s="1">
        <v>17</v>
      </c>
      <c r="G2195" s="1">
        <v>3</v>
      </c>
      <c r="H2195" s="1">
        <v>1</v>
      </c>
      <c r="I2195" s="1">
        <v>0</v>
      </c>
      <c r="J2195" s="1">
        <v>0</v>
      </c>
      <c r="K2195" s="1">
        <v>0</v>
      </c>
      <c r="L2195" s="1">
        <v>0</v>
      </c>
      <c r="M2195" s="1">
        <v>0</v>
      </c>
    </row>
    <row r="2196" spans="1:13">
      <c r="A2196" s="1">
        <v>2195</v>
      </c>
      <c r="B2196" s="1">
        <v>839498.55070000002</v>
      </c>
      <c r="C2196" s="1">
        <v>817987.03155380802</v>
      </c>
      <c r="D2196" s="1">
        <f t="shared" si="34"/>
        <v>21511.519146192004</v>
      </c>
      <c r="E2196" s="1">
        <v>24</v>
      </c>
      <c r="F2196" s="1">
        <v>7</v>
      </c>
      <c r="G2196" s="1">
        <v>4</v>
      </c>
      <c r="H2196" s="1">
        <v>0</v>
      </c>
      <c r="I2196" s="1">
        <v>0</v>
      </c>
      <c r="J2196" s="1">
        <v>0</v>
      </c>
      <c r="K2196" s="1">
        <v>0</v>
      </c>
      <c r="L2196" s="1">
        <v>0</v>
      </c>
      <c r="M2196" s="1">
        <v>0</v>
      </c>
    </row>
    <row r="2197" spans="1:13">
      <c r="A2197" s="1">
        <v>2196</v>
      </c>
      <c r="B2197" s="1">
        <v>880146.14529999997</v>
      </c>
      <c r="C2197" s="1">
        <v>1145644.3634297578</v>
      </c>
      <c r="D2197" s="1">
        <f t="shared" si="34"/>
        <v>-265498.21812975779</v>
      </c>
      <c r="E2197" s="1">
        <v>15</v>
      </c>
      <c r="F2197" s="1">
        <v>15</v>
      </c>
      <c r="G2197" s="1">
        <v>5</v>
      </c>
      <c r="H2197" s="1">
        <v>1</v>
      </c>
      <c r="I2197" s="1">
        <v>0</v>
      </c>
      <c r="J2197" s="1">
        <v>0</v>
      </c>
      <c r="K2197" s="1">
        <v>0</v>
      </c>
      <c r="L2197" s="1">
        <v>0</v>
      </c>
      <c r="M2197" s="1">
        <v>0</v>
      </c>
    </row>
    <row r="2198" spans="1:13">
      <c r="A2198" s="1">
        <v>2197</v>
      </c>
      <c r="B2198" s="1">
        <v>997801.38</v>
      </c>
      <c r="C2198" s="1">
        <v>680191.45183379785</v>
      </c>
      <c r="D2198" s="1">
        <f t="shared" si="34"/>
        <v>317609.92816620215</v>
      </c>
      <c r="E2198" s="1">
        <v>10</v>
      </c>
      <c r="F2198" s="1">
        <v>19</v>
      </c>
      <c r="G2198" s="1">
        <v>6</v>
      </c>
      <c r="H2198" s="1">
        <v>0</v>
      </c>
      <c r="I2198" s="1">
        <v>1</v>
      </c>
      <c r="J2198" s="1">
        <v>0</v>
      </c>
      <c r="K2198" s="1">
        <v>1</v>
      </c>
      <c r="L2198" s="1">
        <v>1</v>
      </c>
      <c r="M2198" s="1">
        <v>0</v>
      </c>
    </row>
    <row r="2199" spans="1:13">
      <c r="A2199" s="1">
        <v>2198</v>
      </c>
      <c r="B2199" s="1">
        <v>973658.91319999995</v>
      </c>
      <c r="C2199" s="1">
        <v>713382.6170209588</v>
      </c>
      <c r="D2199" s="1">
        <f t="shared" si="34"/>
        <v>260276.29617904115</v>
      </c>
      <c r="E2199" s="1">
        <v>12</v>
      </c>
      <c r="F2199" s="1">
        <v>19</v>
      </c>
      <c r="G2199" s="1">
        <v>4</v>
      </c>
      <c r="H2199" s="1">
        <v>2</v>
      </c>
      <c r="I2199" s="1">
        <v>0</v>
      </c>
      <c r="J2199" s="1">
        <v>2</v>
      </c>
      <c r="K2199" s="1">
        <v>0</v>
      </c>
      <c r="L2199" s="1">
        <v>0</v>
      </c>
      <c r="M2199" s="1">
        <v>0</v>
      </c>
    </row>
    <row r="2200" spans="1:13">
      <c r="A2200" s="1">
        <v>2199</v>
      </c>
      <c r="B2200" s="1">
        <v>884575.51939999999</v>
      </c>
      <c r="C2200" s="1">
        <v>648499.60563366138</v>
      </c>
      <c r="D2200" s="1">
        <f t="shared" si="34"/>
        <v>236075.91376633861</v>
      </c>
      <c r="E2200" s="1">
        <v>13</v>
      </c>
      <c r="F2200" s="1">
        <v>17</v>
      </c>
      <c r="G2200" s="1">
        <v>5</v>
      </c>
      <c r="H2200" s="1">
        <v>0</v>
      </c>
      <c r="I2200" s="1">
        <v>0</v>
      </c>
      <c r="J2200" s="1">
        <v>0</v>
      </c>
      <c r="K2200" s="1">
        <v>0</v>
      </c>
      <c r="L2200" s="1">
        <v>1</v>
      </c>
      <c r="M2200" s="1">
        <v>0</v>
      </c>
    </row>
    <row r="2201" spans="1:13">
      <c r="A2201" s="1">
        <v>2200</v>
      </c>
      <c r="B2201" s="1">
        <v>980341.15540000005</v>
      </c>
      <c r="C2201" s="1">
        <v>1332618.4250359752</v>
      </c>
      <c r="D2201" s="1">
        <f t="shared" si="34"/>
        <v>-352277.26963597513</v>
      </c>
      <c r="E2201" s="1">
        <v>16</v>
      </c>
      <c r="F2201" s="1">
        <v>14</v>
      </c>
      <c r="G2201" s="1">
        <v>5</v>
      </c>
      <c r="H2201" s="1">
        <v>0</v>
      </c>
      <c r="I2201" s="1">
        <v>0</v>
      </c>
      <c r="J2201" s="1">
        <v>0</v>
      </c>
      <c r="K2201" s="1">
        <v>0</v>
      </c>
      <c r="L2201" s="1">
        <v>0</v>
      </c>
      <c r="M2201" s="1">
        <v>0</v>
      </c>
    </row>
    <row r="2202" spans="1:13">
      <c r="A2202" s="1">
        <v>2201</v>
      </c>
      <c r="B2202" s="1">
        <v>924571.27740000002</v>
      </c>
      <c r="C2202" s="1">
        <v>1167006.4460579855</v>
      </c>
      <c r="D2202" s="1">
        <f t="shared" si="34"/>
        <v>-242435.16865798552</v>
      </c>
      <c r="E2202" s="1">
        <v>11</v>
      </c>
      <c r="F2202" s="1">
        <v>17</v>
      </c>
      <c r="G2202" s="1">
        <v>7</v>
      </c>
      <c r="H2202" s="1">
        <v>1</v>
      </c>
      <c r="I2202" s="1">
        <v>0</v>
      </c>
      <c r="J2202" s="1">
        <v>1</v>
      </c>
      <c r="K2202" s="1">
        <v>1</v>
      </c>
      <c r="L2202" s="1">
        <v>0</v>
      </c>
      <c r="M2202" s="1">
        <v>0</v>
      </c>
    </row>
    <row r="2203" spans="1:13">
      <c r="A2203" s="1">
        <v>2202</v>
      </c>
      <c r="B2203" s="1">
        <v>889628.12289999996</v>
      </c>
      <c r="C2203" s="1">
        <v>959118.86794856086</v>
      </c>
      <c r="D2203" s="1">
        <f t="shared" si="34"/>
        <v>-69490.745048560901</v>
      </c>
      <c r="E2203" s="1">
        <v>8</v>
      </c>
      <c r="F2203" s="1">
        <v>24</v>
      </c>
      <c r="G2203" s="1">
        <v>3</v>
      </c>
      <c r="H2203" s="1">
        <v>1</v>
      </c>
      <c r="I2203" s="1">
        <v>0</v>
      </c>
      <c r="J2203" s="1">
        <v>1</v>
      </c>
      <c r="K2203" s="1">
        <v>1</v>
      </c>
      <c r="L2203" s="1">
        <v>0</v>
      </c>
      <c r="M2203" s="1">
        <v>1</v>
      </c>
    </row>
    <row r="2204" spans="1:13">
      <c r="A2204" s="1">
        <v>2203</v>
      </c>
      <c r="B2204" s="1">
        <v>888488.11479999998</v>
      </c>
      <c r="C2204" s="1">
        <v>506669.36559204967</v>
      </c>
      <c r="D2204" s="1">
        <f t="shared" si="34"/>
        <v>381818.74920795031</v>
      </c>
      <c r="E2204" s="1">
        <v>17</v>
      </c>
      <c r="F2204" s="1">
        <v>16</v>
      </c>
      <c r="G2204" s="1">
        <v>2</v>
      </c>
      <c r="H2204" s="1">
        <v>0</v>
      </c>
      <c r="I2204" s="1">
        <v>0</v>
      </c>
      <c r="J2204" s="1">
        <v>0</v>
      </c>
      <c r="K2204" s="1">
        <v>0</v>
      </c>
      <c r="L2204" s="1">
        <v>0</v>
      </c>
      <c r="M2204" s="1">
        <v>0</v>
      </c>
    </row>
    <row r="2205" spans="1:13">
      <c r="A2205" s="1">
        <v>2204</v>
      </c>
      <c r="B2205" s="1">
        <v>1001248.0037999999</v>
      </c>
      <c r="C2205" s="1">
        <v>805588.27823671629</v>
      </c>
      <c r="D2205" s="1">
        <f t="shared" si="34"/>
        <v>195659.72556328366</v>
      </c>
      <c r="E2205" s="1">
        <v>11</v>
      </c>
      <c r="F2205" s="1">
        <v>17</v>
      </c>
      <c r="G2205" s="1">
        <v>7</v>
      </c>
      <c r="H2205" s="1">
        <v>0</v>
      </c>
      <c r="I2205" s="1">
        <v>0</v>
      </c>
      <c r="J2205" s="1">
        <v>0</v>
      </c>
      <c r="K2205" s="1">
        <v>0</v>
      </c>
      <c r="L2205" s="1">
        <v>0</v>
      </c>
      <c r="M2205" s="1">
        <v>0</v>
      </c>
    </row>
    <row r="2206" spans="1:13">
      <c r="A2206" s="1">
        <v>2205</v>
      </c>
      <c r="B2206" s="1">
        <v>910760.73389999999</v>
      </c>
      <c r="C2206" s="1">
        <v>957840.99423234514</v>
      </c>
      <c r="D2206" s="1">
        <f t="shared" si="34"/>
        <v>-47080.260332345148</v>
      </c>
      <c r="E2206" s="1">
        <v>7</v>
      </c>
      <c r="F2206" s="1">
        <v>24</v>
      </c>
      <c r="G2206" s="1">
        <v>4</v>
      </c>
      <c r="H2206" s="1">
        <v>0</v>
      </c>
      <c r="I2206" s="1">
        <v>0</v>
      </c>
      <c r="J2206" s="1">
        <v>0</v>
      </c>
      <c r="K2206" s="1">
        <v>1</v>
      </c>
      <c r="L2206" s="1">
        <v>0</v>
      </c>
      <c r="M2206" s="1">
        <v>1</v>
      </c>
    </row>
    <row r="2207" spans="1:13">
      <c r="A2207" s="1">
        <v>2206</v>
      </c>
      <c r="B2207" s="1">
        <v>845688.48789999995</v>
      </c>
      <c r="C2207" s="1">
        <v>1219475.4575987514</v>
      </c>
      <c r="D2207" s="1">
        <f t="shared" si="34"/>
        <v>-373786.96969875146</v>
      </c>
      <c r="E2207" s="1">
        <v>23</v>
      </c>
      <c r="F2207" s="1">
        <v>11</v>
      </c>
      <c r="G2207" s="1">
        <v>1</v>
      </c>
      <c r="H2207" s="1">
        <v>1</v>
      </c>
      <c r="I2207" s="1">
        <v>1</v>
      </c>
      <c r="J2207" s="1">
        <v>2</v>
      </c>
      <c r="K2207" s="1">
        <v>0</v>
      </c>
      <c r="L2207" s="1">
        <v>0</v>
      </c>
      <c r="M2207" s="1">
        <v>0</v>
      </c>
    </row>
    <row r="2208" spans="1:13">
      <c r="A2208" s="1">
        <v>2207</v>
      </c>
      <c r="B2208" s="1">
        <v>766403.22270000004</v>
      </c>
      <c r="C2208" s="1">
        <v>731244.77558474778</v>
      </c>
      <c r="D2208" s="1">
        <f t="shared" si="34"/>
        <v>35158.44711525226</v>
      </c>
      <c r="E2208" s="1">
        <v>17</v>
      </c>
      <c r="F2208" s="1">
        <v>12</v>
      </c>
      <c r="G2208" s="1">
        <v>6</v>
      </c>
      <c r="H2208" s="1">
        <v>0</v>
      </c>
      <c r="I2208" s="1">
        <v>0</v>
      </c>
      <c r="J2208" s="1">
        <v>1</v>
      </c>
      <c r="K2208" s="1">
        <v>0</v>
      </c>
      <c r="L2208" s="1">
        <v>0</v>
      </c>
      <c r="M2208" s="1">
        <v>0</v>
      </c>
    </row>
    <row r="2209" spans="1:13">
      <c r="A2209" s="1">
        <v>2208</v>
      </c>
      <c r="B2209" s="1">
        <v>888244.00219999999</v>
      </c>
      <c r="C2209" s="1">
        <v>996692.17003396479</v>
      </c>
      <c r="D2209" s="1">
        <f t="shared" si="34"/>
        <v>-108448.16783396481</v>
      </c>
      <c r="E2209" s="1">
        <v>9</v>
      </c>
      <c r="F2209" s="1">
        <v>21</v>
      </c>
      <c r="G2209" s="1">
        <v>5</v>
      </c>
      <c r="H2209" s="1">
        <v>1</v>
      </c>
      <c r="I2209" s="1">
        <v>0</v>
      </c>
      <c r="J2209" s="1">
        <v>0</v>
      </c>
      <c r="K2209" s="1">
        <v>0</v>
      </c>
      <c r="L2209" s="1">
        <v>0</v>
      </c>
      <c r="M2209" s="1">
        <v>0</v>
      </c>
    </row>
    <row r="2210" spans="1:13">
      <c r="A2210" s="1">
        <v>2209</v>
      </c>
      <c r="B2210" s="1">
        <v>853335.38970000006</v>
      </c>
      <c r="C2210" s="1">
        <v>1059941.9173690043</v>
      </c>
      <c r="D2210" s="1">
        <f t="shared" si="34"/>
        <v>-206606.52766900428</v>
      </c>
      <c r="E2210" s="1">
        <v>18</v>
      </c>
      <c r="F2210" s="1">
        <v>12</v>
      </c>
      <c r="G2210" s="1">
        <v>5</v>
      </c>
      <c r="H2210" s="1">
        <v>1</v>
      </c>
      <c r="I2210" s="1">
        <v>0</v>
      </c>
      <c r="J2210" s="1">
        <v>1</v>
      </c>
      <c r="K2210" s="1">
        <v>0</v>
      </c>
      <c r="L2210" s="1">
        <v>0</v>
      </c>
      <c r="M2210" s="1">
        <v>0</v>
      </c>
    </row>
    <row r="2211" spans="1:13">
      <c r="A2211" s="1">
        <v>2210</v>
      </c>
      <c r="B2211" s="1">
        <v>931431.51710000006</v>
      </c>
      <c r="C2211" s="1">
        <v>788405.85511732276</v>
      </c>
      <c r="D2211" s="1">
        <f t="shared" si="34"/>
        <v>143025.66198267729</v>
      </c>
      <c r="E2211" s="1">
        <v>17</v>
      </c>
      <c r="F2211" s="1">
        <v>13</v>
      </c>
      <c r="G2211" s="1">
        <v>5</v>
      </c>
      <c r="H2211" s="1">
        <v>0</v>
      </c>
      <c r="I2211" s="1">
        <v>0</v>
      </c>
      <c r="J2211" s="1">
        <v>0</v>
      </c>
      <c r="K2211" s="1">
        <v>1</v>
      </c>
      <c r="L2211" s="1">
        <v>0</v>
      </c>
      <c r="M2211" s="1">
        <v>0</v>
      </c>
    </row>
    <row r="2212" spans="1:13">
      <c r="A2212" s="1">
        <v>2211</v>
      </c>
      <c r="B2212" s="1">
        <v>989304.42209999997</v>
      </c>
      <c r="C2212" s="1">
        <v>814539.07027863176</v>
      </c>
      <c r="D2212" s="1">
        <f t="shared" si="34"/>
        <v>174765.35182136821</v>
      </c>
      <c r="E2212" s="1">
        <v>11</v>
      </c>
      <c r="F2212" s="1">
        <v>19</v>
      </c>
      <c r="G2212" s="1">
        <v>5</v>
      </c>
      <c r="H2212" s="1">
        <v>0</v>
      </c>
      <c r="I2212" s="1">
        <v>0</v>
      </c>
      <c r="J2212" s="1">
        <v>0</v>
      </c>
      <c r="K2212" s="1">
        <v>1</v>
      </c>
      <c r="L2212" s="1">
        <v>0</v>
      </c>
      <c r="M2212" s="1">
        <v>0</v>
      </c>
    </row>
    <row r="2213" spans="1:13">
      <c r="A2213" s="1">
        <v>2212</v>
      </c>
      <c r="B2213" s="1">
        <v>956527.41020000004</v>
      </c>
      <c r="C2213" s="1">
        <v>998371.05417250644</v>
      </c>
      <c r="D2213" s="1">
        <f t="shared" si="34"/>
        <v>-41843.643972506397</v>
      </c>
      <c r="E2213" s="1">
        <v>14</v>
      </c>
      <c r="F2213" s="1">
        <v>17</v>
      </c>
      <c r="G2213" s="1">
        <v>4</v>
      </c>
      <c r="H2213" s="1">
        <v>2</v>
      </c>
      <c r="I2213" s="1">
        <v>0</v>
      </c>
      <c r="J2213" s="1">
        <v>0</v>
      </c>
      <c r="K2213" s="1">
        <v>1</v>
      </c>
      <c r="L2213" s="1">
        <v>1</v>
      </c>
      <c r="M2213" s="1">
        <v>1</v>
      </c>
    </row>
    <row r="2214" spans="1:13">
      <c r="A2214" s="1">
        <v>2213</v>
      </c>
      <c r="B2214" s="1">
        <v>916361.03460000001</v>
      </c>
      <c r="C2214" s="1">
        <v>786977.96671403409</v>
      </c>
      <c r="D2214" s="1">
        <f t="shared" si="34"/>
        <v>129383.06788596592</v>
      </c>
      <c r="E2214" s="1">
        <v>14</v>
      </c>
      <c r="F2214" s="1">
        <v>17</v>
      </c>
      <c r="G2214" s="1">
        <v>4</v>
      </c>
      <c r="H2214" s="1">
        <v>1</v>
      </c>
      <c r="I2214" s="1">
        <v>0</v>
      </c>
      <c r="J2214" s="1">
        <v>1</v>
      </c>
      <c r="K2214" s="1">
        <v>0</v>
      </c>
      <c r="L2214" s="1">
        <v>0</v>
      </c>
      <c r="M2214" s="1">
        <v>0</v>
      </c>
    </row>
    <row r="2215" spans="1:13">
      <c r="A2215" s="1">
        <v>2214</v>
      </c>
      <c r="B2215" s="1">
        <v>959093.16850000003</v>
      </c>
      <c r="C2215" s="1">
        <v>806734.39793898631</v>
      </c>
      <c r="D2215" s="1">
        <f t="shared" si="34"/>
        <v>152358.77056101372</v>
      </c>
      <c r="E2215" s="1">
        <v>15</v>
      </c>
      <c r="F2215" s="1">
        <v>16</v>
      </c>
      <c r="G2215" s="1">
        <v>4</v>
      </c>
      <c r="H2215" s="1">
        <v>1</v>
      </c>
      <c r="I2215" s="1">
        <v>1</v>
      </c>
      <c r="J2215" s="1">
        <v>2</v>
      </c>
      <c r="K2215" s="1">
        <v>0</v>
      </c>
      <c r="L2215" s="1">
        <v>0</v>
      </c>
      <c r="M2215" s="1">
        <v>0</v>
      </c>
    </row>
    <row r="2216" spans="1:13">
      <c r="A2216" s="1">
        <v>2215</v>
      </c>
      <c r="B2216" s="1">
        <v>936619.82949999999</v>
      </c>
      <c r="C2216" s="1">
        <v>727862.59710490122</v>
      </c>
      <c r="D2216" s="1">
        <f t="shared" si="34"/>
        <v>208757.23239509878</v>
      </c>
      <c r="E2216" s="1">
        <v>9</v>
      </c>
      <c r="F2216" s="1">
        <v>19</v>
      </c>
      <c r="G2216" s="1">
        <v>7</v>
      </c>
      <c r="H2216" s="1">
        <v>0</v>
      </c>
      <c r="I2216" s="1">
        <v>0</v>
      </c>
      <c r="J2216" s="1">
        <v>0</v>
      </c>
      <c r="K2216" s="1">
        <v>1</v>
      </c>
      <c r="L2216" s="1">
        <v>0</v>
      </c>
      <c r="M2216" s="1">
        <v>0</v>
      </c>
    </row>
    <row r="2217" spans="1:13">
      <c r="A2217" s="1">
        <v>2216</v>
      </c>
      <c r="B2217" s="1">
        <v>1034972.3846</v>
      </c>
      <c r="C2217" s="1">
        <v>753468.64259075315</v>
      </c>
      <c r="D2217" s="1">
        <f t="shared" si="34"/>
        <v>281503.74200924684</v>
      </c>
      <c r="E2217" s="1">
        <v>10</v>
      </c>
      <c r="F2217" s="1">
        <v>20</v>
      </c>
      <c r="G2217" s="1">
        <v>5</v>
      </c>
      <c r="H2217" s="1">
        <v>1</v>
      </c>
      <c r="I2217" s="1">
        <v>0</v>
      </c>
      <c r="J2217" s="1">
        <v>0</v>
      </c>
      <c r="K2217" s="1">
        <v>1</v>
      </c>
      <c r="L2217" s="1">
        <v>0</v>
      </c>
      <c r="M2217" s="1">
        <v>0</v>
      </c>
    </row>
    <row r="2218" spans="1:13">
      <c r="A2218" s="1">
        <v>2217</v>
      </c>
      <c r="B2218" s="1">
        <v>927064.6287</v>
      </c>
      <c r="C2218" s="1">
        <v>774708.90574343689</v>
      </c>
      <c r="D2218" s="1">
        <f t="shared" si="34"/>
        <v>152355.72295656311</v>
      </c>
      <c r="E2218" s="1">
        <v>17</v>
      </c>
      <c r="F2218" s="1">
        <v>14</v>
      </c>
      <c r="G2218" s="1">
        <v>4</v>
      </c>
      <c r="H2218" s="1">
        <v>0</v>
      </c>
      <c r="I2218" s="1">
        <v>0</v>
      </c>
      <c r="J2218" s="1">
        <v>1</v>
      </c>
      <c r="K2218" s="1">
        <v>0</v>
      </c>
      <c r="L2218" s="1">
        <v>0</v>
      </c>
      <c r="M2218" s="1">
        <v>0</v>
      </c>
    </row>
    <row r="2219" spans="1:13">
      <c r="A2219" s="1">
        <v>2218</v>
      </c>
      <c r="B2219" s="1">
        <v>914932.57880000002</v>
      </c>
      <c r="C2219" s="1">
        <v>649657.30090440484</v>
      </c>
      <c r="D2219" s="1">
        <f t="shared" si="34"/>
        <v>265275.27789559518</v>
      </c>
      <c r="E2219" s="1">
        <v>1</v>
      </c>
      <c r="F2219" s="1">
        <v>29</v>
      </c>
      <c r="G2219" s="1">
        <v>5</v>
      </c>
      <c r="H2219" s="1">
        <v>1</v>
      </c>
      <c r="I2219" s="1">
        <v>0</v>
      </c>
      <c r="J2219" s="1">
        <v>2</v>
      </c>
      <c r="K2219" s="1">
        <v>0</v>
      </c>
      <c r="L2219" s="1">
        <v>0</v>
      </c>
      <c r="M2219" s="1">
        <v>1</v>
      </c>
    </row>
    <row r="2220" spans="1:13">
      <c r="A2220" s="1">
        <v>2219</v>
      </c>
      <c r="B2220" s="1">
        <v>1011959.1709</v>
      </c>
      <c r="C2220" s="1">
        <v>687999.60947239317</v>
      </c>
      <c r="D2220" s="1">
        <f t="shared" si="34"/>
        <v>323959.56142760685</v>
      </c>
      <c r="E2220" s="1">
        <v>6</v>
      </c>
      <c r="F2220" s="1">
        <v>23</v>
      </c>
      <c r="G2220" s="1">
        <v>6</v>
      </c>
      <c r="H2220" s="1">
        <v>1</v>
      </c>
      <c r="I2220" s="1">
        <v>0</v>
      </c>
      <c r="J2220" s="1">
        <v>0</v>
      </c>
      <c r="K2220" s="1">
        <v>0</v>
      </c>
      <c r="L2220" s="1">
        <v>0</v>
      </c>
      <c r="M2220" s="1">
        <v>0</v>
      </c>
    </row>
    <row r="2221" spans="1:13">
      <c r="A2221" s="1">
        <v>2220</v>
      </c>
      <c r="B2221" s="1">
        <v>938476.16500000004</v>
      </c>
      <c r="C2221" s="1">
        <v>744645.86033342732</v>
      </c>
      <c r="D2221" s="1">
        <f t="shared" si="34"/>
        <v>193830.30466657272</v>
      </c>
      <c r="E2221" s="1">
        <v>7</v>
      </c>
      <c r="F2221" s="1">
        <v>22</v>
      </c>
      <c r="G2221" s="1">
        <v>6</v>
      </c>
      <c r="H2221" s="1">
        <v>0</v>
      </c>
      <c r="I2221" s="1">
        <v>0</v>
      </c>
      <c r="J2221" s="1">
        <v>0</v>
      </c>
      <c r="K2221" s="1">
        <v>0</v>
      </c>
      <c r="L2221" s="1">
        <v>0</v>
      </c>
      <c r="M2221" s="1">
        <v>0</v>
      </c>
    </row>
    <row r="2222" spans="1:13">
      <c r="A2222" s="1">
        <v>2221</v>
      </c>
      <c r="B2222" s="1">
        <v>965009.34490000003</v>
      </c>
      <c r="C2222" s="1">
        <v>958057.06348994363</v>
      </c>
      <c r="D2222" s="1">
        <f t="shared" si="34"/>
        <v>6952.2814100563992</v>
      </c>
      <c r="E2222" s="1">
        <v>18</v>
      </c>
      <c r="F2222" s="1">
        <v>10</v>
      </c>
      <c r="G2222" s="1">
        <v>7</v>
      </c>
      <c r="H2222" s="1">
        <v>0</v>
      </c>
      <c r="I2222" s="1">
        <v>0</v>
      </c>
      <c r="J2222" s="1">
        <v>0</v>
      </c>
      <c r="K2222" s="1">
        <v>1</v>
      </c>
      <c r="L2222" s="1">
        <v>0</v>
      </c>
      <c r="M2222" s="1">
        <v>0</v>
      </c>
    </row>
    <row r="2223" spans="1:13">
      <c r="A2223" s="1">
        <v>2222</v>
      </c>
      <c r="B2223" s="1">
        <v>1019011.3554</v>
      </c>
      <c r="C2223" s="1">
        <v>642245.5706741102</v>
      </c>
      <c r="D2223" s="1">
        <f t="shared" si="34"/>
        <v>376765.7847258898</v>
      </c>
      <c r="E2223" s="1">
        <v>10</v>
      </c>
      <c r="F2223" s="1">
        <v>22</v>
      </c>
      <c r="G2223" s="1">
        <v>3</v>
      </c>
      <c r="H2223" s="1">
        <v>1</v>
      </c>
      <c r="I2223" s="1">
        <v>0</v>
      </c>
      <c r="J2223" s="1">
        <v>1</v>
      </c>
      <c r="K2223" s="1">
        <v>0</v>
      </c>
      <c r="L2223" s="1">
        <v>0</v>
      </c>
      <c r="M2223" s="1">
        <v>0</v>
      </c>
    </row>
    <row r="2224" spans="1:13">
      <c r="A2224" s="1">
        <v>2223</v>
      </c>
      <c r="B2224" s="1">
        <v>851469.52309999999</v>
      </c>
      <c r="C2224" s="1">
        <v>905320.41158247832</v>
      </c>
      <c r="D2224" s="1">
        <f t="shared" si="34"/>
        <v>-53850.888482478331</v>
      </c>
      <c r="E2224" s="1">
        <v>15</v>
      </c>
      <c r="F2224" s="1">
        <v>17</v>
      </c>
      <c r="G2224" s="1">
        <v>3</v>
      </c>
      <c r="H2224" s="1">
        <v>0</v>
      </c>
      <c r="I2224" s="1">
        <v>0</v>
      </c>
      <c r="J2224" s="1">
        <v>1</v>
      </c>
      <c r="K2224" s="1">
        <v>1</v>
      </c>
      <c r="L2224" s="1">
        <v>0</v>
      </c>
      <c r="M2224" s="1">
        <v>1</v>
      </c>
    </row>
    <row r="2225" spans="1:13">
      <c r="A2225" s="1">
        <v>2224</v>
      </c>
      <c r="B2225" s="1">
        <v>855323.02989999996</v>
      </c>
      <c r="C2225" s="1">
        <v>550926.07385762257</v>
      </c>
      <c r="D2225" s="1">
        <f t="shared" si="34"/>
        <v>304396.95604237739</v>
      </c>
      <c r="E2225" s="1">
        <v>17</v>
      </c>
      <c r="F2225" s="1">
        <v>16</v>
      </c>
      <c r="G2225" s="1">
        <v>2</v>
      </c>
      <c r="H2225" s="1">
        <v>0</v>
      </c>
      <c r="I2225" s="1">
        <v>1</v>
      </c>
      <c r="J2225" s="1">
        <v>0</v>
      </c>
      <c r="K2225" s="1">
        <v>1</v>
      </c>
      <c r="L2225" s="1">
        <v>0</v>
      </c>
      <c r="M2225" s="1">
        <v>0</v>
      </c>
    </row>
    <row r="2226" spans="1:13">
      <c r="A2226" s="1">
        <v>2225</v>
      </c>
      <c r="B2226" s="1">
        <v>976380.95689999999</v>
      </c>
      <c r="C2226" s="1">
        <v>1016677.9825989631</v>
      </c>
      <c r="D2226" s="1">
        <f t="shared" si="34"/>
        <v>-40297.025698963087</v>
      </c>
      <c r="E2226" s="1">
        <v>15</v>
      </c>
      <c r="F2226" s="1">
        <v>13</v>
      </c>
      <c r="G2226" s="1">
        <v>7</v>
      </c>
      <c r="H2226" s="1">
        <v>2</v>
      </c>
      <c r="I2226" s="1">
        <v>0</v>
      </c>
      <c r="J2226" s="1">
        <v>0</v>
      </c>
      <c r="K2226" s="1">
        <v>0</v>
      </c>
      <c r="L2226" s="1">
        <v>0</v>
      </c>
      <c r="M2226" s="1">
        <v>0</v>
      </c>
    </row>
    <row r="2227" spans="1:13">
      <c r="A2227" s="1">
        <v>2226</v>
      </c>
      <c r="B2227" s="1">
        <v>969875.34809999994</v>
      </c>
      <c r="C2227" s="1">
        <v>805130.47093441291</v>
      </c>
      <c r="D2227" s="1">
        <f t="shared" si="34"/>
        <v>164744.87716558704</v>
      </c>
      <c r="E2227" s="1">
        <v>5</v>
      </c>
      <c r="F2227" s="1">
        <v>25</v>
      </c>
      <c r="G2227" s="1">
        <v>5</v>
      </c>
      <c r="H2227" s="1">
        <v>1</v>
      </c>
      <c r="I2227" s="1">
        <v>1</v>
      </c>
      <c r="J2227" s="1">
        <v>0</v>
      </c>
      <c r="K2227" s="1">
        <v>0</v>
      </c>
      <c r="L2227" s="1">
        <v>1</v>
      </c>
      <c r="M2227" s="1">
        <v>0</v>
      </c>
    </row>
    <row r="2228" spans="1:13">
      <c r="A2228" s="1">
        <v>2227</v>
      </c>
      <c r="B2228" s="1">
        <v>902909.93</v>
      </c>
      <c r="C2228" s="1">
        <v>1051863.8530612935</v>
      </c>
      <c r="D2228" s="1">
        <f t="shared" si="34"/>
        <v>-148953.92306129343</v>
      </c>
      <c r="E2228" s="1">
        <v>8</v>
      </c>
      <c r="F2228" s="1">
        <v>24</v>
      </c>
      <c r="G2228" s="1">
        <v>3</v>
      </c>
      <c r="H2228" s="1">
        <v>1</v>
      </c>
      <c r="I2228" s="1">
        <v>1</v>
      </c>
      <c r="J2228" s="1">
        <v>0</v>
      </c>
      <c r="K2228" s="1">
        <v>1</v>
      </c>
      <c r="L2228" s="1">
        <v>0</v>
      </c>
      <c r="M2228" s="1">
        <v>0</v>
      </c>
    </row>
    <row r="2229" spans="1:13">
      <c r="A2229" s="1">
        <v>2228</v>
      </c>
      <c r="B2229" s="1">
        <v>980330.60569999996</v>
      </c>
      <c r="C2229" s="1">
        <v>561996.91509102995</v>
      </c>
      <c r="D2229" s="1">
        <f t="shared" si="34"/>
        <v>418333.69060897001</v>
      </c>
      <c r="E2229" s="1">
        <v>14</v>
      </c>
      <c r="F2229" s="1">
        <v>17</v>
      </c>
      <c r="G2229" s="1">
        <v>4</v>
      </c>
      <c r="H2229" s="1">
        <v>1</v>
      </c>
      <c r="I2229" s="1">
        <v>0</v>
      </c>
      <c r="J2229" s="1">
        <v>2</v>
      </c>
      <c r="K2229" s="1">
        <v>0</v>
      </c>
      <c r="L2229" s="1">
        <v>0</v>
      </c>
      <c r="M2229" s="1">
        <v>0</v>
      </c>
    </row>
    <row r="2230" spans="1:13">
      <c r="A2230" s="1">
        <v>2229</v>
      </c>
      <c r="B2230" s="1">
        <v>891062.26630000002</v>
      </c>
      <c r="C2230" s="1">
        <v>602303.06116096862</v>
      </c>
      <c r="D2230" s="1">
        <f t="shared" si="34"/>
        <v>288759.2051390314</v>
      </c>
      <c r="E2230" s="1">
        <v>11</v>
      </c>
      <c r="F2230" s="1">
        <v>19</v>
      </c>
      <c r="G2230" s="1">
        <v>5</v>
      </c>
      <c r="H2230" s="1">
        <v>1</v>
      </c>
      <c r="I2230" s="1">
        <v>1</v>
      </c>
      <c r="J2230" s="1">
        <v>1</v>
      </c>
      <c r="K2230" s="1">
        <v>0</v>
      </c>
      <c r="L2230" s="1">
        <v>0</v>
      </c>
      <c r="M2230" s="1">
        <v>0</v>
      </c>
    </row>
    <row r="2231" spans="1:13">
      <c r="A2231" s="1">
        <v>2230</v>
      </c>
      <c r="B2231" s="1">
        <v>820391.46640000003</v>
      </c>
      <c r="C2231" s="1">
        <v>623860.66609255644</v>
      </c>
      <c r="D2231" s="1">
        <f t="shared" si="34"/>
        <v>196530.8003074436</v>
      </c>
      <c r="E2231" s="1">
        <v>14</v>
      </c>
      <c r="F2231" s="1">
        <v>16</v>
      </c>
      <c r="G2231" s="1">
        <v>5</v>
      </c>
      <c r="H2231" s="1">
        <v>0</v>
      </c>
      <c r="I2231" s="1">
        <v>0</v>
      </c>
      <c r="J2231" s="1">
        <v>0</v>
      </c>
      <c r="K2231" s="1">
        <v>2</v>
      </c>
      <c r="L2231" s="1">
        <v>0</v>
      </c>
      <c r="M2231" s="1">
        <v>0</v>
      </c>
    </row>
    <row r="2232" spans="1:13">
      <c r="A2232" s="1">
        <v>2231</v>
      </c>
      <c r="B2232" s="1">
        <v>932584.14159999997</v>
      </c>
      <c r="C2232" s="1">
        <v>852891.74465589784</v>
      </c>
      <c r="D2232" s="1">
        <f t="shared" si="34"/>
        <v>79692.396944102133</v>
      </c>
      <c r="E2232" s="1">
        <v>9</v>
      </c>
      <c r="F2232" s="1">
        <v>22</v>
      </c>
      <c r="G2232" s="1">
        <v>4</v>
      </c>
      <c r="H2232" s="1">
        <v>1</v>
      </c>
      <c r="I2232" s="1">
        <v>0</v>
      </c>
      <c r="J2232" s="1">
        <v>1</v>
      </c>
      <c r="K2232" s="1">
        <v>1</v>
      </c>
      <c r="L2232" s="1">
        <v>0</v>
      </c>
      <c r="M2232" s="1">
        <v>1</v>
      </c>
    </row>
    <row r="2233" spans="1:13">
      <c r="A2233" s="1">
        <v>2232</v>
      </c>
      <c r="B2233" s="1">
        <v>1010772.1984</v>
      </c>
      <c r="C2233" s="1">
        <v>708445.30907370767</v>
      </c>
      <c r="D2233" s="1">
        <f t="shared" si="34"/>
        <v>302326.88932629232</v>
      </c>
      <c r="E2233" s="1">
        <v>9</v>
      </c>
      <c r="F2233" s="1">
        <v>21</v>
      </c>
      <c r="G2233" s="1">
        <v>5</v>
      </c>
      <c r="H2233" s="1">
        <v>1</v>
      </c>
      <c r="I2233" s="1">
        <v>1</v>
      </c>
      <c r="J2233" s="1">
        <v>0</v>
      </c>
      <c r="K2233" s="1">
        <v>1</v>
      </c>
      <c r="L2233" s="1">
        <v>0</v>
      </c>
      <c r="M2233" s="1">
        <v>0</v>
      </c>
    </row>
    <row r="2234" spans="1:13">
      <c r="A2234" s="1">
        <v>2233</v>
      </c>
      <c r="B2234" s="1">
        <v>977505.11789999995</v>
      </c>
      <c r="C2234" s="1">
        <v>1137116.6784437555</v>
      </c>
      <c r="D2234" s="1">
        <f t="shared" si="34"/>
        <v>-159611.56054375554</v>
      </c>
      <c r="E2234" s="1">
        <v>14</v>
      </c>
      <c r="F2234" s="1">
        <v>17</v>
      </c>
      <c r="G2234" s="1">
        <v>4</v>
      </c>
      <c r="H2234" s="1">
        <v>1</v>
      </c>
      <c r="I2234" s="1">
        <v>0</v>
      </c>
      <c r="J2234" s="1">
        <v>0</v>
      </c>
      <c r="K2234" s="1">
        <v>0</v>
      </c>
      <c r="L2234" s="1">
        <v>0</v>
      </c>
      <c r="M2234" s="1">
        <v>1</v>
      </c>
    </row>
    <row r="2235" spans="1:13">
      <c r="A2235" s="1">
        <v>2234</v>
      </c>
      <c r="B2235" s="1">
        <v>879573.91590000002</v>
      </c>
      <c r="C2235" s="1">
        <v>1007640.9268772629</v>
      </c>
      <c r="D2235" s="1">
        <f t="shared" si="34"/>
        <v>-128067.01097726286</v>
      </c>
      <c r="E2235" s="1">
        <v>16</v>
      </c>
      <c r="F2235" s="1">
        <v>17</v>
      </c>
      <c r="G2235" s="1">
        <v>2</v>
      </c>
      <c r="H2235" s="1">
        <v>0</v>
      </c>
      <c r="I2235" s="1">
        <v>0</v>
      </c>
      <c r="J2235" s="1">
        <v>0</v>
      </c>
      <c r="K2235" s="1">
        <v>2</v>
      </c>
      <c r="L2235" s="1">
        <v>0</v>
      </c>
      <c r="M2235" s="1">
        <v>0</v>
      </c>
    </row>
    <row r="2236" spans="1:13">
      <c r="A2236" s="1">
        <v>2235</v>
      </c>
      <c r="B2236" s="1">
        <v>925436.71739999996</v>
      </c>
      <c r="C2236" s="1">
        <v>879231.85750188713</v>
      </c>
      <c r="D2236" s="1">
        <f t="shared" si="34"/>
        <v>46204.859898112831</v>
      </c>
      <c r="E2236" s="1">
        <v>17</v>
      </c>
      <c r="F2236" s="1">
        <v>17</v>
      </c>
      <c r="G2236" s="1">
        <v>1</v>
      </c>
      <c r="H2236" s="1">
        <v>0</v>
      </c>
      <c r="I2236" s="1">
        <v>1</v>
      </c>
      <c r="J2236" s="1">
        <v>1</v>
      </c>
      <c r="K2236" s="1">
        <v>0</v>
      </c>
      <c r="L2236" s="1">
        <v>0</v>
      </c>
      <c r="M2236" s="1">
        <v>0</v>
      </c>
    </row>
    <row r="2237" spans="1:13">
      <c r="A2237" s="1">
        <v>2236</v>
      </c>
      <c r="B2237" s="1">
        <v>950254.04570000002</v>
      </c>
      <c r="C2237" s="1">
        <v>1690492.9522521864</v>
      </c>
      <c r="D2237" s="1">
        <f t="shared" si="34"/>
        <v>-740238.90655218635</v>
      </c>
      <c r="E2237" s="1">
        <v>16</v>
      </c>
      <c r="F2237" s="1">
        <v>16</v>
      </c>
      <c r="G2237" s="1">
        <v>3</v>
      </c>
      <c r="H2237" s="1">
        <v>0</v>
      </c>
      <c r="I2237" s="1">
        <v>0</v>
      </c>
      <c r="J2237" s="1">
        <v>1</v>
      </c>
      <c r="K2237" s="1">
        <v>1</v>
      </c>
      <c r="L2237" s="1">
        <v>0</v>
      </c>
      <c r="M2237" s="1">
        <v>0</v>
      </c>
    </row>
    <row r="2238" spans="1:13">
      <c r="A2238" s="1">
        <v>2237</v>
      </c>
      <c r="B2238" s="1">
        <v>940445.57620000001</v>
      </c>
      <c r="C2238" s="1">
        <v>631393.33027067105</v>
      </c>
      <c r="D2238" s="1">
        <f t="shared" si="34"/>
        <v>309052.24592932896</v>
      </c>
      <c r="E2238" s="1">
        <v>12</v>
      </c>
      <c r="F2238" s="1">
        <v>20</v>
      </c>
      <c r="G2238" s="1">
        <v>3</v>
      </c>
      <c r="H2238" s="1">
        <v>1</v>
      </c>
      <c r="I2238" s="1">
        <v>0</v>
      </c>
      <c r="J2238" s="1">
        <v>0</v>
      </c>
      <c r="K2238" s="1">
        <v>1</v>
      </c>
      <c r="L2238" s="1">
        <v>0</v>
      </c>
      <c r="M2238" s="1">
        <v>0</v>
      </c>
    </row>
    <row r="2239" spans="1:13">
      <c r="A2239" s="1">
        <v>2238</v>
      </c>
      <c r="B2239" s="1">
        <v>863081.63450000004</v>
      </c>
      <c r="C2239" s="1">
        <v>1076186.4613548471</v>
      </c>
      <c r="D2239" s="1">
        <f t="shared" si="34"/>
        <v>-213104.82685484702</v>
      </c>
      <c r="E2239" s="1">
        <v>11</v>
      </c>
      <c r="F2239" s="1">
        <v>18</v>
      </c>
      <c r="G2239" s="1">
        <v>6</v>
      </c>
      <c r="H2239" s="1">
        <v>0</v>
      </c>
      <c r="I2239" s="1">
        <v>0</v>
      </c>
      <c r="J2239" s="1">
        <v>0</v>
      </c>
      <c r="K2239" s="1">
        <v>0</v>
      </c>
      <c r="L2239" s="1">
        <v>0</v>
      </c>
      <c r="M2239" s="1">
        <v>0</v>
      </c>
    </row>
    <row r="2240" spans="1:13">
      <c r="A2240" s="1">
        <v>2239</v>
      </c>
      <c r="B2240" s="1">
        <v>849789.30130000005</v>
      </c>
      <c r="C2240" s="1">
        <v>1081315.7137183575</v>
      </c>
      <c r="D2240" s="1">
        <f t="shared" si="34"/>
        <v>-231526.41241835745</v>
      </c>
      <c r="E2240" s="1">
        <v>18</v>
      </c>
      <c r="F2240" s="1">
        <v>14</v>
      </c>
      <c r="G2240" s="1">
        <v>3</v>
      </c>
      <c r="H2240" s="1">
        <v>0</v>
      </c>
      <c r="I2240" s="1">
        <v>0</v>
      </c>
      <c r="J2240" s="1">
        <v>0</v>
      </c>
      <c r="K2240" s="1">
        <v>0</v>
      </c>
      <c r="L2240" s="1">
        <v>0</v>
      </c>
      <c r="M2240" s="1">
        <v>0</v>
      </c>
    </row>
    <row r="2241" spans="1:13">
      <c r="A2241" s="1">
        <v>2240</v>
      </c>
      <c r="B2241" s="1">
        <v>934841.45880000002</v>
      </c>
      <c r="C2241" s="1">
        <v>722462.03403691447</v>
      </c>
      <c r="D2241" s="1">
        <f t="shared" si="34"/>
        <v>212379.42476308555</v>
      </c>
      <c r="E2241" s="1">
        <v>15</v>
      </c>
      <c r="F2241" s="1">
        <v>16</v>
      </c>
      <c r="G2241" s="1">
        <v>4</v>
      </c>
      <c r="H2241" s="1">
        <v>0</v>
      </c>
      <c r="I2241" s="1">
        <v>0</v>
      </c>
      <c r="J2241" s="1">
        <v>1</v>
      </c>
      <c r="K2241" s="1">
        <v>0</v>
      </c>
      <c r="L2241" s="1">
        <v>0</v>
      </c>
      <c r="M2241" s="1">
        <v>1</v>
      </c>
    </row>
    <row r="2242" spans="1:13">
      <c r="A2242" s="1">
        <v>2241</v>
      </c>
      <c r="B2242" s="1">
        <v>851016.48360000004</v>
      </c>
      <c r="C2242" s="1">
        <v>716004.73580305208</v>
      </c>
      <c r="D2242" s="1">
        <f t="shared" ref="D2242:D2305" si="35">B2242-C2242</f>
        <v>135011.74779694795</v>
      </c>
      <c r="E2242" s="1">
        <v>16</v>
      </c>
      <c r="F2242" s="1">
        <v>16</v>
      </c>
      <c r="G2242" s="1">
        <v>3</v>
      </c>
      <c r="H2242" s="1">
        <v>1</v>
      </c>
      <c r="I2242" s="1">
        <v>0</v>
      </c>
      <c r="J2242" s="1">
        <v>0</v>
      </c>
      <c r="K2242" s="1">
        <v>0</v>
      </c>
      <c r="L2242" s="1">
        <v>0</v>
      </c>
      <c r="M2242" s="1">
        <v>0</v>
      </c>
    </row>
    <row r="2243" spans="1:13">
      <c r="A2243" s="1">
        <v>2242</v>
      </c>
      <c r="B2243" s="1">
        <v>889314.353</v>
      </c>
      <c r="C2243" s="1">
        <v>823468.06768449943</v>
      </c>
      <c r="D2243" s="1">
        <f t="shared" si="35"/>
        <v>65846.285315500572</v>
      </c>
      <c r="E2243" s="1">
        <v>11</v>
      </c>
      <c r="F2243" s="1">
        <v>21</v>
      </c>
      <c r="G2243" s="1">
        <v>3</v>
      </c>
      <c r="H2243" s="1">
        <v>1</v>
      </c>
      <c r="I2243" s="1">
        <v>0</v>
      </c>
      <c r="J2243" s="1">
        <v>0</v>
      </c>
      <c r="K2243" s="1">
        <v>1</v>
      </c>
      <c r="L2243" s="1">
        <v>0</v>
      </c>
      <c r="M2243" s="1">
        <v>0</v>
      </c>
    </row>
    <row r="2244" spans="1:13">
      <c r="A2244" s="1">
        <v>2243</v>
      </c>
      <c r="B2244" s="1">
        <v>883661.51969999995</v>
      </c>
      <c r="C2244" s="1">
        <v>769401.66201660468</v>
      </c>
      <c r="D2244" s="1">
        <f t="shared" si="35"/>
        <v>114259.85768339527</v>
      </c>
      <c r="E2244" s="1">
        <v>17</v>
      </c>
      <c r="F2244" s="1">
        <v>13</v>
      </c>
      <c r="G2244" s="1">
        <v>5</v>
      </c>
      <c r="H2244" s="1">
        <v>0</v>
      </c>
      <c r="I2244" s="1">
        <v>0</v>
      </c>
      <c r="J2244" s="1">
        <v>0</v>
      </c>
      <c r="K2244" s="1">
        <v>2</v>
      </c>
      <c r="L2244" s="1">
        <v>0</v>
      </c>
      <c r="M2244" s="1">
        <v>1</v>
      </c>
    </row>
    <row r="2245" spans="1:13">
      <c r="A2245" s="1">
        <v>2244</v>
      </c>
      <c r="B2245" s="1">
        <v>957573.7709</v>
      </c>
      <c r="C2245" s="1">
        <v>882878.3530886895</v>
      </c>
      <c r="D2245" s="1">
        <f t="shared" si="35"/>
        <v>74695.417811310501</v>
      </c>
      <c r="E2245" s="1">
        <v>12</v>
      </c>
      <c r="F2245" s="1">
        <v>15</v>
      </c>
      <c r="G2245" s="1">
        <v>8</v>
      </c>
      <c r="H2245" s="1">
        <v>1</v>
      </c>
      <c r="I2245" s="1">
        <v>0</v>
      </c>
      <c r="J2245" s="1">
        <v>0</v>
      </c>
      <c r="K2245" s="1">
        <v>0</v>
      </c>
      <c r="L2245" s="1">
        <v>0</v>
      </c>
      <c r="M2245" s="1">
        <v>0</v>
      </c>
    </row>
    <row r="2246" spans="1:13">
      <c r="A2246" s="1">
        <v>2245</v>
      </c>
      <c r="B2246" s="1">
        <v>911498.51410000003</v>
      </c>
      <c r="C2246" s="1">
        <v>908719.91060197575</v>
      </c>
      <c r="D2246" s="1">
        <f t="shared" si="35"/>
        <v>2778.6034980242839</v>
      </c>
      <c r="E2246" s="1">
        <v>3</v>
      </c>
      <c r="F2246" s="1">
        <v>24</v>
      </c>
      <c r="G2246" s="1">
        <v>8</v>
      </c>
      <c r="H2246" s="1">
        <v>0</v>
      </c>
      <c r="I2246" s="1">
        <v>0</v>
      </c>
      <c r="J2246" s="1">
        <v>1</v>
      </c>
      <c r="K2246" s="1">
        <v>1</v>
      </c>
      <c r="L2246" s="1">
        <v>0</v>
      </c>
      <c r="M2246" s="1">
        <v>0</v>
      </c>
    </row>
    <row r="2247" spans="1:13">
      <c r="A2247" s="1">
        <v>2246</v>
      </c>
      <c r="B2247" s="1">
        <v>928444.48270000005</v>
      </c>
      <c r="C2247" s="1">
        <v>816410.57940066059</v>
      </c>
      <c r="D2247" s="1">
        <f t="shared" si="35"/>
        <v>112033.90329933946</v>
      </c>
      <c r="E2247" s="1">
        <v>11</v>
      </c>
      <c r="F2247" s="1">
        <v>19</v>
      </c>
      <c r="G2247" s="1">
        <v>5</v>
      </c>
      <c r="H2247" s="1">
        <v>2</v>
      </c>
      <c r="I2247" s="1">
        <v>0</v>
      </c>
      <c r="J2247" s="1">
        <v>1</v>
      </c>
      <c r="K2247" s="1">
        <v>0</v>
      </c>
      <c r="L2247" s="1">
        <v>0</v>
      </c>
      <c r="M2247" s="1">
        <v>1</v>
      </c>
    </row>
    <row r="2248" spans="1:13">
      <c r="A2248" s="1">
        <v>2247</v>
      </c>
      <c r="B2248" s="1">
        <v>891601.33860000002</v>
      </c>
      <c r="C2248" s="1">
        <v>649490.69566067425</v>
      </c>
      <c r="D2248" s="1">
        <f t="shared" si="35"/>
        <v>242110.64293932577</v>
      </c>
      <c r="E2248" s="1">
        <v>14</v>
      </c>
      <c r="F2248" s="1">
        <v>16</v>
      </c>
      <c r="G2248" s="1">
        <v>5</v>
      </c>
      <c r="H2248" s="1">
        <v>1</v>
      </c>
      <c r="I2248" s="1">
        <v>0</v>
      </c>
      <c r="J2248" s="1">
        <v>0</v>
      </c>
      <c r="K2248" s="1">
        <v>0</v>
      </c>
      <c r="L2248" s="1">
        <v>0</v>
      </c>
      <c r="M2248" s="1">
        <v>0</v>
      </c>
    </row>
    <row r="2249" spans="1:13">
      <c r="A2249" s="1">
        <v>2248</v>
      </c>
      <c r="B2249" s="1">
        <v>980141.34990000003</v>
      </c>
      <c r="C2249" s="1">
        <v>1197830.8183355171</v>
      </c>
      <c r="D2249" s="1">
        <f t="shared" si="35"/>
        <v>-217689.46843551705</v>
      </c>
      <c r="E2249" s="1">
        <v>5</v>
      </c>
      <c r="F2249" s="1">
        <v>25</v>
      </c>
      <c r="G2249" s="1">
        <v>5</v>
      </c>
      <c r="H2249" s="1">
        <v>1</v>
      </c>
      <c r="I2249" s="1">
        <v>0</v>
      </c>
      <c r="J2249" s="1">
        <v>0</v>
      </c>
      <c r="K2249" s="1">
        <v>0</v>
      </c>
      <c r="L2249" s="1">
        <v>0</v>
      </c>
      <c r="M2249" s="1">
        <v>0</v>
      </c>
    </row>
    <row r="2250" spans="1:13">
      <c r="A2250" s="1">
        <v>2249</v>
      </c>
      <c r="B2250" s="1">
        <v>881449.59530000004</v>
      </c>
      <c r="C2250" s="1">
        <v>861850.48831159971</v>
      </c>
      <c r="D2250" s="1">
        <f t="shared" si="35"/>
        <v>19599.106988400337</v>
      </c>
      <c r="E2250" s="1">
        <v>15</v>
      </c>
      <c r="F2250" s="1">
        <v>17</v>
      </c>
      <c r="G2250" s="1">
        <v>3</v>
      </c>
      <c r="H2250" s="1">
        <v>0</v>
      </c>
      <c r="I2250" s="1">
        <v>0</v>
      </c>
      <c r="J2250" s="1">
        <v>0</v>
      </c>
      <c r="K2250" s="1">
        <v>2</v>
      </c>
      <c r="L2250" s="1">
        <v>0</v>
      </c>
      <c r="M2250" s="1">
        <v>0</v>
      </c>
    </row>
    <row r="2251" spans="1:13">
      <c r="A2251" s="1">
        <v>2250</v>
      </c>
      <c r="B2251" s="1">
        <v>816024.84149999998</v>
      </c>
      <c r="C2251" s="1">
        <v>762571.22426478146</v>
      </c>
      <c r="D2251" s="1">
        <f t="shared" si="35"/>
        <v>53453.617235218524</v>
      </c>
      <c r="E2251" s="1">
        <v>20</v>
      </c>
      <c r="F2251" s="1">
        <v>9</v>
      </c>
      <c r="G2251" s="1">
        <v>6</v>
      </c>
      <c r="H2251" s="1">
        <v>0</v>
      </c>
      <c r="I2251" s="1">
        <v>0</v>
      </c>
      <c r="J2251" s="1">
        <v>0</v>
      </c>
      <c r="K2251" s="1">
        <v>2</v>
      </c>
      <c r="L2251" s="1">
        <v>0</v>
      </c>
      <c r="M2251" s="1">
        <v>0</v>
      </c>
    </row>
    <row r="2252" spans="1:13">
      <c r="A2252" s="1">
        <v>2251</v>
      </c>
      <c r="B2252" s="1">
        <v>918455.70250000001</v>
      </c>
      <c r="C2252" s="1">
        <v>820569.77054235269</v>
      </c>
      <c r="D2252" s="1">
        <f t="shared" si="35"/>
        <v>97885.931957647321</v>
      </c>
      <c r="E2252" s="1">
        <v>11</v>
      </c>
      <c r="F2252" s="1">
        <v>18</v>
      </c>
      <c r="G2252" s="1">
        <v>6</v>
      </c>
      <c r="H2252" s="1">
        <v>2</v>
      </c>
      <c r="I2252" s="1">
        <v>0</v>
      </c>
      <c r="J2252" s="1">
        <v>1</v>
      </c>
      <c r="K2252" s="1">
        <v>1</v>
      </c>
      <c r="L2252" s="1">
        <v>0</v>
      </c>
      <c r="M2252" s="1">
        <v>0</v>
      </c>
    </row>
    <row r="2253" spans="1:13">
      <c r="A2253" s="1">
        <v>2252</v>
      </c>
      <c r="B2253" s="1">
        <v>954824.96889999998</v>
      </c>
      <c r="C2253" s="1">
        <v>970655.45950609178</v>
      </c>
      <c r="D2253" s="1">
        <f t="shared" si="35"/>
        <v>-15830.4906060918</v>
      </c>
      <c r="E2253" s="1">
        <v>14</v>
      </c>
      <c r="F2253" s="1">
        <v>17</v>
      </c>
      <c r="G2253" s="1">
        <v>4</v>
      </c>
      <c r="H2253" s="1">
        <v>1</v>
      </c>
      <c r="I2253" s="1">
        <v>0</v>
      </c>
      <c r="J2253" s="1">
        <v>0</v>
      </c>
      <c r="K2253" s="1">
        <v>2</v>
      </c>
      <c r="L2253" s="1">
        <v>0</v>
      </c>
      <c r="M2253" s="1">
        <v>0</v>
      </c>
    </row>
    <row r="2254" spans="1:13">
      <c r="A2254" s="1">
        <v>2253</v>
      </c>
      <c r="B2254" s="1">
        <v>958848.28529999999</v>
      </c>
      <c r="C2254" s="1">
        <v>621293.20656185318</v>
      </c>
      <c r="D2254" s="1">
        <f t="shared" si="35"/>
        <v>337555.07873814681</v>
      </c>
      <c r="E2254" s="1">
        <v>14</v>
      </c>
      <c r="F2254" s="1">
        <v>16</v>
      </c>
      <c r="G2254" s="1">
        <v>5</v>
      </c>
      <c r="H2254" s="1">
        <v>0</v>
      </c>
      <c r="I2254" s="1">
        <v>0</v>
      </c>
      <c r="J2254" s="1">
        <v>0</v>
      </c>
      <c r="K2254" s="1">
        <v>0</v>
      </c>
      <c r="L2254" s="1">
        <v>0</v>
      </c>
      <c r="M2254" s="1">
        <v>0</v>
      </c>
    </row>
    <row r="2255" spans="1:13">
      <c r="A2255" s="1">
        <v>2254</v>
      </c>
      <c r="B2255" s="1">
        <v>890287.321</v>
      </c>
      <c r="C2255" s="1">
        <v>475379.40468198969</v>
      </c>
      <c r="D2255" s="1">
        <f t="shared" si="35"/>
        <v>414907.91631801031</v>
      </c>
      <c r="E2255" s="1">
        <v>17</v>
      </c>
      <c r="F2255" s="1">
        <v>10</v>
      </c>
      <c r="G2255" s="1">
        <v>8</v>
      </c>
      <c r="H2255" s="1">
        <v>1</v>
      </c>
      <c r="I2255" s="1">
        <v>0</v>
      </c>
      <c r="J2255" s="1">
        <v>0</v>
      </c>
      <c r="K2255" s="1">
        <v>0</v>
      </c>
      <c r="L2255" s="1">
        <v>0</v>
      </c>
      <c r="M2255" s="1">
        <v>0</v>
      </c>
    </row>
    <row r="2256" spans="1:13">
      <c r="A2256" s="1">
        <v>2255</v>
      </c>
      <c r="B2256" s="1">
        <v>899965.65980000002</v>
      </c>
      <c r="C2256" s="1">
        <v>625729.02780018176</v>
      </c>
      <c r="D2256" s="1">
        <f t="shared" si="35"/>
        <v>274236.63199981826</v>
      </c>
      <c r="E2256" s="1">
        <v>14</v>
      </c>
      <c r="F2256" s="1">
        <v>16</v>
      </c>
      <c r="G2256" s="1">
        <v>5</v>
      </c>
      <c r="H2256" s="1">
        <v>2</v>
      </c>
      <c r="I2256" s="1">
        <v>0</v>
      </c>
      <c r="J2256" s="1">
        <v>2</v>
      </c>
      <c r="K2256" s="1">
        <v>0</v>
      </c>
      <c r="L2256" s="1">
        <v>0</v>
      </c>
      <c r="M2256" s="1">
        <v>1</v>
      </c>
    </row>
    <row r="2257" spans="1:13">
      <c r="A2257" s="1">
        <v>2256</v>
      </c>
      <c r="B2257" s="1">
        <v>936869.94810000004</v>
      </c>
      <c r="C2257" s="1">
        <v>809004.34087877849</v>
      </c>
      <c r="D2257" s="1">
        <f t="shared" si="35"/>
        <v>127865.60722122155</v>
      </c>
      <c r="E2257" s="1">
        <v>15</v>
      </c>
      <c r="F2257" s="1">
        <v>14</v>
      </c>
      <c r="G2257" s="1">
        <v>6</v>
      </c>
      <c r="H2257" s="1">
        <v>1</v>
      </c>
      <c r="I2257" s="1">
        <v>0</v>
      </c>
      <c r="J2257" s="1">
        <v>0</v>
      </c>
      <c r="K2257" s="1">
        <v>0</v>
      </c>
      <c r="L2257" s="1">
        <v>1</v>
      </c>
      <c r="M2257" s="1">
        <v>1</v>
      </c>
    </row>
    <row r="2258" spans="1:13">
      <c r="A2258" s="1">
        <v>2257</v>
      </c>
      <c r="B2258" s="1">
        <v>881895.73300000001</v>
      </c>
      <c r="C2258" s="1">
        <v>916285.01424802165</v>
      </c>
      <c r="D2258" s="1">
        <f t="shared" si="35"/>
        <v>-34389.281248021638</v>
      </c>
      <c r="E2258" s="1">
        <v>16</v>
      </c>
      <c r="F2258" s="1">
        <v>14</v>
      </c>
      <c r="G2258" s="1">
        <v>5</v>
      </c>
      <c r="H2258" s="1">
        <v>0</v>
      </c>
      <c r="I2258" s="1">
        <v>1</v>
      </c>
      <c r="J2258" s="1">
        <v>0</v>
      </c>
      <c r="K2258" s="1">
        <v>0</v>
      </c>
      <c r="L2258" s="1">
        <v>0</v>
      </c>
      <c r="M2258" s="1">
        <v>0</v>
      </c>
    </row>
    <row r="2259" spans="1:13">
      <c r="A2259" s="1">
        <v>2258</v>
      </c>
      <c r="B2259" s="1">
        <v>1007078.831</v>
      </c>
      <c r="C2259" s="1">
        <v>676172.84456445742</v>
      </c>
      <c r="D2259" s="1">
        <f t="shared" si="35"/>
        <v>330905.98643554258</v>
      </c>
      <c r="E2259" s="1">
        <v>17</v>
      </c>
      <c r="F2259" s="1">
        <v>14</v>
      </c>
      <c r="G2259" s="1">
        <v>4</v>
      </c>
      <c r="H2259" s="1">
        <v>0</v>
      </c>
      <c r="I2259" s="1">
        <v>1</v>
      </c>
      <c r="J2259" s="1">
        <v>2</v>
      </c>
      <c r="K2259" s="1">
        <v>0</v>
      </c>
      <c r="L2259" s="1">
        <v>0</v>
      </c>
      <c r="M2259" s="1">
        <v>0</v>
      </c>
    </row>
    <row r="2260" spans="1:13">
      <c r="A2260" s="1">
        <v>2259</v>
      </c>
      <c r="B2260" s="1">
        <v>1020333.52</v>
      </c>
      <c r="C2260" s="1">
        <v>1019532.0746549631</v>
      </c>
      <c r="D2260" s="1">
        <f t="shared" si="35"/>
        <v>801.4453450369183</v>
      </c>
      <c r="E2260" s="1">
        <v>12</v>
      </c>
      <c r="F2260" s="1">
        <v>19</v>
      </c>
      <c r="G2260" s="1">
        <v>4</v>
      </c>
      <c r="H2260" s="1">
        <v>2</v>
      </c>
      <c r="I2260" s="1">
        <v>0</v>
      </c>
      <c r="J2260" s="1">
        <v>0</v>
      </c>
      <c r="K2260" s="1">
        <v>2</v>
      </c>
      <c r="L2260" s="1">
        <v>0</v>
      </c>
      <c r="M2260" s="1">
        <v>1</v>
      </c>
    </row>
    <row r="2261" spans="1:13">
      <c r="A2261" s="1">
        <v>2260</v>
      </c>
      <c r="B2261" s="1">
        <v>837571.53700000001</v>
      </c>
      <c r="C2261" s="1">
        <v>1257091.7528963063</v>
      </c>
      <c r="D2261" s="1">
        <f t="shared" si="35"/>
        <v>-419520.21589630633</v>
      </c>
      <c r="E2261" s="1">
        <v>17</v>
      </c>
      <c r="F2261" s="1">
        <v>14</v>
      </c>
      <c r="G2261" s="1">
        <v>4</v>
      </c>
      <c r="H2261" s="1">
        <v>1</v>
      </c>
      <c r="I2261" s="1">
        <v>1</v>
      </c>
      <c r="J2261" s="1">
        <v>0</v>
      </c>
      <c r="K2261" s="1">
        <v>1</v>
      </c>
      <c r="L2261" s="1">
        <v>0</v>
      </c>
      <c r="M2261" s="1">
        <v>0</v>
      </c>
    </row>
    <row r="2262" spans="1:13">
      <c r="A2262" s="1">
        <v>2261</v>
      </c>
      <c r="B2262" s="1">
        <v>1090766.0382000001</v>
      </c>
      <c r="C2262" s="1">
        <v>1632886.4600335015</v>
      </c>
      <c r="D2262" s="1">
        <f t="shared" si="35"/>
        <v>-542120.42183350143</v>
      </c>
      <c r="E2262" s="1">
        <v>15</v>
      </c>
      <c r="F2262" s="1">
        <v>15</v>
      </c>
      <c r="G2262" s="1">
        <v>5</v>
      </c>
      <c r="H2262" s="1">
        <v>1</v>
      </c>
      <c r="I2262" s="1">
        <v>1</v>
      </c>
      <c r="J2262" s="1">
        <v>1</v>
      </c>
      <c r="K2262" s="1">
        <v>0</v>
      </c>
      <c r="L2262" s="1">
        <v>1</v>
      </c>
      <c r="M2262" s="1">
        <v>1</v>
      </c>
    </row>
    <row r="2263" spans="1:13">
      <c r="A2263" s="1">
        <v>2262</v>
      </c>
      <c r="B2263" s="1">
        <v>843817.28319999995</v>
      </c>
      <c r="C2263" s="1">
        <v>1149414.5400292119</v>
      </c>
      <c r="D2263" s="1">
        <f t="shared" si="35"/>
        <v>-305597.25682921195</v>
      </c>
      <c r="E2263" s="1">
        <v>11</v>
      </c>
      <c r="F2263" s="1">
        <v>16</v>
      </c>
      <c r="G2263" s="1">
        <v>8</v>
      </c>
      <c r="H2263" s="1">
        <v>0</v>
      </c>
      <c r="I2263" s="1">
        <v>0</v>
      </c>
      <c r="J2263" s="1">
        <v>0</v>
      </c>
      <c r="K2263" s="1">
        <v>0</v>
      </c>
      <c r="L2263" s="1">
        <v>0</v>
      </c>
      <c r="M2263" s="1">
        <v>0</v>
      </c>
    </row>
    <row r="2264" spans="1:13">
      <c r="A2264" s="1">
        <v>2263</v>
      </c>
      <c r="B2264" s="1">
        <v>966348.76419999998</v>
      </c>
      <c r="C2264" s="1">
        <v>1093640.3132121067</v>
      </c>
      <c r="D2264" s="1">
        <f t="shared" si="35"/>
        <v>-127291.54901210673</v>
      </c>
      <c r="E2264" s="1">
        <v>18</v>
      </c>
      <c r="F2264" s="1">
        <v>12</v>
      </c>
      <c r="G2264" s="1">
        <v>5</v>
      </c>
      <c r="H2264" s="1">
        <v>2</v>
      </c>
      <c r="I2264" s="1">
        <v>0</v>
      </c>
      <c r="J2264" s="1">
        <v>0</v>
      </c>
      <c r="K2264" s="1">
        <v>0</v>
      </c>
      <c r="L2264" s="1">
        <v>0</v>
      </c>
      <c r="M2264" s="1">
        <v>1</v>
      </c>
    </row>
    <row r="2265" spans="1:13">
      <c r="A2265" s="1">
        <v>2264</v>
      </c>
      <c r="B2265" s="1">
        <v>880605.78769999999</v>
      </c>
      <c r="C2265" s="1">
        <v>871044.82557323552</v>
      </c>
      <c r="D2265" s="1">
        <f t="shared" si="35"/>
        <v>9560.9621267644688</v>
      </c>
      <c r="E2265" s="1">
        <v>9</v>
      </c>
      <c r="F2265" s="1">
        <v>21</v>
      </c>
      <c r="G2265" s="1">
        <v>5</v>
      </c>
      <c r="H2265" s="1">
        <v>2</v>
      </c>
      <c r="I2265" s="1">
        <v>0</v>
      </c>
      <c r="J2265" s="1">
        <v>0</v>
      </c>
      <c r="K2265" s="1">
        <v>1</v>
      </c>
      <c r="L2265" s="1">
        <v>0</v>
      </c>
      <c r="M2265" s="1">
        <v>1</v>
      </c>
    </row>
    <row r="2266" spans="1:13">
      <c r="A2266" s="1">
        <v>2265</v>
      </c>
      <c r="B2266" s="1">
        <v>886929.03989999997</v>
      </c>
      <c r="C2266" s="1">
        <v>1163999.8005783209</v>
      </c>
      <c r="D2266" s="1">
        <f t="shared" si="35"/>
        <v>-277070.76067832089</v>
      </c>
      <c r="E2266" s="1">
        <v>17</v>
      </c>
      <c r="F2266" s="1">
        <v>14</v>
      </c>
      <c r="G2266" s="1">
        <v>4</v>
      </c>
      <c r="H2266" s="1">
        <v>2</v>
      </c>
      <c r="I2266" s="1">
        <v>0</v>
      </c>
      <c r="J2266" s="1">
        <v>0</v>
      </c>
      <c r="K2266" s="1">
        <v>0</v>
      </c>
      <c r="L2266" s="1">
        <v>0</v>
      </c>
      <c r="M2266" s="1">
        <v>0</v>
      </c>
    </row>
    <row r="2267" spans="1:13">
      <c r="A2267" s="1">
        <v>2266</v>
      </c>
      <c r="B2267" s="1">
        <v>904485.16520000005</v>
      </c>
      <c r="C2267" s="1">
        <v>1838698.0442925286</v>
      </c>
      <c r="D2267" s="1">
        <f t="shared" si="35"/>
        <v>-934212.8790925286</v>
      </c>
      <c r="E2267" s="1">
        <v>17</v>
      </c>
      <c r="F2267" s="1">
        <v>14</v>
      </c>
      <c r="G2267" s="1">
        <v>4</v>
      </c>
      <c r="H2267" s="1">
        <v>1</v>
      </c>
      <c r="I2267" s="1">
        <v>0</v>
      </c>
      <c r="J2267" s="1">
        <v>1</v>
      </c>
      <c r="K2267" s="1">
        <v>1</v>
      </c>
      <c r="L2267" s="1">
        <v>0</v>
      </c>
      <c r="M2267" s="1">
        <v>0</v>
      </c>
    </row>
    <row r="2268" spans="1:13">
      <c r="A2268" s="1">
        <v>2267</v>
      </c>
      <c r="B2268" s="1">
        <v>905307.99849999999</v>
      </c>
      <c r="C2268" s="1">
        <v>1019181.9571093208</v>
      </c>
      <c r="D2268" s="1">
        <f t="shared" si="35"/>
        <v>-113873.95860932081</v>
      </c>
      <c r="E2268" s="1">
        <v>18</v>
      </c>
      <c r="F2268" s="1">
        <v>14</v>
      </c>
      <c r="G2268" s="1">
        <v>3</v>
      </c>
      <c r="H2268" s="1">
        <v>1</v>
      </c>
      <c r="I2268" s="1">
        <v>0</v>
      </c>
      <c r="J2268" s="1">
        <v>0</v>
      </c>
      <c r="K2268" s="1">
        <v>2</v>
      </c>
      <c r="L2268" s="1">
        <v>0</v>
      </c>
      <c r="M2268" s="1">
        <v>0</v>
      </c>
    </row>
    <row r="2269" spans="1:13">
      <c r="A2269" s="1">
        <v>2268</v>
      </c>
      <c r="B2269" s="1">
        <v>806734.67500000005</v>
      </c>
      <c r="C2269" s="1">
        <v>449135.88384360028</v>
      </c>
      <c r="D2269" s="1">
        <f t="shared" si="35"/>
        <v>357598.79115639976</v>
      </c>
      <c r="E2269" s="1">
        <v>17</v>
      </c>
      <c r="F2269" s="1">
        <v>15</v>
      </c>
      <c r="G2269" s="1">
        <v>3</v>
      </c>
      <c r="H2269" s="1">
        <v>0</v>
      </c>
      <c r="I2269" s="1">
        <v>0</v>
      </c>
      <c r="J2269" s="1">
        <v>0</v>
      </c>
      <c r="K2269" s="1">
        <v>1</v>
      </c>
      <c r="L2269" s="1">
        <v>0</v>
      </c>
      <c r="M2269" s="1">
        <v>0</v>
      </c>
    </row>
    <row r="2270" spans="1:13">
      <c r="A2270" s="1">
        <v>2269</v>
      </c>
      <c r="B2270" s="1">
        <v>994869.02379999997</v>
      </c>
      <c r="C2270" s="1">
        <v>785842.91773933941</v>
      </c>
      <c r="D2270" s="1">
        <f t="shared" si="35"/>
        <v>209026.10606066056</v>
      </c>
      <c r="E2270" s="1">
        <v>8</v>
      </c>
      <c r="F2270" s="1">
        <v>22</v>
      </c>
      <c r="G2270" s="1">
        <v>5</v>
      </c>
      <c r="H2270" s="1">
        <v>1</v>
      </c>
      <c r="I2270" s="1">
        <v>0</v>
      </c>
      <c r="J2270" s="1">
        <v>0</v>
      </c>
      <c r="K2270" s="1">
        <v>1</v>
      </c>
      <c r="L2270" s="1">
        <v>0</v>
      </c>
      <c r="M2270" s="1">
        <v>0</v>
      </c>
    </row>
    <row r="2271" spans="1:13">
      <c r="A2271" s="1">
        <v>2270</v>
      </c>
      <c r="B2271" s="1">
        <v>991209.75520000001</v>
      </c>
      <c r="C2271" s="1">
        <v>2226209.885221146</v>
      </c>
      <c r="D2271" s="1">
        <f t="shared" si="35"/>
        <v>-1235000.130021146</v>
      </c>
      <c r="E2271" s="1">
        <v>12</v>
      </c>
      <c r="F2271" s="1">
        <v>16</v>
      </c>
      <c r="G2271" s="1">
        <v>7</v>
      </c>
      <c r="H2271" s="1">
        <v>0</v>
      </c>
      <c r="I2271" s="1">
        <v>1</v>
      </c>
      <c r="J2271" s="1">
        <v>0</v>
      </c>
      <c r="K2271" s="1">
        <v>1</v>
      </c>
      <c r="L2271" s="1">
        <v>0</v>
      </c>
      <c r="M2271" s="1">
        <v>0</v>
      </c>
    </row>
    <row r="2272" spans="1:13">
      <c r="A2272" s="1">
        <v>2271</v>
      </c>
      <c r="B2272" s="1">
        <v>917664.0466</v>
      </c>
      <c r="C2272" s="1">
        <v>964204.14445490087</v>
      </c>
      <c r="D2272" s="1">
        <f t="shared" si="35"/>
        <v>-46540.097854900872</v>
      </c>
      <c r="E2272" s="1">
        <v>14</v>
      </c>
      <c r="F2272" s="1">
        <v>13</v>
      </c>
      <c r="G2272" s="1">
        <v>8</v>
      </c>
      <c r="H2272" s="1">
        <v>1</v>
      </c>
      <c r="I2272" s="1">
        <v>1</v>
      </c>
      <c r="J2272" s="1">
        <v>0</v>
      </c>
      <c r="K2272" s="1">
        <v>1</v>
      </c>
      <c r="L2272" s="1">
        <v>0</v>
      </c>
      <c r="M2272" s="1">
        <v>1</v>
      </c>
    </row>
    <row r="2273" spans="1:13">
      <c r="A2273" s="1">
        <v>2272</v>
      </c>
      <c r="B2273" s="1">
        <v>877667.95620000002</v>
      </c>
      <c r="C2273" s="1">
        <v>1135614.8298759209</v>
      </c>
      <c r="D2273" s="1">
        <f t="shared" si="35"/>
        <v>-257946.87367592088</v>
      </c>
      <c r="E2273" s="1">
        <v>25</v>
      </c>
      <c r="F2273" s="1">
        <v>6</v>
      </c>
      <c r="G2273" s="1">
        <v>4</v>
      </c>
      <c r="H2273" s="1">
        <v>0</v>
      </c>
      <c r="I2273" s="1">
        <v>0</v>
      </c>
      <c r="J2273" s="1">
        <v>1</v>
      </c>
      <c r="K2273" s="1">
        <v>1</v>
      </c>
      <c r="L2273" s="1">
        <v>0</v>
      </c>
      <c r="M2273" s="1">
        <v>0</v>
      </c>
    </row>
    <row r="2274" spans="1:13">
      <c r="A2274" s="1">
        <v>2273</v>
      </c>
      <c r="B2274" s="1">
        <v>849642.0932</v>
      </c>
      <c r="C2274" s="1">
        <v>1175088.5645715464</v>
      </c>
      <c r="D2274" s="1">
        <f t="shared" si="35"/>
        <v>-325446.47137154639</v>
      </c>
      <c r="E2274" s="1">
        <v>12</v>
      </c>
      <c r="F2274" s="1">
        <v>19</v>
      </c>
      <c r="G2274" s="1">
        <v>4</v>
      </c>
      <c r="H2274" s="1">
        <v>1</v>
      </c>
      <c r="I2274" s="1">
        <v>0</v>
      </c>
      <c r="J2274" s="1">
        <v>1</v>
      </c>
      <c r="K2274" s="1">
        <v>1</v>
      </c>
      <c r="L2274" s="1">
        <v>0</v>
      </c>
      <c r="M2274" s="1">
        <v>1</v>
      </c>
    </row>
    <row r="2275" spans="1:13">
      <c r="A2275" s="1">
        <v>2274</v>
      </c>
      <c r="B2275" s="1">
        <v>881446.14390000002</v>
      </c>
      <c r="C2275" s="1">
        <v>1453695.4371324871</v>
      </c>
      <c r="D2275" s="1">
        <f t="shared" si="35"/>
        <v>-572249.29323248705</v>
      </c>
      <c r="E2275" s="1">
        <v>15</v>
      </c>
      <c r="F2275" s="1">
        <v>16</v>
      </c>
      <c r="G2275" s="1">
        <v>4</v>
      </c>
      <c r="H2275" s="1">
        <v>1</v>
      </c>
      <c r="I2275" s="1">
        <v>0</v>
      </c>
      <c r="J2275" s="1">
        <v>1</v>
      </c>
      <c r="K2275" s="1">
        <v>1</v>
      </c>
      <c r="L2275" s="1">
        <v>0</v>
      </c>
      <c r="M2275" s="1">
        <v>1</v>
      </c>
    </row>
    <row r="2276" spans="1:13">
      <c r="A2276" s="1">
        <v>2275</v>
      </c>
      <c r="B2276" s="1">
        <v>926241.71990000003</v>
      </c>
      <c r="C2276" s="1">
        <v>638397.76960555709</v>
      </c>
      <c r="D2276" s="1">
        <f t="shared" si="35"/>
        <v>287843.95029444294</v>
      </c>
      <c r="E2276" s="1">
        <v>9</v>
      </c>
      <c r="F2276" s="1">
        <v>24</v>
      </c>
      <c r="G2276" s="1">
        <v>2</v>
      </c>
      <c r="H2276" s="1">
        <v>0</v>
      </c>
      <c r="I2276" s="1">
        <v>0</v>
      </c>
      <c r="J2276" s="1">
        <v>0</v>
      </c>
      <c r="K2276" s="1">
        <v>0</v>
      </c>
      <c r="L2276" s="1">
        <v>0</v>
      </c>
      <c r="M2276" s="1">
        <v>0</v>
      </c>
    </row>
    <row r="2277" spans="1:13">
      <c r="A2277" s="1">
        <v>2276</v>
      </c>
      <c r="B2277" s="1">
        <v>935114.49609999999</v>
      </c>
      <c r="C2277" s="1">
        <v>864712.98976290785</v>
      </c>
      <c r="D2277" s="1">
        <f t="shared" si="35"/>
        <v>70401.506337092142</v>
      </c>
      <c r="E2277" s="1">
        <v>9</v>
      </c>
      <c r="F2277" s="1">
        <v>18</v>
      </c>
      <c r="G2277" s="1">
        <v>8</v>
      </c>
      <c r="H2277" s="1">
        <v>1</v>
      </c>
      <c r="I2277" s="1">
        <v>0</v>
      </c>
      <c r="J2277" s="1">
        <v>0</v>
      </c>
      <c r="K2277" s="1">
        <v>0</v>
      </c>
      <c r="L2277" s="1">
        <v>0</v>
      </c>
      <c r="M2277" s="1">
        <v>0</v>
      </c>
    </row>
    <row r="2278" spans="1:13">
      <c r="A2278" s="1">
        <v>2277</v>
      </c>
      <c r="B2278" s="1">
        <v>1009546.5053</v>
      </c>
      <c r="C2278" s="1">
        <v>800324.90171374998</v>
      </c>
      <c r="D2278" s="1">
        <f t="shared" si="35"/>
        <v>209221.60358624998</v>
      </c>
      <c r="E2278" s="1">
        <v>8</v>
      </c>
      <c r="F2278" s="1">
        <v>21</v>
      </c>
      <c r="G2278" s="1">
        <v>6</v>
      </c>
      <c r="H2278" s="1">
        <v>1</v>
      </c>
      <c r="I2278" s="1">
        <v>1</v>
      </c>
      <c r="J2278" s="1">
        <v>2</v>
      </c>
      <c r="K2278" s="1">
        <v>0</v>
      </c>
      <c r="L2278" s="1">
        <v>0</v>
      </c>
      <c r="M2278" s="1">
        <v>1</v>
      </c>
    </row>
    <row r="2279" spans="1:13">
      <c r="A2279" s="1">
        <v>2278</v>
      </c>
      <c r="B2279" s="1">
        <v>926306.81779999996</v>
      </c>
      <c r="C2279" s="1">
        <v>870266.8019765924</v>
      </c>
      <c r="D2279" s="1">
        <f t="shared" si="35"/>
        <v>56040.015823407564</v>
      </c>
      <c r="E2279" s="1">
        <v>10</v>
      </c>
      <c r="F2279" s="1">
        <v>23</v>
      </c>
      <c r="G2279" s="1">
        <v>2</v>
      </c>
      <c r="H2279" s="1">
        <v>1</v>
      </c>
      <c r="I2279" s="1">
        <v>0</v>
      </c>
      <c r="J2279" s="1">
        <v>0</v>
      </c>
      <c r="K2279" s="1">
        <v>0</v>
      </c>
      <c r="L2279" s="1">
        <v>0</v>
      </c>
      <c r="M2279" s="1">
        <v>1</v>
      </c>
    </row>
    <row r="2280" spans="1:13">
      <c r="A2280" s="1">
        <v>2279</v>
      </c>
      <c r="B2280" s="1">
        <v>946119.32290000003</v>
      </c>
      <c r="C2280" s="1">
        <v>1544931.1357300538</v>
      </c>
      <c r="D2280" s="1">
        <f t="shared" si="35"/>
        <v>-598811.81283005374</v>
      </c>
      <c r="E2280" s="1">
        <v>19</v>
      </c>
      <c r="F2280" s="1">
        <v>9</v>
      </c>
      <c r="G2280" s="1">
        <v>7</v>
      </c>
      <c r="H2280" s="1">
        <v>2</v>
      </c>
      <c r="I2280" s="1">
        <v>0</v>
      </c>
      <c r="J2280" s="1">
        <v>0</v>
      </c>
      <c r="K2280" s="1">
        <v>0</v>
      </c>
      <c r="L2280" s="1">
        <v>0</v>
      </c>
      <c r="M2280" s="1">
        <v>0</v>
      </c>
    </row>
    <row r="2281" spans="1:13">
      <c r="A2281" s="1">
        <v>2280</v>
      </c>
      <c r="B2281" s="1">
        <v>885367.21860000002</v>
      </c>
      <c r="C2281" s="1">
        <v>884292.12483793218</v>
      </c>
      <c r="D2281" s="1">
        <f t="shared" si="35"/>
        <v>1075.0937620678451</v>
      </c>
      <c r="E2281" s="1">
        <v>12</v>
      </c>
      <c r="F2281" s="1">
        <v>18</v>
      </c>
      <c r="G2281" s="1">
        <v>5</v>
      </c>
      <c r="H2281" s="1">
        <v>1</v>
      </c>
      <c r="I2281" s="1">
        <v>0</v>
      </c>
      <c r="J2281" s="1">
        <v>0</v>
      </c>
      <c r="K2281" s="1">
        <v>0</v>
      </c>
      <c r="L2281" s="1">
        <v>2</v>
      </c>
      <c r="M2281" s="1">
        <v>0</v>
      </c>
    </row>
    <row r="2282" spans="1:13">
      <c r="A2282" s="1">
        <v>2281</v>
      </c>
      <c r="B2282" s="1">
        <v>913615.38659999997</v>
      </c>
      <c r="C2282" s="1">
        <v>1219600.7674879376</v>
      </c>
      <c r="D2282" s="1">
        <f t="shared" si="35"/>
        <v>-305985.38088793762</v>
      </c>
      <c r="E2282" s="1">
        <v>9</v>
      </c>
      <c r="F2282" s="1">
        <v>19</v>
      </c>
      <c r="G2282" s="1">
        <v>7</v>
      </c>
      <c r="H2282" s="1">
        <v>0</v>
      </c>
      <c r="I2282" s="1">
        <v>0</v>
      </c>
      <c r="J2282" s="1">
        <v>1</v>
      </c>
      <c r="K2282" s="1">
        <v>0</v>
      </c>
      <c r="L2282" s="1">
        <v>0</v>
      </c>
      <c r="M2282" s="1">
        <v>1</v>
      </c>
    </row>
    <row r="2283" spans="1:13">
      <c r="A2283" s="1">
        <v>2282</v>
      </c>
      <c r="B2283" s="1">
        <v>988563.67520000006</v>
      </c>
      <c r="C2283" s="1">
        <v>775267.86279863992</v>
      </c>
      <c r="D2283" s="1">
        <f t="shared" si="35"/>
        <v>213295.81240136013</v>
      </c>
      <c r="E2283" s="1">
        <v>6</v>
      </c>
      <c r="F2283" s="1">
        <v>24</v>
      </c>
      <c r="G2283" s="1">
        <v>5</v>
      </c>
      <c r="H2283" s="1">
        <v>2</v>
      </c>
      <c r="I2283" s="1">
        <v>0</v>
      </c>
      <c r="J2283" s="1">
        <v>2</v>
      </c>
      <c r="K2283" s="1">
        <v>0</v>
      </c>
      <c r="L2283" s="1">
        <v>0</v>
      </c>
      <c r="M2283" s="1">
        <v>0</v>
      </c>
    </row>
    <row r="2284" spans="1:13">
      <c r="A2284" s="1">
        <v>2283</v>
      </c>
      <c r="B2284" s="1">
        <v>975165.82579999999</v>
      </c>
      <c r="C2284" s="1">
        <v>1031838.0653502513</v>
      </c>
      <c r="D2284" s="1">
        <f t="shared" si="35"/>
        <v>-56672.239550251281</v>
      </c>
      <c r="E2284" s="1">
        <v>5</v>
      </c>
      <c r="F2284" s="1">
        <v>21</v>
      </c>
      <c r="G2284" s="1">
        <v>9</v>
      </c>
      <c r="H2284" s="1">
        <v>0</v>
      </c>
      <c r="I2284" s="1">
        <v>0</v>
      </c>
      <c r="J2284" s="1">
        <v>2</v>
      </c>
      <c r="K2284" s="1">
        <v>0</v>
      </c>
      <c r="L2284" s="1">
        <v>0</v>
      </c>
      <c r="M2284" s="1">
        <v>0</v>
      </c>
    </row>
    <row r="2285" spans="1:13">
      <c r="A2285" s="1">
        <v>2284</v>
      </c>
      <c r="B2285" s="1">
        <v>976544.91899999999</v>
      </c>
      <c r="C2285" s="1">
        <v>556778.33183892723</v>
      </c>
      <c r="D2285" s="1">
        <f t="shared" si="35"/>
        <v>419766.58716107276</v>
      </c>
      <c r="E2285" s="1">
        <v>10</v>
      </c>
      <c r="F2285" s="1">
        <v>21</v>
      </c>
      <c r="G2285" s="1">
        <v>4</v>
      </c>
      <c r="H2285" s="1">
        <v>0</v>
      </c>
      <c r="I2285" s="1">
        <v>0</v>
      </c>
      <c r="J2285" s="1">
        <v>1</v>
      </c>
      <c r="K2285" s="1">
        <v>1</v>
      </c>
      <c r="L2285" s="1">
        <v>0</v>
      </c>
      <c r="M2285" s="1">
        <v>0</v>
      </c>
    </row>
    <row r="2286" spans="1:13">
      <c r="A2286" s="1">
        <v>2285</v>
      </c>
      <c r="B2286" s="1">
        <v>937504.81449999998</v>
      </c>
      <c r="C2286" s="1">
        <v>1057609.8592114754</v>
      </c>
      <c r="D2286" s="1">
        <f t="shared" si="35"/>
        <v>-120105.04471147538</v>
      </c>
      <c r="E2286" s="1">
        <v>14</v>
      </c>
      <c r="F2286" s="1">
        <v>18</v>
      </c>
      <c r="G2286" s="1">
        <v>3</v>
      </c>
      <c r="H2286" s="1">
        <v>0</v>
      </c>
      <c r="I2286" s="1">
        <v>0</v>
      </c>
      <c r="J2286" s="1">
        <v>0</v>
      </c>
      <c r="K2286" s="1">
        <v>0</v>
      </c>
      <c r="L2286" s="1">
        <v>0</v>
      </c>
      <c r="M2286" s="1">
        <v>0</v>
      </c>
    </row>
    <row r="2287" spans="1:13">
      <c r="A2287" s="1">
        <v>2286</v>
      </c>
      <c r="B2287" s="1">
        <v>850844.33959999995</v>
      </c>
      <c r="C2287" s="1">
        <v>1045214.1719218894</v>
      </c>
      <c r="D2287" s="1">
        <f t="shared" si="35"/>
        <v>-194369.83232188947</v>
      </c>
      <c r="E2287" s="1">
        <v>25</v>
      </c>
      <c r="F2287" s="1">
        <v>8</v>
      </c>
      <c r="G2287" s="1">
        <v>2</v>
      </c>
      <c r="H2287" s="1">
        <v>0</v>
      </c>
      <c r="I2287" s="1">
        <v>0</v>
      </c>
      <c r="J2287" s="1">
        <v>1</v>
      </c>
      <c r="K2287" s="1">
        <v>0</v>
      </c>
      <c r="L2287" s="1">
        <v>0</v>
      </c>
      <c r="M2287" s="1">
        <v>0</v>
      </c>
    </row>
    <row r="2288" spans="1:13">
      <c r="A2288" s="1">
        <v>2287</v>
      </c>
      <c r="B2288" s="1">
        <v>859331.91949999996</v>
      </c>
      <c r="C2288" s="1">
        <v>573718.00183052674</v>
      </c>
      <c r="D2288" s="1">
        <f t="shared" si="35"/>
        <v>285613.91766947322</v>
      </c>
      <c r="E2288" s="1">
        <v>16</v>
      </c>
      <c r="F2288" s="1">
        <v>16</v>
      </c>
      <c r="G2288" s="1">
        <v>3</v>
      </c>
      <c r="H2288" s="1">
        <v>2</v>
      </c>
      <c r="I2288" s="1">
        <v>0</v>
      </c>
      <c r="J2288" s="1">
        <v>0</v>
      </c>
      <c r="K2288" s="1">
        <v>2</v>
      </c>
      <c r="L2288" s="1">
        <v>0</v>
      </c>
      <c r="M2288" s="1">
        <v>0</v>
      </c>
    </row>
    <row r="2289" spans="1:13">
      <c r="A2289" s="1">
        <v>2288</v>
      </c>
      <c r="B2289" s="1">
        <v>851333.13450000004</v>
      </c>
      <c r="C2289" s="1">
        <v>572340.85959448537</v>
      </c>
      <c r="D2289" s="1">
        <f t="shared" si="35"/>
        <v>278992.27490551467</v>
      </c>
      <c r="E2289" s="1">
        <v>11</v>
      </c>
      <c r="F2289" s="1">
        <v>20</v>
      </c>
      <c r="G2289" s="1">
        <v>4</v>
      </c>
      <c r="H2289" s="1">
        <v>1</v>
      </c>
      <c r="I2289" s="1">
        <v>0</v>
      </c>
      <c r="J2289" s="1">
        <v>0</v>
      </c>
      <c r="K2289" s="1">
        <v>1</v>
      </c>
      <c r="L2289" s="1">
        <v>0</v>
      </c>
      <c r="M2289" s="1">
        <v>0</v>
      </c>
    </row>
    <row r="2290" spans="1:13">
      <c r="A2290" s="1">
        <v>2289</v>
      </c>
      <c r="B2290" s="1">
        <v>962310.94960000005</v>
      </c>
      <c r="C2290" s="1">
        <v>753993.48081383912</v>
      </c>
      <c r="D2290" s="1">
        <f t="shared" si="35"/>
        <v>208317.46878616093</v>
      </c>
      <c r="E2290" s="1">
        <v>17</v>
      </c>
      <c r="F2290" s="1">
        <v>12</v>
      </c>
      <c r="G2290" s="1">
        <v>6</v>
      </c>
      <c r="H2290" s="1">
        <v>0</v>
      </c>
      <c r="I2290" s="1">
        <v>1</v>
      </c>
      <c r="J2290" s="1">
        <v>2</v>
      </c>
      <c r="K2290" s="1">
        <v>0</v>
      </c>
      <c r="L2290" s="1">
        <v>0</v>
      </c>
      <c r="M2290" s="1">
        <v>0</v>
      </c>
    </row>
    <row r="2291" spans="1:13">
      <c r="A2291" s="1">
        <v>2290</v>
      </c>
      <c r="B2291" s="1">
        <v>1093334.4635999999</v>
      </c>
      <c r="C2291" s="1">
        <v>570083.74368008936</v>
      </c>
      <c r="D2291" s="1">
        <f t="shared" si="35"/>
        <v>523250.71991991054</v>
      </c>
      <c r="E2291" s="1">
        <v>7</v>
      </c>
      <c r="F2291" s="1">
        <v>21</v>
      </c>
      <c r="G2291" s="1">
        <v>7</v>
      </c>
      <c r="H2291" s="1">
        <v>0</v>
      </c>
      <c r="I2291" s="1">
        <v>0</v>
      </c>
      <c r="J2291" s="1">
        <v>1</v>
      </c>
      <c r="K2291" s="1">
        <v>0</v>
      </c>
      <c r="L2291" s="1">
        <v>0</v>
      </c>
      <c r="M2291" s="1">
        <v>0</v>
      </c>
    </row>
    <row r="2292" spans="1:13">
      <c r="A2292" s="1">
        <v>2291</v>
      </c>
      <c r="B2292" s="1">
        <v>1106487.496</v>
      </c>
      <c r="C2292" s="1">
        <v>756997.73633280059</v>
      </c>
      <c r="D2292" s="1">
        <f t="shared" si="35"/>
        <v>349489.75966719945</v>
      </c>
      <c r="E2292" s="1">
        <v>9</v>
      </c>
      <c r="F2292" s="1">
        <v>20</v>
      </c>
      <c r="G2292" s="1">
        <v>6</v>
      </c>
      <c r="H2292" s="1">
        <v>0</v>
      </c>
      <c r="I2292" s="1">
        <v>0</v>
      </c>
      <c r="J2292" s="1">
        <v>1</v>
      </c>
      <c r="K2292" s="1">
        <v>1</v>
      </c>
      <c r="L2292" s="1">
        <v>0</v>
      </c>
      <c r="M2292" s="1">
        <v>1</v>
      </c>
    </row>
    <row r="2293" spans="1:13">
      <c r="A2293" s="1">
        <v>2292</v>
      </c>
      <c r="B2293" s="1">
        <v>847318.11549999996</v>
      </c>
      <c r="C2293" s="1">
        <v>703985.69862675958</v>
      </c>
      <c r="D2293" s="1">
        <f t="shared" si="35"/>
        <v>143332.41687324038</v>
      </c>
      <c r="E2293" s="1">
        <v>12</v>
      </c>
      <c r="F2293" s="1">
        <v>20</v>
      </c>
      <c r="G2293" s="1">
        <v>3</v>
      </c>
      <c r="H2293" s="1">
        <v>1</v>
      </c>
      <c r="I2293" s="1">
        <v>0</v>
      </c>
      <c r="J2293" s="1">
        <v>0</v>
      </c>
      <c r="K2293" s="1">
        <v>1</v>
      </c>
      <c r="L2293" s="1">
        <v>0</v>
      </c>
      <c r="M2293" s="1">
        <v>0</v>
      </c>
    </row>
    <row r="2294" spans="1:13">
      <c r="A2294" s="1">
        <v>2293</v>
      </c>
      <c r="B2294" s="1">
        <v>1063929.9484999999</v>
      </c>
      <c r="C2294" s="1">
        <v>818242.26568506903</v>
      </c>
      <c r="D2294" s="1">
        <f t="shared" si="35"/>
        <v>245687.68281493091</v>
      </c>
      <c r="E2294" s="1">
        <v>2</v>
      </c>
      <c r="F2294" s="1">
        <v>29</v>
      </c>
      <c r="G2294" s="1">
        <v>4</v>
      </c>
      <c r="H2294" s="1">
        <v>0</v>
      </c>
      <c r="I2294" s="1">
        <v>1</v>
      </c>
      <c r="J2294" s="1">
        <v>0</v>
      </c>
      <c r="K2294" s="1">
        <v>0</v>
      </c>
      <c r="L2294" s="1">
        <v>0</v>
      </c>
      <c r="M2294" s="1">
        <v>0</v>
      </c>
    </row>
    <row r="2295" spans="1:13">
      <c r="A2295" s="1">
        <v>2294</v>
      </c>
      <c r="B2295" s="1">
        <v>1016930.6209</v>
      </c>
      <c r="C2295" s="1">
        <v>1066650.6593371595</v>
      </c>
      <c r="D2295" s="1">
        <f t="shared" si="35"/>
        <v>-49720.038437159499</v>
      </c>
      <c r="E2295" s="1">
        <v>14</v>
      </c>
      <c r="F2295" s="1">
        <v>17</v>
      </c>
      <c r="G2295" s="1">
        <v>4</v>
      </c>
      <c r="H2295" s="1">
        <v>0</v>
      </c>
      <c r="I2295" s="1">
        <v>1</v>
      </c>
      <c r="J2295" s="1">
        <v>1</v>
      </c>
      <c r="K2295" s="1">
        <v>1</v>
      </c>
      <c r="L2295" s="1">
        <v>0</v>
      </c>
      <c r="M2295" s="1">
        <v>0</v>
      </c>
    </row>
    <row r="2296" spans="1:13">
      <c r="A2296" s="1">
        <v>2295</v>
      </c>
      <c r="B2296" s="1">
        <v>858251.39359999995</v>
      </c>
      <c r="C2296" s="1">
        <v>1350713.1215592816</v>
      </c>
      <c r="D2296" s="1">
        <f t="shared" si="35"/>
        <v>-492461.72795928165</v>
      </c>
      <c r="E2296" s="1">
        <v>19</v>
      </c>
      <c r="F2296" s="1">
        <v>12</v>
      </c>
      <c r="G2296" s="1">
        <v>4</v>
      </c>
      <c r="H2296" s="1">
        <v>1</v>
      </c>
      <c r="I2296" s="1">
        <v>0</v>
      </c>
      <c r="J2296" s="1">
        <v>1</v>
      </c>
      <c r="K2296" s="1">
        <v>0</v>
      </c>
      <c r="L2296" s="1">
        <v>0</v>
      </c>
      <c r="M2296" s="1">
        <v>0</v>
      </c>
    </row>
    <row r="2297" spans="1:13">
      <c r="A2297" s="1">
        <v>2296</v>
      </c>
      <c r="B2297" s="1">
        <v>989775.12679999997</v>
      </c>
      <c r="C2297" s="1">
        <v>930791.48971807316</v>
      </c>
      <c r="D2297" s="1">
        <f t="shared" si="35"/>
        <v>58983.637081926805</v>
      </c>
      <c r="E2297" s="1">
        <v>14</v>
      </c>
      <c r="F2297" s="1">
        <v>14</v>
      </c>
      <c r="G2297" s="1">
        <v>7</v>
      </c>
      <c r="H2297" s="1">
        <v>0</v>
      </c>
      <c r="I2297" s="1">
        <v>0</v>
      </c>
      <c r="J2297" s="1">
        <v>2</v>
      </c>
      <c r="K2297" s="1">
        <v>0</v>
      </c>
      <c r="L2297" s="1">
        <v>0</v>
      </c>
      <c r="M2297" s="1">
        <v>0</v>
      </c>
    </row>
    <row r="2298" spans="1:13">
      <c r="A2298" s="1">
        <v>2297</v>
      </c>
      <c r="B2298" s="1">
        <v>929944.96310000005</v>
      </c>
      <c r="C2298" s="1">
        <v>645842.99372743897</v>
      </c>
      <c r="D2298" s="1">
        <f t="shared" si="35"/>
        <v>284101.96937256109</v>
      </c>
      <c r="E2298" s="1">
        <v>12</v>
      </c>
      <c r="F2298" s="1">
        <v>19</v>
      </c>
      <c r="G2298" s="1">
        <v>4</v>
      </c>
      <c r="H2298" s="1">
        <v>2</v>
      </c>
      <c r="I2298" s="1">
        <v>0</v>
      </c>
      <c r="J2298" s="1">
        <v>1</v>
      </c>
      <c r="K2298" s="1">
        <v>0</v>
      </c>
      <c r="L2298" s="1">
        <v>0</v>
      </c>
      <c r="M2298" s="1">
        <v>1</v>
      </c>
    </row>
    <row r="2299" spans="1:13">
      <c r="A2299" s="1">
        <v>2298</v>
      </c>
      <c r="B2299" s="1">
        <v>964706.78780000005</v>
      </c>
      <c r="C2299" s="1">
        <v>840501.33669642906</v>
      </c>
      <c r="D2299" s="1">
        <f t="shared" si="35"/>
        <v>124205.45110357099</v>
      </c>
      <c r="E2299" s="1">
        <v>18</v>
      </c>
      <c r="F2299" s="1">
        <v>11</v>
      </c>
      <c r="G2299" s="1">
        <v>6</v>
      </c>
      <c r="H2299" s="1">
        <v>1</v>
      </c>
      <c r="I2299" s="1">
        <v>0</v>
      </c>
      <c r="J2299" s="1">
        <v>1</v>
      </c>
      <c r="K2299" s="1">
        <v>1</v>
      </c>
      <c r="L2299" s="1">
        <v>0</v>
      </c>
      <c r="M2299" s="1">
        <v>1</v>
      </c>
    </row>
    <row r="2300" spans="1:13">
      <c r="A2300" s="1">
        <v>2299</v>
      </c>
      <c r="B2300" s="1">
        <v>895876.75190000003</v>
      </c>
      <c r="C2300" s="1">
        <v>950127.9746572579</v>
      </c>
      <c r="D2300" s="1">
        <f t="shared" si="35"/>
        <v>-54251.22275725787</v>
      </c>
      <c r="E2300" s="1">
        <v>15</v>
      </c>
      <c r="F2300" s="1">
        <v>14</v>
      </c>
      <c r="G2300" s="1">
        <v>6</v>
      </c>
      <c r="H2300" s="1">
        <v>2</v>
      </c>
      <c r="I2300" s="1">
        <v>0</v>
      </c>
      <c r="J2300" s="1">
        <v>0</v>
      </c>
      <c r="K2300" s="1">
        <v>0</v>
      </c>
      <c r="L2300" s="1">
        <v>0</v>
      </c>
      <c r="M2300" s="1">
        <v>0</v>
      </c>
    </row>
    <row r="2301" spans="1:13">
      <c r="A2301" s="1">
        <v>2300</v>
      </c>
      <c r="B2301" s="1">
        <v>995748.51679999998</v>
      </c>
      <c r="C2301" s="1">
        <v>889013.4444727964</v>
      </c>
      <c r="D2301" s="1">
        <f t="shared" si="35"/>
        <v>106735.07232720358</v>
      </c>
      <c r="E2301" s="1">
        <v>6</v>
      </c>
      <c r="F2301" s="1">
        <v>21</v>
      </c>
      <c r="G2301" s="1">
        <v>8</v>
      </c>
      <c r="H2301" s="1">
        <v>0</v>
      </c>
      <c r="I2301" s="1">
        <v>0</v>
      </c>
      <c r="J2301" s="1">
        <v>0</v>
      </c>
      <c r="K2301" s="1">
        <v>1</v>
      </c>
      <c r="L2301" s="1">
        <v>0</v>
      </c>
      <c r="M2301" s="1">
        <v>0</v>
      </c>
    </row>
    <row r="2302" spans="1:13">
      <c r="A2302" s="1">
        <v>2301</v>
      </c>
      <c r="B2302" s="1">
        <v>1010595.5256000001</v>
      </c>
      <c r="C2302" s="1">
        <v>1322343.9866250628</v>
      </c>
      <c r="D2302" s="1">
        <f t="shared" si="35"/>
        <v>-311748.46102506272</v>
      </c>
      <c r="E2302" s="1">
        <v>11</v>
      </c>
      <c r="F2302" s="1">
        <v>19</v>
      </c>
      <c r="G2302" s="1">
        <v>5</v>
      </c>
      <c r="H2302" s="1">
        <v>1</v>
      </c>
      <c r="I2302" s="1">
        <v>0</v>
      </c>
      <c r="J2302" s="1">
        <v>0</v>
      </c>
      <c r="K2302" s="1">
        <v>1</v>
      </c>
      <c r="L2302" s="1">
        <v>0</v>
      </c>
      <c r="M2302" s="1">
        <v>1</v>
      </c>
    </row>
    <row r="2303" spans="1:13">
      <c r="A2303" s="1">
        <v>2302</v>
      </c>
      <c r="B2303" s="1">
        <v>944455.05039999995</v>
      </c>
      <c r="C2303" s="1">
        <v>1132087.3193947049</v>
      </c>
      <c r="D2303" s="1">
        <f t="shared" si="35"/>
        <v>-187632.26899470494</v>
      </c>
      <c r="E2303" s="1">
        <v>17</v>
      </c>
      <c r="F2303" s="1">
        <v>13</v>
      </c>
      <c r="G2303" s="1">
        <v>5</v>
      </c>
      <c r="H2303" s="1">
        <v>0</v>
      </c>
      <c r="I2303" s="1">
        <v>0</v>
      </c>
      <c r="J2303" s="1">
        <v>0</v>
      </c>
      <c r="K2303" s="1">
        <v>2</v>
      </c>
      <c r="L2303" s="1">
        <v>0</v>
      </c>
      <c r="M2303" s="1">
        <v>0</v>
      </c>
    </row>
    <row r="2304" spans="1:13">
      <c r="A2304" s="1">
        <v>2303</v>
      </c>
      <c r="B2304" s="1">
        <v>927437.46840000001</v>
      </c>
      <c r="C2304" s="1">
        <v>835921.31000412686</v>
      </c>
      <c r="D2304" s="1">
        <f t="shared" si="35"/>
        <v>91516.15839587315</v>
      </c>
      <c r="E2304" s="1">
        <v>12</v>
      </c>
      <c r="F2304" s="1">
        <v>17</v>
      </c>
      <c r="G2304" s="1">
        <v>6</v>
      </c>
      <c r="H2304" s="1">
        <v>1</v>
      </c>
      <c r="I2304" s="1">
        <v>0</v>
      </c>
      <c r="J2304" s="1">
        <v>0</v>
      </c>
      <c r="K2304" s="1">
        <v>1</v>
      </c>
      <c r="L2304" s="1">
        <v>0</v>
      </c>
      <c r="M2304" s="1">
        <v>0</v>
      </c>
    </row>
    <row r="2305" spans="1:13">
      <c r="A2305" s="1">
        <v>2304</v>
      </c>
      <c r="B2305" s="1">
        <v>1016966.005</v>
      </c>
      <c r="C2305" s="1">
        <v>1102792.0275911011</v>
      </c>
      <c r="D2305" s="1">
        <f t="shared" si="35"/>
        <v>-85826.022591101122</v>
      </c>
      <c r="E2305" s="1">
        <v>10</v>
      </c>
      <c r="F2305" s="1">
        <v>17</v>
      </c>
      <c r="G2305" s="1">
        <v>8</v>
      </c>
      <c r="H2305" s="1">
        <v>1</v>
      </c>
      <c r="I2305" s="1">
        <v>0</v>
      </c>
      <c r="J2305" s="1">
        <v>0</v>
      </c>
      <c r="K2305" s="1">
        <v>0</v>
      </c>
      <c r="L2305" s="1">
        <v>0</v>
      </c>
      <c r="M2305" s="1">
        <v>1</v>
      </c>
    </row>
    <row r="2306" spans="1:13">
      <c r="A2306" s="1">
        <v>2305</v>
      </c>
      <c r="B2306" s="1">
        <v>905188.89170000004</v>
      </c>
      <c r="C2306" s="1">
        <v>935236.74168852251</v>
      </c>
      <c r="D2306" s="1">
        <f t="shared" ref="D2306:D2369" si="36">B2306-C2306</f>
        <v>-30047.849988522474</v>
      </c>
      <c r="E2306" s="1">
        <v>22</v>
      </c>
      <c r="F2306" s="1">
        <v>9</v>
      </c>
      <c r="G2306" s="1">
        <v>4</v>
      </c>
      <c r="H2306" s="1">
        <v>0</v>
      </c>
      <c r="I2306" s="1">
        <v>0</v>
      </c>
      <c r="J2306" s="1">
        <v>1</v>
      </c>
      <c r="K2306" s="1">
        <v>1</v>
      </c>
      <c r="L2306" s="1">
        <v>0</v>
      </c>
      <c r="M2306" s="1">
        <v>0</v>
      </c>
    </row>
    <row r="2307" spans="1:13">
      <c r="A2307" s="1">
        <v>2306</v>
      </c>
      <c r="B2307" s="1">
        <v>986010.51</v>
      </c>
      <c r="C2307" s="1">
        <v>874122.99673634814</v>
      </c>
      <c r="D2307" s="1">
        <f t="shared" si="36"/>
        <v>111887.51326365187</v>
      </c>
      <c r="E2307" s="1">
        <v>11</v>
      </c>
      <c r="F2307" s="1">
        <v>15</v>
      </c>
      <c r="G2307" s="1">
        <v>9</v>
      </c>
      <c r="H2307" s="1">
        <v>0</v>
      </c>
      <c r="I2307" s="1">
        <v>0</v>
      </c>
      <c r="J2307" s="1">
        <v>0</v>
      </c>
      <c r="K2307" s="1">
        <v>2</v>
      </c>
      <c r="L2307" s="1">
        <v>0</v>
      </c>
      <c r="M2307" s="1">
        <v>1</v>
      </c>
    </row>
    <row r="2308" spans="1:13">
      <c r="A2308" s="1">
        <v>2307</v>
      </c>
      <c r="B2308" s="1">
        <v>980854.30669999996</v>
      </c>
      <c r="C2308" s="1">
        <v>809657.89102193085</v>
      </c>
      <c r="D2308" s="1">
        <f t="shared" si="36"/>
        <v>171196.41567806911</v>
      </c>
      <c r="E2308" s="1">
        <v>11</v>
      </c>
      <c r="F2308" s="1">
        <v>19</v>
      </c>
      <c r="G2308" s="1">
        <v>5</v>
      </c>
      <c r="H2308" s="1">
        <v>0</v>
      </c>
      <c r="I2308" s="1">
        <v>0</v>
      </c>
      <c r="J2308" s="1">
        <v>1</v>
      </c>
      <c r="K2308" s="1">
        <v>1</v>
      </c>
      <c r="L2308" s="1">
        <v>0</v>
      </c>
      <c r="M2308" s="1">
        <v>0</v>
      </c>
    </row>
    <row r="2309" spans="1:13">
      <c r="A2309" s="1">
        <v>2308</v>
      </c>
      <c r="B2309" s="1">
        <v>986067.64130000002</v>
      </c>
      <c r="C2309" s="1">
        <v>1807449.4277864634</v>
      </c>
      <c r="D2309" s="1">
        <f t="shared" si="36"/>
        <v>-821381.78648646339</v>
      </c>
      <c r="E2309" s="1">
        <v>20</v>
      </c>
      <c r="F2309" s="1">
        <v>10</v>
      </c>
      <c r="G2309" s="1">
        <v>5</v>
      </c>
      <c r="H2309" s="1">
        <v>2</v>
      </c>
      <c r="I2309" s="1">
        <v>0</v>
      </c>
      <c r="J2309" s="1">
        <v>1</v>
      </c>
      <c r="K2309" s="1">
        <v>1</v>
      </c>
      <c r="L2309" s="1">
        <v>0</v>
      </c>
      <c r="M2309" s="1">
        <v>0</v>
      </c>
    </row>
    <row r="2310" spans="1:13">
      <c r="A2310" s="1">
        <v>2309</v>
      </c>
      <c r="B2310" s="1">
        <v>923066.71010000003</v>
      </c>
      <c r="C2310" s="1">
        <v>1197682.5109599656</v>
      </c>
      <c r="D2310" s="1">
        <f t="shared" si="36"/>
        <v>-274615.80085996562</v>
      </c>
      <c r="E2310" s="1">
        <v>10</v>
      </c>
      <c r="F2310" s="1">
        <v>20</v>
      </c>
      <c r="G2310" s="1">
        <v>5</v>
      </c>
      <c r="H2310" s="1">
        <v>0</v>
      </c>
      <c r="I2310" s="1">
        <v>1</v>
      </c>
      <c r="J2310" s="1">
        <v>2</v>
      </c>
      <c r="K2310" s="1">
        <v>0</v>
      </c>
      <c r="L2310" s="1">
        <v>0</v>
      </c>
      <c r="M2310" s="1">
        <v>1</v>
      </c>
    </row>
    <row r="2311" spans="1:13">
      <c r="A2311" s="1">
        <v>2310</v>
      </c>
      <c r="B2311" s="1">
        <v>995331.16390000004</v>
      </c>
      <c r="C2311" s="1">
        <v>549419.37561801239</v>
      </c>
      <c r="D2311" s="1">
        <f t="shared" si="36"/>
        <v>445911.78828198765</v>
      </c>
      <c r="E2311" s="1">
        <v>13</v>
      </c>
      <c r="F2311" s="1">
        <v>18</v>
      </c>
      <c r="G2311" s="1">
        <v>4</v>
      </c>
      <c r="H2311" s="1">
        <v>0</v>
      </c>
      <c r="I2311" s="1">
        <v>0</v>
      </c>
      <c r="J2311" s="1">
        <v>1</v>
      </c>
      <c r="K2311" s="1">
        <v>1</v>
      </c>
      <c r="L2311" s="1">
        <v>0</v>
      </c>
      <c r="M2311" s="1">
        <v>0</v>
      </c>
    </row>
    <row r="2312" spans="1:13">
      <c r="A2312" s="1">
        <v>2311</v>
      </c>
      <c r="B2312" s="1">
        <v>951292.353</v>
      </c>
      <c r="C2312" s="1">
        <v>722869.54514901002</v>
      </c>
      <c r="D2312" s="1">
        <f t="shared" si="36"/>
        <v>228422.80785098998</v>
      </c>
      <c r="E2312" s="1">
        <v>12</v>
      </c>
      <c r="F2312" s="1">
        <v>19</v>
      </c>
      <c r="G2312" s="1">
        <v>4</v>
      </c>
      <c r="H2312" s="1">
        <v>1</v>
      </c>
      <c r="I2312" s="1">
        <v>1</v>
      </c>
      <c r="J2312" s="1">
        <v>0</v>
      </c>
      <c r="K2312" s="1">
        <v>0</v>
      </c>
      <c r="L2312" s="1">
        <v>0</v>
      </c>
      <c r="M2312" s="1">
        <v>0</v>
      </c>
    </row>
    <row r="2313" spans="1:13">
      <c r="A2313" s="1">
        <v>2312</v>
      </c>
      <c r="B2313" s="1">
        <v>1161843.1591</v>
      </c>
      <c r="C2313" s="1">
        <v>841919.77943300991</v>
      </c>
      <c r="D2313" s="1">
        <f t="shared" si="36"/>
        <v>319923.37966699013</v>
      </c>
      <c r="E2313" s="1">
        <v>6</v>
      </c>
      <c r="F2313" s="1">
        <v>24</v>
      </c>
      <c r="G2313" s="1">
        <v>5</v>
      </c>
      <c r="H2313" s="1">
        <v>0</v>
      </c>
      <c r="I2313" s="1">
        <v>1</v>
      </c>
      <c r="J2313" s="1">
        <v>0</v>
      </c>
      <c r="K2313" s="1">
        <v>2</v>
      </c>
      <c r="L2313" s="1">
        <v>0</v>
      </c>
      <c r="M2313" s="1">
        <v>0</v>
      </c>
    </row>
    <row r="2314" spans="1:13">
      <c r="A2314" s="1">
        <v>2313</v>
      </c>
      <c r="B2314" s="1">
        <v>996384.69400000002</v>
      </c>
      <c r="C2314" s="1">
        <v>763892.65584131179</v>
      </c>
      <c r="D2314" s="1">
        <f t="shared" si="36"/>
        <v>232492.03815868823</v>
      </c>
      <c r="E2314" s="1">
        <v>9</v>
      </c>
      <c r="F2314" s="1">
        <v>21</v>
      </c>
      <c r="G2314" s="1">
        <v>5</v>
      </c>
      <c r="H2314" s="1">
        <v>0</v>
      </c>
      <c r="I2314" s="1">
        <v>0</v>
      </c>
      <c r="J2314" s="1">
        <v>0</v>
      </c>
      <c r="K2314" s="1">
        <v>1</v>
      </c>
      <c r="L2314" s="1">
        <v>0</v>
      </c>
      <c r="M2314" s="1">
        <v>1</v>
      </c>
    </row>
    <row r="2315" spans="1:13">
      <c r="A2315" s="1">
        <v>2314</v>
      </c>
      <c r="B2315" s="1">
        <v>911552.32440000004</v>
      </c>
      <c r="C2315" s="1">
        <v>1450439.0568548325</v>
      </c>
      <c r="D2315" s="1">
        <f t="shared" si="36"/>
        <v>-538886.73245483241</v>
      </c>
      <c r="E2315" s="1">
        <v>13</v>
      </c>
      <c r="F2315" s="1">
        <v>17</v>
      </c>
      <c r="G2315" s="1">
        <v>5</v>
      </c>
      <c r="H2315" s="1">
        <v>1</v>
      </c>
      <c r="I2315" s="1">
        <v>0</v>
      </c>
      <c r="J2315" s="1">
        <v>2</v>
      </c>
      <c r="K2315" s="1">
        <v>0</v>
      </c>
      <c r="L2315" s="1">
        <v>0</v>
      </c>
      <c r="M2315" s="1">
        <v>1</v>
      </c>
    </row>
    <row r="2316" spans="1:13">
      <c r="A2316" s="1">
        <v>2315</v>
      </c>
      <c r="B2316" s="1">
        <v>941739.42680000002</v>
      </c>
      <c r="C2316" s="1">
        <v>618676.83058614912</v>
      </c>
      <c r="D2316" s="1">
        <f t="shared" si="36"/>
        <v>323062.59621385089</v>
      </c>
      <c r="E2316" s="1">
        <v>13</v>
      </c>
      <c r="F2316" s="1">
        <v>17</v>
      </c>
      <c r="G2316" s="1">
        <v>5</v>
      </c>
      <c r="H2316" s="1">
        <v>0</v>
      </c>
      <c r="I2316" s="1">
        <v>0</v>
      </c>
      <c r="J2316" s="1">
        <v>0</v>
      </c>
      <c r="K2316" s="1">
        <v>0</v>
      </c>
      <c r="L2316" s="1">
        <v>0</v>
      </c>
      <c r="M2316" s="1">
        <v>1</v>
      </c>
    </row>
    <row r="2317" spans="1:13">
      <c r="A2317" s="1">
        <v>2316</v>
      </c>
      <c r="B2317" s="1">
        <v>828073.70490000001</v>
      </c>
      <c r="C2317" s="1">
        <v>721865.0375678381</v>
      </c>
      <c r="D2317" s="1">
        <f t="shared" si="36"/>
        <v>106208.66733216192</v>
      </c>
      <c r="E2317" s="1">
        <v>10</v>
      </c>
      <c r="F2317" s="1">
        <v>20</v>
      </c>
      <c r="G2317" s="1">
        <v>5</v>
      </c>
      <c r="H2317" s="1">
        <v>0</v>
      </c>
      <c r="I2317" s="1">
        <v>0</v>
      </c>
      <c r="J2317" s="1">
        <v>0</v>
      </c>
      <c r="K2317" s="1">
        <v>1</v>
      </c>
      <c r="L2317" s="1">
        <v>0</v>
      </c>
      <c r="M2317" s="1">
        <v>0</v>
      </c>
    </row>
    <row r="2318" spans="1:13">
      <c r="A2318" s="1">
        <v>2317</v>
      </c>
      <c r="B2318" s="1">
        <v>1009431.9709</v>
      </c>
      <c r="C2318" s="1">
        <v>496150.37996712723</v>
      </c>
      <c r="D2318" s="1">
        <f t="shared" si="36"/>
        <v>513281.59093287273</v>
      </c>
      <c r="E2318" s="1">
        <v>14</v>
      </c>
      <c r="F2318" s="1">
        <v>15</v>
      </c>
      <c r="G2318" s="1">
        <v>6</v>
      </c>
      <c r="H2318" s="1">
        <v>0</v>
      </c>
      <c r="I2318" s="1">
        <v>0</v>
      </c>
      <c r="J2318" s="1">
        <v>1</v>
      </c>
      <c r="K2318" s="1">
        <v>0</v>
      </c>
      <c r="L2318" s="1">
        <v>1</v>
      </c>
      <c r="M2318" s="1">
        <v>1</v>
      </c>
    </row>
    <row r="2319" spans="1:13">
      <c r="A2319" s="1">
        <v>2318</v>
      </c>
      <c r="B2319" s="1">
        <v>962512.55530000001</v>
      </c>
      <c r="C2319" s="1">
        <v>827960.59072412958</v>
      </c>
      <c r="D2319" s="1">
        <f t="shared" si="36"/>
        <v>134551.96457587043</v>
      </c>
      <c r="E2319" s="1">
        <v>14</v>
      </c>
      <c r="F2319" s="1">
        <v>18</v>
      </c>
      <c r="G2319" s="1">
        <v>3</v>
      </c>
      <c r="H2319" s="1">
        <v>1</v>
      </c>
      <c r="I2319" s="1">
        <v>1</v>
      </c>
      <c r="J2319" s="1">
        <v>0</v>
      </c>
      <c r="K2319" s="1">
        <v>1</v>
      </c>
      <c r="L2319" s="1">
        <v>1</v>
      </c>
      <c r="M2319" s="1">
        <v>0</v>
      </c>
    </row>
    <row r="2320" spans="1:13">
      <c r="A2320" s="1">
        <v>2319</v>
      </c>
      <c r="B2320" s="1">
        <v>923566.47950000002</v>
      </c>
      <c r="C2320" s="1">
        <v>816686.23917031055</v>
      </c>
      <c r="D2320" s="1">
        <f t="shared" si="36"/>
        <v>106880.24032968946</v>
      </c>
      <c r="E2320" s="1">
        <v>14</v>
      </c>
      <c r="F2320" s="1">
        <v>15</v>
      </c>
      <c r="G2320" s="1">
        <v>6</v>
      </c>
      <c r="H2320" s="1">
        <v>1</v>
      </c>
      <c r="I2320" s="1">
        <v>0</v>
      </c>
      <c r="J2320" s="1">
        <v>2</v>
      </c>
      <c r="K2320" s="1">
        <v>0</v>
      </c>
      <c r="L2320" s="1">
        <v>0</v>
      </c>
      <c r="M2320" s="1">
        <v>0</v>
      </c>
    </row>
    <row r="2321" spans="1:13">
      <c r="A2321" s="1">
        <v>2320</v>
      </c>
      <c r="B2321" s="1">
        <v>889490.32449999999</v>
      </c>
      <c r="C2321" s="1">
        <v>678997.69316173927</v>
      </c>
      <c r="D2321" s="1">
        <f t="shared" si="36"/>
        <v>210492.63133826072</v>
      </c>
      <c r="E2321" s="1">
        <v>11</v>
      </c>
      <c r="F2321" s="1">
        <v>15</v>
      </c>
      <c r="G2321" s="1">
        <v>9</v>
      </c>
      <c r="H2321" s="1">
        <v>1</v>
      </c>
      <c r="I2321" s="1">
        <v>0</v>
      </c>
      <c r="J2321" s="1">
        <v>0</v>
      </c>
      <c r="K2321" s="1">
        <v>2</v>
      </c>
      <c r="L2321" s="1">
        <v>0</v>
      </c>
      <c r="M2321" s="1">
        <v>0</v>
      </c>
    </row>
    <row r="2322" spans="1:13">
      <c r="A2322" s="1">
        <v>2321</v>
      </c>
      <c r="B2322" s="1">
        <v>966316.95620000002</v>
      </c>
      <c r="C2322" s="1">
        <v>1021713.6532817351</v>
      </c>
      <c r="D2322" s="1">
        <f t="shared" si="36"/>
        <v>-55396.697081735125</v>
      </c>
      <c r="E2322" s="1">
        <v>12</v>
      </c>
      <c r="F2322" s="1">
        <v>18</v>
      </c>
      <c r="G2322" s="1">
        <v>5</v>
      </c>
      <c r="H2322" s="1">
        <v>1</v>
      </c>
      <c r="I2322" s="1">
        <v>0</v>
      </c>
      <c r="J2322" s="1">
        <v>0</v>
      </c>
      <c r="K2322" s="1">
        <v>1</v>
      </c>
      <c r="L2322" s="1">
        <v>0</v>
      </c>
      <c r="M2322" s="1">
        <v>1</v>
      </c>
    </row>
    <row r="2323" spans="1:13">
      <c r="A2323" s="1">
        <v>2322</v>
      </c>
      <c r="B2323" s="1">
        <v>997375.48600000003</v>
      </c>
      <c r="C2323" s="1">
        <v>639092.78284099337</v>
      </c>
      <c r="D2323" s="1">
        <f t="shared" si="36"/>
        <v>358282.70315900666</v>
      </c>
      <c r="E2323" s="1">
        <v>13</v>
      </c>
      <c r="F2323" s="1">
        <v>18</v>
      </c>
      <c r="G2323" s="1">
        <v>4</v>
      </c>
      <c r="H2323" s="1">
        <v>1</v>
      </c>
      <c r="I2323" s="1">
        <v>0</v>
      </c>
      <c r="J2323" s="1">
        <v>0</v>
      </c>
      <c r="K2323" s="1">
        <v>1</v>
      </c>
      <c r="L2323" s="1">
        <v>0</v>
      </c>
      <c r="M2323" s="1">
        <v>0</v>
      </c>
    </row>
    <row r="2324" spans="1:13">
      <c r="A2324" s="1">
        <v>2323</v>
      </c>
      <c r="B2324" s="1">
        <v>1050603.5833999999</v>
      </c>
      <c r="C2324" s="1">
        <v>894245.16215758165</v>
      </c>
      <c r="D2324" s="1">
        <f t="shared" si="36"/>
        <v>156358.42124241823</v>
      </c>
      <c r="E2324" s="1">
        <v>5</v>
      </c>
      <c r="F2324" s="1">
        <v>21</v>
      </c>
      <c r="G2324" s="1">
        <v>9</v>
      </c>
      <c r="H2324" s="1">
        <v>0</v>
      </c>
      <c r="I2324" s="1">
        <v>0</v>
      </c>
      <c r="J2324" s="1">
        <v>1</v>
      </c>
      <c r="K2324" s="1">
        <v>1</v>
      </c>
      <c r="L2324" s="1">
        <v>0</v>
      </c>
      <c r="M2324" s="1">
        <v>1</v>
      </c>
    </row>
    <row r="2325" spans="1:13">
      <c r="A2325" s="1">
        <v>2324</v>
      </c>
      <c r="B2325" s="1">
        <v>953720.91070000001</v>
      </c>
      <c r="C2325" s="1">
        <v>1855377.2413017219</v>
      </c>
      <c r="D2325" s="1">
        <f t="shared" si="36"/>
        <v>-901656.33060172189</v>
      </c>
      <c r="E2325" s="1">
        <v>7</v>
      </c>
      <c r="F2325" s="1">
        <v>22</v>
      </c>
      <c r="G2325" s="1">
        <v>6</v>
      </c>
      <c r="H2325" s="1">
        <v>0</v>
      </c>
      <c r="I2325" s="1">
        <v>0</v>
      </c>
      <c r="J2325" s="1">
        <v>1</v>
      </c>
      <c r="K2325" s="1">
        <v>0</v>
      </c>
      <c r="L2325" s="1">
        <v>1</v>
      </c>
      <c r="M2325" s="1">
        <v>0</v>
      </c>
    </row>
    <row r="2326" spans="1:13">
      <c r="A2326" s="1">
        <v>2325</v>
      </c>
      <c r="B2326" s="1">
        <v>951747.11410000001</v>
      </c>
      <c r="C2326" s="1">
        <v>963662.60429899755</v>
      </c>
      <c r="D2326" s="1">
        <f t="shared" si="36"/>
        <v>-11915.490198997548</v>
      </c>
      <c r="E2326" s="1">
        <v>8</v>
      </c>
      <c r="F2326" s="1">
        <v>24</v>
      </c>
      <c r="G2326" s="1">
        <v>3</v>
      </c>
      <c r="H2326" s="1">
        <v>2</v>
      </c>
      <c r="I2326" s="1">
        <v>0</v>
      </c>
      <c r="J2326" s="1">
        <v>0</v>
      </c>
      <c r="K2326" s="1">
        <v>0</v>
      </c>
      <c r="L2326" s="1">
        <v>0</v>
      </c>
      <c r="M2326" s="1">
        <v>1</v>
      </c>
    </row>
    <row r="2327" spans="1:13">
      <c r="A2327" s="1">
        <v>2326</v>
      </c>
      <c r="B2327" s="1">
        <v>893777.98919999995</v>
      </c>
      <c r="C2327" s="1">
        <v>601124.65613526164</v>
      </c>
      <c r="D2327" s="1">
        <f t="shared" si="36"/>
        <v>292653.33306473831</v>
      </c>
      <c r="E2327" s="1">
        <v>21</v>
      </c>
      <c r="F2327" s="1">
        <v>9</v>
      </c>
      <c r="G2327" s="1">
        <v>5</v>
      </c>
      <c r="H2327" s="1">
        <v>1</v>
      </c>
      <c r="I2327" s="1">
        <v>0</v>
      </c>
      <c r="J2327" s="1">
        <v>1</v>
      </c>
      <c r="K2327" s="1">
        <v>1</v>
      </c>
      <c r="L2327" s="1">
        <v>0</v>
      </c>
      <c r="M2327" s="1">
        <v>1</v>
      </c>
    </row>
    <row r="2328" spans="1:13">
      <c r="A2328" s="1">
        <v>2327</v>
      </c>
      <c r="B2328" s="1">
        <v>952312.87760000001</v>
      </c>
      <c r="C2328" s="1">
        <v>770216.57250952604</v>
      </c>
      <c r="D2328" s="1">
        <f t="shared" si="36"/>
        <v>182096.30509047396</v>
      </c>
      <c r="E2328" s="1">
        <v>12</v>
      </c>
      <c r="F2328" s="1">
        <v>16</v>
      </c>
      <c r="G2328" s="1">
        <v>7</v>
      </c>
      <c r="H2328" s="1">
        <v>1</v>
      </c>
      <c r="I2328" s="1">
        <v>0</v>
      </c>
      <c r="J2328" s="1">
        <v>1</v>
      </c>
      <c r="K2328" s="1">
        <v>0</v>
      </c>
      <c r="L2328" s="1">
        <v>0</v>
      </c>
      <c r="M2328" s="1">
        <v>1</v>
      </c>
    </row>
    <row r="2329" spans="1:13">
      <c r="A2329" s="1">
        <v>2328</v>
      </c>
      <c r="B2329" s="1">
        <v>881629.00970000005</v>
      </c>
      <c r="C2329" s="1">
        <v>938968.64495738607</v>
      </c>
      <c r="D2329" s="1">
        <f t="shared" si="36"/>
        <v>-57339.63525738602</v>
      </c>
      <c r="E2329" s="1">
        <v>19</v>
      </c>
      <c r="F2329" s="1">
        <v>13</v>
      </c>
      <c r="G2329" s="1">
        <v>3</v>
      </c>
      <c r="H2329" s="1">
        <v>1</v>
      </c>
      <c r="I2329" s="1">
        <v>0</v>
      </c>
      <c r="J2329" s="1">
        <v>0</v>
      </c>
      <c r="K2329" s="1">
        <v>0</v>
      </c>
      <c r="L2329" s="1">
        <v>0</v>
      </c>
      <c r="M2329" s="1">
        <v>1</v>
      </c>
    </row>
    <row r="2330" spans="1:13">
      <c r="A2330" s="1">
        <v>2329</v>
      </c>
      <c r="B2330" s="1">
        <v>933521.35120000003</v>
      </c>
      <c r="C2330" s="1">
        <v>1396176.339002569</v>
      </c>
      <c r="D2330" s="1">
        <f t="shared" si="36"/>
        <v>-462654.98780256894</v>
      </c>
      <c r="E2330" s="1">
        <v>19</v>
      </c>
      <c r="F2330" s="1">
        <v>13</v>
      </c>
      <c r="G2330" s="1">
        <v>3</v>
      </c>
      <c r="H2330" s="1">
        <v>1</v>
      </c>
      <c r="I2330" s="1">
        <v>0</v>
      </c>
      <c r="J2330" s="1">
        <v>1</v>
      </c>
      <c r="K2330" s="1">
        <v>1</v>
      </c>
      <c r="L2330" s="1">
        <v>0</v>
      </c>
      <c r="M2330" s="1">
        <v>0</v>
      </c>
    </row>
    <row r="2331" spans="1:13">
      <c r="A2331" s="1">
        <v>2330</v>
      </c>
      <c r="B2331" s="1">
        <v>926966.75899999996</v>
      </c>
      <c r="C2331" s="1">
        <v>707654.90673619276</v>
      </c>
      <c r="D2331" s="1">
        <f t="shared" si="36"/>
        <v>219311.8522638072</v>
      </c>
      <c r="E2331" s="1">
        <v>18</v>
      </c>
      <c r="F2331" s="1">
        <v>12</v>
      </c>
      <c r="G2331" s="1">
        <v>5</v>
      </c>
      <c r="H2331" s="1">
        <v>1</v>
      </c>
      <c r="I2331" s="1">
        <v>1</v>
      </c>
      <c r="J2331" s="1">
        <v>1</v>
      </c>
      <c r="K2331" s="1">
        <v>1</v>
      </c>
      <c r="L2331" s="1">
        <v>0</v>
      </c>
      <c r="M2331" s="1">
        <v>0</v>
      </c>
    </row>
    <row r="2332" spans="1:13">
      <c r="A2332" s="1">
        <v>2331</v>
      </c>
      <c r="B2332" s="1">
        <v>941246.95380000002</v>
      </c>
      <c r="C2332" s="1">
        <v>640312.54387310077</v>
      </c>
      <c r="D2332" s="1">
        <f t="shared" si="36"/>
        <v>300934.40992689924</v>
      </c>
      <c r="E2332" s="1">
        <v>10</v>
      </c>
      <c r="F2332" s="1">
        <v>20</v>
      </c>
      <c r="G2332" s="1">
        <v>5</v>
      </c>
      <c r="H2332" s="1">
        <v>1</v>
      </c>
      <c r="I2332" s="1">
        <v>0</v>
      </c>
      <c r="J2332" s="1">
        <v>1</v>
      </c>
      <c r="K2332" s="1">
        <v>1</v>
      </c>
      <c r="L2332" s="1">
        <v>0</v>
      </c>
      <c r="M2332" s="1">
        <v>0</v>
      </c>
    </row>
    <row r="2333" spans="1:13">
      <c r="A2333" s="1">
        <v>2332</v>
      </c>
      <c r="B2333" s="1">
        <v>962357.22129999998</v>
      </c>
      <c r="C2333" s="1">
        <v>961395.33180666773</v>
      </c>
      <c r="D2333" s="1">
        <f t="shared" si="36"/>
        <v>961.88949333224446</v>
      </c>
      <c r="E2333" s="1">
        <v>11</v>
      </c>
      <c r="F2333" s="1">
        <v>20</v>
      </c>
      <c r="G2333" s="1">
        <v>4</v>
      </c>
      <c r="H2333" s="1">
        <v>2</v>
      </c>
      <c r="I2333" s="1">
        <v>0</v>
      </c>
      <c r="J2333" s="1">
        <v>1</v>
      </c>
      <c r="K2333" s="1">
        <v>1</v>
      </c>
      <c r="L2333" s="1">
        <v>0</v>
      </c>
      <c r="M2333" s="1">
        <v>1</v>
      </c>
    </row>
    <row r="2334" spans="1:13">
      <c r="A2334" s="1">
        <v>2333</v>
      </c>
      <c r="B2334" s="1">
        <v>907207.76760000002</v>
      </c>
      <c r="C2334" s="1">
        <v>773957.80444628617</v>
      </c>
      <c r="D2334" s="1">
        <f t="shared" si="36"/>
        <v>133249.96315371385</v>
      </c>
      <c r="E2334" s="1">
        <v>20</v>
      </c>
      <c r="F2334" s="1">
        <v>14</v>
      </c>
      <c r="G2334" s="1">
        <v>1</v>
      </c>
      <c r="H2334" s="1">
        <v>2</v>
      </c>
      <c r="I2334" s="1">
        <v>0</v>
      </c>
      <c r="J2334" s="1">
        <v>2</v>
      </c>
      <c r="K2334" s="1">
        <v>0</v>
      </c>
      <c r="L2334" s="1">
        <v>0</v>
      </c>
      <c r="M2334" s="1">
        <v>0</v>
      </c>
    </row>
    <row r="2335" spans="1:13">
      <c r="A2335" s="1">
        <v>2334</v>
      </c>
      <c r="B2335" s="1">
        <v>845568.36849999998</v>
      </c>
      <c r="C2335" s="1">
        <v>578999.61988798471</v>
      </c>
      <c r="D2335" s="1">
        <f t="shared" si="36"/>
        <v>266568.74861201528</v>
      </c>
      <c r="E2335" s="1">
        <v>25</v>
      </c>
      <c r="F2335" s="1">
        <v>7</v>
      </c>
      <c r="G2335" s="1">
        <v>3</v>
      </c>
      <c r="H2335" s="1">
        <v>0</v>
      </c>
      <c r="I2335" s="1">
        <v>0</v>
      </c>
      <c r="J2335" s="1">
        <v>1</v>
      </c>
      <c r="K2335" s="1">
        <v>1</v>
      </c>
      <c r="L2335" s="1">
        <v>0</v>
      </c>
      <c r="M2335" s="1">
        <v>0</v>
      </c>
    </row>
    <row r="2336" spans="1:13">
      <c r="A2336" s="1">
        <v>2335</v>
      </c>
      <c r="B2336" s="1">
        <v>890720.88890000002</v>
      </c>
      <c r="C2336" s="1">
        <v>1018825.2376713125</v>
      </c>
      <c r="D2336" s="1">
        <f t="shared" si="36"/>
        <v>-128104.34877131251</v>
      </c>
      <c r="E2336" s="1">
        <v>9</v>
      </c>
      <c r="F2336" s="1">
        <v>21</v>
      </c>
      <c r="G2336" s="1">
        <v>5</v>
      </c>
      <c r="H2336" s="1">
        <v>0</v>
      </c>
      <c r="I2336" s="1">
        <v>0</v>
      </c>
      <c r="J2336" s="1">
        <v>1</v>
      </c>
      <c r="K2336" s="1">
        <v>1</v>
      </c>
      <c r="L2336" s="1">
        <v>0</v>
      </c>
      <c r="M2336" s="1">
        <v>1</v>
      </c>
    </row>
    <row r="2337" spans="1:13">
      <c r="A2337" s="1">
        <v>2336</v>
      </c>
      <c r="B2337" s="1">
        <v>1020484.8046</v>
      </c>
      <c r="C2337" s="1">
        <v>976758.93731982692</v>
      </c>
      <c r="D2337" s="1">
        <f t="shared" si="36"/>
        <v>43725.867280173115</v>
      </c>
      <c r="E2337" s="1">
        <v>11</v>
      </c>
      <c r="F2337" s="1">
        <v>16</v>
      </c>
      <c r="G2337" s="1">
        <v>8</v>
      </c>
      <c r="H2337" s="1">
        <v>2</v>
      </c>
      <c r="I2337" s="1">
        <v>0</v>
      </c>
      <c r="J2337" s="1">
        <v>2</v>
      </c>
      <c r="K2337" s="1">
        <v>0</v>
      </c>
      <c r="L2337" s="1">
        <v>0</v>
      </c>
      <c r="M2337" s="1">
        <v>1</v>
      </c>
    </row>
    <row r="2338" spans="1:13">
      <c r="A2338" s="1">
        <v>2337</v>
      </c>
      <c r="B2338" s="1">
        <v>926958.99899999995</v>
      </c>
      <c r="C2338" s="1">
        <v>948220.14581821999</v>
      </c>
      <c r="D2338" s="1">
        <f t="shared" si="36"/>
        <v>-21261.146818220033</v>
      </c>
      <c r="E2338" s="1">
        <v>14</v>
      </c>
      <c r="F2338" s="1">
        <v>19</v>
      </c>
      <c r="G2338" s="1">
        <v>2</v>
      </c>
      <c r="H2338" s="1">
        <v>0</v>
      </c>
      <c r="I2338" s="1">
        <v>0</v>
      </c>
      <c r="J2338" s="1">
        <v>0</v>
      </c>
      <c r="K2338" s="1">
        <v>0</v>
      </c>
      <c r="L2338" s="1">
        <v>0</v>
      </c>
      <c r="M2338" s="1">
        <v>0</v>
      </c>
    </row>
    <row r="2339" spans="1:13">
      <c r="A2339" s="1">
        <v>2338</v>
      </c>
      <c r="B2339" s="1">
        <v>930693.89619999996</v>
      </c>
      <c r="C2339" s="1">
        <v>1253702.8592958378</v>
      </c>
      <c r="D2339" s="1">
        <f t="shared" si="36"/>
        <v>-323008.96309583785</v>
      </c>
      <c r="E2339" s="1">
        <v>19</v>
      </c>
      <c r="F2339" s="1">
        <v>14</v>
      </c>
      <c r="G2339" s="1">
        <v>2</v>
      </c>
      <c r="H2339" s="1">
        <v>0</v>
      </c>
      <c r="I2339" s="1">
        <v>1</v>
      </c>
      <c r="J2339" s="1">
        <v>0</v>
      </c>
      <c r="K2339" s="1">
        <v>0</v>
      </c>
      <c r="L2339" s="1">
        <v>0</v>
      </c>
      <c r="M2339" s="1">
        <v>0</v>
      </c>
    </row>
    <row r="2340" spans="1:13">
      <c r="A2340" s="1">
        <v>2339</v>
      </c>
      <c r="B2340" s="1">
        <v>926751.29249999998</v>
      </c>
      <c r="C2340" s="1">
        <v>785584.45656189206</v>
      </c>
      <c r="D2340" s="1">
        <f t="shared" si="36"/>
        <v>141166.83593810792</v>
      </c>
      <c r="E2340" s="1">
        <v>11</v>
      </c>
      <c r="F2340" s="1">
        <v>20</v>
      </c>
      <c r="G2340" s="1">
        <v>4</v>
      </c>
      <c r="H2340" s="1">
        <v>1</v>
      </c>
      <c r="I2340" s="1">
        <v>0</v>
      </c>
      <c r="J2340" s="1">
        <v>0</v>
      </c>
      <c r="K2340" s="1">
        <v>2</v>
      </c>
      <c r="L2340" s="1">
        <v>0</v>
      </c>
      <c r="M2340" s="1">
        <v>0</v>
      </c>
    </row>
    <row r="2341" spans="1:13">
      <c r="A2341" s="1">
        <v>2340</v>
      </c>
      <c r="B2341" s="1">
        <v>929441.89410000003</v>
      </c>
      <c r="C2341" s="1">
        <v>486032.38985953119</v>
      </c>
      <c r="D2341" s="1">
        <f t="shared" si="36"/>
        <v>443409.50424046884</v>
      </c>
      <c r="E2341" s="1">
        <v>16</v>
      </c>
      <c r="F2341" s="1">
        <v>13</v>
      </c>
      <c r="G2341" s="1">
        <v>6</v>
      </c>
      <c r="H2341" s="1">
        <v>0</v>
      </c>
      <c r="I2341" s="1">
        <v>1</v>
      </c>
      <c r="J2341" s="1">
        <v>0</v>
      </c>
      <c r="K2341" s="1">
        <v>1</v>
      </c>
      <c r="L2341" s="1">
        <v>0</v>
      </c>
      <c r="M2341" s="1">
        <v>1</v>
      </c>
    </row>
    <row r="2342" spans="1:13">
      <c r="A2342" s="1">
        <v>2341</v>
      </c>
      <c r="B2342" s="1">
        <v>899586.6568</v>
      </c>
      <c r="C2342" s="1">
        <v>996955.95137994469</v>
      </c>
      <c r="D2342" s="1">
        <f t="shared" si="36"/>
        <v>-97369.29457994469</v>
      </c>
      <c r="E2342" s="1">
        <v>15</v>
      </c>
      <c r="F2342" s="1">
        <v>14</v>
      </c>
      <c r="G2342" s="1">
        <v>6</v>
      </c>
      <c r="H2342" s="1">
        <v>0</v>
      </c>
      <c r="I2342" s="1">
        <v>0</v>
      </c>
      <c r="J2342" s="1">
        <v>1</v>
      </c>
      <c r="K2342" s="1">
        <v>1</v>
      </c>
      <c r="L2342" s="1">
        <v>0</v>
      </c>
      <c r="M2342" s="1">
        <v>1</v>
      </c>
    </row>
    <row r="2343" spans="1:13">
      <c r="A2343" s="1">
        <v>2342</v>
      </c>
      <c r="B2343" s="1">
        <v>872333.49049999996</v>
      </c>
      <c r="C2343" s="1">
        <v>1101106.8396732952</v>
      </c>
      <c r="D2343" s="1">
        <f t="shared" si="36"/>
        <v>-228773.3491732952</v>
      </c>
      <c r="E2343" s="1">
        <v>14</v>
      </c>
      <c r="F2343" s="1">
        <v>17</v>
      </c>
      <c r="G2343" s="1">
        <v>4</v>
      </c>
      <c r="H2343" s="1">
        <v>0</v>
      </c>
      <c r="I2343" s="1">
        <v>1</v>
      </c>
      <c r="J2343" s="1">
        <v>1</v>
      </c>
      <c r="K2343" s="1">
        <v>0</v>
      </c>
      <c r="L2343" s="1">
        <v>0</v>
      </c>
      <c r="M2343" s="1">
        <v>0</v>
      </c>
    </row>
    <row r="2344" spans="1:13">
      <c r="A2344" s="1">
        <v>2343</v>
      </c>
      <c r="B2344" s="1">
        <v>959823.04650000005</v>
      </c>
      <c r="C2344" s="1">
        <v>974441.67231883924</v>
      </c>
      <c r="D2344" s="1">
        <f t="shared" si="36"/>
        <v>-14618.62581883918</v>
      </c>
      <c r="E2344" s="1">
        <v>15</v>
      </c>
      <c r="F2344" s="1">
        <v>16</v>
      </c>
      <c r="G2344" s="1">
        <v>4</v>
      </c>
      <c r="H2344" s="1">
        <v>1</v>
      </c>
      <c r="I2344" s="1">
        <v>0</v>
      </c>
      <c r="J2344" s="1">
        <v>1</v>
      </c>
      <c r="K2344" s="1">
        <v>0</v>
      </c>
      <c r="L2344" s="1">
        <v>0</v>
      </c>
      <c r="M2344" s="1">
        <v>1</v>
      </c>
    </row>
    <row r="2345" spans="1:13">
      <c r="A2345" s="1">
        <v>2344</v>
      </c>
      <c r="B2345" s="1">
        <v>964193.71429999999</v>
      </c>
      <c r="C2345" s="1">
        <v>756653.09199933906</v>
      </c>
      <c r="D2345" s="1">
        <f t="shared" si="36"/>
        <v>207540.62230066094</v>
      </c>
      <c r="E2345" s="1">
        <v>8</v>
      </c>
      <c r="F2345" s="1">
        <v>20</v>
      </c>
      <c r="G2345" s="1">
        <v>7</v>
      </c>
      <c r="H2345" s="1">
        <v>0</v>
      </c>
      <c r="I2345" s="1">
        <v>0</v>
      </c>
      <c r="J2345" s="1">
        <v>0</v>
      </c>
      <c r="K2345" s="1">
        <v>1</v>
      </c>
      <c r="L2345" s="1">
        <v>0</v>
      </c>
      <c r="M2345" s="1">
        <v>0</v>
      </c>
    </row>
    <row r="2346" spans="1:13">
      <c r="A2346" s="1">
        <v>2345</v>
      </c>
      <c r="B2346" s="1">
        <v>1032227.6143</v>
      </c>
      <c r="C2346" s="1">
        <v>851207.88094177144</v>
      </c>
      <c r="D2346" s="1">
        <f t="shared" si="36"/>
        <v>181019.73335822858</v>
      </c>
      <c r="E2346" s="1">
        <v>4</v>
      </c>
      <c r="F2346" s="1">
        <v>24</v>
      </c>
      <c r="G2346" s="1">
        <v>7</v>
      </c>
      <c r="H2346" s="1">
        <v>1</v>
      </c>
      <c r="I2346" s="1">
        <v>1</v>
      </c>
      <c r="J2346" s="1">
        <v>0</v>
      </c>
      <c r="K2346" s="1">
        <v>1</v>
      </c>
      <c r="L2346" s="1">
        <v>0</v>
      </c>
      <c r="M2346" s="1">
        <v>0</v>
      </c>
    </row>
    <row r="2347" spans="1:13">
      <c r="A2347" s="1">
        <v>2346</v>
      </c>
      <c r="B2347" s="1">
        <v>943923.31709999999</v>
      </c>
      <c r="C2347" s="1">
        <v>642402.66203722148</v>
      </c>
      <c r="D2347" s="1">
        <f t="shared" si="36"/>
        <v>301520.6550627785</v>
      </c>
      <c r="E2347" s="1">
        <v>13</v>
      </c>
      <c r="F2347" s="1">
        <v>18</v>
      </c>
      <c r="G2347" s="1">
        <v>4</v>
      </c>
      <c r="H2347" s="1">
        <v>2</v>
      </c>
      <c r="I2347" s="1">
        <v>0</v>
      </c>
      <c r="J2347" s="1">
        <v>2</v>
      </c>
      <c r="K2347" s="1">
        <v>0</v>
      </c>
      <c r="L2347" s="1">
        <v>0</v>
      </c>
      <c r="M2347" s="1">
        <v>0</v>
      </c>
    </row>
    <row r="2348" spans="1:13">
      <c r="A2348" s="1">
        <v>2347</v>
      </c>
      <c r="B2348" s="1">
        <v>869254.75249999994</v>
      </c>
      <c r="C2348" s="1">
        <v>799814.58168338449</v>
      </c>
      <c r="D2348" s="1">
        <f t="shared" si="36"/>
        <v>69440.170816615457</v>
      </c>
      <c r="E2348" s="1">
        <v>11</v>
      </c>
      <c r="F2348" s="1">
        <v>17</v>
      </c>
      <c r="G2348" s="1">
        <v>7</v>
      </c>
      <c r="H2348" s="1">
        <v>1</v>
      </c>
      <c r="I2348" s="1">
        <v>0</v>
      </c>
      <c r="J2348" s="1">
        <v>0</v>
      </c>
      <c r="K2348" s="1">
        <v>0</v>
      </c>
      <c r="L2348" s="1">
        <v>0</v>
      </c>
      <c r="M2348" s="1">
        <v>0</v>
      </c>
    </row>
    <row r="2349" spans="1:13">
      <c r="A2349" s="1">
        <v>2348</v>
      </c>
      <c r="B2349" s="1">
        <v>872325.04619999998</v>
      </c>
      <c r="C2349" s="1">
        <v>558557.49592574069</v>
      </c>
      <c r="D2349" s="1">
        <f t="shared" si="36"/>
        <v>313767.55027425929</v>
      </c>
      <c r="E2349" s="1">
        <v>21</v>
      </c>
      <c r="F2349" s="1">
        <v>12</v>
      </c>
      <c r="G2349" s="1">
        <v>2</v>
      </c>
      <c r="H2349" s="1">
        <v>2</v>
      </c>
      <c r="I2349" s="1">
        <v>0</v>
      </c>
      <c r="J2349" s="1">
        <v>2</v>
      </c>
      <c r="K2349" s="1">
        <v>0</v>
      </c>
      <c r="L2349" s="1">
        <v>0</v>
      </c>
      <c r="M2349" s="1">
        <v>0</v>
      </c>
    </row>
    <row r="2350" spans="1:13">
      <c r="A2350" s="1">
        <v>2349</v>
      </c>
      <c r="B2350" s="1">
        <v>927598.26300000004</v>
      </c>
      <c r="C2350" s="1">
        <v>973372.42398484715</v>
      </c>
      <c r="D2350" s="1">
        <f t="shared" si="36"/>
        <v>-45774.160984847113</v>
      </c>
      <c r="E2350" s="1">
        <v>15</v>
      </c>
      <c r="F2350" s="1">
        <v>16</v>
      </c>
      <c r="G2350" s="1">
        <v>4</v>
      </c>
      <c r="H2350" s="1">
        <v>1</v>
      </c>
      <c r="I2350" s="1">
        <v>0</v>
      </c>
      <c r="J2350" s="1">
        <v>0</v>
      </c>
      <c r="K2350" s="1">
        <v>0</v>
      </c>
      <c r="L2350" s="1">
        <v>0</v>
      </c>
      <c r="M2350" s="1">
        <v>0</v>
      </c>
    </row>
    <row r="2351" spans="1:13">
      <c r="A2351" s="1">
        <v>2350</v>
      </c>
      <c r="B2351" s="1">
        <v>887496.5673</v>
      </c>
      <c r="C2351" s="1">
        <v>1344519.6124327318</v>
      </c>
      <c r="D2351" s="1">
        <f t="shared" si="36"/>
        <v>-457023.04513273179</v>
      </c>
      <c r="E2351" s="1">
        <v>9</v>
      </c>
      <c r="F2351" s="1">
        <v>23</v>
      </c>
      <c r="G2351" s="1">
        <v>3</v>
      </c>
      <c r="H2351" s="1">
        <v>1</v>
      </c>
      <c r="I2351" s="1">
        <v>0</v>
      </c>
      <c r="J2351" s="1">
        <v>1</v>
      </c>
      <c r="K2351" s="1">
        <v>0</v>
      </c>
      <c r="L2351" s="1">
        <v>0</v>
      </c>
      <c r="M2351" s="1">
        <v>1</v>
      </c>
    </row>
    <row r="2352" spans="1:13">
      <c r="A2352" s="1">
        <v>2351</v>
      </c>
      <c r="B2352" s="1">
        <v>1035369.7127</v>
      </c>
      <c r="C2352" s="1">
        <v>1354500.5820214998</v>
      </c>
      <c r="D2352" s="1">
        <f t="shared" si="36"/>
        <v>-319130.86932149972</v>
      </c>
      <c r="E2352" s="1">
        <v>5</v>
      </c>
      <c r="F2352" s="1">
        <v>26</v>
      </c>
      <c r="G2352" s="1">
        <v>4</v>
      </c>
      <c r="H2352" s="1">
        <v>1</v>
      </c>
      <c r="I2352" s="1">
        <v>1</v>
      </c>
      <c r="J2352" s="1">
        <v>0</v>
      </c>
      <c r="K2352" s="1">
        <v>0</v>
      </c>
      <c r="L2352" s="1">
        <v>0</v>
      </c>
      <c r="M2352" s="1">
        <v>0</v>
      </c>
    </row>
    <row r="2353" spans="1:13">
      <c r="A2353" s="1">
        <v>2352</v>
      </c>
      <c r="B2353" s="1">
        <v>946239.08290000004</v>
      </c>
      <c r="C2353" s="1">
        <v>887852.13098631753</v>
      </c>
      <c r="D2353" s="1">
        <f t="shared" si="36"/>
        <v>58386.951913682511</v>
      </c>
      <c r="E2353" s="1">
        <v>12</v>
      </c>
      <c r="F2353" s="1">
        <v>17</v>
      </c>
      <c r="G2353" s="1">
        <v>6</v>
      </c>
      <c r="H2353" s="1">
        <v>1</v>
      </c>
      <c r="I2353" s="1">
        <v>0</v>
      </c>
      <c r="J2353" s="1">
        <v>1</v>
      </c>
      <c r="K2353" s="1">
        <v>1</v>
      </c>
      <c r="L2353" s="1">
        <v>0</v>
      </c>
      <c r="M2353" s="1">
        <v>1</v>
      </c>
    </row>
    <row r="2354" spans="1:13">
      <c r="A2354" s="1">
        <v>2353</v>
      </c>
      <c r="B2354" s="1">
        <v>909512.29139999999</v>
      </c>
      <c r="C2354" s="1">
        <v>1029583.062709643</v>
      </c>
      <c r="D2354" s="1">
        <f t="shared" si="36"/>
        <v>-120070.77130964305</v>
      </c>
      <c r="E2354" s="1">
        <v>10</v>
      </c>
      <c r="F2354" s="1">
        <v>19</v>
      </c>
      <c r="G2354" s="1">
        <v>6</v>
      </c>
      <c r="H2354" s="1">
        <v>0</v>
      </c>
      <c r="I2354" s="1">
        <v>0</v>
      </c>
      <c r="J2354" s="1">
        <v>0</v>
      </c>
      <c r="K2354" s="1">
        <v>2</v>
      </c>
      <c r="L2354" s="1">
        <v>0</v>
      </c>
      <c r="M2354" s="1">
        <v>0</v>
      </c>
    </row>
    <row r="2355" spans="1:13">
      <c r="A2355" s="1">
        <v>2354</v>
      </c>
      <c r="B2355" s="1">
        <v>874003.40009999997</v>
      </c>
      <c r="C2355" s="1">
        <v>781578.25916794036</v>
      </c>
      <c r="D2355" s="1">
        <f t="shared" si="36"/>
        <v>92425.140932059614</v>
      </c>
      <c r="E2355" s="1">
        <v>9</v>
      </c>
      <c r="F2355" s="1">
        <v>23</v>
      </c>
      <c r="G2355" s="1">
        <v>3</v>
      </c>
      <c r="H2355" s="1">
        <v>2</v>
      </c>
      <c r="I2355" s="1">
        <v>0</v>
      </c>
      <c r="J2355" s="1">
        <v>2</v>
      </c>
      <c r="K2355" s="1">
        <v>0</v>
      </c>
      <c r="L2355" s="1">
        <v>0</v>
      </c>
      <c r="M2355" s="1">
        <v>1</v>
      </c>
    </row>
    <row r="2356" spans="1:13">
      <c r="A2356" s="1">
        <v>2355</v>
      </c>
      <c r="B2356" s="1">
        <v>1007490.6452</v>
      </c>
      <c r="C2356" s="1">
        <v>1031942.1498199028</v>
      </c>
      <c r="D2356" s="1">
        <f t="shared" si="36"/>
        <v>-24451.504619902815</v>
      </c>
      <c r="E2356" s="1">
        <v>12</v>
      </c>
      <c r="F2356" s="1">
        <v>15</v>
      </c>
      <c r="G2356" s="1">
        <v>8</v>
      </c>
      <c r="H2356" s="1">
        <v>0</v>
      </c>
      <c r="I2356" s="1">
        <v>0</v>
      </c>
      <c r="J2356" s="1">
        <v>0</v>
      </c>
      <c r="K2356" s="1">
        <v>1</v>
      </c>
      <c r="L2356" s="1">
        <v>0</v>
      </c>
      <c r="M2356" s="1">
        <v>1</v>
      </c>
    </row>
    <row r="2357" spans="1:13">
      <c r="A2357" s="1">
        <v>2356</v>
      </c>
      <c r="B2357" s="1">
        <v>996656.27119999996</v>
      </c>
      <c r="C2357" s="1">
        <v>1156179.6528021488</v>
      </c>
      <c r="D2357" s="1">
        <f t="shared" si="36"/>
        <v>-159523.38160214887</v>
      </c>
      <c r="E2357" s="1">
        <v>10</v>
      </c>
      <c r="F2357" s="1">
        <v>19</v>
      </c>
      <c r="G2357" s="1">
        <v>6</v>
      </c>
      <c r="H2357" s="1">
        <v>1</v>
      </c>
      <c r="I2357" s="1">
        <v>0</v>
      </c>
      <c r="J2357" s="1">
        <v>2</v>
      </c>
      <c r="K2357" s="1">
        <v>0</v>
      </c>
      <c r="L2357" s="1">
        <v>0</v>
      </c>
      <c r="M2357" s="1">
        <v>0</v>
      </c>
    </row>
    <row r="2358" spans="1:13">
      <c r="A2358" s="1">
        <v>2357</v>
      </c>
      <c r="B2358" s="1">
        <v>1043925.1269</v>
      </c>
      <c r="C2358" s="1">
        <v>845995.55267185986</v>
      </c>
      <c r="D2358" s="1">
        <f t="shared" si="36"/>
        <v>197929.57422814018</v>
      </c>
      <c r="E2358" s="1">
        <v>11</v>
      </c>
      <c r="F2358" s="1">
        <v>18</v>
      </c>
      <c r="G2358" s="1">
        <v>6</v>
      </c>
      <c r="H2358" s="1">
        <v>1</v>
      </c>
      <c r="I2358" s="1">
        <v>0</v>
      </c>
      <c r="J2358" s="1">
        <v>0</v>
      </c>
      <c r="K2358" s="1">
        <v>1</v>
      </c>
      <c r="L2358" s="1">
        <v>1</v>
      </c>
      <c r="M2358" s="1">
        <v>0</v>
      </c>
    </row>
    <row r="2359" spans="1:13">
      <c r="A2359" s="1">
        <v>2358</v>
      </c>
      <c r="B2359" s="1">
        <v>845382.93299999996</v>
      </c>
      <c r="C2359" s="1">
        <v>1283875.5619023615</v>
      </c>
      <c r="D2359" s="1">
        <f t="shared" si="36"/>
        <v>-438492.6289023615</v>
      </c>
      <c r="E2359" s="1">
        <v>21</v>
      </c>
      <c r="F2359" s="1">
        <v>12</v>
      </c>
      <c r="G2359" s="1">
        <v>2</v>
      </c>
      <c r="H2359" s="1">
        <v>2</v>
      </c>
      <c r="I2359" s="1">
        <v>0</v>
      </c>
      <c r="J2359" s="1">
        <v>2</v>
      </c>
      <c r="K2359" s="1">
        <v>0</v>
      </c>
      <c r="L2359" s="1">
        <v>0</v>
      </c>
      <c r="M2359" s="1">
        <v>0</v>
      </c>
    </row>
    <row r="2360" spans="1:13">
      <c r="A2360" s="1">
        <v>2359</v>
      </c>
      <c r="B2360" s="1">
        <v>886017.84129999997</v>
      </c>
      <c r="C2360" s="1">
        <v>706288.65171010233</v>
      </c>
      <c r="D2360" s="1">
        <f t="shared" si="36"/>
        <v>179729.18958989764</v>
      </c>
      <c r="E2360" s="1">
        <v>18</v>
      </c>
      <c r="F2360" s="1">
        <v>13</v>
      </c>
      <c r="G2360" s="1">
        <v>4</v>
      </c>
      <c r="H2360" s="1">
        <v>2</v>
      </c>
      <c r="I2360" s="1">
        <v>0</v>
      </c>
      <c r="J2360" s="1">
        <v>2</v>
      </c>
      <c r="K2360" s="1">
        <v>0</v>
      </c>
      <c r="L2360" s="1">
        <v>0</v>
      </c>
      <c r="M2360" s="1">
        <v>1</v>
      </c>
    </row>
    <row r="2361" spans="1:13">
      <c r="A2361" s="1">
        <v>2360</v>
      </c>
      <c r="B2361" s="1">
        <v>999699.63959999999</v>
      </c>
      <c r="C2361" s="1">
        <v>915986.49941119715</v>
      </c>
      <c r="D2361" s="1">
        <f t="shared" si="36"/>
        <v>83713.140188802849</v>
      </c>
      <c r="E2361" s="1">
        <v>9</v>
      </c>
      <c r="F2361" s="1">
        <v>20</v>
      </c>
      <c r="G2361" s="1">
        <v>6</v>
      </c>
      <c r="H2361" s="1">
        <v>1</v>
      </c>
      <c r="I2361" s="1">
        <v>0</v>
      </c>
      <c r="J2361" s="1">
        <v>1</v>
      </c>
      <c r="K2361" s="1">
        <v>1</v>
      </c>
      <c r="L2361" s="1">
        <v>0</v>
      </c>
      <c r="M2361" s="1">
        <v>1</v>
      </c>
    </row>
    <row r="2362" spans="1:13">
      <c r="A2362" s="1">
        <v>2361</v>
      </c>
      <c r="B2362" s="1">
        <v>968861.81980000006</v>
      </c>
      <c r="C2362" s="1">
        <v>992093.96158514998</v>
      </c>
      <c r="D2362" s="1">
        <f t="shared" si="36"/>
        <v>-23232.141785149928</v>
      </c>
      <c r="E2362" s="1">
        <v>16</v>
      </c>
      <c r="F2362" s="1">
        <v>13</v>
      </c>
      <c r="G2362" s="1">
        <v>6</v>
      </c>
      <c r="H2362" s="1">
        <v>0</v>
      </c>
      <c r="I2362" s="1">
        <v>0</v>
      </c>
      <c r="J2362" s="1">
        <v>0</v>
      </c>
      <c r="K2362" s="1">
        <v>0</v>
      </c>
      <c r="L2362" s="1">
        <v>0</v>
      </c>
      <c r="M2362" s="1">
        <v>0</v>
      </c>
    </row>
    <row r="2363" spans="1:13">
      <c r="A2363" s="1">
        <v>2362</v>
      </c>
      <c r="B2363" s="1">
        <v>899000.87120000005</v>
      </c>
      <c r="C2363" s="1">
        <v>1185400.3186901095</v>
      </c>
      <c r="D2363" s="1">
        <f t="shared" si="36"/>
        <v>-286399.44749010948</v>
      </c>
      <c r="E2363" s="1">
        <v>9</v>
      </c>
      <c r="F2363" s="1">
        <v>23</v>
      </c>
      <c r="G2363" s="1">
        <v>3</v>
      </c>
      <c r="H2363" s="1">
        <v>2</v>
      </c>
      <c r="I2363" s="1">
        <v>0</v>
      </c>
      <c r="J2363" s="1">
        <v>2</v>
      </c>
      <c r="K2363" s="1">
        <v>0</v>
      </c>
      <c r="L2363" s="1">
        <v>0</v>
      </c>
      <c r="M2363" s="1">
        <v>0</v>
      </c>
    </row>
    <row r="2364" spans="1:13">
      <c r="A2364" s="1">
        <v>2363</v>
      </c>
      <c r="B2364" s="1">
        <v>956984.46400000004</v>
      </c>
      <c r="C2364" s="1">
        <v>1971639.4154251693</v>
      </c>
      <c r="D2364" s="1">
        <f t="shared" si="36"/>
        <v>-1014654.9514251692</v>
      </c>
      <c r="E2364" s="1">
        <v>7</v>
      </c>
      <c r="F2364" s="1">
        <v>23</v>
      </c>
      <c r="G2364" s="1">
        <v>5</v>
      </c>
      <c r="H2364" s="1">
        <v>0</v>
      </c>
      <c r="I2364" s="1">
        <v>0</v>
      </c>
      <c r="J2364" s="1">
        <v>0</v>
      </c>
      <c r="K2364" s="1">
        <v>2</v>
      </c>
      <c r="L2364" s="1">
        <v>0</v>
      </c>
      <c r="M2364" s="1">
        <v>0</v>
      </c>
    </row>
    <row r="2365" spans="1:13">
      <c r="A2365" s="1">
        <v>2364</v>
      </c>
      <c r="B2365" s="1">
        <v>846823.47710000002</v>
      </c>
      <c r="C2365" s="1">
        <v>865679.83209345292</v>
      </c>
      <c r="D2365" s="1">
        <f t="shared" si="36"/>
        <v>-18856.3549934529</v>
      </c>
      <c r="E2365" s="1">
        <v>11</v>
      </c>
      <c r="F2365" s="1">
        <v>22</v>
      </c>
      <c r="G2365" s="1">
        <v>2</v>
      </c>
      <c r="H2365" s="1">
        <v>2</v>
      </c>
      <c r="I2365" s="1">
        <v>0</v>
      </c>
      <c r="J2365" s="1">
        <v>0</v>
      </c>
      <c r="K2365" s="1">
        <v>0</v>
      </c>
      <c r="L2365" s="1">
        <v>0</v>
      </c>
      <c r="M2365" s="1">
        <v>0</v>
      </c>
    </row>
    <row r="2366" spans="1:13">
      <c r="A2366" s="1">
        <v>2365</v>
      </c>
      <c r="B2366" s="1">
        <v>913264.62899999996</v>
      </c>
      <c r="C2366" s="1">
        <v>780320.52670347283</v>
      </c>
      <c r="D2366" s="1">
        <f t="shared" si="36"/>
        <v>132944.10229652713</v>
      </c>
      <c r="E2366" s="1">
        <v>12</v>
      </c>
      <c r="F2366" s="1">
        <v>21</v>
      </c>
      <c r="G2366" s="1">
        <v>2</v>
      </c>
      <c r="H2366" s="1">
        <v>1</v>
      </c>
      <c r="I2366" s="1">
        <v>0</v>
      </c>
      <c r="J2366" s="1">
        <v>0</v>
      </c>
      <c r="K2366" s="1">
        <v>1</v>
      </c>
      <c r="L2366" s="1">
        <v>1</v>
      </c>
      <c r="M2366" s="1">
        <v>1</v>
      </c>
    </row>
    <row r="2367" spans="1:13">
      <c r="A2367" s="1">
        <v>2366</v>
      </c>
      <c r="B2367" s="1">
        <v>856864.95689999999</v>
      </c>
      <c r="C2367" s="1">
        <v>929908.75859207672</v>
      </c>
      <c r="D2367" s="1">
        <f t="shared" si="36"/>
        <v>-73043.801692076726</v>
      </c>
      <c r="E2367" s="1">
        <v>20</v>
      </c>
      <c r="F2367" s="1">
        <v>11</v>
      </c>
      <c r="G2367" s="1">
        <v>4</v>
      </c>
      <c r="H2367" s="1">
        <v>1</v>
      </c>
      <c r="I2367" s="1">
        <v>0</v>
      </c>
      <c r="J2367" s="1">
        <v>0</v>
      </c>
      <c r="K2367" s="1">
        <v>0</v>
      </c>
      <c r="L2367" s="1">
        <v>0</v>
      </c>
      <c r="M2367" s="1">
        <v>1</v>
      </c>
    </row>
    <row r="2368" spans="1:13">
      <c r="A2368" s="1">
        <v>2367</v>
      </c>
      <c r="B2368" s="1">
        <v>932903.10140000004</v>
      </c>
      <c r="C2368" s="1">
        <v>266023.11602066539</v>
      </c>
      <c r="D2368" s="1">
        <f t="shared" si="36"/>
        <v>666879.98537933466</v>
      </c>
      <c r="E2368" s="1">
        <v>15</v>
      </c>
      <c r="F2368" s="1">
        <v>13</v>
      </c>
      <c r="G2368" s="1">
        <v>7</v>
      </c>
      <c r="H2368" s="1">
        <v>2</v>
      </c>
      <c r="I2368" s="1">
        <v>0</v>
      </c>
      <c r="J2368" s="1">
        <v>0</v>
      </c>
      <c r="K2368" s="1">
        <v>2</v>
      </c>
      <c r="L2368" s="1">
        <v>0</v>
      </c>
      <c r="M2368" s="1">
        <v>1</v>
      </c>
    </row>
    <row r="2369" spans="1:13">
      <c r="A2369" s="1">
        <v>2368</v>
      </c>
      <c r="B2369" s="1">
        <v>934907.51179999998</v>
      </c>
      <c r="C2369" s="1">
        <v>787274.9286339297</v>
      </c>
      <c r="D2369" s="1">
        <f t="shared" si="36"/>
        <v>147632.58316607028</v>
      </c>
      <c r="E2369" s="1">
        <v>12</v>
      </c>
      <c r="F2369" s="1">
        <v>15</v>
      </c>
      <c r="G2369" s="1">
        <v>8</v>
      </c>
      <c r="H2369" s="1">
        <v>1</v>
      </c>
      <c r="I2369" s="1">
        <v>0</v>
      </c>
      <c r="J2369" s="1">
        <v>1</v>
      </c>
      <c r="K2369" s="1">
        <v>0</v>
      </c>
      <c r="L2369" s="1">
        <v>0</v>
      </c>
      <c r="M2369" s="1">
        <v>1</v>
      </c>
    </row>
    <row r="2370" spans="1:13">
      <c r="A2370" s="1">
        <v>2369</v>
      </c>
      <c r="B2370" s="1">
        <v>920284.87340000004</v>
      </c>
      <c r="C2370" s="1">
        <v>940697.09817620751</v>
      </c>
      <c r="D2370" s="1">
        <f t="shared" ref="D2370:D2433" si="37">B2370-C2370</f>
        <v>-20412.224776207469</v>
      </c>
      <c r="E2370" s="1">
        <v>17</v>
      </c>
      <c r="F2370" s="1">
        <v>13</v>
      </c>
      <c r="G2370" s="1">
        <v>5</v>
      </c>
      <c r="H2370" s="1">
        <v>1</v>
      </c>
      <c r="I2370" s="1">
        <v>0</v>
      </c>
      <c r="J2370" s="1">
        <v>2</v>
      </c>
      <c r="K2370" s="1">
        <v>0</v>
      </c>
      <c r="L2370" s="1">
        <v>0</v>
      </c>
      <c r="M2370" s="1">
        <v>0</v>
      </c>
    </row>
    <row r="2371" spans="1:13">
      <c r="A2371" s="1">
        <v>2370</v>
      </c>
      <c r="B2371" s="1">
        <v>916565.5514</v>
      </c>
      <c r="C2371" s="1">
        <v>1018777.9876466031</v>
      </c>
      <c r="D2371" s="1">
        <f t="shared" si="37"/>
        <v>-102212.43624660315</v>
      </c>
      <c r="E2371" s="1">
        <v>10</v>
      </c>
      <c r="F2371" s="1">
        <v>19</v>
      </c>
      <c r="G2371" s="1">
        <v>6</v>
      </c>
      <c r="H2371" s="1">
        <v>0</v>
      </c>
      <c r="I2371" s="1">
        <v>0</v>
      </c>
      <c r="J2371" s="1">
        <v>0</v>
      </c>
      <c r="K2371" s="1">
        <v>2</v>
      </c>
      <c r="L2371" s="1">
        <v>0</v>
      </c>
      <c r="M2371" s="1">
        <v>1</v>
      </c>
    </row>
    <row r="2372" spans="1:13">
      <c r="A2372" s="1">
        <v>2371</v>
      </c>
      <c r="B2372" s="1">
        <v>864479.48239999998</v>
      </c>
      <c r="C2372" s="1">
        <v>624073.12311992794</v>
      </c>
      <c r="D2372" s="1">
        <f t="shared" si="37"/>
        <v>240406.35928007204</v>
      </c>
      <c r="E2372" s="1">
        <v>18</v>
      </c>
      <c r="F2372" s="1">
        <v>13</v>
      </c>
      <c r="G2372" s="1">
        <v>4</v>
      </c>
      <c r="H2372" s="1">
        <v>2</v>
      </c>
      <c r="I2372" s="1">
        <v>0</v>
      </c>
      <c r="J2372" s="1">
        <v>0</v>
      </c>
      <c r="K2372" s="1">
        <v>1</v>
      </c>
      <c r="L2372" s="1">
        <v>0</v>
      </c>
      <c r="M2372" s="1">
        <v>0</v>
      </c>
    </row>
    <row r="2373" spans="1:13">
      <c r="A2373" s="1">
        <v>2372</v>
      </c>
      <c r="B2373" s="1">
        <v>1019969.1896</v>
      </c>
      <c r="C2373" s="1">
        <v>797254.42794810573</v>
      </c>
      <c r="D2373" s="1">
        <f t="shared" si="37"/>
        <v>222714.76165189431</v>
      </c>
      <c r="E2373" s="1">
        <v>10</v>
      </c>
      <c r="F2373" s="1">
        <v>20</v>
      </c>
      <c r="G2373" s="1">
        <v>5</v>
      </c>
      <c r="H2373" s="1">
        <v>0</v>
      </c>
      <c r="I2373" s="1">
        <v>0</v>
      </c>
      <c r="J2373" s="1">
        <v>0</v>
      </c>
      <c r="K2373" s="1">
        <v>1</v>
      </c>
      <c r="L2373" s="1">
        <v>0</v>
      </c>
      <c r="M2373" s="1">
        <v>0</v>
      </c>
    </row>
    <row r="2374" spans="1:13">
      <c r="A2374" s="1">
        <v>2373</v>
      </c>
      <c r="B2374" s="1">
        <v>930732.02670000005</v>
      </c>
      <c r="C2374" s="1">
        <v>525758.29361206421</v>
      </c>
      <c r="D2374" s="1">
        <f t="shared" si="37"/>
        <v>404973.73308793583</v>
      </c>
      <c r="E2374" s="1">
        <v>10</v>
      </c>
      <c r="F2374" s="1">
        <v>22</v>
      </c>
      <c r="G2374" s="1">
        <v>3</v>
      </c>
      <c r="H2374" s="1">
        <v>2</v>
      </c>
      <c r="I2374" s="1">
        <v>0</v>
      </c>
      <c r="J2374" s="1">
        <v>0</v>
      </c>
      <c r="K2374" s="1">
        <v>0</v>
      </c>
      <c r="L2374" s="1">
        <v>0</v>
      </c>
      <c r="M2374" s="1">
        <v>0</v>
      </c>
    </row>
    <row r="2375" spans="1:13">
      <c r="A2375" s="1">
        <v>2374</v>
      </c>
      <c r="B2375" s="1">
        <v>1000542.3074</v>
      </c>
      <c r="C2375" s="1">
        <v>759021.14394210721</v>
      </c>
      <c r="D2375" s="1">
        <f t="shared" si="37"/>
        <v>241521.16345789284</v>
      </c>
      <c r="E2375" s="1">
        <v>16</v>
      </c>
      <c r="F2375" s="1">
        <v>13</v>
      </c>
      <c r="G2375" s="1">
        <v>6</v>
      </c>
      <c r="H2375" s="1">
        <v>0</v>
      </c>
      <c r="I2375" s="1">
        <v>1</v>
      </c>
      <c r="J2375" s="1">
        <v>0</v>
      </c>
      <c r="K2375" s="1">
        <v>0</v>
      </c>
      <c r="L2375" s="1">
        <v>0</v>
      </c>
      <c r="M2375" s="1">
        <v>1</v>
      </c>
    </row>
    <row r="2376" spans="1:13">
      <c r="A2376" s="1">
        <v>2375</v>
      </c>
      <c r="B2376" s="1">
        <v>1044233.5702</v>
      </c>
      <c r="C2376" s="1">
        <v>858948.41628572892</v>
      </c>
      <c r="D2376" s="1">
        <f t="shared" si="37"/>
        <v>185285.15391427104</v>
      </c>
      <c r="E2376" s="1">
        <v>13</v>
      </c>
      <c r="F2376" s="1">
        <v>16</v>
      </c>
      <c r="G2376" s="1">
        <v>6</v>
      </c>
      <c r="H2376" s="1">
        <v>1</v>
      </c>
      <c r="I2376" s="1">
        <v>0</v>
      </c>
      <c r="J2376" s="1">
        <v>1</v>
      </c>
      <c r="K2376" s="1">
        <v>1</v>
      </c>
      <c r="L2376" s="1">
        <v>0</v>
      </c>
      <c r="M2376" s="1">
        <v>0</v>
      </c>
    </row>
    <row r="2377" spans="1:13">
      <c r="A2377" s="1">
        <v>2376</v>
      </c>
      <c r="B2377" s="1">
        <v>1019771.5453999999</v>
      </c>
      <c r="C2377" s="1">
        <v>409844.32919422362</v>
      </c>
      <c r="D2377" s="1">
        <f t="shared" si="37"/>
        <v>609927.21620577632</v>
      </c>
      <c r="E2377" s="1">
        <v>12</v>
      </c>
      <c r="F2377" s="1">
        <v>17</v>
      </c>
      <c r="G2377" s="1">
        <v>6</v>
      </c>
      <c r="H2377" s="1">
        <v>0</v>
      </c>
      <c r="I2377" s="1">
        <v>1</v>
      </c>
      <c r="J2377" s="1">
        <v>0</v>
      </c>
      <c r="K2377" s="1">
        <v>1</v>
      </c>
      <c r="L2377" s="1">
        <v>1</v>
      </c>
      <c r="M2377" s="1">
        <v>0</v>
      </c>
    </row>
    <row r="2378" spans="1:13">
      <c r="A2378" s="1">
        <v>2377</v>
      </c>
      <c r="B2378" s="1">
        <v>915356.4142</v>
      </c>
      <c r="C2378" s="1">
        <v>784396.7094488038</v>
      </c>
      <c r="D2378" s="1">
        <f t="shared" si="37"/>
        <v>130959.7047511962</v>
      </c>
      <c r="E2378" s="1">
        <v>15</v>
      </c>
      <c r="F2378" s="1">
        <v>16</v>
      </c>
      <c r="G2378" s="1">
        <v>4</v>
      </c>
      <c r="H2378" s="1">
        <v>0</v>
      </c>
      <c r="I2378" s="1">
        <v>1</v>
      </c>
      <c r="J2378" s="1">
        <v>0</v>
      </c>
      <c r="K2378" s="1">
        <v>2</v>
      </c>
      <c r="L2378" s="1">
        <v>0</v>
      </c>
      <c r="M2378" s="1">
        <v>0</v>
      </c>
    </row>
    <row r="2379" spans="1:13">
      <c r="A2379" s="1">
        <v>2378</v>
      </c>
      <c r="B2379" s="1">
        <v>907004.38650000002</v>
      </c>
      <c r="C2379" s="1">
        <v>549826.40642920544</v>
      </c>
      <c r="D2379" s="1">
        <f t="shared" si="37"/>
        <v>357177.98007079458</v>
      </c>
      <c r="E2379" s="1">
        <v>19</v>
      </c>
      <c r="F2379" s="1">
        <v>12</v>
      </c>
      <c r="G2379" s="1">
        <v>4</v>
      </c>
      <c r="H2379" s="1">
        <v>0</v>
      </c>
      <c r="I2379" s="1">
        <v>0</v>
      </c>
      <c r="J2379" s="1">
        <v>2</v>
      </c>
      <c r="K2379" s="1">
        <v>0</v>
      </c>
      <c r="L2379" s="1">
        <v>0</v>
      </c>
      <c r="M2379" s="1">
        <v>0</v>
      </c>
    </row>
    <row r="2380" spans="1:13">
      <c r="A2380" s="1">
        <v>2379</v>
      </c>
      <c r="B2380" s="1">
        <v>914652.13630000001</v>
      </c>
      <c r="C2380" s="1">
        <v>1044984.8788894003</v>
      </c>
      <c r="D2380" s="1">
        <f t="shared" si="37"/>
        <v>-130332.74258940027</v>
      </c>
      <c r="E2380" s="1">
        <v>14</v>
      </c>
      <c r="F2380" s="1">
        <v>17</v>
      </c>
      <c r="G2380" s="1">
        <v>4</v>
      </c>
      <c r="H2380" s="1">
        <v>2</v>
      </c>
      <c r="I2380" s="1">
        <v>0</v>
      </c>
      <c r="J2380" s="1">
        <v>0</v>
      </c>
      <c r="K2380" s="1">
        <v>1</v>
      </c>
      <c r="L2380" s="1">
        <v>0</v>
      </c>
      <c r="M2380" s="1">
        <v>0</v>
      </c>
    </row>
    <row r="2381" spans="1:13">
      <c r="A2381" s="1">
        <v>2380</v>
      </c>
      <c r="B2381" s="1">
        <v>886622.91689999995</v>
      </c>
      <c r="C2381" s="1">
        <v>709705.69347241509</v>
      </c>
      <c r="D2381" s="1">
        <f t="shared" si="37"/>
        <v>176917.22342758486</v>
      </c>
      <c r="E2381" s="1">
        <v>20</v>
      </c>
      <c r="F2381" s="1">
        <v>10</v>
      </c>
      <c r="G2381" s="1">
        <v>5</v>
      </c>
      <c r="H2381" s="1">
        <v>0</v>
      </c>
      <c r="I2381" s="1">
        <v>0</v>
      </c>
      <c r="J2381" s="1">
        <v>0</v>
      </c>
      <c r="K2381" s="1">
        <v>0</v>
      </c>
      <c r="L2381" s="1">
        <v>0</v>
      </c>
      <c r="M2381" s="1">
        <v>0</v>
      </c>
    </row>
    <row r="2382" spans="1:13">
      <c r="A2382" s="1">
        <v>2381</v>
      </c>
      <c r="B2382" s="1">
        <v>979050.61270000006</v>
      </c>
      <c r="C2382" s="1">
        <v>800025.77141639893</v>
      </c>
      <c r="D2382" s="1">
        <f t="shared" si="37"/>
        <v>179024.84128360113</v>
      </c>
      <c r="E2382" s="1">
        <v>12</v>
      </c>
      <c r="F2382" s="1">
        <v>17</v>
      </c>
      <c r="G2382" s="1">
        <v>6</v>
      </c>
      <c r="H2382" s="1">
        <v>2</v>
      </c>
      <c r="I2382" s="1">
        <v>0</v>
      </c>
      <c r="J2382" s="1">
        <v>0</v>
      </c>
      <c r="K2382" s="1">
        <v>1</v>
      </c>
      <c r="L2382" s="1">
        <v>0</v>
      </c>
      <c r="M2382" s="1">
        <v>1</v>
      </c>
    </row>
    <row r="2383" spans="1:13">
      <c r="A2383" s="1">
        <v>2382</v>
      </c>
      <c r="B2383" s="1">
        <v>955599.20180000004</v>
      </c>
      <c r="C2383" s="1">
        <v>928282.33041129098</v>
      </c>
      <c r="D2383" s="1">
        <f t="shared" si="37"/>
        <v>27316.871388709056</v>
      </c>
      <c r="E2383" s="1">
        <v>18</v>
      </c>
      <c r="F2383" s="1">
        <v>11</v>
      </c>
      <c r="G2383" s="1">
        <v>6</v>
      </c>
      <c r="H2383" s="1">
        <v>2</v>
      </c>
      <c r="I2383" s="1">
        <v>0</v>
      </c>
      <c r="J2383" s="1">
        <v>0</v>
      </c>
      <c r="K2383" s="1">
        <v>1</v>
      </c>
      <c r="L2383" s="1">
        <v>0</v>
      </c>
      <c r="M2383" s="1">
        <v>0</v>
      </c>
    </row>
    <row r="2384" spans="1:13">
      <c r="A2384" s="1">
        <v>2383</v>
      </c>
      <c r="B2384" s="1">
        <v>905087.56420000002</v>
      </c>
      <c r="C2384" s="1">
        <v>791838.24388415657</v>
      </c>
      <c r="D2384" s="1">
        <f t="shared" si="37"/>
        <v>113249.32031584345</v>
      </c>
      <c r="E2384" s="1">
        <v>11</v>
      </c>
      <c r="F2384" s="1">
        <v>19</v>
      </c>
      <c r="G2384" s="1">
        <v>5</v>
      </c>
      <c r="H2384" s="1">
        <v>0</v>
      </c>
      <c r="I2384" s="1">
        <v>0</v>
      </c>
      <c r="J2384" s="1">
        <v>1</v>
      </c>
      <c r="K2384" s="1">
        <v>1</v>
      </c>
      <c r="L2384" s="1">
        <v>0</v>
      </c>
      <c r="M2384" s="1">
        <v>1</v>
      </c>
    </row>
    <row r="2385" spans="1:13">
      <c r="A2385" s="1">
        <v>2384</v>
      </c>
      <c r="B2385" s="1">
        <v>876232.82409999997</v>
      </c>
      <c r="C2385" s="1">
        <v>930074.17072606552</v>
      </c>
      <c r="D2385" s="1">
        <f t="shared" si="37"/>
        <v>-53841.346626065555</v>
      </c>
      <c r="E2385" s="1">
        <v>18</v>
      </c>
      <c r="F2385" s="1">
        <v>13</v>
      </c>
      <c r="G2385" s="1">
        <v>4</v>
      </c>
      <c r="H2385" s="1">
        <v>0</v>
      </c>
      <c r="I2385" s="1">
        <v>0</v>
      </c>
      <c r="J2385" s="1">
        <v>0</v>
      </c>
      <c r="K2385" s="1">
        <v>1</v>
      </c>
      <c r="L2385" s="1">
        <v>0</v>
      </c>
      <c r="M2385" s="1">
        <v>0</v>
      </c>
    </row>
    <row r="2386" spans="1:13">
      <c r="A2386" s="1">
        <v>2385</v>
      </c>
      <c r="B2386" s="1">
        <v>920339.92550000001</v>
      </c>
      <c r="C2386" s="1">
        <v>2102807.6963577759</v>
      </c>
      <c r="D2386" s="1">
        <f t="shared" si="37"/>
        <v>-1182467.770857776</v>
      </c>
      <c r="E2386" s="1">
        <v>10</v>
      </c>
      <c r="F2386" s="1">
        <v>20</v>
      </c>
      <c r="G2386" s="1">
        <v>5</v>
      </c>
      <c r="H2386" s="1">
        <v>1</v>
      </c>
      <c r="I2386" s="1">
        <v>1</v>
      </c>
      <c r="J2386" s="1">
        <v>0</v>
      </c>
      <c r="K2386" s="1">
        <v>2</v>
      </c>
      <c r="L2386" s="1">
        <v>0</v>
      </c>
      <c r="M2386" s="1">
        <v>1</v>
      </c>
    </row>
    <row r="2387" spans="1:13">
      <c r="A2387" s="1">
        <v>2386</v>
      </c>
      <c r="B2387" s="1">
        <v>911909.68480000005</v>
      </c>
      <c r="C2387" s="1">
        <v>1102026.8525174926</v>
      </c>
      <c r="D2387" s="1">
        <f t="shared" si="37"/>
        <v>-190117.16771749256</v>
      </c>
      <c r="E2387" s="1">
        <v>18</v>
      </c>
      <c r="F2387" s="1">
        <v>12</v>
      </c>
      <c r="G2387" s="1">
        <v>5</v>
      </c>
      <c r="H2387" s="1">
        <v>0</v>
      </c>
      <c r="I2387" s="1">
        <v>0</v>
      </c>
      <c r="J2387" s="1">
        <v>0</v>
      </c>
      <c r="K2387" s="1">
        <v>2</v>
      </c>
      <c r="L2387" s="1">
        <v>0</v>
      </c>
      <c r="M2387" s="1">
        <v>0</v>
      </c>
    </row>
    <row r="2388" spans="1:13">
      <c r="A2388" s="1">
        <v>2387</v>
      </c>
      <c r="B2388" s="1">
        <v>881782.15740000003</v>
      </c>
      <c r="C2388" s="1">
        <v>756005.44712071959</v>
      </c>
      <c r="D2388" s="1">
        <f t="shared" si="37"/>
        <v>125776.71027928044</v>
      </c>
      <c r="E2388" s="1">
        <v>10</v>
      </c>
      <c r="F2388" s="1">
        <v>22</v>
      </c>
      <c r="G2388" s="1">
        <v>3</v>
      </c>
      <c r="H2388" s="1">
        <v>1</v>
      </c>
      <c r="I2388" s="1">
        <v>0</v>
      </c>
      <c r="J2388" s="1">
        <v>0</v>
      </c>
      <c r="K2388" s="1">
        <v>2</v>
      </c>
      <c r="L2388" s="1">
        <v>0</v>
      </c>
      <c r="M2388" s="1">
        <v>0</v>
      </c>
    </row>
    <row r="2389" spans="1:13">
      <c r="A2389" s="1">
        <v>2388</v>
      </c>
      <c r="B2389" s="1">
        <v>893684.72290000005</v>
      </c>
      <c r="C2389" s="1">
        <v>763448.26616389677</v>
      </c>
      <c r="D2389" s="1">
        <f t="shared" si="37"/>
        <v>130236.45673610328</v>
      </c>
      <c r="E2389" s="1">
        <v>12</v>
      </c>
      <c r="F2389" s="1">
        <v>16</v>
      </c>
      <c r="G2389" s="1">
        <v>7</v>
      </c>
      <c r="H2389" s="1">
        <v>0</v>
      </c>
      <c r="I2389" s="1">
        <v>0</v>
      </c>
      <c r="J2389" s="1">
        <v>0</v>
      </c>
      <c r="K2389" s="1">
        <v>1</v>
      </c>
      <c r="L2389" s="1">
        <v>0</v>
      </c>
      <c r="M2389" s="1">
        <v>0</v>
      </c>
    </row>
    <row r="2390" spans="1:13">
      <c r="A2390" s="1">
        <v>2389</v>
      </c>
      <c r="B2390" s="1">
        <v>891740.23160000006</v>
      </c>
      <c r="C2390" s="1">
        <v>841830.43171059294</v>
      </c>
      <c r="D2390" s="1">
        <f t="shared" si="37"/>
        <v>49909.799889407121</v>
      </c>
      <c r="E2390" s="1">
        <v>7</v>
      </c>
      <c r="F2390" s="1">
        <v>22</v>
      </c>
      <c r="G2390" s="1">
        <v>6</v>
      </c>
      <c r="H2390" s="1">
        <v>2</v>
      </c>
      <c r="I2390" s="1">
        <v>0</v>
      </c>
      <c r="J2390" s="1">
        <v>1</v>
      </c>
      <c r="K2390" s="1">
        <v>1</v>
      </c>
      <c r="L2390" s="1">
        <v>0</v>
      </c>
      <c r="M2390" s="1">
        <v>0</v>
      </c>
    </row>
    <row r="2391" spans="1:13">
      <c r="A2391" s="1">
        <v>2390</v>
      </c>
      <c r="B2391" s="1">
        <v>930550.86789999995</v>
      </c>
      <c r="C2391" s="1">
        <v>1072859.2073833151</v>
      </c>
      <c r="D2391" s="1">
        <f t="shared" si="37"/>
        <v>-142308.33948331513</v>
      </c>
      <c r="E2391" s="1">
        <v>8</v>
      </c>
      <c r="F2391" s="1">
        <v>20</v>
      </c>
      <c r="G2391" s="1">
        <v>7</v>
      </c>
      <c r="H2391" s="1">
        <v>0</v>
      </c>
      <c r="I2391" s="1">
        <v>0</v>
      </c>
      <c r="J2391" s="1">
        <v>0</v>
      </c>
      <c r="K2391" s="1">
        <v>0</v>
      </c>
      <c r="L2391" s="1">
        <v>0</v>
      </c>
      <c r="M2391" s="1">
        <v>0</v>
      </c>
    </row>
    <row r="2392" spans="1:13">
      <c r="A2392" s="1">
        <v>2391</v>
      </c>
      <c r="B2392" s="1">
        <v>879408.67859999998</v>
      </c>
      <c r="C2392" s="1">
        <v>786346.08075210254</v>
      </c>
      <c r="D2392" s="1">
        <f t="shared" si="37"/>
        <v>93062.597847897443</v>
      </c>
      <c r="E2392" s="1">
        <v>13</v>
      </c>
      <c r="F2392" s="1">
        <v>17</v>
      </c>
      <c r="G2392" s="1">
        <v>5</v>
      </c>
      <c r="H2392" s="1">
        <v>1</v>
      </c>
      <c r="I2392" s="1">
        <v>0</v>
      </c>
      <c r="J2392" s="1">
        <v>0</v>
      </c>
      <c r="K2392" s="1">
        <v>0</v>
      </c>
      <c r="L2392" s="1">
        <v>0</v>
      </c>
      <c r="M2392" s="1">
        <v>0</v>
      </c>
    </row>
    <row r="2393" spans="1:13">
      <c r="A2393" s="1">
        <v>2392</v>
      </c>
      <c r="B2393" s="1">
        <v>811630.68070000003</v>
      </c>
      <c r="C2393" s="1">
        <v>2196519.7015860975</v>
      </c>
      <c r="D2393" s="1">
        <f t="shared" si="37"/>
        <v>-1384889.0208860976</v>
      </c>
      <c r="E2393" s="1">
        <v>12</v>
      </c>
      <c r="F2393" s="1">
        <v>20</v>
      </c>
      <c r="G2393" s="1">
        <v>3</v>
      </c>
      <c r="H2393" s="1">
        <v>2</v>
      </c>
      <c r="I2393" s="1">
        <v>0</v>
      </c>
      <c r="J2393" s="1">
        <v>1</v>
      </c>
      <c r="K2393" s="1">
        <v>1</v>
      </c>
      <c r="L2393" s="1">
        <v>0</v>
      </c>
      <c r="M2393" s="1">
        <v>0</v>
      </c>
    </row>
    <row r="2394" spans="1:13">
      <c r="A2394" s="1">
        <v>2393</v>
      </c>
      <c r="B2394" s="1">
        <v>903987.34349999996</v>
      </c>
      <c r="C2394" s="1">
        <v>633840.45719588443</v>
      </c>
      <c r="D2394" s="1">
        <f t="shared" si="37"/>
        <v>270146.88630411553</v>
      </c>
      <c r="E2394" s="1">
        <v>16</v>
      </c>
      <c r="F2394" s="1">
        <v>13</v>
      </c>
      <c r="G2394" s="1">
        <v>6</v>
      </c>
      <c r="H2394" s="1">
        <v>1</v>
      </c>
      <c r="I2394" s="1">
        <v>0</v>
      </c>
      <c r="J2394" s="1">
        <v>1</v>
      </c>
      <c r="K2394" s="1">
        <v>1</v>
      </c>
      <c r="L2394" s="1">
        <v>0</v>
      </c>
      <c r="M2394" s="1">
        <v>0</v>
      </c>
    </row>
    <row r="2395" spans="1:13">
      <c r="A2395" s="1">
        <v>2394</v>
      </c>
      <c r="B2395" s="1">
        <v>870906.21629999997</v>
      </c>
      <c r="C2395" s="1">
        <v>778526.19397723989</v>
      </c>
      <c r="D2395" s="1">
        <f t="shared" si="37"/>
        <v>92380.02232276008</v>
      </c>
      <c r="E2395" s="1">
        <v>14</v>
      </c>
      <c r="F2395" s="1">
        <v>15</v>
      </c>
      <c r="G2395" s="1">
        <v>6</v>
      </c>
      <c r="H2395" s="1">
        <v>1</v>
      </c>
      <c r="I2395" s="1">
        <v>0</v>
      </c>
      <c r="J2395" s="1">
        <v>0</v>
      </c>
      <c r="K2395" s="1">
        <v>0</v>
      </c>
      <c r="L2395" s="1">
        <v>0</v>
      </c>
      <c r="M2395" s="1">
        <v>1</v>
      </c>
    </row>
    <row r="2396" spans="1:13">
      <c r="A2396" s="1">
        <v>2395</v>
      </c>
      <c r="B2396" s="1">
        <v>860333.40419999999</v>
      </c>
      <c r="C2396" s="1">
        <v>1716349.9376742924</v>
      </c>
      <c r="D2396" s="1">
        <f t="shared" si="37"/>
        <v>-856016.53347429237</v>
      </c>
      <c r="E2396" s="1">
        <v>20</v>
      </c>
      <c r="F2396" s="1">
        <v>13</v>
      </c>
      <c r="G2396" s="1">
        <v>2</v>
      </c>
      <c r="H2396" s="1">
        <v>0</v>
      </c>
      <c r="I2396" s="1">
        <v>1</v>
      </c>
      <c r="J2396" s="1">
        <v>0</v>
      </c>
      <c r="K2396" s="1">
        <v>0</v>
      </c>
      <c r="L2396" s="1">
        <v>0</v>
      </c>
      <c r="M2396" s="1">
        <v>0</v>
      </c>
    </row>
    <row r="2397" spans="1:13">
      <c r="A2397" s="1">
        <v>2396</v>
      </c>
      <c r="B2397" s="1">
        <v>1075558.0286999999</v>
      </c>
      <c r="C2397" s="1">
        <v>720125.1012718128</v>
      </c>
      <c r="D2397" s="1">
        <f t="shared" si="37"/>
        <v>355432.9274281871</v>
      </c>
      <c r="E2397" s="1">
        <v>5</v>
      </c>
      <c r="F2397" s="1">
        <v>25</v>
      </c>
      <c r="G2397" s="1">
        <v>5</v>
      </c>
      <c r="H2397" s="1">
        <v>2</v>
      </c>
      <c r="I2397" s="1">
        <v>0</v>
      </c>
      <c r="J2397" s="1">
        <v>2</v>
      </c>
      <c r="K2397" s="1">
        <v>0</v>
      </c>
      <c r="L2397" s="1">
        <v>0</v>
      </c>
      <c r="M2397" s="1">
        <v>0</v>
      </c>
    </row>
    <row r="2398" spans="1:13">
      <c r="A2398" s="1">
        <v>2397</v>
      </c>
      <c r="B2398" s="1">
        <v>906881.94779999997</v>
      </c>
      <c r="C2398" s="1">
        <v>1141397.329141048</v>
      </c>
      <c r="D2398" s="1">
        <f t="shared" si="37"/>
        <v>-234515.38134104805</v>
      </c>
      <c r="E2398" s="1">
        <v>14</v>
      </c>
      <c r="F2398" s="1">
        <v>15</v>
      </c>
      <c r="G2398" s="1">
        <v>6</v>
      </c>
      <c r="H2398" s="1">
        <v>0</v>
      </c>
      <c r="I2398" s="1">
        <v>0</v>
      </c>
      <c r="J2398" s="1">
        <v>0</v>
      </c>
      <c r="K2398" s="1">
        <v>0</v>
      </c>
      <c r="L2398" s="1">
        <v>0</v>
      </c>
      <c r="M2398" s="1">
        <v>0</v>
      </c>
    </row>
    <row r="2399" spans="1:13">
      <c r="A2399" s="1">
        <v>2398</v>
      </c>
      <c r="B2399" s="1">
        <v>873096.63789999997</v>
      </c>
      <c r="C2399" s="1">
        <v>604306.62260051002</v>
      </c>
      <c r="D2399" s="1">
        <f t="shared" si="37"/>
        <v>268790.01529948995</v>
      </c>
      <c r="E2399" s="1">
        <v>13</v>
      </c>
      <c r="F2399" s="1">
        <v>17</v>
      </c>
      <c r="G2399" s="1">
        <v>5</v>
      </c>
      <c r="H2399" s="1">
        <v>0</v>
      </c>
      <c r="I2399" s="1">
        <v>0</v>
      </c>
      <c r="J2399" s="1">
        <v>0</v>
      </c>
      <c r="K2399" s="1">
        <v>0</v>
      </c>
      <c r="L2399" s="1">
        <v>0</v>
      </c>
      <c r="M2399" s="1">
        <v>0</v>
      </c>
    </row>
    <row r="2400" spans="1:13">
      <c r="A2400" s="1">
        <v>2399</v>
      </c>
      <c r="B2400" s="1">
        <v>1016817.2314</v>
      </c>
      <c r="C2400" s="1">
        <v>1035914.9627625498</v>
      </c>
      <c r="D2400" s="1">
        <f t="shared" si="37"/>
        <v>-19097.731362549704</v>
      </c>
      <c r="E2400" s="1">
        <v>10</v>
      </c>
      <c r="F2400" s="1">
        <v>18</v>
      </c>
      <c r="G2400" s="1">
        <v>7</v>
      </c>
      <c r="H2400" s="1">
        <v>0</v>
      </c>
      <c r="I2400" s="1">
        <v>0</v>
      </c>
      <c r="J2400" s="1">
        <v>1</v>
      </c>
      <c r="K2400" s="1">
        <v>0</v>
      </c>
      <c r="L2400" s="1">
        <v>0</v>
      </c>
      <c r="M2400" s="1">
        <v>0</v>
      </c>
    </row>
    <row r="2401" spans="1:13">
      <c r="A2401" s="1">
        <v>2400</v>
      </c>
      <c r="B2401" s="1">
        <v>969848.91940000001</v>
      </c>
      <c r="C2401" s="1">
        <v>1150378.2963286578</v>
      </c>
      <c r="D2401" s="1">
        <f t="shared" si="37"/>
        <v>-180529.37692865776</v>
      </c>
      <c r="E2401" s="1">
        <v>7</v>
      </c>
      <c r="F2401" s="1">
        <v>22</v>
      </c>
      <c r="G2401" s="1">
        <v>6</v>
      </c>
      <c r="H2401" s="1">
        <v>1</v>
      </c>
      <c r="I2401" s="1">
        <v>0</v>
      </c>
      <c r="J2401" s="1">
        <v>0</v>
      </c>
      <c r="K2401" s="1">
        <v>0</v>
      </c>
      <c r="L2401" s="1">
        <v>0</v>
      </c>
      <c r="M2401" s="1">
        <v>0</v>
      </c>
    </row>
    <row r="2402" spans="1:13">
      <c r="A2402" s="1">
        <v>2401</v>
      </c>
      <c r="B2402" s="1">
        <v>912499.2291</v>
      </c>
      <c r="C2402" s="1">
        <v>998728.63117391674</v>
      </c>
      <c r="D2402" s="1">
        <f t="shared" si="37"/>
        <v>-86229.402073916746</v>
      </c>
      <c r="E2402" s="1">
        <v>11</v>
      </c>
      <c r="F2402" s="1">
        <v>22</v>
      </c>
      <c r="G2402" s="1">
        <v>2</v>
      </c>
      <c r="H2402" s="1">
        <v>1</v>
      </c>
      <c r="I2402" s="1">
        <v>0</v>
      </c>
      <c r="J2402" s="1">
        <v>1</v>
      </c>
      <c r="K2402" s="1">
        <v>0</v>
      </c>
      <c r="L2402" s="1">
        <v>0</v>
      </c>
      <c r="M2402" s="1">
        <v>1</v>
      </c>
    </row>
    <row r="2403" spans="1:13">
      <c r="A2403" s="1">
        <v>2402</v>
      </c>
      <c r="B2403" s="1">
        <v>917304.60679999995</v>
      </c>
      <c r="C2403" s="1">
        <v>520027.10726487846</v>
      </c>
      <c r="D2403" s="1">
        <f t="shared" si="37"/>
        <v>397277.49953512149</v>
      </c>
      <c r="E2403" s="1">
        <v>17</v>
      </c>
      <c r="F2403" s="1">
        <v>16</v>
      </c>
      <c r="G2403" s="1">
        <v>2</v>
      </c>
      <c r="H2403" s="1">
        <v>2</v>
      </c>
      <c r="I2403" s="1">
        <v>0</v>
      </c>
      <c r="J2403" s="1">
        <v>0</v>
      </c>
      <c r="K2403" s="1">
        <v>1</v>
      </c>
      <c r="L2403" s="1">
        <v>0</v>
      </c>
      <c r="M2403" s="1">
        <v>0</v>
      </c>
    </row>
    <row r="2404" spans="1:13">
      <c r="A2404" s="1">
        <v>2403</v>
      </c>
      <c r="B2404" s="1">
        <v>808924.09329999995</v>
      </c>
      <c r="C2404" s="1">
        <v>1532448.9887999799</v>
      </c>
      <c r="D2404" s="1">
        <f t="shared" si="37"/>
        <v>-723524.89549997996</v>
      </c>
      <c r="E2404" s="1">
        <v>19</v>
      </c>
      <c r="F2404" s="1">
        <v>16</v>
      </c>
      <c r="G2404" s="1">
        <v>0</v>
      </c>
      <c r="H2404" s="1">
        <v>0</v>
      </c>
      <c r="I2404" s="1">
        <v>0</v>
      </c>
      <c r="J2404" s="1">
        <v>0</v>
      </c>
      <c r="K2404" s="1">
        <v>0</v>
      </c>
      <c r="L2404" s="1">
        <v>0</v>
      </c>
      <c r="M2404" s="1">
        <v>0</v>
      </c>
    </row>
    <row r="2405" spans="1:13">
      <c r="A2405" s="1">
        <v>2404</v>
      </c>
      <c r="B2405" s="1">
        <v>897067.17909999995</v>
      </c>
      <c r="C2405" s="1">
        <v>786451.4374834703</v>
      </c>
      <c r="D2405" s="1">
        <f t="shared" si="37"/>
        <v>110615.74161652965</v>
      </c>
      <c r="E2405" s="1">
        <v>16</v>
      </c>
      <c r="F2405" s="1">
        <v>13</v>
      </c>
      <c r="G2405" s="1">
        <v>6</v>
      </c>
      <c r="H2405" s="1">
        <v>0</v>
      </c>
      <c r="I2405" s="1">
        <v>0</v>
      </c>
      <c r="J2405" s="1">
        <v>1</v>
      </c>
      <c r="K2405" s="1">
        <v>0</v>
      </c>
      <c r="L2405" s="1">
        <v>0</v>
      </c>
      <c r="M2405" s="1">
        <v>0</v>
      </c>
    </row>
    <row r="2406" spans="1:13">
      <c r="A2406" s="1">
        <v>2405</v>
      </c>
      <c r="B2406" s="1">
        <v>867079.15579999995</v>
      </c>
      <c r="C2406" s="1">
        <v>1116321.0925790919</v>
      </c>
      <c r="D2406" s="1">
        <f t="shared" si="37"/>
        <v>-249241.93677909195</v>
      </c>
      <c r="E2406" s="1">
        <v>15</v>
      </c>
      <c r="F2406" s="1">
        <v>16</v>
      </c>
      <c r="G2406" s="1">
        <v>4</v>
      </c>
      <c r="H2406" s="1">
        <v>0</v>
      </c>
      <c r="I2406" s="1">
        <v>0</v>
      </c>
      <c r="J2406" s="1">
        <v>1</v>
      </c>
      <c r="K2406" s="1">
        <v>1</v>
      </c>
      <c r="L2406" s="1">
        <v>0</v>
      </c>
      <c r="M2406" s="1">
        <v>1</v>
      </c>
    </row>
    <row r="2407" spans="1:13">
      <c r="A2407" s="1">
        <v>2406</v>
      </c>
      <c r="B2407" s="1">
        <v>931218.30090000003</v>
      </c>
      <c r="C2407" s="1">
        <v>576388.76047013304</v>
      </c>
      <c r="D2407" s="1">
        <f t="shared" si="37"/>
        <v>354829.54042986699</v>
      </c>
      <c r="E2407" s="1">
        <v>10</v>
      </c>
      <c r="F2407" s="1">
        <v>20</v>
      </c>
      <c r="G2407" s="1">
        <v>5</v>
      </c>
      <c r="H2407" s="1">
        <v>1</v>
      </c>
      <c r="I2407" s="1">
        <v>1</v>
      </c>
      <c r="J2407" s="1">
        <v>0</v>
      </c>
      <c r="K2407" s="1">
        <v>0</v>
      </c>
      <c r="L2407" s="1">
        <v>0</v>
      </c>
      <c r="M2407" s="1">
        <v>0</v>
      </c>
    </row>
    <row r="2408" spans="1:13">
      <c r="A2408" s="1">
        <v>2407</v>
      </c>
      <c r="B2408" s="1">
        <v>1000286.9663</v>
      </c>
      <c r="C2408" s="1">
        <v>969445.63800087094</v>
      </c>
      <c r="D2408" s="1">
        <f t="shared" si="37"/>
        <v>30841.328299129033</v>
      </c>
      <c r="E2408" s="1">
        <v>11</v>
      </c>
      <c r="F2408" s="1">
        <v>18</v>
      </c>
      <c r="G2408" s="1">
        <v>6</v>
      </c>
      <c r="H2408" s="1">
        <v>0</v>
      </c>
      <c r="I2408" s="1">
        <v>0</v>
      </c>
      <c r="J2408" s="1">
        <v>0</v>
      </c>
      <c r="K2408" s="1">
        <v>0</v>
      </c>
      <c r="L2408" s="1">
        <v>0</v>
      </c>
      <c r="M2408" s="1">
        <v>0</v>
      </c>
    </row>
    <row r="2409" spans="1:13">
      <c r="A2409" s="1">
        <v>2408</v>
      </c>
      <c r="B2409" s="1">
        <v>987098.73</v>
      </c>
      <c r="C2409" s="1">
        <v>668824.1137821161</v>
      </c>
      <c r="D2409" s="1">
        <f t="shared" si="37"/>
        <v>318274.61621788389</v>
      </c>
      <c r="E2409" s="1">
        <v>13</v>
      </c>
      <c r="F2409" s="1">
        <v>17</v>
      </c>
      <c r="G2409" s="1">
        <v>5</v>
      </c>
      <c r="H2409" s="1">
        <v>0</v>
      </c>
      <c r="I2409" s="1">
        <v>0</v>
      </c>
      <c r="J2409" s="1">
        <v>1</v>
      </c>
      <c r="K2409" s="1">
        <v>0</v>
      </c>
      <c r="L2409" s="1">
        <v>0</v>
      </c>
      <c r="M2409" s="1">
        <v>0</v>
      </c>
    </row>
    <row r="2410" spans="1:13">
      <c r="A2410" s="1">
        <v>2409</v>
      </c>
      <c r="B2410" s="1">
        <v>849595.049</v>
      </c>
      <c r="C2410" s="1">
        <v>768940.46528022282</v>
      </c>
      <c r="D2410" s="1">
        <f t="shared" si="37"/>
        <v>80654.583719777176</v>
      </c>
      <c r="E2410" s="1">
        <v>19</v>
      </c>
      <c r="F2410" s="1">
        <v>13</v>
      </c>
      <c r="G2410" s="1">
        <v>3</v>
      </c>
      <c r="H2410" s="1">
        <v>0</v>
      </c>
      <c r="I2410" s="1">
        <v>0</v>
      </c>
      <c r="J2410" s="1">
        <v>0</v>
      </c>
      <c r="K2410" s="1">
        <v>1</v>
      </c>
      <c r="L2410" s="1">
        <v>0</v>
      </c>
      <c r="M2410" s="1">
        <v>1</v>
      </c>
    </row>
    <row r="2411" spans="1:13">
      <c r="A2411" s="1">
        <v>2410</v>
      </c>
      <c r="B2411" s="1">
        <v>830669.62780000002</v>
      </c>
      <c r="C2411" s="1">
        <v>906494.66987036297</v>
      </c>
      <c r="D2411" s="1">
        <f t="shared" si="37"/>
        <v>-75825.04207036295</v>
      </c>
      <c r="E2411" s="1">
        <v>12</v>
      </c>
      <c r="F2411" s="1">
        <v>15</v>
      </c>
      <c r="G2411" s="1">
        <v>8</v>
      </c>
      <c r="H2411" s="1">
        <v>2</v>
      </c>
      <c r="I2411" s="1">
        <v>0</v>
      </c>
      <c r="J2411" s="1">
        <v>2</v>
      </c>
      <c r="K2411" s="1">
        <v>0</v>
      </c>
      <c r="L2411" s="1">
        <v>0</v>
      </c>
      <c r="M2411" s="1">
        <v>1</v>
      </c>
    </row>
    <row r="2412" spans="1:13">
      <c r="A2412" s="1">
        <v>2411</v>
      </c>
      <c r="B2412" s="1">
        <v>912530.22710000002</v>
      </c>
      <c r="C2412" s="1">
        <v>954691.48649201519</v>
      </c>
      <c r="D2412" s="1">
        <f t="shared" si="37"/>
        <v>-42161.25939201517</v>
      </c>
      <c r="E2412" s="1">
        <v>12</v>
      </c>
      <c r="F2412" s="1">
        <v>20</v>
      </c>
      <c r="G2412" s="1">
        <v>3</v>
      </c>
      <c r="H2412" s="1">
        <v>1</v>
      </c>
      <c r="I2412" s="1">
        <v>1</v>
      </c>
      <c r="J2412" s="1">
        <v>1</v>
      </c>
      <c r="K2412" s="1">
        <v>1</v>
      </c>
      <c r="L2412" s="1">
        <v>0</v>
      </c>
      <c r="M2412" s="1">
        <v>1</v>
      </c>
    </row>
    <row r="2413" spans="1:13">
      <c r="A2413" s="1">
        <v>2412</v>
      </c>
      <c r="B2413" s="1">
        <v>863474.52249999996</v>
      </c>
      <c r="C2413" s="1">
        <v>704813.10707533662</v>
      </c>
      <c r="D2413" s="1">
        <f t="shared" si="37"/>
        <v>158661.41542466334</v>
      </c>
      <c r="E2413" s="1">
        <v>17</v>
      </c>
      <c r="F2413" s="1">
        <v>11</v>
      </c>
      <c r="G2413" s="1">
        <v>7</v>
      </c>
      <c r="H2413" s="1">
        <v>1</v>
      </c>
      <c r="I2413" s="1">
        <v>0</v>
      </c>
      <c r="J2413" s="1">
        <v>0</v>
      </c>
      <c r="K2413" s="1">
        <v>0</v>
      </c>
      <c r="L2413" s="1">
        <v>0</v>
      </c>
      <c r="M2413" s="1">
        <v>0</v>
      </c>
    </row>
    <row r="2414" spans="1:13">
      <c r="A2414" s="1">
        <v>2413</v>
      </c>
      <c r="B2414" s="1">
        <v>937304.96490000002</v>
      </c>
      <c r="C2414" s="1">
        <v>1573861.5331389434</v>
      </c>
      <c r="D2414" s="1">
        <f t="shared" si="37"/>
        <v>-636556.56823894335</v>
      </c>
      <c r="E2414" s="1">
        <v>18</v>
      </c>
      <c r="F2414" s="1">
        <v>14</v>
      </c>
      <c r="G2414" s="1">
        <v>3</v>
      </c>
      <c r="H2414" s="1">
        <v>1</v>
      </c>
      <c r="I2414" s="1">
        <v>0</v>
      </c>
      <c r="J2414" s="1">
        <v>1</v>
      </c>
      <c r="K2414" s="1">
        <v>1</v>
      </c>
      <c r="L2414" s="1">
        <v>0</v>
      </c>
      <c r="M2414" s="1">
        <v>1</v>
      </c>
    </row>
    <row r="2415" spans="1:13">
      <c r="A2415" s="1">
        <v>2414</v>
      </c>
      <c r="B2415" s="1">
        <v>850418.23</v>
      </c>
      <c r="C2415" s="1">
        <v>766534.44812111859</v>
      </c>
      <c r="D2415" s="1">
        <f t="shared" si="37"/>
        <v>83883.781878881389</v>
      </c>
      <c r="E2415" s="1">
        <v>18</v>
      </c>
      <c r="F2415" s="1">
        <v>12</v>
      </c>
      <c r="G2415" s="1">
        <v>5</v>
      </c>
      <c r="H2415" s="1">
        <v>2</v>
      </c>
      <c r="I2415" s="1">
        <v>0</v>
      </c>
      <c r="J2415" s="1">
        <v>0</v>
      </c>
      <c r="K2415" s="1">
        <v>2</v>
      </c>
      <c r="L2415" s="1">
        <v>0</v>
      </c>
      <c r="M2415" s="1">
        <v>0</v>
      </c>
    </row>
    <row r="2416" spans="1:13">
      <c r="A2416" s="1">
        <v>2415</v>
      </c>
      <c r="B2416" s="1">
        <v>1032268.8516000001</v>
      </c>
      <c r="C2416" s="1">
        <v>1010260.4110482058</v>
      </c>
      <c r="D2416" s="1">
        <f t="shared" si="37"/>
        <v>22008.44055179425</v>
      </c>
      <c r="E2416" s="1">
        <v>12</v>
      </c>
      <c r="F2416" s="1">
        <v>16</v>
      </c>
      <c r="G2416" s="1">
        <v>7</v>
      </c>
      <c r="H2416" s="1">
        <v>2</v>
      </c>
      <c r="I2416" s="1">
        <v>0</v>
      </c>
      <c r="J2416" s="1">
        <v>2</v>
      </c>
      <c r="K2416" s="1">
        <v>0</v>
      </c>
      <c r="L2416" s="1">
        <v>0</v>
      </c>
      <c r="M2416" s="1">
        <v>0</v>
      </c>
    </row>
    <row r="2417" spans="1:13">
      <c r="A2417" s="1">
        <v>2416</v>
      </c>
      <c r="B2417" s="1">
        <v>1069364.6839999999</v>
      </c>
      <c r="C2417" s="1">
        <v>265772.44214957161</v>
      </c>
      <c r="D2417" s="1">
        <f t="shared" si="37"/>
        <v>803592.24185042828</v>
      </c>
      <c r="E2417" s="1">
        <v>5</v>
      </c>
      <c r="F2417" s="1">
        <v>23</v>
      </c>
      <c r="G2417" s="1">
        <v>7</v>
      </c>
      <c r="H2417" s="1">
        <v>1</v>
      </c>
      <c r="I2417" s="1">
        <v>0</v>
      </c>
      <c r="J2417" s="1">
        <v>0</v>
      </c>
      <c r="K2417" s="1">
        <v>1</v>
      </c>
      <c r="L2417" s="1">
        <v>0</v>
      </c>
      <c r="M2417" s="1">
        <v>1</v>
      </c>
    </row>
    <row r="2418" spans="1:13">
      <c r="A2418" s="1">
        <v>2417</v>
      </c>
      <c r="B2418" s="1">
        <v>1074669.6823</v>
      </c>
      <c r="C2418" s="1">
        <v>3038908.5652026879</v>
      </c>
      <c r="D2418" s="1">
        <f t="shared" si="37"/>
        <v>-1964238.8829026879</v>
      </c>
      <c r="E2418" s="1">
        <v>5</v>
      </c>
      <c r="F2418" s="1">
        <v>25</v>
      </c>
      <c r="G2418" s="1">
        <v>5</v>
      </c>
      <c r="H2418" s="1">
        <v>0</v>
      </c>
      <c r="I2418" s="1">
        <v>0</v>
      </c>
      <c r="J2418" s="1">
        <v>1</v>
      </c>
      <c r="K2418" s="1">
        <v>1</v>
      </c>
      <c r="L2418" s="1">
        <v>0</v>
      </c>
      <c r="M2418" s="1">
        <v>1</v>
      </c>
    </row>
    <row r="2419" spans="1:13">
      <c r="A2419" s="1">
        <v>2418</v>
      </c>
      <c r="B2419" s="1">
        <v>954869.97490000003</v>
      </c>
      <c r="C2419" s="1">
        <v>832973.47781248717</v>
      </c>
      <c r="D2419" s="1">
        <f t="shared" si="37"/>
        <v>121896.49708751286</v>
      </c>
      <c r="E2419" s="1">
        <v>21</v>
      </c>
      <c r="F2419" s="1">
        <v>7</v>
      </c>
      <c r="G2419" s="1">
        <v>7</v>
      </c>
      <c r="H2419" s="1">
        <v>2</v>
      </c>
      <c r="I2419" s="1">
        <v>0</v>
      </c>
      <c r="J2419" s="1">
        <v>1</v>
      </c>
      <c r="K2419" s="1">
        <v>1</v>
      </c>
      <c r="L2419" s="1">
        <v>0</v>
      </c>
      <c r="M2419" s="1">
        <v>0</v>
      </c>
    </row>
    <row r="2420" spans="1:13">
      <c r="A2420" s="1">
        <v>2419</v>
      </c>
      <c r="B2420" s="1">
        <v>897754.60530000005</v>
      </c>
      <c r="C2420" s="1">
        <v>1066301.4692692063</v>
      </c>
      <c r="D2420" s="1">
        <f t="shared" si="37"/>
        <v>-168546.86396920623</v>
      </c>
      <c r="E2420" s="1">
        <v>8</v>
      </c>
      <c r="F2420" s="1">
        <v>21</v>
      </c>
      <c r="G2420" s="1">
        <v>6</v>
      </c>
      <c r="H2420" s="1">
        <v>1</v>
      </c>
      <c r="I2420" s="1">
        <v>0</v>
      </c>
      <c r="J2420" s="1">
        <v>0</v>
      </c>
      <c r="K2420" s="1">
        <v>1</v>
      </c>
      <c r="L2420" s="1">
        <v>0</v>
      </c>
      <c r="M2420" s="1">
        <v>0</v>
      </c>
    </row>
    <row r="2421" spans="1:13">
      <c r="A2421" s="1">
        <v>2420</v>
      </c>
      <c r="B2421" s="1">
        <v>931425.18209999998</v>
      </c>
      <c r="C2421" s="1">
        <v>903408.34959103144</v>
      </c>
      <c r="D2421" s="1">
        <f t="shared" si="37"/>
        <v>28016.832508968539</v>
      </c>
      <c r="E2421" s="1">
        <v>14</v>
      </c>
      <c r="F2421" s="1">
        <v>17</v>
      </c>
      <c r="G2421" s="1">
        <v>4</v>
      </c>
      <c r="H2421" s="1">
        <v>2</v>
      </c>
      <c r="I2421" s="1">
        <v>0</v>
      </c>
      <c r="J2421" s="1">
        <v>1</v>
      </c>
      <c r="K2421" s="1">
        <v>0</v>
      </c>
      <c r="L2421" s="1">
        <v>0</v>
      </c>
      <c r="M2421" s="1">
        <v>0</v>
      </c>
    </row>
    <row r="2422" spans="1:13">
      <c r="A2422" s="1">
        <v>2421</v>
      </c>
      <c r="B2422" s="1">
        <v>989350.69380000001</v>
      </c>
      <c r="C2422" s="1">
        <v>936802.83889665105</v>
      </c>
      <c r="D2422" s="1">
        <f t="shared" si="37"/>
        <v>52547.854903348954</v>
      </c>
      <c r="E2422" s="1">
        <v>9</v>
      </c>
      <c r="F2422" s="1">
        <v>20</v>
      </c>
      <c r="G2422" s="1">
        <v>6</v>
      </c>
      <c r="H2422" s="1">
        <v>0</v>
      </c>
      <c r="I2422" s="1">
        <v>0</v>
      </c>
      <c r="J2422" s="1">
        <v>1</v>
      </c>
      <c r="K2422" s="1">
        <v>0</v>
      </c>
      <c r="L2422" s="1">
        <v>0</v>
      </c>
      <c r="M2422" s="1">
        <v>0</v>
      </c>
    </row>
    <row r="2423" spans="1:13">
      <c r="A2423" s="1">
        <v>2422</v>
      </c>
      <c r="B2423" s="1">
        <v>879957.84169999999</v>
      </c>
      <c r="C2423" s="1">
        <v>954708.54829426564</v>
      </c>
      <c r="D2423" s="1">
        <f t="shared" si="37"/>
        <v>-74750.706594265648</v>
      </c>
      <c r="E2423" s="1">
        <v>25</v>
      </c>
      <c r="F2423" s="1">
        <v>7</v>
      </c>
      <c r="G2423" s="1">
        <v>3</v>
      </c>
      <c r="H2423" s="1">
        <v>1</v>
      </c>
      <c r="I2423" s="1">
        <v>0</v>
      </c>
      <c r="J2423" s="1">
        <v>0</v>
      </c>
      <c r="K2423" s="1">
        <v>0</v>
      </c>
      <c r="L2423" s="1">
        <v>0</v>
      </c>
      <c r="M2423" s="1">
        <v>0</v>
      </c>
    </row>
    <row r="2424" spans="1:13">
      <c r="A2424" s="1">
        <v>2423</v>
      </c>
      <c r="B2424" s="1">
        <v>932504.77579999994</v>
      </c>
      <c r="C2424" s="1">
        <v>571397.7330741433</v>
      </c>
      <c r="D2424" s="1">
        <f t="shared" si="37"/>
        <v>361107.04272585665</v>
      </c>
      <c r="E2424" s="1">
        <v>10</v>
      </c>
      <c r="F2424" s="1">
        <v>22</v>
      </c>
      <c r="G2424" s="1">
        <v>3</v>
      </c>
      <c r="H2424" s="1">
        <v>2</v>
      </c>
      <c r="I2424" s="1">
        <v>0</v>
      </c>
      <c r="J2424" s="1">
        <v>0</v>
      </c>
      <c r="K2424" s="1">
        <v>1</v>
      </c>
      <c r="L2424" s="1">
        <v>0</v>
      </c>
      <c r="M2424" s="1">
        <v>0</v>
      </c>
    </row>
    <row r="2425" spans="1:13">
      <c r="A2425" s="1">
        <v>2424</v>
      </c>
      <c r="B2425" s="1">
        <v>1040824.7998</v>
      </c>
      <c r="C2425" s="1">
        <v>896350.1404282985</v>
      </c>
      <c r="D2425" s="1">
        <f t="shared" si="37"/>
        <v>144474.65937170153</v>
      </c>
      <c r="E2425" s="1">
        <v>10</v>
      </c>
      <c r="F2425" s="1">
        <v>15</v>
      </c>
      <c r="G2425" s="1">
        <v>10</v>
      </c>
      <c r="H2425" s="1">
        <v>1</v>
      </c>
      <c r="I2425" s="1">
        <v>1</v>
      </c>
      <c r="J2425" s="1">
        <v>0</v>
      </c>
      <c r="K2425" s="1">
        <v>1</v>
      </c>
      <c r="L2425" s="1">
        <v>0</v>
      </c>
      <c r="M2425" s="1">
        <v>0</v>
      </c>
    </row>
    <row r="2426" spans="1:13">
      <c r="A2426" s="1">
        <v>2425</v>
      </c>
      <c r="B2426" s="1">
        <v>975061.06830000004</v>
      </c>
      <c r="C2426" s="1">
        <v>673036.42678579141</v>
      </c>
      <c r="D2426" s="1">
        <f t="shared" si="37"/>
        <v>302024.64151420863</v>
      </c>
      <c r="E2426" s="1">
        <v>12</v>
      </c>
      <c r="F2426" s="1">
        <v>19</v>
      </c>
      <c r="G2426" s="1">
        <v>4</v>
      </c>
      <c r="H2426" s="1">
        <v>1</v>
      </c>
      <c r="I2426" s="1">
        <v>0</v>
      </c>
      <c r="J2426" s="1">
        <v>1</v>
      </c>
      <c r="K2426" s="1">
        <v>1</v>
      </c>
      <c r="L2426" s="1">
        <v>0</v>
      </c>
      <c r="M2426" s="1">
        <v>0</v>
      </c>
    </row>
    <row r="2427" spans="1:13">
      <c r="A2427" s="1">
        <v>2426</v>
      </c>
      <c r="B2427" s="1">
        <v>946963.79650000005</v>
      </c>
      <c r="C2427" s="1">
        <v>871577.41455688223</v>
      </c>
      <c r="D2427" s="1">
        <f t="shared" si="37"/>
        <v>75386.381943117827</v>
      </c>
      <c r="E2427" s="1">
        <v>16</v>
      </c>
      <c r="F2427" s="1">
        <v>14</v>
      </c>
      <c r="G2427" s="1">
        <v>5</v>
      </c>
      <c r="H2427" s="1">
        <v>2</v>
      </c>
      <c r="I2427" s="1">
        <v>0</v>
      </c>
      <c r="J2427" s="1">
        <v>1</v>
      </c>
      <c r="K2427" s="1">
        <v>1</v>
      </c>
      <c r="L2427" s="1">
        <v>0</v>
      </c>
      <c r="M2427" s="1">
        <v>0</v>
      </c>
    </row>
    <row r="2428" spans="1:13">
      <c r="A2428" s="1">
        <v>2427</v>
      </c>
      <c r="B2428" s="1">
        <v>911923.33550000004</v>
      </c>
      <c r="C2428" s="1">
        <v>826909.56146334717</v>
      </c>
      <c r="D2428" s="1">
        <f t="shared" si="37"/>
        <v>85013.774036652874</v>
      </c>
      <c r="E2428" s="1">
        <v>13</v>
      </c>
      <c r="F2428" s="1">
        <v>16</v>
      </c>
      <c r="G2428" s="1">
        <v>6</v>
      </c>
      <c r="H2428" s="1">
        <v>2</v>
      </c>
      <c r="I2428" s="1">
        <v>0</v>
      </c>
      <c r="J2428" s="1">
        <v>2</v>
      </c>
      <c r="K2428" s="1">
        <v>0</v>
      </c>
      <c r="L2428" s="1">
        <v>0</v>
      </c>
      <c r="M2428" s="1">
        <v>0</v>
      </c>
    </row>
    <row r="2429" spans="1:13">
      <c r="A2429" s="1">
        <v>2428</v>
      </c>
      <c r="B2429" s="1">
        <v>1015784.2015</v>
      </c>
      <c r="C2429" s="1">
        <v>1011754.1547087136</v>
      </c>
      <c r="D2429" s="1">
        <f t="shared" si="37"/>
        <v>4030.0467912863242</v>
      </c>
      <c r="E2429" s="1">
        <v>9</v>
      </c>
      <c r="F2429" s="1">
        <v>20</v>
      </c>
      <c r="G2429" s="1">
        <v>6</v>
      </c>
      <c r="H2429" s="1">
        <v>1</v>
      </c>
      <c r="I2429" s="1">
        <v>0</v>
      </c>
      <c r="J2429" s="1">
        <v>1</v>
      </c>
      <c r="K2429" s="1">
        <v>1</v>
      </c>
      <c r="L2429" s="1">
        <v>0</v>
      </c>
      <c r="M2429" s="1">
        <v>1</v>
      </c>
    </row>
    <row r="2430" spans="1:13">
      <c r="A2430" s="1">
        <v>2429</v>
      </c>
      <c r="B2430" s="1">
        <v>837248.6594</v>
      </c>
      <c r="C2430" s="1">
        <v>1149261.1688752151</v>
      </c>
      <c r="D2430" s="1">
        <f t="shared" si="37"/>
        <v>-312012.50947521511</v>
      </c>
      <c r="E2430" s="1">
        <v>15</v>
      </c>
      <c r="F2430" s="1">
        <v>17</v>
      </c>
      <c r="G2430" s="1">
        <v>3</v>
      </c>
      <c r="H2430" s="1">
        <v>1</v>
      </c>
      <c r="I2430" s="1">
        <v>0</v>
      </c>
      <c r="J2430" s="1">
        <v>1</v>
      </c>
      <c r="K2430" s="1">
        <v>1</v>
      </c>
      <c r="L2430" s="1">
        <v>0</v>
      </c>
      <c r="M2430" s="1">
        <v>0</v>
      </c>
    </row>
    <row r="2431" spans="1:13">
      <c r="A2431" s="1">
        <v>2430</v>
      </c>
      <c r="B2431" s="1">
        <v>926425.20270000002</v>
      </c>
      <c r="C2431" s="1">
        <v>705278.19076855236</v>
      </c>
      <c r="D2431" s="1">
        <f t="shared" si="37"/>
        <v>221147.01193144766</v>
      </c>
      <c r="E2431" s="1">
        <v>12</v>
      </c>
      <c r="F2431" s="1">
        <v>19</v>
      </c>
      <c r="G2431" s="1">
        <v>4</v>
      </c>
      <c r="H2431" s="1">
        <v>1</v>
      </c>
      <c r="I2431" s="1">
        <v>0</v>
      </c>
      <c r="J2431" s="1">
        <v>1</v>
      </c>
      <c r="K2431" s="1">
        <v>0</v>
      </c>
      <c r="L2431" s="1">
        <v>0</v>
      </c>
      <c r="M2431" s="1">
        <v>0</v>
      </c>
    </row>
    <row r="2432" spans="1:13">
      <c r="A2432" s="1">
        <v>2431</v>
      </c>
      <c r="B2432" s="1">
        <v>882441.97259999998</v>
      </c>
      <c r="C2432" s="1">
        <v>858003.11535601807</v>
      </c>
      <c r="D2432" s="1">
        <f t="shared" si="37"/>
        <v>24438.857243981911</v>
      </c>
      <c r="E2432" s="1">
        <v>11</v>
      </c>
      <c r="F2432" s="1">
        <v>20</v>
      </c>
      <c r="G2432" s="1">
        <v>4</v>
      </c>
      <c r="H2432" s="1">
        <v>0</v>
      </c>
      <c r="I2432" s="1">
        <v>0</v>
      </c>
      <c r="J2432" s="1">
        <v>1</v>
      </c>
      <c r="K2432" s="1">
        <v>1</v>
      </c>
      <c r="L2432" s="1">
        <v>0</v>
      </c>
      <c r="M2432" s="1">
        <v>0</v>
      </c>
    </row>
    <row r="2433" spans="1:13">
      <c r="A2433" s="1">
        <v>2432</v>
      </c>
      <c r="B2433" s="1">
        <v>914784.89630000002</v>
      </c>
      <c r="C2433" s="1">
        <v>855120.41897008638</v>
      </c>
      <c r="D2433" s="1">
        <f t="shared" si="37"/>
        <v>59664.477329913643</v>
      </c>
      <c r="E2433" s="1">
        <v>17</v>
      </c>
      <c r="F2433" s="1">
        <v>15</v>
      </c>
      <c r="G2433" s="1">
        <v>3</v>
      </c>
      <c r="H2433" s="1">
        <v>0</v>
      </c>
      <c r="I2433" s="1">
        <v>0</v>
      </c>
      <c r="J2433" s="1">
        <v>1</v>
      </c>
      <c r="K2433" s="1">
        <v>1</v>
      </c>
      <c r="L2433" s="1">
        <v>0</v>
      </c>
      <c r="M2433" s="1">
        <v>0</v>
      </c>
    </row>
    <row r="2434" spans="1:13">
      <c r="A2434" s="1">
        <v>2433</v>
      </c>
      <c r="B2434" s="1">
        <v>965424.97340000002</v>
      </c>
      <c r="C2434" s="1">
        <v>994933.05549198273</v>
      </c>
      <c r="D2434" s="1">
        <f t="shared" ref="D2434:D2497" si="38">B2434-C2434</f>
        <v>-29508.082091982709</v>
      </c>
      <c r="E2434" s="1">
        <v>12</v>
      </c>
      <c r="F2434" s="1">
        <v>17</v>
      </c>
      <c r="G2434" s="1">
        <v>6</v>
      </c>
      <c r="H2434" s="1">
        <v>1</v>
      </c>
      <c r="I2434" s="1">
        <v>1</v>
      </c>
      <c r="J2434" s="1">
        <v>1</v>
      </c>
      <c r="K2434" s="1">
        <v>0</v>
      </c>
      <c r="L2434" s="1">
        <v>0</v>
      </c>
      <c r="M2434" s="1">
        <v>0</v>
      </c>
    </row>
    <row r="2435" spans="1:13">
      <c r="A2435" s="1">
        <v>2434</v>
      </c>
      <c r="B2435" s="1">
        <v>868122.80449999997</v>
      </c>
      <c r="C2435" s="1">
        <v>1347385.8771730531</v>
      </c>
      <c r="D2435" s="1">
        <f t="shared" si="38"/>
        <v>-479263.07267305313</v>
      </c>
      <c r="E2435" s="1">
        <v>23</v>
      </c>
      <c r="F2435" s="1">
        <v>10</v>
      </c>
      <c r="G2435" s="1">
        <v>2</v>
      </c>
      <c r="H2435" s="1">
        <v>0</v>
      </c>
      <c r="I2435" s="1">
        <v>1</v>
      </c>
      <c r="J2435" s="1">
        <v>1</v>
      </c>
      <c r="K2435" s="1">
        <v>1</v>
      </c>
      <c r="L2435" s="1">
        <v>0</v>
      </c>
      <c r="M2435" s="1">
        <v>0</v>
      </c>
    </row>
    <row r="2436" spans="1:13">
      <c r="A2436" s="1">
        <v>2435</v>
      </c>
      <c r="B2436" s="1">
        <v>923399.93469999998</v>
      </c>
      <c r="C2436" s="1">
        <v>585698.05064082891</v>
      </c>
      <c r="D2436" s="1">
        <f t="shared" si="38"/>
        <v>337701.88405917108</v>
      </c>
      <c r="E2436" s="1">
        <v>15</v>
      </c>
      <c r="F2436" s="1">
        <v>16</v>
      </c>
      <c r="G2436" s="1">
        <v>4</v>
      </c>
      <c r="H2436" s="1">
        <v>0</v>
      </c>
      <c r="I2436" s="1">
        <v>0</v>
      </c>
      <c r="J2436" s="1">
        <v>0</v>
      </c>
      <c r="K2436" s="1">
        <v>0</v>
      </c>
      <c r="L2436" s="1">
        <v>0</v>
      </c>
      <c r="M2436" s="1">
        <v>1</v>
      </c>
    </row>
    <row r="2437" spans="1:13">
      <c r="A2437" s="1">
        <v>2436</v>
      </c>
      <c r="B2437" s="1">
        <v>935313.37230000005</v>
      </c>
      <c r="C2437" s="1">
        <v>952612.68936755403</v>
      </c>
      <c r="D2437" s="1">
        <f t="shared" si="38"/>
        <v>-17299.317067553988</v>
      </c>
      <c r="E2437" s="1">
        <v>14</v>
      </c>
      <c r="F2437" s="1">
        <v>15</v>
      </c>
      <c r="G2437" s="1">
        <v>6</v>
      </c>
      <c r="H2437" s="1">
        <v>0</v>
      </c>
      <c r="I2437" s="1">
        <v>1</v>
      </c>
      <c r="J2437" s="1">
        <v>0</v>
      </c>
      <c r="K2437" s="1">
        <v>0</v>
      </c>
      <c r="L2437" s="1">
        <v>0</v>
      </c>
      <c r="M2437" s="1">
        <v>0</v>
      </c>
    </row>
    <row r="2438" spans="1:13">
      <c r="A2438" s="1">
        <v>2437</v>
      </c>
      <c r="B2438" s="1">
        <v>1001404.7013</v>
      </c>
      <c r="C2438" s="1">
        <v>1119021.1867930992</v>
      </c>
      <c r="D2438" s="1">
        <f t="shared" si="38"/>
        <v>-117616.4854930992</v>
      </c>
      <c r="E2438" s="1">
        <v>9</v>
      </c>
      <c r="F2438" s="1">
        <v>23</v>
      </c>
      <c r="G2438" s="1">
        <v>3</v>
      </c>
      <c r="H2438" s="1">
        <v>1</v>
      </c>
      <c r="I2438" s="1">
        <v>0</v>
      </c>
      <c r="J2438" s="1">
        <v>1</v>
      </c>
      <c r="K2438" s="1">
        <v>1</v>
      </c>
      <c r="L2438" s="1">
        <v>0</v>
      </c>
      <c r="M2438" s="1">
        <v>0</v>
      </c>
    </row>
    <row r="2439" spans="1:13">
      <c r="A2439" s="1">
        <v>2438</v>
      </c>
      <c r="B2439" s="1">
        <v>901663.00280000002</v>
      </c>
      <c r="C2439" s="1">
        <v>944284.83382077096</v>
      </c>
      <c r="D2439" s="1">
        <f t="shared" si="38"/>
        <v>-42621.831020770944</v>
      </c>
      <c r="E2439" s="1">
        <v>7</v>
      </c>
      <c r="F2439" s="1">
        <v>23</v>
      </c>
      <c r="G2439" s="1">
        <v>5</v>
      </c>
      <c r="H2439" s="1">
        <v>1</v>
      </c>
      <c r="I2439" s="1">
        <v>0</v>
      </c>
      <c r="J2439" s="1">
        <v>0</v>
      </c>
      <c r="K2439" s="1">
        <v>1</v>
      </c>
      <c r="L2439" s="1">
        <v>1</v>
      </c>
      <c r="M2439" s="1">
        <v>0</v>
      </c>
    </row>
    <row r="2440" spans="1:13">
      <c r="A2440" s="1">
        <v>2439</v>
      </c>
      <c r="B2440" s="1">
        <v>972615.22409999999</v>
      </c>
      <c r="C2440" s="1">
        <v>1064364.3507162675</v>
      </c>
      <c r="D2440" s="1">
        <f t="shared" si="38"/>
        <v>-91749.126616267487</v>
      </c>
      <c r="E2440" s="1">
        <v>7</v>
      </c>
      <c r="F2440" s="1">
        <v>23</v>
      </c>
      <c r="G2440" s="1">
        <v>5</v>
      </c>
      <c r="H2440" s="1">
        <v>1</v>
      </c>
      <c r="I2440" s="1">
        <v>0</v>
      </c>
      <c r="J2440" s="1">
        <v>2</v>
      </c>
      <c r="K2440" s="1">
        <v>0</v>
      </c>
      <c r="L2440" s="1">
        <v>0</v>
      </c>
      <c r="M2440" s="1">
        <v>0</v>
      </c>
    </row>
    <row r="2441" spans="1:13">
      <c r="A2441" s="1">
        <v>2440</v>
      </c>
      <c r="B2441" s="1">
        <v>1080031.7614</v>
      </c>
      <c r="C2441" s="1">
        <v>713504.40251477004</v>
      </c>
      <c r="D2441" s="1">
        <f t="shared" si="38"/>
        <v>366527.35888522991</v>
      </c>
      <c r="E2441" s="1">
        <v>10</v>
      </c>
      <c r="F2441" s="1">
        <v>20</v>
      </c>
      <c r="G2441" s="1">
        <v>5</v>
      </c>
      <c r="H2441" s="1">
        <v>0</v>
      </c>
      <c r="I2441" s="1">
        <v>0</v>
      </c>
      <c r="J2441" s="1">
        <v>0</v>
      </c>
      <c r="K2441" s="1">
        <v>2</v>
      </c>
      <c r="L2441" s="1">
        <v>0</v>
      </c>
      <c r="M2441" s="1">
        <v>0</v>
      </c>
    </row>
    <row r="2442" spans="1:13">
      <c r="A2442" s="1">
        <v>2441</v>
      </c>
      <c r="B2442" s="1">
        <v>909574.42740000004</v>
      </c>
      <c r="C2442" s="1">
        <v>949099.44299791381</v>
      </c>
      <c r="D2442" s="1">
        <f t="shared" si="38"/>
        <v>-39525.015597913763</v>
      </c>
      <c r="E2442" s="1">
        <v>14</v>
      </c>
      <c r="F2442" s="1">
        <v>17</v>
      </c>
      <c r="G2442" s="1">
        <v>4</v>
      </c>
      <c r="H2442" s="1">
        <v>1</v>
      </c>
      <c r="I2442" s="1">
        <v>0</v>
      </c>
      <c r="J2442" s="1">
        <v>1</v>
      </c>
      <c r="K2442" s="1">
        <v>1</v>
      </c>
      <c r="L2442" s="1">
        <v>0</v>
      </c>
      <c r="M2442" s="1">
        <v>1</v>
      </c>
    </row>
    <row r="2443" spans="1:13">
      <c r="A2443" s="1">
        <v>2442</v>
      </c>
      <c r="B2443" s="1">
        <v>977238.9375</v>
      </c>
      <c r="C2443" s="1">
        <v>933036.22648305888</v>
      </c>
      <c r="D2443" s="1">
        <f t="shared" si="38"/>
        <v>44202.711016941117</v>
      </c>
      <c r="E2443" s="1">
        <v>3</v>
      </c>
      <c r="F2443" s="1">
        <v>27</v>
      </c>
      <c r="G2443" s="1">
        <v>5</v>
      </c>
      <c r="H2443" s="1">
        <v>1</v>
      </c>
      <c r="I2443" s="1">
        <v>0</v>
      </c>
      <c r="J2443" s="1">
        <v>0</v>
      </c>
      <c r="K2443" s="1">
        <v>0</v>
      </c>
      <c r="L2443" s="1">
        <v>0</v>
      </c>
      <c r="M2443" s="1">
        <v>0</v>
      </c>
    </row>
    <row r="2444" spans="1:13">
      <c r="A2444" s="1">
        <v>2443</v>
      </c>
      <c r="B2444" s="1">
        <v>855015.41630000004</v>
      </c>
      <c r="C2444" s="1">
        <v>1009834.1213957347</v>
      </c>
      <c r="D2444" s="1">
        <f t="shared" si="38"/>
        <v>-154818.70509573468</v>
      </c>
      <c r="E2444" s="1">
        <v>16</v>
      </c>
      <c r="F2444" s="1">
        <v>15</v>
      </c>
      <c r="G2444" s="1">
        <v>4</v>
      </c>
      <c r="H2444" s="1">
        <v>0</v>
      </c>
      <c r="I2444" s="1">
        <v>0</v>
      </c>
      <c r="J2444" s="1">
        <v>0</v>
      </c>
      <c r="K2444" s="1">
        <v>2</v>
      </c>
      <c r="L2444" s="1">
        <v>0</v>
      </c>
      <c r="M2444" s="1">
        <v>0</v>
      </c>
    </row>
    <row r="2445" spans="1:13">
      <c r="A2445" s="1">
        <v>2444</v>
      </c>
      <c r="B2445" s="1">
        <v>874368.85100000002</v>
      </c>
      <c r="C2445" s="1">
        <v>1315834.6981580514</v>
      </c>
      <c r="D2445" s="1">
        <f t="shared" si="38"/>
        <v>-441465.84715805133</v>
      </c>
      <c r="E2445" s="1">
        <v>18</v>
      </c>
      <c r="F2445" s="1">
        <v>13</v>
      </c>
      <c r="G2445" s="1">
        <v>4</v>
      </c>
      <c r="H2445" s="1">
        <v>2</v>
      </c>
      <c r="I2445" s="1">
        <v>0</v>
      </c>
      <c r="J2445" s="1">
        <v>2</v>
      </c>
      <c r="K2445" s="1">
        <v>0</v>
      </c>
      <c r="L2445" s="1">
        <v>0</v>
      </c>
      <c r="M2445" s="1">
        <v>0</v>
      </c>
    </row>
    <row r="2446" spans="1:13">
      <c r="A2446" s="1">
        <v>2445</v>
      </c>
      <c r="B2446" s="1">
        <v>885289.48699999996</v>
      </c>
      <c r="C2446" s="1">
        <v>765046.03685670905</v>
      </c>
      <c r="D2446" s="1">
        <f t="shared" si="38"/>
        <v>120243.45014329092</v>
      </c>
      <c r="E2446" s="1">
        <v>5</v>
      </c>
      <c r="F2446" s="1">
        <v>24</v>
      </c>
      <c r="G2446" s="1">
        <v>6</v>
      </c>
      <c r="H2446" s="1">
        <v>2</v>
      </c>
      <c r="I2446" s="1">
        <v>0</v>
      </c>
      <c r="J2446" s="1">
        <v>1</v>
      </c>
      <c r="K2446" s="1">
        <v>1</v>
      </c>
      <c r="L2446" s="1">
        <v>0</v>
      </c>
      <c r="M2446" s="1">
        <v>0</v>
      </c>
    </row>
    <row r="2447" spans="1:13">
      <c r="A2447" s="1">
        <v>2446</v>
      </c>
      <c r="B2447" s="1">
        <v>1010359.2057</v>
      </c>
      <c r="C2447" s="1">
        <v>903194.62183496996</v>
      </c>
      <c r="D2447" s="1">
        <f t="shared" si="38"/>
        <v>107164.58386503009</v>
      </c>
      <c r="E2447" s="1">
        <v>7</v>
      </c>
      <c r="F2447" s="1">
        <v>23</v>
      </c>
      <c r="G2447" s="1">
        <v>5</v>
      </c>
      <c r="H2447" s="1">
        <v>0</v>
      </c>
      <c r="I2447" s="1">
        <v>0</v>
      </c>
      <c r="J2447" s="1">
        <v>0</v>
      </c>
      <c r="K2447" s="1">
        <v>1</v>
      </c>
      <c r="L2447" s="1">
        <v>1</v>
      </c>
      <c r="M2447" s="1">
        <v>1</v>
      </c>
    </row>
    <row r="2448" spans="1:13">
      <c r="A2448" s="1">
        <v>2447</v>
      </c>
      <c r="B2448" s="1">
        <v>901137.54909999995</v>
      </c>
      <c r="C2448" s="1">
        <v>800689.97061354225</v>
      </c>
      <c r="D2448" s="1">
        <f t="shared" si="38"/>
        <v>100447.5784864577</v>
      </c>
      <c r="E2448" s="1">
        <v>13</v>
      </c>
      <c r="F2448" s="1">
        <v>16</v>
      </c>
      <c r="G2448" s="1">
        <v>6</v>
      </c>
      <c r="H2448" s="1">
        <v>1</v>
      </c>
      <c r="I2448" s="1">
        <v>0</v>
      </c>
      <c r="J2448" s="1">
        <v>1</v>
      </c>
      <c r="K2448" s="1">
        <v>1</v>
      </c>
      <c r="L2448" s="1">
        <v>0</v>
      </c>
      <c r="M2448" s="1">
        <v>0</v>
      </c>
    </row>
    <row r="2449" spans="1:13">
      <c r="A2449" s="1">
        <v>2448</v>
      </c>
      <c r="B2449" s="1">
        <v>908855.34979999997</v>
      </c>
      <c r="C2449" s="1">
        <v>728218.23368086154</v>
      </c>
      <c r="D2449" s="1">
        <f t="shared" si="38"/>
        <v>180637.11611913843</v>
      </c>
      <c r="E2449" s="1">
        <v>15</v>
      </c>
      <c r="F2449" s="1">
        <v>15</v>
      </c>
      <c r="G2449" s="1">
        <v>5</v>
      </c>
      <c r="H2449" s="1">
        <v>2</v>
      </c>
      <c r="I2449" s="1">
        <v>0</v>
      </c>
      <c r="J2449" s="1">
        <v>1</v>
      </c>
      <c r="K2449" s="1">
        <v>1</v>
      </c>
      <c r="L2449" s="1">
        <v>0</v>
      </c>
      <c r="M2449" s="1">
        <v>0</v>
      </c>
    </row>
    <row r="2450" spans="1:13">
      <c r="A2450" s="1">
        <v>2449</v>
      </c>
      <c r="B2450" s="1">
        <v>1119979.0633</v>
      </c>
      <c r="C2450" s="1">
        <v>1086228.7300463018</v>
      </c>
      <c r="D2450" s="1">
        <f t="shared" si="38"/>
        <v>33750.333253698191</v>
      </c>
      <c r="E2450" s="1">
        <v>8</v>
      </c>
      <c r="F2450" s="1">
        <v>20</v>
      </c>
      <c r="G2450" s="1">
        <v>7</v>
      </c>
      <c r="H2450" s="1">
        <v>1</v>
      </c>
      <c r="I2450" s="1">
        <v>0</v>
      </c>
      <c r="J2450" s="1">
        <v>0</v>
      </c>
      <c r="K2450" s="1">
        <v>1</v>
      </c>
      <c r="L2450" s="1">
        <v>0</v>
      </c>
      <c r="M2450" s="1">
        <v>0</v>
      </c>
    </row>
    <row r="2451" spans="1:13">
      <c r="A2451" s="1">
        <v>2450</v>
      </c>
      <c r="B2451" s="1">
        <v>836939.30020000006</v>
      </c>
      <c r="C2451" s="1">
        <v>2917437.8140108949</v>
      </c>
      <c r="D2451" s="1">
        <f t="shared" si="38"/>
        <v>-2080498.5138108949</v>
      </c>
      <c r="E2451" s="1">
        <v>25</v>
      </c>
      <c r="F2451" s="1">
        <v>7</v>
      </c>
      <c r="G2451" s="1">
        <v>3</v>
      </c>
      <c r="H2451" s="1">
        <v>1</v>
      </c>
      <c r="I2451" s="1">
        <v>0</v>
      </c>
      <c r="J2451" s="1">
        <v>1</v>
      </c>
      <c r="K2451" s="1">
        <v>0</v>
      </c>
      <c r="L2451" s="1">
        <v>0</v>
      </c>
      <c r="M2451" s="1">
        <v>0</v>
      </c>
    </row>
    <row r="2452" spans="1:13">
      <c r="A2452" s="1">
        <v>2451</v>
      </c>
      <c r="B2452" s="1">
        <v>934917.97900000005</v>
      </c>
      <c r="C2452" s="1">
        <v>526093.93204751262</v>
      </c>
      <c r="D2452" s="1">
        <f t="shared" si="38"/>
        <v>408824.04695248744</v>
      </c>
      <c r="E2452" s="1">
        <v>6</v>
      </c>
      <c r="F2452" s="1">
        <v>24</v>
      </c>
      <c r="G2452" s="1">
        <v>5</v>
      </c>
      <c r="H2452" s="1">
        <v>0</v>
      </c>
      <c r="I2452" s="1">
        <v>0</v>
      </c>
      <c r="J2452" s="1">
        <v>0</v>
      </c>
      <c r="K2452" s="1">
        <v>1</v>
      </c>
      <c r="L2452" s="1">
        <v>0</v>
      </c>
      <c r="M2452" s="1">
        <v>0</v>
      </c>
    </row>
    <row r="2453" spans="1:13">
      <c r="A2453" s="1">
        <v>2452</v>
      </c>
      <c r="B2453" s="1">
        <v>904506.44039999996</v>
      </c>
      <c r="C2453" s="1">
        <v>768359.96820321213</v>
      </c>
      <c r="D2453" s="1">
        <f t="shared" si="38"/>
        <v>136146.47219678783</v>
      </c>
      <c r="E2453" s="1">
        <v>13</v>
      </c>
      <c r="F2453" s="1">
        <v>19</v>
      </c>
      <c r="G2453" s="1">
        <v>3</v>
      </c>
      <c r="H2453" s="1">
        <v>1</v>
      </c>
      <c r="I2453" s="1">
        <v>1</v>
      </c>
      <c r="J2453" s="1">
        <v>1</v>
      </c>
      <c r="K2453" s="1">
        <v>0</v>
      </c>
      <c r="L2453" s="1">
        <v>1</v>
      </c>
      <c r="M2453" s="1">
        <v>1</v>
      </c>
    </row>
    <row r="2454" spans="1:13">
      <c r="A2454" s="1">
        <v>2453</v>
      </c>
      <c r="B2454" s="1">
        <v>974176.89879999997</v>
      </c>
      <c r="C2454" s="1">
        <v>739374.54791960237</v>
      </c>
      <c r="D2454" s="1">
        <f t="shared" si="38"/>
        <v>234802.3508803976</v>
      </c>
      <c r="E2454" s="1">
        <v>13</v>
      </c>
      <c r="F2454" s="1">
        <v>17</v>
      </c>
      <c r="G2454" s="1">
        <v>5</v>
      </c>
      <c r="H2454" s="1">
        <v>0</v>
      </c>
      <c r="I2454" s="1">
        <v>0</v>
      </c>
      <c r="J2454" s="1">
        <v>1</v>
      </c>
      <c r="K2454" s="1">
        <v>0</v>
      </c>
      <c r="L2454" s="1">
        <v>0</v>
      </c>
      <c r="M2454" s="1">
        <v>0</v>
      </c>
    </row>
    <row r="2455" spans="1:13">
      <c r="A2455" s="1">
        <v>2454</v>
      </c>
      <c r="B2455" s="1">
        <v>987460.65280000004</v>
      </c>
      <c r="C2455" s="1">
        <v>716251.67601127923</v>
      </c>
      <c r="D2455" s="1">
        <f t="shared" si="38"/>
        <v>271208.97678872081</v>
      </c>
      <c r="E2455" s="1">
        <v>14</v>
      </c>
      <c r="F2455" s="1">
        <v>14</v>
      </c>
      <c r="G2455" s="1">
        <v>7</v>
      </c>
      <c r="H2455" s="1">
        <v>1</v>
      </c>
      <c r="I2455" s="1">
        <v>0</v>
      </c>
      <c r="J2455" s="1">
        <v>2</v>
      </c>
      <c r="K2455" s="1">
        <v>0</v>
      </c>
      <c r="L2455" s="1">
        <v>0</v>
      </c>
      <c r="M2455" s="1">
        <v>0</v>
      </c>
    </row>
    <row r="2456" spans="1:13">
      <c r="A2456" s="1">
        <v>2455</v>
      </c>
      <c r="B2456" s="1">
        <v>972224.41910000006</v>
      </c>
      <c r="C2456" s="1">
        <v>1071710.043128903</v>
      </c>
      <c r="D2456" s="1">
        <f t="shared" si="38"/>
        <v>-99485.624028902967</v>
      </c>
      <c r="E2456" s="1">
        <v>12</v>
      </c>
      <c r="F2456" s="1">
        <v>17</v>
      </c>
      <c r="G2456" s="1">
        <v>6</v>
      </c>
      <c r="H2456" s="1">
        <v>1</v>
      </c>
      <c r="I2456" s="1">
        <v>0</v>
      </c>
      <c r="J2456" s="1">
        <v>1</v>
      </c>
      <c r="K2456" s="1">
        <v>1</v>
      </c>
      <c r="L2456" s="1">
        <v>0</v>
      </c>
      <c r="M2456" s="1">
        <v>0</v>
      </c>
    </row>
    <row r="2457" spans="1:13">
      <c r="A2457" s="1">
        <v>2456</v>
      </c>
      <c r="B2457" s="1">
        <v>1020121.0311</v>
      </c>
      <c r="C2457" s="1">
        <v>737080.91872785648</v>
      </c>
      <c r="D2457" s="1">
        <f t="shared" si="38"/>
        <v>283040.11237214354</v>
      </c>
      <c r="E2457" s="1">
        <v>10</v>
      </c>
      <c r="F2457" s="1">
        <v>22</v>
      </c>
      <c r="G2457" s="1">
        <v>3</v>
      </c>
      <c r="H2457" s="1">
        <v>2</v>
      </c>
      <c r="I2457" s="1">
        <v>0</v>
      </c>
      <c r="J2457" s="1">
        <v>0</v>
      </c>
      <c r="K2457" s="1">
        <v>1</v>
      </c>
      <c r="L2457" s="1">
        <v>0</v>
      </c>
      <c r="M2457" s="1">
        <v>1</v>
      </c>
    </row>
    <row r="2458" spans="1:13">
      <c r="A2458" s="1">
        <v>2457</v>
      </c>
      <c r="B2458" s="1">
        <v>895730.78799999994</v>
      </c>
      <c r="C2458" s="1">
        <v>1055971.8024288681</v>
      </c>
      <c r="D2458" s="1">
        <f t="shared" si="38"/>
        <v>-160241.01442886819</v>
      </c>
      <c r="E2458" s="1">
        <v>21</v>
      </c>
      <c r="F2458" s="1">
        <v>9</v>
      </c>
      <c r="G2458" s="1">
        <v>5</v>
      </c>
      <c r="H2458" s="1">
        <v>1</v>
      </c>
      <c r="I2458" s="1">
        <v>0</v>
      </c>
      <c r="J2458" s="1">
        <v>0</v>
      </c>
      <c r="K2458" s="1">
        <v>1</v>
      </c>
      <c r="L2458" s="1">
        <v>0</v>
      </c>
      <c r="M2458" s="1">
        <v>0</v>
      </c>
    </row>
    <row r="2459" spans="1:13">
      <c r="A2459" s="1">
        <v>2458</v>
      </c>
      <c r="B2459" s="1">
        <v>904641.277</v>
      </c>
      <c r="C2459" s="1">
        <v>922194.15581001481</v>
      </c>
      <c r="D2459" s="1">
        <f t="shared" si="38"/>
        <v>-17552.878810014809</v>
      </c>
      <c r="E2459" s="1">
        <v>9</v>
      </c>
      <c r="F2459" s="1">
        <v>23</v>
      </c>
      <c r="G2459" s="1">
        <v>3</v>
      </c>
      <c r="H2459" s="1">
        <v>2</v>
      </c>
      <c r="I2459" s="1">
        <v>0</v>
      </c>
      <c r="J2459" s="1">
        <v>0</v>
      </c>
      <c r="K2459" s="1">
        <v>1</v>
      </c>
      <c r="L2459" s="1">
        <v>0</v>
      </c>
      <c r="M2459" s="1">
        <v>0</v>
      </c>
    </row>
    <row r="2460" spans="1:13">
      <c r="A2460" s="1">
        <v>2459</v>
      </c>
      <c r="B2460" s="1">
        <v>922597.47950000002</v>
      </c>
      <c r="C2460" s="1">
        <v>696577.32660230366</v>
      </c>
      <c r="D2460" s="1">
        <f t="shared" si="38"/>
        <v>226020.15289769636</v>
      </c>
      <c r="E2460" s="1">
        <v>19</v>
      </c>
      <c r="F2460" s="1">
        <v>10</v>
      </c>
      <c r="G2460" s="1">
        <v>6</v>
      </c>
      <c r="H2460" s="1">
        <v>1</v>
      </c>
      <c r="I2460" s="1">
        <v>1</v>
      </c>
      <c r="J2460" s="1">
        <v>1</v>
      </c>
      <c r="K2460" s="1">
        <v>1</v>
      </c>
      <c r="L2460" s="1">
        <v>0</v>
      </c>
      <c r="M2460" s="1">
        <v>1</v>
      </c>
    </row>
    <row r="2461" spans="1:13">
      <c r="A2461" s="1">
        <v>2460</v>
      </c>
      <c r="B2461" s="1">
        <v>850981.6666</v>
      </c>
      <c r="C2461" s="1">
        <v>992429.99465494219</v>
      </c>
      <c r="D2461" s="1">
        <f t="shared" si="38"/>
        <v>-141448.32805494219</v>
      </c>
      <c r="E2461" s="1">
        <v>21</v>
      </c>
      <c r="F2461" s="1">
        <v>7</v>
      </c>
      <c r="G2461" s="1">
        <v>7</v>
      </c>
      <c r="H2461" s="1">
        <v>0</v>
      </c>
      <c r="I2461" s="1">
        <v>0</v>
      </c>
      <c r="J2461" s="1">
        <v>0</v>
      </c>
      <c r="K2461" s="1">
        <v>0</v>
      </c>
      <c r="L2461" s="1">
        <v>1</v>
      </c>
      <c r="M2461" s="1">
        <v>0</v>
      </c>
    </row>
    <row r="2462" spans="1:13">
      <c r="A2462" s="1">
        <v>2461</v>
      </c>
      <c r="B2462" s="1">
        <v>957013.85270000005</v>
      </c>
      <c r="C2462" s="1">
        <v>859805.57204248616</v>
      </c>
      <c r="D2462" s="1">
        <f t="shared" si="38"/>
        <v>97208.280657513882</v>
      </c>
      <c r="E2462" s="1">
        <v>18</v>
      </c>
      <c r="F2462" s="1">
        <v>12</v>
      </c>
      <c r="G2462" s="1">
        <v>5</v>
      </c>
      <c r="H2462" s="1">
        <v>1</v>
      </c>
      <c r="I2462" s="1">
        <v>0</v>
      </c>
      <c r="J2462" s="1">
        <v>1</v>
      </c>
      <c r="K2462" s="1">
        <v>1</v>
      </c>
      <c r="L2462" s="1">
        <v>0</v>
      </c>
      <c r="M2462" s="1">
        <v>0</v>
      </c>
    </row>
    <row r="2463" spans="1:13">
      <c r="A2463" s="1">
        <v>2462</v>
      </c>
      <c r="B2463" s="1">
        <v>1030427.1379</v>
      </c>
      <c r="C2463" s="1">
        <v>2643641.8922217218</v>
      </c>
      <c r="D2463" s="1">
        <f t="shared" si="38"/>
        <v>-1613214.7543217218</v>
      </c>
      <c r="E2463" s="1">
        <v>8</v>
      </c>
      <c r="F2463" s="1">
        <v>19</v>
      </c>
      <c r="G2463" s="1">
        <v>8</v>
      </c>
      <c r="H2463" s="1">
        <v>1</v>
      </c>
      <c r="I2463" s="1">
        <v>1</v>
      </c>
      <c r="J2463" s="1">
        <v>0</v>
      </c>
      <c r="K2463" s="1">
        <v>1</v>
      </c>
      <c r="L2463" s="1">
        <v>1</v>
      </c>
      <c r="M2463" s="1">
        <v>0</v>
      </c>
    </row>
    <row r="2464" spans="1:13">
      <c r="A2464" s="1">
        <v>2463</v>
      </c>
      <c r="B2464" s="1">
        <v>901865.67559999996</v>
      </c>
      <c r="C2464" s="1">
        <v>1007467.8602189081</v>
      </c>
      <c r="D2464" s="1">
        <f t="shared" si="38"/>
        <v>-105602.1846189081</v>
      </c>
      <c r="E2464" s="1">
        <v>19</v>
      </c>
      <c r="F2464" s="1">
        <v>13</v>
      </c>
      <c r="G2464" s="1">
        <v>3</v>
      </c>
      <c r="H2464" s="1">
        <v>1</v>
      </c>
      <c r="I2464" s="1">
        <v>0</v>
      </c>
      <c r="J2464" s="1">
        <v>1</v>
      </c>
      <c r="K2464" s="1">
        <v>1</v>
      </c>
      <c r="L2464" s="1">
        <v>0</v>
      </c>
      <c r="M2464" s="1">
        <v>0</v>
      </c>
    </row>
    <row r="2465" spans="1:13">
      <c r="A2465" s="1">
        <v>2464</v>
      </c>
      <c r="B2465" s="1">
        <v>888669.0368</v>
      </c>
      <c r="C2465" s="1">
        <v>1600488.9123728212</v>
      </c>
      <c r="D2465" s="1">
        <f t="shared" si="38"/>
        <v>-711819.87557282124</v>
      </c>
      <c r="E2465" s="1">
        <v>17</v>
      </c>
      <c r="F2465" s="1">
        <v>13</v>
      </c>
      <c r="G2465" s="1">
        <v>5</v>
      </c>
      <c r="H2465" s="1">
        <v>1</v>
      </c>
      <c r="I2465" s="1">
        <v>0</v>
      </c>
      <c r="J2465" s="1">
        <v>0</v>
      </c>
      <c r="K2465" s="1">
        <v>1</v>
      </c>
      <c r="L2465" s="1">
        <v>0</v>
      </c>
      <c r="M2465" s="1">
        <v>0</v>
      </c>
    </row>
    <row r="2466" spans="1:13">
      <c r="A2466" s="1">
        <v>2465</v>
      </c>
      <c r="B2466" s="1">
        <v>848715.73230000003</v>
      </c>
      <c r="C2466" s="1">
        <v>622186.71958263917</v>
      </c>
      <c r="D2466" s="1">
        <f t="shared" si="38"/>
        <v>226529.01271736086</v>
      </c>
      <c r="E2466" s="1">
        <v>15</v>
      </c>
      <c r="F2466" s="1">
        <v>15</v>
      </c>
      <c r="G2466" s="1">
        <v>5</v>
      </c>
      <c r="H2466" s="1">
        <v>0</v>
      </c>
      <c r="I2466" s="1">
        <v>0</v>
      </c>
      <c r="J2466" s="1">
        <v>0</v>
      </c>
      <c r="K2466" s="1">
        <v>0</v>
      </c>
      <c r="L2466" s="1">
        <v>0</v>
      </c>
      <c r="M2466" s="1">
        <v>0</v>
      </c>
    </row>
    <row r="2467" spans="1:13">
      <c r="A2467" s="1">
        <v>2466</v>
      </c>
      <c r="B2467" s="1">
        <v>900888.54819999996</v>
      </c>
      <c r="C2467" s="1">
        <v>875141.48218052625</v>
      </c>
      <c r="D2467" s="1">
        <f t="shared" si="38"/>
        <v>25747.066019473714</v>
      </c>
      <c r="E2467" s="1">
        <v>11</v>
      </c>
      <c r="F2467" s="1">
        <v>18</v>
      </c>
      <c r="G2467" s="1">
        <v>6</v>
      </c>
      <c r="H2467" s="1">
        <v>0</v>
      </c>
      <c r="I2467" s="1">
        <v>0</v>
      </c>
      <c r="J2467" s="1">
        <v>0</v>
      </c>
      <c r="K2467" s="1">
        <v>1</v>
      </c>
      <c r="L2467" s="1">
        <v>1</v>
      </c>
      <c r="M2467" s="1">
        <v>0</v>
      </c>
    </row>
    <row r="2468" spans="1:13">
      <c r="A2468" s="1">
        <v>2467</v>
      </c>
      <c r="B2468" s="1">
        <v>835348.47100000002</v>
      </c>
      <c r="C2468" s="1">
        <v>808569.76294061693</v>
      </c>
      <c r="D2468" s="1">
        <f t="shared" si="38"/>
        <v>26778.708059383091</v>
      </c>
      <c r="E2468" s="1">
        <v>14</v>
      </c>
      <c r="F2468" s="1">
        <v>17</v>
      </c>
      <c r="G2468" s="1">
        <v>4</v>
      </c>
      <c r="H2468" s="1">
        <v>1</v>
      </c>
      <c r="I2468" s="1">
        <v>0</v>
      </c>
      <c r="J2468" s="1">
        <v>1</v>
      </c>
      <c r="K2468" s="1">
        <v>1</v>
      </c>
      <c r="L2468" s="1">
        <v>0</v>
      </c>
      <c r="M2468" s="1">
        <v>0</v>
      </c>
    </row>
    <row r="2469" spans="1:13">
      <c r="A2469" s="1">
        <v>2468</v>
      </c>
      <c r="B2469" s="1">
        <v>881635.72589999996</v>
      </c>
      <c r="C2469" s="1">
        <v>577614.21262874617</v>
      </c>
      <c r="D2469" s="1">
        <f t="shared" si="38"/>
        <v>304021.51327125379</v>
      </c>
      <c r="E2469" s="1">
        <v>17</v>
      </c>
      <c r="F2469" s="1">
        <v>15</v>
      </c>
      <c r="G2469" s="1">
        <v>3</v>
      </c>
      <c r="H2469" s="1">
        <v>1</v>
      </c>
      <c r="I2469" s="1">
        <v>0</v>
      </c>
      <c r="J2469" s="1">
        <v>0</v>
      </c>
      <c r="K2469" s="1">
        <v>0</v>
      </c>
      <c r="L2469" s="1">
        <v>0</v>
      </c>
      <c r="M2469" s="1">
        <v>0</v>
      </c>
    </row>
    <row r="2470" spans="1:13">
      <c r="A2470" s="1">
        <v>2469</v>
      </c>
      <c r="B2470" s="1">
        <v>1021037.4208</v>
      </c>
      <c r="C2470" s="1">
        <v>655648.87047878373</v>
      </c>
      <c r="D2470" s="1">
        <f t="shared" si="38"/>
        <v>365388.55032121623</v>
      </c>
      <c r="E2470" s="1">
        <v>6</v>
      </c>
      <c r="F2470" s="1">
        <v>24</v>
      </c>
      <c r="G2470" s="1">
        <v>5</v>
      </c>
      <c r="H2470" s="1">
        <v>1</v>
      </c>
      <c r="I2470" s="1">
        <v>0</v>
      </c>
      <c r="J2470" s="1">
        <v>1</v>
      </c>
      <c r="K2470" s="1">
        <v>1</v>
      </c>
      <c r="L2470" s="1">
        <v>0</v>
      </c>
      <c r="M2470" s="1">
        <v>0</v>
      </c>
    </row>
    <row r="2471" spans="1:13">
      <c r="A2471" s="1">
        <v>2470</v>
      </c>
      <c r="B2471" s="1">
        <v>891966.4486</v>
      </c>
      <c r="C2471" s="1">
        <v>994859.03226272785</v>
      </c>
      <c r="D2471" s="1">
        <f t="shared" si="38"/>
        <v>-102892.58366272785</v>
      </c>
      <c r="E2471" s="1">
        <v>9</v>
      </c>
      <c r="F2471" s="1">
        <v>22</v>
      </c>
      <c r="G2471" s="1">
        <v>4</v>
      </c>
      <c r="H2471" s="1">
        <v>0</v>
      </c>
      <c r="I2471" s="1">
        <v>1</v>
      </c>
      <c r="J2471" s="1">
        <v>1</v>
      </c>
      <c r="K2471" s="1">
        <v>1</v>
      </c>
      <c r="L2471" s="1">
        <v>0</v>
      </c>
      <c r="M2471" s="1">
        <v>0</v>
      </c>
    </row>
    <row r="2472" spans="1:13">
      <c r="A2472" s="1">
        <v>2471</v>
      </c>
      <c r="B2472" s="1">
        <v>935549.56880000001</v>
      </c>
      <c r="C2472" s="1">
        <v>819452.99075264798</v>
      </c>
      <c r="D2472" s="1">
        <f t="shared" si="38"/>
        <v>116096.57804735203</v>
      </c>
      <c r="E2472" s="1">
        <v>16</v>
      </c>
      <c r="F2472" s="1">
        <v>13</v>
      </c>
      <c r="G2472" s="1">
        <v>6</v>
      </c>
      <c r="H2472" s="1">
        <v>1</v>
      </c>
      <c r="I2472" s="1">
        <v>0</v>
      </c>
      <c r="J2472" s="1">
        <v>0</v>
      </c>
      <c r="K2472" s="1">
        <v>1</v>
      </c>
      <c r="L2472" s="1">
        <v>0</v>
      </c>
      <c r="M2472" s="1">
        <v>0</v>
      </c>
    </row>
    <row r="2473" spans="1:13">
      <c r="A2473" s="1">
        <v>2472</v>
      </c>
      <c r="B2473" s="1">
        <v>914208.81980000006</v>
      </c>
      <c r="C2473" s="1">
        <v>536288.6907206662</v>
      </c>
      <c r="D2473" s="1">
        <f t="shared" si="38"/>
        <v>377920.12907933386</v>
      </c>
      <c r="E2473" s="1">
        <v>19</v>
      </c>
      <c r="F2473" s="1">
        <v>12</v>
      </c>
      <c r="G2473" s="1">
        <v>4</v>
      </c>
      <c r="H2473" s="1">
        <v>0</v>
      </c>
      <c r="I2473" s="1">
        <v>0</v>
      </c>
      <c r="J2473" s="1">
        <v>1</v>
      </c>
      <c r="K2473" s="1">
        <v>1</v>
      </c>
      <c r="L2473" s="1">
        <v>0</v>
      </c>
      <c r="M2473" s="1">
        <v>1</v>
      </c>
    </row>
    <row r="2474" spans="1:13">
      <c r="A2474" s="1">
        <v>2473</v>
      </c>
      <c r="B2474" s="1">
        <v>1035646.6247</v>
      </c>
      <c r="C2474" s="1">
        <v>694611.67737648473</v>
      </c>
      <c r="D2474" s="1">
        <f t="shared" si="38"/>
        <v>341034.94732351531</v>
      </c>
      <c r="E2474" s="1">
        <v>8</v>
      </c>
      <c r="F2474" s="1">
        <v>26</v>
      </c>
      <c r="G2474" s="1">
        <v>1</v>
      </c>
      <c r="H2474" s="1">
        <v>2</v>
      </c>
      <c r="I2474" s="1">
        <v>0</v>
      </c>
      <c r="J2474" s="1">
        <v>0</v>
      </c>
      <c r="K2474" s="1">
        <v>2</v>
      </c>
      <c r="L2474" s="1">
        <v>0</v>
      </c>
      <c r="M2474" s="1">
        <v>0</v>
      </c>
    </row>
    <row r="2475" spans="1:13">
      <c r="A2475" s="1">
        <v>2474</v>
      </c>
      <c r="B2475" s="1">
        <v>983798.20530000003</v>
      </c>
      <c r="C2475" s="1">
        <v>761590.4195706147</v>
      </c>
      <c r="D2475" s="1">
        <f t="shared" si="38"/>
        <v>222207.78572938533</v>
      </c>
      <c r="E2475" s="1">
        <v>11</v>
      </c>
      <c r="F2475" s="1">
        <v>18</v>
      </c>
      <c r="G2475" s="1">
        <v>6</v>
      </c>
      <c r="H2475" s="1">
        <v>0</v>
      </c>
      <c r="I2475" s="1">
        <v>0</v>
      </c>
      <c r="J2475" s="1">
        <v>0</v>
      </c>
      <c r="K2475" s="1">
        <v>1</v>
      </c>
      <c r="L2475" s="1">
        <v>0</v>
      </c>
      <c r="M2475" s="1">
        <v>0</v>
      </c>
    </row>
    <row r="2476" spans="1:13">
      <c r="A2476" s="1">
        <v>2475</v>
      </c>
      <c r="B2476" s="1">
        <v>969692.90150000004</v>
      </c>
      <c r="C2476" s="1">
        <v>798026.14374413644</v>
      </c>
      <c r="D2476" s="1">
        <f t="shared" si="38"/>
        <v>171666.7577558636</v>
      </c>
      <c r="E2476" s="1">
        <v>4</v>
      </c>
      <c r="F2476" s="1">
        <v>27</v>
      </c>
      <c r="G2476" s="1">
        <v>4</v>
      </c>
      <c r="H2476" s="1">
        <v>1</v>
      </c>
      <c r="I2476" s="1">
        <v>0</v>
      </c>
      <c r="J2476" s="1">
        <v>1</v>
      </c>
      <c r="K2476" s="1">
        <v>1</v>
      </c>
      <c r="L2476" s="1">
        <v>0</v>
      </c>
      <c r="M2476" s="1">
        <v>1</v>
      </c>
    </row>
    <row r="2477" spans="1:13">
      <c r="A2477" s="1">
        <v>2476</v>
      </c>
      <c r="B2477" s="1">
        <v>865161.41249999998</v>
      </c>
      <c r="C2477" s="1">
        <v>562628.10800219071</v>
      </c>
      <c r="D2477" s="1">
        <f t="shared" si="38"/>
        <v>302533.30449780927</v>
      </c>
      <c r="E2477" s="1">
        <v>20</v>
      </c>
      <c r="F2477" s="1">
        <v>13</v>
      </c>
      <c r="G2477" s="1">
        <v>2</v>
      </c>
      <c r="H2477" s="1">
        <v>2</v>
      </c>
      <c r="I2477" s="1">
        <v>0</v>
      </c>
      <c r="J2477" s="1">
        <v>1</v>
      </c>
      <c r="K2477" s="1">
        <v>1</v>
      </c>
      <c r="L2477" s="1">
        <v>0</v>
      </c>
      <c r="M2477" s="1">
        <v>0</v>
      </c>
    </row>
    <row r="2478" spans="1:13">
      <c r="A2478" s="1">
        <v>2477</v>
      </c>
      <c r="B2478" s="1">
        <v>921072.76780000003</v>
      </c>
      <c r="C2478" s="1">
        <v>1801486.571560923</v>
      </c>
      <c r="D2478" s="1">
        <f t="shared" si="38"/>
        <v>-880413.80376092298</v>
      </c>
      <c r="E2478" s="1">
        <v>13</v>
      </c>
      <c r="F2478" s="1">
        <v>16</v>
      </c>
      <c r="G2478" s="1">
        <v>6</v>
      </c>
      <c r="H2478" s="1">
        <v>0</v>
      </c>
      <c r="I2478" s="1">
        <v>0</v>
      </c>
      <c r="J2478" s="1">
        <v>0</v>
      </c>
      <c r="K2478" s="1">
        <v>1</v>
      </c>
      <c r="L2478" s="1">
        <v>0</v>
      </c>
      <c r="M2478" s="1">
        <v>0</v>
      </c>
    </row>
    <row r="2479" spans="1:13">
      <c r="A2479" s="1">
        <v>2478</v>
      </c>
      <c r="B2479" s="1">
        <v>1014743.4372</v>
      </c>
      <c r="C2479" s="1">
        <v>887842.20764938486</v>
      </c>
      <c r="D2479" s="1">
        <f t="shared" si="38"/>
        <v>126901.22955061519</v>
      </c>
      <c r="E2479" s="1">
        <v>15</v>
      </c>
      <c r="F2479" s="1">
        <v>13</v>
      </c>
      <c r="G2479" s="1">
        <v>7</v>
      </c>
      <c r="H2479" s="1">
        <v>0</v>
      </c>
      <c r="I2479" s="1">
        <v>0</v>
      </c>
      <c r="J2479" s="1">
        <v>0</v>
      </c>
      <c r="K2479" s="1">
        <v>0</v>
      </c>
      <c r="L2479" s="1">
        <v>0</v>
      </c>
      <c r="M2479" s="1">
        <v>0</v>
      </c>
    </row>
    <row r="2480" spans="1:13">
      <c r="A2480" s="1">
        <v>2479</v>
      </c>
      <c r="B2480" s="1">
        <v>973338.36529999995</v>
      </c>
      <c r="C2480" s="1">
        <v>553807.94598563167</v>
      </c>
      <c r="D2480" s="1">
        <f t="shared" si="38"/>
        <v>419530.41931436828</v>
      </c>
      <c r="E2480" s="1">
        <v>15</v>
      </c>
      <c r="F2480" s="1">
        <v>17</v>
      </c>
      <c r="G2480" s="1">
        <v>3</v>
      </c>
      <c r="H2480" s="1">
        <v>0</v>
      </c>
      <c r="I2480" s="1">
        <v>0</v>
      </c>
      <c r="J2480" s="1">
        <v>2</v>
      </c>
      <c r="K2480" s="1">
        <v>0</v>
      </c>
      <c r="L2480" s="1">
        <v>0</v>
      </c>
      <c r="M2480" s="1">
        <v>0</v>
      </c>
    </row>
    <row r="2481" spans="1:13">
      <c r="A2481" s="1">
        <v>2480</v>
      </c>
      <c r="B2481" s="1">
        <v>858858.52489999996</v>
      </c>
      <c r="C2481" s="1">
        <v>824917.80666156742</v>
      </c>
      <c r="D2481" s="1">
        <f t="shared" si="38"/>
        <v>33940.718238432542</v>
      </c>
      <c r="E2481" s="1">
        <v>14</v>
      </c>
      <c r="F2481" s="1">
        <v>16</v>
      </c>
      <c r="G2481" s="1">
        <v>5</v>
      </c>
      <c r="H2481" s="1">
        <v>0</v>
      </c>
      <c r="I2481" s="1">
        <v>0</v>
      </c>
      <c r="J2481" s="1">
        <v>0</v>
      </c>
      <c r="K2481" s="1">
        <v>1</v>
      </c>
      <c r="L2481" s="1">
        <v>0</v>
      </c>
      <c r="M2481" s="1">
        <v>0</v>
      </c>
    </row>
    <row r="2482" spans="1:13">
      <c r="A2482" s="1">
        <v>2481</v>
      </c>
      <c r="B2482" s="1">
        <v>968924.7304</v>
      </c>
      <c r="C2482" s="1">
        <v>1115590.7258049657</v>
      </c>
      <c r="D2482" s="1">
        <f t="shared" si="38"/>
        <v>-146665.99540496571</v>
      </c>
      <c r="E2482" s="1">
        <v>17</v>
      </c>
      <c r="F2482" s="1">
        <v>13</v>
      </c>
      <c r="G2482" s="1">
        <v>5</v>
      </c>
      <c r="H2482" s="1">
        <v>0</v>
      </c>
      <c r="I2482" s="1">
        <v>0</v>
      </c>
      <c r="J2482" s="1">
        <v>0</v>
      </c>
      <c r="K2482" s="1">
        <v>1</v>
      </c>
      <c r="L2482" s="1">
        <v>0</v>
      </c>
      <c r="M2482" s="1">
        <v>0</v>
      </c>
    </row>
    <row r="2483" spans="1:13">
      <c r="A2483" s="1">
        <v>2482</v>
      </c>
      <c r="B2483" s="1">
        <v>955680.95539999998</v>
      </c>
      <c r="C2483" s="1">
        <v>1172770.5725417507</v>
      </c>
      <c r="D2483" s="1">
        <f t="shared" si="38"/>
        <v>-217089.61714175076</v>
      </c>
      <c r="E2483" s="1">
        <v>10</v>
      </c>
      <c r="F2483" s="1">
        <v>22</v>
      </c>
      <c r="G2483" s="1">
        <v>3</v>
      </c>
      <c r="H2483" s="1">
        <v>0</v>
      </c>
      <c r="I2483" s="1">
        <v>0</v>
      </c>
      <c r="J2483" s="1">
        <v>0</v>
      </c>
      <c r="K2483" s="1">
        <v>1</v>
      </c>
      <c r="L2483" s="1">
        <v>0</v>
      </c>
      <c r="M2483" s="1">
        <v>1</v>
      </c>
    </row>
    <row r="2484" spans="1:13">
      <c r="A2484" s="1">
        <v>2483</v>
      </c>
      <c r="B2484" s="1">
        <v>1120576.9811</v>
      </c>
      <c r="C2484" s="1">
        <v>849803.75989873463</v>
      </c>
      <c r="D2484" s="1">
        <f t="shared" si="38"/>
        <v>270773.22120126535</v>
      </c>
      <c r="E2484" s="1">
        <v>8</v>
      </c>
      <c r="F2484" s="1">
        <v>19</v>
      </c>
      <c r="G2484" s="1">
        <v>8</v>
      </c>
      <c r="H2484" s="1">
        <v>0</v>
      </c>
      <c r="I2484" s="1">
        <v>0</v>
      </c>
      <c r="J2484" s="1">
        <v>0</v>
      </c>
      <c r="K2484" s="1">
        <v>0</v>
      </c>
      <c r="L2484" s="1">
        <v>0</v>
      </c>
      <c r="M2484" s="1">
        <v>0</v>
      </c>
    </row>
    <row r="2485" spans="1:13">
      <c r="A2485" s="1">
        <v>2484</v>
      </c>
      <c r="B2485" s="1">
        <v>894000.79819999996</v>
      </c>
      <c r="C2485" s="1">
        <v>1212218.2518781419</v>
      </c>
      <c r="D2485" s="1">
        <f t="shared" si="38"/>
        <v>-318217.45367814193</v>
      </c>
      <c r="E2485" s="1">
        <v>10</v>
      </c>
      <c r="F2485" s="1">
        <v>19</v>
      </c>
      <c r="G2485" s="1">
        <v>6</v>
      </c>
      <c r="H2485" s="1">
        <v>0</v>
      </c>
      <c r="I2485" s="1">
        <v>1</v>
      </c>
      <c r="J2485" s="1">
        <v>0</v>
      </c>
      <c r="K2485" s="1">
        <v>0</v>
      </c>
      <c r="L2485" s="1">
        <v>0</v>
      </c>
      <c r="M2485" s="1">
        <v>0</v>
      </c>
    </row>
    <row r="2486" spans="1:13">
      <c r="A2486" s="1">
        <v>2485</v>
      </c>
      <c r="B2486" s="1">
        <v>915488.73609999998</v>
      </c>
      <c r="C2486" s="1">
        <v>837708.08628191566</v>
      </c>
      <c r="D2486" s="1">
        <f t="shared" si="38"/>
        <v>77780.649818084319</v>
      </c>
      <c r="E2486" s="1">
        <v>17</v>
      </c>
      <c r="F2486" s="1">
        <v>12</v>
      </c>
      <c r="G2486" s="1">
        <v>6</v>
      </c>
      <c r="H2486" s="1">
        <v>1</v>
      </c>
      <c r="I2486" s="1">
        <v>0</v>
      </c>
      <c r="J2486" s="1">
        <v>2</v>
      </c>
      <c r="K2486" s="1">
        <v>0</v>
      </c>
      <c r="L2486" s="1">
        <v>0</v>
      </c>
      <c r="M2486" s="1">
        <v>0</v>
      </c>
    </row>
    <row r="2487" spans="1:13">
      <c r="A2487" s="1">
        <v>2486</v>
      </c>
      <c r="B2487" s="1">
        <v>934018.41680000001</v>
      </c>
      <c r="C2487" s="1">
        <v>1090542.8375355336</v>
      </c>
      <c r="D2487" s="1">
        <f t="shared" si="38"/>
        <v>-156524.42073553358</v>
      </c>
      <c r="E2487" s="1">
        <v>12</v>
      </c>
      <c r="F2487" s="1">
        <v>18</v>
      </c>
      <c r="G2487" s="1">
        <v>5</v>
      </c>
      <c r="H2487" s="1">
        <v>1</v>
      </c>
      <c r="I2487" s="1">
        <v>0</v>
      </c>
      <c r="J2487" s="1">
        <v>1</v>
      </c>
      <c r="K2487" s="1">
        <v>1</v>
      </c>
      <c r="L2487" s="1">
        <v>0</v>
      </c>
      <c r="M2487" s="1">
        <v>0</v>
      </c>
    </row>
    <row r="2488" spans="1:13">
      <c r="A2488" s="1">
        <v>2487</v>
      </c>
      <c r="B2488" s="1">
        <v>883788.38269999996</v>
      </c>
      <c r="C2488" s="1">
        <v>887887.62917769491</v>
      </c>
      <c r="D2488" s="1">
        <f t="shared" si="38"/>
        <v>-4099.2464776949491</v>
      </c>
      <c r="E2488" s="1">
        <v>16</v>
      </c>
      <c r="F2488" s="1">
        <v>12</v>
      </c>
      <c r="G2488" s="1">
        <v>7</v>
      </c>
      <c r="H2488" s="1">
        <v>2</v>
      </c>
      <c r="I2488" s="1">
        <v>0</v>
      </c>
      <c r="J2488" s="1">
        <v>2</v>
      </c>
      <c r="K2488" s="1">
        <v>0</v>
      </c>
      <c r="L2488" s="1">
        <v>0</v>
      </c>
      <c r="M2488" s="1">
        <v>1</v>
      </c>
    </row>
    <row r="2489" spans="1:13">
      <c r="A2489" s="1">
        <v>2488</v>
      </c>
      <c r="B2489" s="1">
        <v>837510.44149999996</v>
      </c>
      <c r="C2489" s="1">
        <v>1396184.307522906</v>
      </c>
      <c r="D2489" s="1">
        <f t="shared" si="38"/>
        <v>-558673.86602290603</v>
      </c>
      <c r="E2489" s="1">
        <v>12</v>
      </c>
      <c r="F2489" s="1">
        <v>20</v>
      </c>
      <c r="G2489" s="1">
        <v>3</v>
      </c>
      <c r="H2489" s="1">
        <v>1</v>
      </c>
      <c r="I2489" s="1">
        <v>1</v>
      </c>
      <c r="J2489" s="1">
        <v>0</v>
      </c>
      <c r="K2489" s="1">
        <v>0</v>
      </c>
      <c r="L2489" s="1">
        <v>0</v>
      </c>
      <c r="M2489" s="1">
        <v>0</v>
      </c>
    </row>
    <row r="2490" spans="1:13">
      <c r="A2490" s="1">
        <v>2489</v>
      </c>
      <c r="B2490" s="1">
        <v>998166.60990000004</v>
      </c>
      <c r="C2490" s="1">
        <v>938288.20044247736</v>
      </c>
      <c r="D2490" s="1">
        <f t="shared" si="38"/>
        <v>59878.409457522677</v>
      </c>
      <c r="E2490" s="1">
        <v>10</v>
      </c>
      <c r="F2490" s="1">
        <v>20</v>
      </c>
      <c r="G2490" s="1">
        <v>5</v>
      </c>
      <c r="H2490" s="1">
        <v>1</v>
      </c>
      <c r="I2490" s="1">
        <v>0</v>
      </c>
      <c r="J2490" s="1">
        <v>2</v>
      </c>
      <c r="K2490" s="1">
        <v>0</v>
      </c>
      <c r="L2490" s="1">
        <v>0</v>
      </c>
      <c r="M2490" s="1">
        <v>0</v>
      </c>
    </row>
    <row r="2491" spans="1:13">
      <c r="A2491" s="1">
        <v>2490</v>
      </c>
      <c r="B2491" s="1">
        <v>995315.48939999996</v>
      </c>
      <c r="C2491" s="1">
        <v>525772.43742302479</v>
      </c>
      <c r="D2491" s="1">
        <f t="shared" si="38"/>
        <v>469543.05197697517</v>
      </c>
      <c r="E2491" s="1">
        <v>15</v>
      </c>
      <c r="F2491" s="1">
        <v>15</v>
      </c>
      <c r="G2491" s="1">
        <v>5</v>
      </c>
      <c r="H2491" s="1">
        <v>0</v>
      </c>
      <c r="I2491" s="1">
        <v>0</v>
      </c>
      <c r="J2491" s="1">
        <v>2</v>
      </c>
      <c r="K2491" s="1">
        <v>0</v>
      </c>
      <c r="L2491" s="1">
        <v>0</v>
      </c>
      <c r="M2491" s="1">
        <v>0</v>
      </c>
    </row>
    <row r="2492" spans="1:13">
      <c r="A2492" s="1">
        <v>2491</v>
      </c>
      <c r="B2492" s="1">
        <v>902362.54370000004</v>
      </c>
      <c r="C2492" s="1">
        <v>1198795.3595571164</v>
      </c>
      <c r="D2492" s="1">
        <f t="shared" si="38"/>
        <v>-296432.81585711637</v>
      </c>
      <c r="E2492" s="1">
        <v>12</v>
      </c>
      <c r="F2492" s="1">
        <v>16</v>
      </c>
      <c r="G2492" s="1">
        <v>7</v>
      </c>
      <c r="H2492" s="1">
        <v>1</v>
      </c>
      <c r="I2492" s="1">
        <v>0</v>
      </c>
      <c r="J2492" s="1">
        <v>0</v>
      </c>
      <c r="K2492" s="1">
        <v>1</v>
      </c>
      <c r="L2492" s="1">
        <v>0</v>
      </c>
      <c r="M2492" s="1">
        <v>0</v>
      </c>
    </row>
    <row r="2493" spans="1:13">
      <c r="A2493" s="1">
        <v>2492</v>
      </c>
      <c r="B2493" s="1">
        <v>917295.20830000006</v>
      </c>
      <c r="C2493" s="1">
        <v>1943137.2491977178</v>
      </c>
      <c r="D2493" s="1">
        <f t="shared" si="38"/>
        <v>-1025842.0408977177</v>
      </c>
      <c r="E2493" s="1">
        <v>13</v>
      </c>
      <c r="F2493" s="1">
        <v>16</v>
      </c>
      <c r="G2493" s="1">
        <v>6</v>
      </c>
      <c r="H2493" s="1">
        <v>2</v>
      </c>
      <c r="I2493" s="1">
        <v>0</v>
      </c>
      <c r="J2493" s="1">
        <v>1</v>
      </c>
      <c r="K2493" s="1">
        <v>1</v>
      </c>
      <c r="L2493" s="1">
        <v>0</v>
      </c>
      <c r="M2493" s="1">
        <v>0</v>
      </c>
    </row>
    <row r="2494" spans="1:13">
      <c r="A2494" s="1">
        <v>2493</v>
      </c>
      <c r="B2494" s="1">
        <v>880366.42839999998</v>
      </c>
      <c r="C2494" s="1">
        <v>956775.57941589516</v>
      </c>
      <c r="D2494" s="1">
        <f t="shared" si="38"/>
        <v>-76409.151015895186</v>
      </c>
      <c r="E2494" s="1">
        <v>10</v>
      </c>
      <c r="F2494" s="1">
        <v>18</v>
      </c>
      <c r="G2494" s="1">
        <v>7</v>
      </c>
      <c r="H2494" s="1">
        <v>0</v>
      </c>
      <c r="I2494" s="1">
        <v>1</v>
      </c>
      <c r="J2494" s="1">
        <v>0</v>
      </c>
      <c r="K2494" s="1">
        <v>1</v>
      </c>
      <c r="L2494" s="1">
        <v>1</v>
      </c>
      <c r="M2494" s="1">
        <v>0</v>
      </c>
    </row>
    <row r="2495" spans="1:13">
      <c r="A2495" s="1">
        <v>2494</v>
      </c>
      <c r="B2495" s="1">
        <v>859625.40110000002</v>
      </c>
      <c r="C2495" s="1">
        <v>705441.53115606774</v>
      </c>
      <c r="D2495" s="1">
        <f t="shared" si="38"/>
        <v>154183.86994393228</v>
      </c>
      <c r="E2495" s="1">
        <v>7</v>
      </c>
      <c r="F2495" s="1">
        <v>23</v>
      </c>
      <c r="G2495" s="1">
        <v>5</v>
      </c>
      <c r="H2495" s="1">
        <v>0</v>
      </c>
      <c r="I2495" s="1">
        <v>0</v>
      </c>
      <c r="J2495" s="1">
        <v>1</v>
      </c>
      <c r="K2495" s="1">
        <v>1</v>
      </c>
      <c r="L2495" s="1">
        <v>0</v>
      </c>
      <c r="M2495" s="1">
        <v>1</v>
      </c>
    </row>
    <row r="2496" spans="1:13">
      <c r="A2496" s="1">
        <v>2495</v>
      </c>
      <c r="B2496" s="1">
        <v>900340.30920000002</v>
      </c>
      <c r="C2496" s="1">
        <v>687124.88569917087</v>
      </c>
      <c r="D2496" s="1">
        <f t="shared" si="38"/>
        <v>213215.42350082914</v>
      </c>
      <c r="E2496" s="1">
        <v>19</v>
      </c>
      <c r="F2496" s="1">
        <v>11</v>
      </c>
      <c r="G2496" s="1">
        <v>5</v>
      </c>
      <c r="H2496" s="1">
        <v>0</v>
      </c>
      <c r="I2496" s="1">
        <v>0</v>
      </c>
      <c r="J2496" s="1">
        <v>1</v>
      </c>
      <c r="K2496" s="1">
        <v>1</v>
      </c>
      <c r="L2496" s="1">
        <v>0</v>
      </c>
      <c r="M2496" s="1">
        <v>0</v>
      </c>
    </row>
    <row r="2497" spans="1:13">
      <c r="A2497" s="1">
        <v>2496</v>
      </c>
      <c r="B2497" s="1">
        <v>994955.27309999999</v>
      </c>
      <c r="C2497" s="1">
        <v>559451.59164752334</v>
      </c>
      <c r="D2497" s="1">
        <f t="shared" si="38"/>
        <v>435503.68145247665</v>
      </c>
      <c r="E2497" s="1">
        <v>12</v>
      </c>
      <c r="F2497" s="1">
        <v>14</v>
      </c>
      <c r="G2497" s="1">
        <v>9</v>
      </c>
      <c r="H2497" s="1">
        <v>1</v>
      </c>
      <c r="I2497" s="1">
        <v>0</v>
      </c>
      <c r="J2497" s="1">
        <v>0</v>
      </c>
      <c r="K2497" s="1">
        <v>0</v>
      </c>
      <c r="L2497" s="1">
        <v>0</v>
      </c>
      <c r="M2497" s="1">
        <v>0</v>
      </c>
    </row>
    <row r="2498" spans="1:13">
      <c r="A2498" s="1">
        <v>2497</v>
      </c>
      <c r="B2498" s="1">
        <v>856900.59970000002</v>
      </c>
      <c r="C2498" s="1">
        <v>713948.12840303034</v>
      </c>
      <c r="D2498" s="1">
        <f t="shared" ref="D2498:D2561" si="39">B2498-C2498</f>
        <v>142952.47129696968</v>
      </c>
      <c r="E2498" s="1">
        <v>16</v>
      </c>
      <c r="F2498" s="1">
        <v>14</v>
      </c>
      <c r="G2498" s="1">
        <v>5</v>
      </c>
      <c r="H2498" s="1">
        <v>1</v>
      </c>
      <c r="I2498" s="1">
        <v>1</v>
      </c>
      <c r="J2498" s="1">
        <v>0</v>
      </c>
      <c r="K2498" s="1">
        <v>0</v>
      </c>
      <c r="L2498" s="1">
        <v>0</v>
      </c>
      <c r="M2498" s="1">
        <v>0</v>
      </c>
    </row>
    <row r="2499" spans="1:13">
      <c r="A2499" s="1">
        <v>2498</v>
      </c>
      <c r="B2499" s="1">
        <v>929599.41330000001</v>
      </c>
      <c r="C2499" s="1">
        <v>980664.39258562587</v>
      </c>
      <c r="D2499" s="1">
        <f t="shared" si="39"/>
        <v>-51064.979285625857</v>
      </c>
      <c r="E2499" s="1">
        <v>17</v>
      </c>
      <c r="F2499" s="1">
        <v>15</v>
      </c>
      <c r="G2499" s="1">
        <v>3</v>
      </c>
      <c r="H2499" s="1">
        <v>2</v>
      </c>
      <c r="I2499" s="1">
        <v>0</v>
      </c>
      <c r="J2499" s="1">
        <v>0</v>
      </c>
      <c r="K2499" s="1">
        <v>1</v>
      </c>
      <c r="L2499" s="1">
        <v>0</v>
      </c>
      <c r="M2499" s="1">
        <v>1</v>
      </c>
    </row>
    <row r="2500" spans="1:13">
      <c r="A2500" s="1">
        <v>2499</v>
      </c>
      <c r="B2500" s="1">
        <v>980606.62939999998</v>
      </c>
      <c r="C2500" s="1">
        <v>799279.16089940758</v>
      </c>
      <c r="D2500" s="1">
        <f t="shared" si="39"/>
        <v>181327.4685005924</v>
      </c>
      <c r="E2500" s="1">
        <v>14</v>
      </c>
      <c r="F2500" s="1">
        <v>14</v>
      </c>
      <c r="G2500" s="1">
        <v>7</v>
      </c>
      <c r="H2500" s="1">
        <v>0</v>
      </c>
      <c r="I2500" s="1">
        <v>0</v>
      </c>
      <c r="J2500" s="1">
        <v>1</v>
      </c>
      <c r="K2500" s="1">
        <v>0</v>
      </c>
      <c r="L2500" s="1">
        <v>0</v>
      </c>
      <c r="M2500" s="1">
        <v>0</v>
      </c>
    </row>
    <row r="2501" spans="1:13">
      <c r="A2501" s="1">
        <v>2500</v>
      </c>
      <c r="B2501" s="1">
        <v>867592.60900000005</v>
      </c>
      <c r="C2501" s="1">
        <v>2174167.9420978068</v>
      </c>
      <c r="D2501" s="1">
        <f t="shared" si="39"/>
        <v>-1306575.3330978067</v>
      </c>
      <c r="E2501" s="1">
        <v>9</v>
      </c>
      <c r="F2501" s="1">
        <v>22</v>
      </c>
      <c r="G2501" s="1">
        <v>4</v>
      </c>
      <c r="H2501" s="1">
        <v>0</v>
      </c>
      <c r="I2501" s="1">
        <v>0</v>
      </c>
      <c r="J2501" s="1">
        <v>0</v>
      </c>
      <c r="K2501" s="1">
        <v>1</v>
      </c>
      <c r="L2501" s="1">
        <v>0</v>
      </c>
      <c r="M2501" s="1">
        <v>0</v>
      </c>
    </row>
    <row r="2502" spans="1:13">
      <c r="A2502" s="1">
        <v>2501</v>
      </c>
      <c r="B2502" s="1">
        <v>952362.27260000003</v>
      </c>
      <c r="C2502" s="1">
        <v>495108.75248049991</v>
      </c>
      <c r="D2502" s="1">
        <f t="shared" si="39"/>
        <v>457253.52011950011</v>
      </c>
      <c r="E2502" s="1">
        <v>10</v>
      </c>
      <c r="F2502" s="1">
        <v>19</v>
      </c>
      <c r="G2502" s="1">
        <v>6</v>
      </c>
      <c r="H2502" s="1">
        <v>1</v>
      </c>
      <c r="I2502" s="1">
        <v>1</v>
      </c>
      <c r="J2502" s="1">
        <v>0</v>
      </c>
      <c r="K2502" s="1">
        <v>1</v>
      </c>
      <c r="L2502" s="1">
        <v>0</v>
      </c>
      <c r="M2502" s="1">
        <v>1</v>
      </c>
    </row>
    <row r="2503" spans="1:13">
      <c r="A2503" s="1">
        <v>2502</v>
      </c>
      <c r="B2503" s="1">
        <v>999573.8567</v>
      </c>
      <c r="C2503" s="1">
        <v>811486.45312279754</v>
      </c>
      <c r="D2503" s="1">
        <f t="shared" si="39"/>
        <v>188087.40357720247</v>
      </c>
      <c r="E2503" s="1">
        <v>9</v>
      </c>
      <c r="F2503" s="1">
        <v>21</v>
      </c>
      <c r="G2503" s="1">
        <v>5</v>
      </c>
      <c r="H2503" s="1">
        <v>0</v>
      </c>
      <c r="I2503" s="1">
        <v>0</v>
      </c>
      <c r="J2503" s="1">
        <v>0</v>
      </c>
      <c r="K2503" s="1">
        <v>1</v>
      </c>
      <c r="L2503" s="1">
        <v>0</v>
      </c>
      <c r="M2503" s="1">
        <v>1</v>
      </c>
    </row>
    <row r="2504" spans="1:13">
      <c r="A2504" s="1">
        <v>2503</v>
      </c>
      <c r="B2504" s="1">
        <v>886585.21019999997</v>
      </c>
      <c r="C2504" s="1">
        <v>830832.77334701084</v>
      </c>
      <c r="D2504" s="1">
        <f t="shared" si="39"/>
        <v>55752.436852989136</v>
      </c>
      <c r="E2504" s="1">
        <v>13</v>
      </c>
      <c r="F2504" s="1">
        <v>17</v>
      </c>
      <c r="G2504" s="1">
        <v>5</v>
      </c>
      <c r="H2504" s="1">
        <v>1</v>
      </c>
      <c r="I2504" s="1">
        <v>0</v>
      </c>
      <c r="J2504" s="1">
        <v>0</v>
      </c>
      <c r="K2504" s="1">
        <v>0</v>
      </c>
      <c r="L2504" s="1">
        <v>0</v>
      </c>
      <c r="M2504" s="1">
        <v>0</v>
      </c>
    </row>
    <row r="2505" spans="1:13">
      <c r="A2505" s="1">
        <v>2504</v>
      </c>
      <c r="B2505" s="1">
        <v>877809.98580000002</v>
      </c>
      <c r="C2505" s="1">
        <v>703268.77315487713</v>
      </c>
      <c r="D2505" s="1">
        <f t="shared" si="39"/>
        <v>174541.2126451229</v>
      </c>
      <c r="E2505" s="1">
        <v>16</v>
      </c>
      <c r="F2505" s="1">
        <v>17</v>
      </c>
      <c r="G2505" s="1">
        <v>2</v>
      </c>
      <c r="H2505" s="1">
        <v>1</v>
      </c>
      <c r="I2505" s="1">
        <v>0</v>
      </c>
      <c r="J2505" s="1">
        <v>1</v>
      </c>
      <c r="K2505" s="1">
        <v>0</v>
      </c>
      <c r="L2505" s="1">
        <v>0</v>
      </c>
      <c r="M2505" s="1">
        <v>1</v>
      </c>
    </row>
    <row r="2506" spans="1:13">
      <c r="A2506" s="1">
        <v>2505</v>
      </c>
      <c r="B2506" s="1">
        <v>837802.08519999997</v>
      </c>
      <c r="C2506" s="1">
        <v>884250.72563748236</v>
      </c>
      <c r="D2506" s="1">
        <f t="shared" si="39"/>
        <v>-46448.640437482391</v>
      </c>
      <c r="E2506" s="1">
        <v>6</v>
      </c>
      <c r="F2506" s="1">
        <v>25</v>
      </c>
      <c r="G2506" s="1">
        <v>4</v>
      </c>
      <c r="H2506" s="1">
        <v>1</v>
      </c>
      <c r="I2506" s="1">
        <v>0</v>
      </c>
      <c r="J2506" s="1">
        <v>1</v>
      </c>
      <c r="K2506" s="1">
        <v>0</v>
      </c>
      <c r="L2506" s="1">
        <v>0</v>
      </c>
      <c r="M2506" s="1">
        <v>1</v>
      </c>
    </row>
    <row r="2507" spans="1:13">
      <c r="A2507" s="1">
        <v>2506</v>
      </c>
      <c r="B2507" s="1">
        <v>1086991.0201000001</v>
      </c>
      <c r="C2507" s="1">
        <v>628155.57250642625</v>
      </c>
      <c r="D2507" s="1">
        <f t="shared" si="39"/>
        <v>458835.44759357383</v>
      </c>
      <c r="E2507" s="1">
        <v>11</v>
      </c>
      <c r="F2507" s="1">
        <v>18</v>
      </c>
      <c r="G2507" s="1">
        <v>6</v>
      </c>
      <c r="H2507" s="1">
        <v>1</v>
      </c>
      <c r="I2507" s="1">
        <v>1</v>
      </c>
      <c r="J2507" s="1">
        <v>0</v>
      </c>
      <c r="K2507" s="1">
        <v>0</v>
      </c>
      <c r="L2507" s="1">
        <v>0</v>
      </c>
      <c r="M2507" s="1">
        <v>0</v>
      </c>
    </row>
    <row r="2508" spans="1:13">
      <c r="A2508" s="1">
        <v>2507</v>
      </c>
      <c r="B2508" s="1">
        <v>934693.42649999994</v>
      </c>
      <c r="C2508" s="1">
        <v>568335.52876311273</v>
      </c>
      <c r="D2508" s="1">
        <f t="shared" si="39"/>
        <v>366357.89773688721</v>
      </c>
      <c r="E2508" s="1">
        <v>8</v>
      </c>
      <c r="F2508" s="1">
        <v>22</v>
      </c>
      <c r="G2508" s="1">
        <v>5</v>
      </c>
      <c r="H2508" s="1">
        <v>0</v>
      </c>
      <c r="I2508" s="1">
        <v>1</v>
      </c>
      <c r="J2508" s="1">
        <v>1</v>
      </c>
      <c r="K2508" s="1">
        <v>0</v>
      </c>
      <c r="L2508" s="1">
        <v>0</v>
      </c>
      <c r="M2508" s="1">
        <v>0</v>
      </c>
    </row>
    <row r="2509" spans="1:13">
      <c r="A2509" s="1">
        <v>2508</v>
      </c>
      <c r="B2509" s="1">
        <v>907421.51379999996</v>
      </c>
      <c r="C2509" s="1">
        <v>787620.27776465099</v>
      </c>
      <c r="D2509" s="1">
        <f t="shared" si="39"/>
        <v>119801.23603534896</v>
      </c>
      <c r="E2509" s="1">
        <v>18</v>
      </c>
      <c r="F2509" s="1">
        <v>14</v>
      </c>
      <c r="G2509" s="1">
        <v>3</v>
      </c>
      <c r="H2509" s="1">
        <v>0</v>
      </c>
      <c r="I2509" s="1">
        <v>0</v>
      </c>
      <c r="J2509" s="1">
        <v>1</v>
      </c>
      <c r="K2509" s="1">
        <v>0</v>
      </c>
      <c r="L2509" s="1">
        <v>0</v>
      </c>
      <c r="M2509" s="1">
        <v>0</v>
      </c>
    </row>
    <row r="2510" spans="1:13">
      <c r="A2510" s="1">
        <v>2509</v>
      </c>
      <c r="B2510" s="1">
        <v>833607.92649999994</v>
      </c>
      <c r="C2510" s="1">
        <v>685817.24194404157</v>
      </c>
      <c r="D2510" s="1">
        <f t="shared" si="39"/>
        <v>147790.68455595837</v>
      </c>
      <c r="E2510" s="1">
        <v>18</v>
      </c>
      <c r="F2510" s="1">
        <v>15</v>
      </c>
      <c r="G2510" s="1">
        <v>2</v>
      </c>
      <c r="H2510" s="1">
        <v>1</v>
      </c>
      <c r="I2510" s="1">
        <v>0</v>
      </c>
      <c r="J2510" s="1">
        <v>0</v>
      </c>
      <c r="K2510" s="1">
        <v>1</v>
      </c>
      <c r="L2510" s="1">
        <v>0</v>
      </c>
      <c r="M2510" s="1">
        <v>0</v>
      </c>
    </row>
    <row r="2511" spans="1:13">
      <c r="A2511" s="1">
        <v>2510</v>
      </c>
      <c r="B2511" s="1">
        <v>906301.91760000004</v>
      </c>
      <c r="C2511" s="1">
        <v>871154.09687613009</v>
      </c>
      <c r="D2511" s="1">
        <f t="shared" si="39"/>
        <v>35147.820723869954</v>
      </c>
      <c r="E2511" s="1">
        <v>14</v>
      </c>
      <c r="F2511" s="1">
        <v>16</v>
      </c>
      <c r="G2511" s="1">
        <v>5</v>
      </c>
      <c r="H2511" s="1">
        <v>0</v>
      </c>
      <c r="I2511" s="1">
        <v>0</v>
      </c>
      <c r="J2511" s="1">
        <v>0</v>
      </c>
      <c r="K2511" s="1">
        <v>0</v>
      </c>
      <c r="L2511" s="1">
        <v>0</v>
      </c>
      <c r="M2511" s="1">
        <v>0</v>
      </c>
    </row>
    <row r="2512" spans="1:13">
      <c r="A2512" s="1">
        <v>2511</v>
      </c>
      <c r="B2512" s="1">
        <v>1019718.7581</v>
      </c>
      <c r="C2512" s="1">
        <v>1490788.1133813602</v>
      </c>
      <c r="D2512" s="1">
        <f t="shared" si="39"/>
        <v>-471069.35528136021</v>
      </c>
      <c r="E2512" s="1">
        <v>8</v>
      </c>
      <c r="F2512" s="1">
        <v>18</v>
      </c>
      <c r="G2512" s="1">
        <v>9</v>
      </c>
      <c r="H2512" s="1">
        <v>0</v>
      </c>
      <c r="I2512" s="1">
        <v>0</v>
      </c>
      <c r="J2512" s="1">
        <v>0</v>
      </c>
      <c r="K2512" s="1">
        <v>0</v>
      </c>
      <c r="L2512" s="1">
        <v>0</v>
      </c>
      <c r="M2512" s="1">
        <v>0</v>
      </c>
    </row>
    <row r="2513" spans="1:13">
      <c r="A2513" s="1">
        <v>2512</v>
      </c>
      <c r="B2513" s="1">
        <v>1061468.6562000001</v>
      </c>
      <c r="C2513" s="1">
        <v>848489.18589036516</v>
      </c>
      <c r="D2513" s="1">
        <f t="shared" si="39"/>
        <v>212979.47030963493</v>
      </c>
      <c r="E2513" s="1">
        <v>6</v>
      </c>
      <c r="F2513" s="1">
        <v>24</v>
      </c>
      <c r="G2513" s="1">
        <v>5</v>
      </c>
      <c r="H2513" s="1">
        <v>0</v>
      </c>
      <c r="I2513" s="1">
        <v>0</v>
      </c>
      <c r="J2513" s="1">
        <v>0</v>
      </c>
      <c r="K2513" s="1">
        <v>0</v>
      </c>
      <c r="L2513" s="1">
        <v>0</v>
      </c>
      <c r="M2513" s="1">
        <v>0</v>
      </c>
    </row>
    <row r="2514" spans="1:13">
      <c r="A2514" s="1">
        <v>2513</v>
      </c>
      <c r="B2514" s="1">
        <v>992238.9375</v>
      </c>
      <c r="C2514" s="1">
        <v>898125.21162105701</v>
      </c>
      <c r="D2514" s="1">
        <f t="shared" si="39"/>
        <v>94113.725878942991</v>
      </c>
      <c r="E2514" s="1">
        <v>5</v>
      </c>
      <c r="F2514" s="1">
        <v>23</v>
      </c>
      <c r="G2514" s="1">
        <v>7</v>
      </c>
      <c r="H2514" s="1">
        <v>2</v>
      </c>
      <c r="I2514" s="1">
        <v>0</v>
      </c>
      <c r="J2514" s="1">
        <v>0</v>
      </c>
      <c r="K2514" s="1">
        <v>1</v>
      </c>
      <c r="L2514" s="1">
        <v>0</v>
      </c>
      <c r="M2514" s="1">
        <v>0</v>
      </c>
    </row>
    <row r="2515" spans="1:13">
      <c r="A2515" s="1">
        <v>2514</v>
      </c>
      <c r="B2515" s="1">
        <v>971003.92180000001</v>
      </c>
      <c r="C2515" s="1">
        <v>711686.46840482007</v>
      </c>
      <c r="D2515" s="1">
        <f t="shared" si="39"/>
        <v>259317.45339517994</v>
      </c>
      <c r="E2515" s="1">
        <v>11</v>
      </c>
      <c r="F2515" s="1">
        <v>19</v>
      </c>
      <c r="G2515" s="1">
        <v>5</v>
      </c>
      <c r="H2515" s="1">
        <v>2</v>
      </c>
      <c r="I2515" s="1">
        <v>0</v>
      </c>
      <c r="J2515" s="1">
        <v>1</v>
      </c>
      <c r="K2515" s="1">
        <v>0</v>
      </c>
      <c r="L2515" s="1">
        <v>0</v>
      </c>
      <c r="M2515" s="1">
        <v>0</v>
      </c>
    </row>
    <row r="2516" spans="1:13">
      <c r="A2516" s="1">
        <v>2515</v>
      </c>
      <c r="B2516" s="1">
        <v>1004813.6735</v>
      </c>
      <c r="C2516" s="1">
        <v>925859.29224389966</v>
      </c>
      <c r="D2516" s="1">
        <f t="shared" si="39"/>
        <v>78954.381256100372</v>
      </c>
      <c r="E2516" s="1">
        <v>9</v>
      </c>
      <c r="F2516" s="1">
        <v>22</v>
      </c>
      <c r="G2516" s="1">
        <v>4</v>
      </c>
      <c r="H2516" s="1">
        <v>0</v>
      </c>
      <c r="I2516" s="1">
        <v>0</v>
      </c>
      <c r="J2516" s="1">
        <v>0</v>
      </c>
      <c r="K2516" s="1">
        <v>0</v>
      </c>
      <c r="L2516" s="1">
        <v>1</v>
      </c>
      <c r="M2516" s="1">
        <v>0</v>
      </c>
    </row>
    <row r="2517" spans="1:13">
      <c r="A2517" s="1">
        <v>2516</v>
      </c>
      <c r="B2517" s="1">
        <v>1077284.9968999999</v>
      </c>
      <c r="C2517" s="1">
        <v>735497.70687424706</v>
      </c>
      <c r="D2517" s="1">
        <f t="shared" si="39"/>
        <v>341787.29002575285</v>
      </c>
      <c r="E2517" s="1">
        <v>11</v>
      </c>
      <c r="F2517" s="1">
        <v>16</v>
      </c>
      <c r="G2517" s="1">
        <v>8</v>
      </c>
      <c r="H2517" s="1">
        <v>0</v>
      </c>
      <c r="I2517" s="1">
        <v>0</v>
      </c>
      <c r="J2517" s="1">
        <v>1</v>
      </c>
      <c r="K2517" s="1">
        <v>0</v>
      </c>
      <c r="L2517" s="1">
        <v>0</v>
      </c>
      <c r="M2517" s="1">
        <v>0</v>
      </c>
    </row>
    <row r="2518" spans="1:13">
      <c r="A2518" s="1">
        <v>2517</v>
      </c>
      <c r="B2518" s="1">
        <v>854162.05319999997</v>
      </c>
      <c r="C2518" s="1">
        <v>960346.53966128128</v>
      </c>
      <c r="D2518" s="1">
        <f t="shared" si="39"/>
        <v>-106184.48646128131</v>
      </c>
      <c r="E2518" s="1">
        <v>11</v>
      </c>
      <c r="F2518" s="1">
        <v>18</v>
      </c>
      <c r="G2518" s="1">
        <v>6</v>
      </c>
      <c r="H2518" s="1">
        <v>0</v>
      </c>
      <c r="I2518" s="1">
        <v>0</v>
      </c>
      <c r="J2518" s="1">
        <v>1</v>
      </c>
      <c r="K2518" s="1">
        <v>1</v>
      </c>
      <c r="L2518" s="1">
        <v>0</v>
      </c>
      <c r="M2518" s="1">
        <v>0</v>
      </c>
    </row>
    <row r="2519" spans="1:13">
      <c r="A2519" s="1">
        <v>2518</v>
      </c>
      <c r="B2519" s="1">
        <v>979927.96600000001</v>
      </c>
      <c r="C2519" s="1">
        <v>825732.44319124648</v>
      </c>
      <c r="D2519" s="1">
        <f t="shared" si="39"/>
        <v>154195.52280875354</v>
      </c>
      <c r="E2519" s="1">
        <v>11</v>
      </c>
      <c r="F2519" s="1">
        <v>18</v>
      </c>
      <c r="G2519" s="1">
        <v>6</v>
      </c>
      <c r="H2519" s="1">
        <v>0</v>
      </c>
      <c r="I2519" s="1">
        <v>1</v>
      </c>
      <c r="J2519" s="1">
        <v>1</v>
      </c>
      <c r="K2519" s="1">
        <v>0</v>
      </c>
      <c r="L2519" s="1">
        <v>0</v>
      </c>
      <c r="M2519" s="1">
        <v>0</v>
      </c>
    </row>
    <row r="2520" spans="1:13">
      <c r="A2520" s="1">
        <v>2519</v>
      </c>
      <c r="B2520" s="1">
        <v>948735.37840000005</v>
      </c>
      <c r="C2520" s="1">
        <v>602841.98691086704</v>
      </c>
      <c r="D2520" s="1">
        <f t="shared" si="39"/>
        <v>345893.39148913301</v>
      </c>
      <c r="E2520" s="1">
        <v>8</v>
      </c>
      <c r="F2520" s="1">
        <v>19</v>
      </c>
      <c r="G2520" s="1">
        <v>8</v>
      </c>
      <c r="H2520" s="1">
        <v>0</v>
      </c>
      <c r="I2520" s="1">
        <v>1</v>
      </c>
      <c r="J2520" s="1">
        <v>1</v>
      </c>
      <c r="K2520" s="1">
        <v>0</v>
      </c>
      <c r="L2520" s="1">
        <v>0</v>
      </c>
      <c r="M2520" s="1">
        <v>0</v>
      </c>
    </row>
    <row r="2521" spans="1:13">
      <c r="A2521" s="1">
        <v>2520</v>
      </c>
      <c r="B2521" s="1">
        <v>886629.74080000003</v>
      </c>
      <c r="C2521" s="1">
        <v>694924.87034383183</v>
      </c>
      <c r="D2521" s="1">
        <f t="shared" si="39"/>
        <v>191704.8704561682</v>
      </c>
      <c r="E2521" s="1">
        <v>15</v>
      </c>
      <c r="F2521" s="1">
        <v>16</v>
      </c>
      <c r="G2521" s="1">
        <v>4</v>
      </c>
      <c r="H2521" s="1">
        <v>0</v>
      </c>
      <c r="I2521" s="1">
        <v>0</v>
      </c>
      <c r="J2521" s="1">
        <v>1</v>
      </c>
      <c r="K2521" s="1">
        <v>1</v>
      </c>
      <c r="L2521" s="1">
        <v>0</v>
      </c>
      <c r="M2521" s="1">
        <v>1</v>
      </c>
    </row>
    <row r="2522" spans="1:13">
      <c r="A2522" s="1">
        <v>2521</v>
      </c>
      <c r="B2522" s="1">
        <v>887610.09030000004</v>
      </c>
      <c r="C2522" s="1">
        <v>714552.36167217104</v>
      </c>
      <c r="D2522" s="1">
        <f t="shared" si="39"/>
        <v>173057.728627829</v>
      </c>
      <c r="E2522" s="1">
        <v>10</v>
      </c>
      <c r="F2522" s="1">
        <v>21</v>
      </c>
      <c r="G2522" s="1">
        <v>4</v>
      </c>
      <c r="H2522" s="1">
        <v>0</v>
      </c>
      <c r="I2522" s="1">
        <v>1</v>
      </c>
      <c r="J2522" s="1">
        <v>2</v>
      </c>
      <c r="K2522" s="1">
        <v>0</v>
      </c>
      <c r="L2522" s="1">
        <v>0</v>
      </c>
      <c r="M2522" s="1">
        <v>0</v>
      </c>
    </row>
    <row r="2523" spans="1:13">
      <c r="A2523" s="1">
        <v>2522</v>
      </c>
      <c r="B2523" s="1">
        <v>920662.67870000005</v>
      </c>
      <c r="C2523" s="1">
        <v>858625.89195497101</v>
      </c>
      <c r="D2523" s="1">
        <f t="shared" si="39"/>
        <v>62036.786745029036</v>
      </c>
      <c r="E2523" s="1">
        <v>15</v>
      </c>
      <c r="F2523" s="1">
        <v>15</v>
      </c>
      <c r="G2523" s="1">
        <v>5</v>
      </c>
      <c r="H2523" s="1">
        <v>2</v>
      </c>
      <c r="I2523" s="1">
        <v>0</v>
      </c>
      <c r="J2523" s="1">
        <v>2</v>
      </c>
      <c r="K2523" s="1">
        <v>0</v>
      </c>
      <c r="L2523" s="1">
        <v>0</v>
      </c>
      <c r="M2523" s="1">
        <v>0</v>
      </c>
    </row>
    <row r="2524" spans="1:13">
      <c r="A2524" s="1">
        <v>2523</v>
      </c>
      <c r="B2524" s="1">
        <v>889701.7757</v>
      </c>
      <c r="C2524" s="1">
        <v>1437323.6734241962</v>
      </c>
      <c r="D2524" s="1">
        <f t="shared" si="39"/>
        <v>-547621.8977241962</v>
      </c>
      <c r="E2524" s="1">
        <v>23</v>
      </c>
      <c r="F2524" s="1">
        <v>5</v>
      </c>
      <c r="G2524" s="1">
        <v>7</v>
      </c>
      <c r="H2524" s="1">
        <v>1</v>
      </c>
      <c r="I2524" s="1">
        <v>0</v>
      </c>
      <c r="J2524" s="1">
        <v>1</v>
      </c>
      <c r="K2524" s="1">
        <v>1</v>
      </c>
      <c r="L2524" s="1">
        <v>0</v>
      </c>
      <c r="M2524" s="1">
        <v>0</v>
      </c>
    </row>
    <row r="2525" spans="1:13">
      <c r="A2525" s="1">
        <v>2524</v>
      </c>
      <c r="B2525" s="1">
        <v>909070.24179999996</v>
      </c>
      <c r="C2525" s="1">
        <v>1242073.8460281494</v>
      </c>
      <c r="D2525" s="1">
        <f t="shared" si="39"/>
        <v>-333003.6042281494</v>
      </c>
      <c r="E2525" s="1">
        <v>15</v>
      </c>
      <c r="F2525" s="1">
        <v>17</v>
      </c>
      <c r="G2525" s="1">
        <v>3</v>
      </c>
      <c r="H2525" s="1">
        <v>2</v>
      </c>
      <c r="I2525" s="1">
        <v>0</v>
      </c>
      <c r="J2525" s="1">
        <v>1</v>
      </c>
      <c r="K2525" s="1">
        <v>1</v>
      </c>
      <c r="L2525" s="1">
        <v>0</v>
      </c>
      <c r="M2525" s="1">
        <v>0</v>
      </c>
    </row>
    <row r="2526" spans="1:13">
      <c r="A2526" s="1">
        <v>2525</v>
      </c>
      <c r="B2526" s="1">
        <v>967173.41110000003</v>
      </c>
      <c r="C2526" s="1">
        <v>1020517.5641277945</v>
      </c>
      <c r="D2526" s="1">
        <f t="shared" si="39"/>
        <v>-53344.15302779444</v>
      </c>
      <c r="E2526" s="1">
        <v>12</v>
      </c>
      <c r="F2526" s="1">
        <v>15</v>
      </c>
      <c r="G2526" s="1">
        <v>8</v>
      </c>
      <c r="H2526" s="1">
        <v>1</v>
      </c>
      <c r="I2526" s="1">
        <v>0</v>
      </c>
      <c r="J2526" s="1">
        <v>2</v>
      </c>
      <c r="K2526" s="1">
        <v>0</v>
      </c>
      <c r="L2526" s="1">
        <v>0</v>
      </c>
      <c r="M2526" s="1">
        <v>1</v>
      </c>
    </row>
    <row r="2527" spans="1:13">
      <c r="A2527" s="1">
        <v>2526</v>
      </c>
      <c r="B2527" s="1">
        <v>924556.5061</v>
      </c>
      <c r="C2527" s="1">
        <v>1087022.9306797008</v>
      </c>
      <c r="D2527" s="1">
        <f t="shared" si="39"/>
        <v>-162466.4245797008</v>
      </c>
      <c r="E2527" s="1">
        <v>13</v>
      </c>
      <c r="F2527" s="1">
        <v>19</v>
      </c>
      <c r="G2527" s="1">
        <v>3</v>
      </c>
      <c r="H2527" s="1">
        <v>0</v>
      </c>
      <c r="I2527" s="1">
        <v>0</v>
      </c>
      <c r="J2527" s="1">
        <v>2</v>
      </c>
      <c r="K2527" s="1">
        <v>0</v>
      </c>
      <c r="L2527" s="1">
        <v>0</v>
      </c>
      <c r="M2527" s="1">
        <v>1</v>
      </c>
    </row>
    <row r="2528" spans="1:13">
      <c r="A2528" s="1">
        <v>2527</v>
      </c>
      <c r="B2528" s="1">
        <v>1007500.6572</v>
      </c>
      <c r="C2528" s="1">
        <v>962054.69819210097</v>
      </c>
      <c r="D2528" s="1">
        <f t="shared" si="39"/>
        <v>45445.959007899044</v>
      </c>
      <c r="E2528" s="1">
        <v>12</v>
      </c>
      <c r="F2528" s="1">
        <v>19</v>
      </c>
      <c r="G2528" s="1">
        <v>4</v>
      </c>
      <c r="H2528" s="1">
        <v>0</v>
      </c>
      <c r="I2528" s="1">
        <v>0</v>
      </c>
      <c r="J2528" s="1">
        <v>0</v>
      </c>
      <c r="K2528" s="1">
        <v>1</v>
      </c>
      <c r="L2528" s="1">
        <v>0</v>
      </c>
      <c r="M2528" s="1">
        <v>0</v>
      </c>
    </row>
    <row r="2529" spans="1:13">
      <c r="A2529" s="1">
        <v>2528</v>
      </c>
      <c r="B2529" s="1">
        <v>1039995.3304</v>
      </c>
      <c r="C2529" s="1">
        <v>455783.27633147605</v>
      </c>
      <c r="D2529" s="1">
        <f t="shared" si="39"/>
        <v>584212.05406852392</v>
      </c>
      <c r="E2529" s="1">
        <v>2</v>
      </c>
      <c r="F2529" s="1">
        <v>28</v>
      </c>
      <c r="G2529" s="1">
        <v>5</v>
      </c>
      <c r="H2529" s="1">
        <v>0</v>
      </c>
      <c r="I2529" s="1">
        <v>0</v>
      </c>
      <c r="J2529" s="1">
        <v>0</v>
      </c>
      <c r="K2529" s="1">
        <v>0</v>
      </c>
      <c r="L2529" s="1">
        <v>0</v>
      </c>
      <c r="M2529" s="1">
        <v>0</v>
      </c>
    </row>
    <row r="2530" spans="1:13">
      <c r="A2530" s="1">
        <v>2529</v>
      </c>
      <c r="B2530" s="1">
        <v>967726.80339999998</v>
      </c>
      <c r="C2530" s="1">
        <v>1066366.2273533083</v>
      </c>
      <c r="D2530" s="1">
        <f t="shared" si="39"/>
        <v>-98639.423953308375</v>
      </c>
      <c r="E2530" s="1">
        <v>16</v>
      </c>
      <c r="F2530" s="1">
        <v>14</v>
      </c>
      <c r="G2530" s="1">
        <v>5</v>
      </c>
      <c r="H2530" s="1">
        <v>0</v>
      </c>
      <c r="I2530" s="1">
        <v>0</v>
      </c>
      <c r="J2530" s="1">
        <v>0</v>
      </c>
      <c r="K2530" s="1">
        <v>0</v>
      </c>
      <c r="L2530" s="1">
        <v>0</v>
      </c>
      <c r="M2530" s="1">
        <v>0</v>
      </c>
    </row>
    <row r="2531" spans="1:13">
      <c r="A2531" s="1">
        <v>2530</v>
      </c>
      <c r="B2531" s="1">
        <v>964612.03370000003</v>
      </c>
      <c r="C2531" s="1">
        <v>2106490.246670906</v>
      </c>
      <c r="D2531" s="1">
        <f t="shared" si="39"/>
        <v>-1141878.2129709059</v>
      </c>
      <c r="E2531" s="1">
        <v>7</v>
      </c>
      <c r="F2531" s="1">
        <v>23</v>
      </c>
      <c r="G2531" s="1">
        <v>5</v>
      </c>
      <c r="H2531" s="1">
        <v>1</v>
      </c>
      <c r="I2531" s="1">
        <v>0</v>
      </c>
      <c r="J2531" s="1">
        <v>0</v>
      </c>
      <c r="K2531" s="1">
        <v>1</v>
      </c>
      <c r="L2531" s="1">
        <v>0</v>
      </c>
      <c r="M2531" s="1">
        <v>0</v>
      </c>
    </row>
    <row r="2532" spans="1:13">
      <c r="A2532" s="1">
        <v>2531</v>
      </c>
      <c r="B2532" s="1">
        <v>1022176.909</v>
      </c>
      <c r="C2532" s="1">
        <v>818185.76068012859</v>
      </c>
      <c r="D2532" s="1">
        <f t="shared" si="39"/>
        <v>203991.1483198714</v>
      </c>
      <c r="E2532" s="1">
        <v>7</v>
      </c>
      <c r="F2532" s="1">
        <v>22</v>
      </c>
      <c r="G2532" s="1">
        <v>6</v>
      </c>
      <c r="H2532" s="1">
        <v>0</v>
      </c>
      <c r="I2532" s="1">
        <v>0</v>
      </c>
      <c r="J2532" s="1">
        <v>0</v>
      </c>
      <c r="K2532" s="1">
        <v>0</v>
      </c>
      <c r="L2532" s="1">
        <v>0</v>
      </c>
      <c r="M2532" s="1">
        <v>0</v>
      </c>
    </row>
    <row r="2533" spans="1:13">
      <c r="A2533" s="1">
        <v>2532</v>
      </c>
      <c r="B2533" s="1">
        <v>979017.04370000004</v>
      </c>
      <c r="C2533" s="1">
        <v>680746.81013012584</v>
      </c>
      <c r="D2533" s="1">
        <f t="shared" si="39"/>
        <v>298270.2335698742</v>
      </c>
      <c r="E2533" s="1">
        <v>17</v>
      </c>
      <c r="F2533" s="1">
        <v>13</v>
      </c>
      <c r="G2533" s="1">
        <v>5</v>
      </c>
      <c r="H2533" s="1">
        <v>2</v>
      </c>
      <c r="I2533" s="1">
        <v>0</v>
      </c>
      <c r="J2533" s="1">
        <v>0</v>
      </c>
      <c r="K2533" s="1">
        <v>0</v>
      </c>
      <c r="L2533" s="1">
        <v>0</v>
      </c>
      <c r="M2533" s="1">
        <v>0</v>
      </c>
    </row>
    <row r="2534" spans="1:13">
      <c r="A2534" s="1">
        <v>2533</v>
      </c>
      <c r="B2534" s="1">
        <v>873683.96389999997</v>
      </c>
      <c r="C2534" s="1">
        <v>724089.7478207805</v>
      </c>
      <c r="D2534" s="1">
        <f t="shared" si="39"/>
        <v>149594.21607921948</v>
      </c>
      <c r="E2534" s="1">
        <v>25</v>
      </c>
      <c r="F2534" s="1">
        <v>7</v>
      </c>
      <c r="G2534" s="1">
        <v>3</v>
      </c>
      <c r="H2534" s="1">
        <v>0</v>
      </c>
      <c r="I2534" s="1">
        <v>1</v>
      </c>
      <c r="J2534" s="1">
        <v>1</v>
      </c>
      <c r="K2534" s="1">
        <v>1</v>
      </c>
      <c r="L2534" s="1">
        <v>0</v>
      </c>
      <c r="M2534" s="1">
        <v>0</v>
      </c>
    </row>
    <row r="2535" spans="1:13">
      <c r="A2535" s="1">
        <v>2534</v>
      </c>
      <c r="B2535" s="1">
        <v>927388.1165</v>
      </c>
      <c r="C2535" s="1">
        <v>807442.53614557628</v>
      </c>
      <c r="D2535" s="1">
        <f t="shared" si="39"/>
        <v>119945.58035442373</v>
      </c>
      <c r="E2535" s="1">
        <v>16</v>
      </c>
      <c r="F2535" s="1">
        <v>16</v>
      </c>
      <c r="G2535" s="1">
        <v>3</v>
      </c>
      <c r="H2535" s="1">
        <v>0</v>
      </c>
      <c r="I2535" s="1">
        <v>0</v>
      </c>
      <c r="J2535" s="1">
        <v>0</v>
      </c>
      <c r="K2535" s="1">
        <v>1</v>
      </c>
      <c r="L2535" s="1">
        <v>0</v>
      </c>
      <c r="M2535" s="1">
        <v>0</v>
      </c>
    </row>
    <row r="2536" spans="1:13">
      <c r="A2536" s="1">
        <v>2535</v>
      </c>
      <c r="B2536" s="1">
        <v>1026765.8669</v>
      </c>
      <c r="C2536" s="1">
        <v>847641.89114706975</v>
      </c>
      <c r="D2536" s="1">
        <f t="shared" si="39"/>
        <v>179123.97575293027</v>
      </c>
      <c r="E2536" s="1">
        <v>10</v>
      </c>
      <c r="F2536" s="1">
        <v>18</v>
      </c>
      <c r="G2536" s="1">
        <v>7</v>
      </c>
      <c r="H2536" s="1">
        <v>0</v>
      </c>
      <c r="I2536" s="1">
        <v>0</v>
      </c>
      <c r="J2536" s="1">
        <v>0</v>
      </c>
      <c r="K2536" s="1">
        <v>1</v>
      </c>
      <c r="L2536" s="1">
        <v>1</v>
      </c>
      <c r="M2536" s="1">
        <v>0</v>
      </c>
    </row>
    <row r="2537" spans="1:13">
      <c r="A2537" s="1">
        <v>2536</v>
      </c>
      <c r="B2537" s="1">
        <v>862447.07880000002</v>
      </c>
      <c r="C2537" s="1">
        <v>765969.69850723492</v>
      </c>
      <c r="D2537" s="1">
        <f t="shared" si="39"/>
        <v>96477.380292765098</v>
      </c>
      <c r="E2537" s="1">
        <v>16</v>
      </c>
      <c r="F2537" s="1">
        <v>16</v>
      </c>
      <c r="G2537" s="1">
        <v>3</v>
      </c>
      <c r="H2537" s="1">
        <v>2</v>
      </c>
      <c r="I2537" s="1">
        <v>0</v>
      </c>
      <c r="J2537" s="1">
        <v>1</v>
      </c>
      <c r="K2537" s="1">
        <v>0</v>
      </c>
      <c r="L2537" s="1">
        <v>1</v>
      </c>
      <c r="M2537" s="1">
        <v>1</v>
      </c>
    </row>
    <row r="2538" spans="1:13">
      <c r="A2538" s="1">
        <v>2537</v>
      </c>
      <c r="B2538" s="1">
        <v>1033465.5972</v>
      </c>
      <c r="C2538" s="1">
        <v>1386039.5831220448</v>
      </c>
      <c r="D2538" s="1">
        <f t="shared" si="39"/>
        <v>-352573.98592204484</v>
      </c>
      <c r="E2538" s="1">
        <v>10</v>
      </c>
      <c r="F2538" s="1">
        <v>16</v>
      </c>
      <c r="G2538" s="1">
        <v>9</v>
      </c>
      <c r="H2538" s="1">
        <v>1</v>
      </c>
      <c r="I2538" s="1">
        <v>1</v>
      </c>
      <c r="J2538" s="1">
        <v>1</v>
      </c>
      <c r="K2538" s="1">
        <v>1</v>
      </c>
      <c r="L2538" s="1">
        <v>0</v>
      </c>
      <c r="M2538" s="1">
        <v>0</v>
      </c>
    </row>
    <row r="2539" spans="1:13">
      <c r="A2539" s="1">
        <v>2538</v>
      </c>
      <c r="B2539" s="1">
        <v>894583.77020000003</v>
      </c>
      <c r="C2539" s="1">
        <v>848732.24475087773</v>
      </c>
      <c r="D2539" s="1">
        <f t="shared" si="39"/>
        <v>45851.525449122302</v>
      </c>
      <c r="E2539" s="1">
        <v>13</v>
      </c>
      <c r="F2539" s="1">
        <v>17</v>
      </c>
      <c r="G2539" s="1">
        <v>5</v>
      </c>
      <c r="H2539" s="1">
        <v>0</v>
      </c>
      <c r="I2539" s="1">
        <v>0</v>
      </c>
      <c r="J2539" s="1">
        <v>1</v>
      </c>
      <c r="K2539" s="1">
        <v>1</v>
      </c>
      <c r="L2539" s="1">
        <v>0</v>
      </c>
      <c r="M2539" s="1">
        <v>0</v>
      </c>
    </row>
    <row r="2540" spans="1:13">
      <c r="A2540" s="1">
        <v>2539</v>
      </c>
      <c r="B2540" s="1">
        <v>844657.34010000003</v>
      </c>
      <c r="C2540" s="1">
        <v>756332.80793166114</v>
      </c>
      <c r="D2540" s="1">
        <f t="shared" si="39"/>
        <v>88324.53216833889</v>
      </c>
      <c r="E2540" s="1">
        <v>16</v>
      </c>
      <c r="F2540" s="1">
        <v>12</v>
      </c>
      <c r="G2540" s="1">
        <v>7</v>
      </c>
      <c r="H2540" s="1">
        <v>1</v>
      </c>
      <c r="I2540" s="1">
        <v>1</v>
      </c>
      <c r="J2540" s="1">
        <v>1</v>
      </c>
      <c r="K2540" s="1">
        <v>1</v>
      </c>
      <c r="L2540" s="1">
        <v>0</v>
      </c>
      <c r="M2540" s="1">
        <v>1</v>
      </c>
    </row>
    <row r="2541" spans="1:13">
      <c r="A2541" s="1">
        <v>2540</v>
      </c>
      <c r="B2541" s="1">
        <v>921463.3676</v>
      </c>
      <c r="C2541" s="1">
        <v>729499.26229328592</v>
      </c>
      <c r="D2541" s="1">
        <f t="shared" si="39"/>
        <v>191964.10530671407</v>
      </c>
      <c r="E2541" s="1">
        <v>12</v>
      </c>
      <c r="F2541" s="1">
        <v>18</v>
      </c>
      <c r="G2541" s="1">
        <v>5</v>
      </c>
      <c r="H2541" s="1">
        <v>1</v>
      </c>
      <c r="I2541" s="1">
        <v>0</v>
      </c>
      <c r="J2541" s="1">
        <v>1</v>
      </c>
      <c r="K2541" s="1">
        <v>1</v>
      </c>
      <c r="L2541" s="1">
        <v>0</v>
      </c>
      <c r="M2541" s="1">
        <v>0</v>
      </c>
    </row>
    <row r="2542" spans="1:13">
      <c r="A2542" s="1">
        <v>2541</v>
      </c>
      <c r="B2542" s="1">
        <v>973087.37349999999</v>
      </c>
      <c r="C2542" s="1">
        <v>847947.43183715839</v>
      </c>
      <c r="D2542" s="1">
        <f t="shared" si="39"/>
        <v>125139.94166284159</v>
      </c>
      <c r="E2542" s="1">
        <v>15</v>
      </c>
      <c r="F2542" s="1">
        <v>13</v>
      </c>
      <c r="G2542" s="1">
        <v>7</v>
      </c>
      <c r="H2542" s="1">
        <v>2</v>
      </c>
      <c r="I2542" s="1">
        <v>0</v>
      </c>
      <c r="J2542" s="1">
        <v>0</v>
      </c>
      <c r="K2542" s="1">
        <v>2</v>
      </c>
      <c r="L2542" s="1">
        <v>0</v>
      </c>
      <c r="M2542" s="1">
        <v>0</v>
      </c>
    </row>
    <row r="2543" spans="1:13">
      <c r="A2543" s="1">
        <v>2542</v>
      </c>
      <c r="B2543" s="1">
        <v>1055342.9493</v>
      </c>
      <c r="C2543" s="1">
        <v>824460.72385440872</v>
      </c>
      <c r="D2543" s="1">
        <f t="shared" si="39"/>
        <v>230882.22544559126</v>
      </c>
      <c r="E2543" s="1">
        <v>6</v>
      </c>
      <c r="F2543" s="1">
        <v>23</v>
      </c>
      <c r="G2543" s="1">
        <v>6</v>
      </c>
      <c r="H2543" s="1">
        <v>2</v>
      </c>
      <c r="I2543" s="1">
        <v>0</v>
      </c>
      <c r="J2543" s="1">
        <v>1</v>
      </c>
      <c r="K2543" s="1">
        <v>1</v>
      </c>
      <c r="L2543" s="1">
        <v>0</v>
      </c>
      <c r="M2543" s="1">
        <v>0</v>
      </c>
    </row>
    <row r="2544" spans="1:13">
      <c r="A2544" s="1">
        <v>2543</v>
      </c>
      <c r="B2544" s="1">
        <v>959433.09030000004</v>
      </c>
      <c r="C2544" s="1">
        <v>1472842.9373157467</v>
      </c>
      <c r="D2544" s="1">
        <f t="shared" si="39"/>
        <v>-513409.84701574664</v>
      </c>
      <c r="E2544" s="1">
        <v>7</v>
      </c>
      <c r="F2544" s="1">
        <v>24</v>
      </c>
      <c r="G2544" s="1">
        <v>4</v>
      </c>
      <c r="H2544" s="1">
        <v>1</v>
      </c>
      <c r="I2544" s="1">
        <v>0</v>
      </c>
      <c r="J2544" s="1">
        <v>1</v>
      </c>
      <c r="K2544" s="1">
        <v>1</v>
      </c>
      <c r="L2544" s="1">
        <v>0</v>
      </c>
      <c r="M2544" s="1">
        <v>1</v>
      </c>
    </row>
    <row r="2545" spans="1:13">
      <c r="A2545" s="1">
        <v>2544</v>
      </c>
      <c r="B2545" s="1">
        <v>877500.81790000002</v>
      </c>
      <c r="C2545" s="1">
        <v>753563.34564353363</v>
      </c>
      <c r="D2545" s="1">
        <f t="shared" si="39"/>
        <v>123937.4722564664</v>
      </c>
      <c r="E2545" s="1">
        <v>21</v>
      </c>
      <c r="F2545" s="1">
        <v>9</v>
      </c>
      <c r="G2545" s="1">
        <v>5</v>
      </c>
      <c r="H2545" s="1">
        <v>1</v>
      </c>
      <c r="I2545" s="1">
        <v>0</v>
      </c>
      <c r="J2545" s="1">
        <v>0</v>
      </c>
      <c r="K2545" s="1">
        <v>0</v>
      </c>
      <c r="L2545" s="1">
        <v>0</v>
      </c>
      <c r="M2545" s="1">
        <v>0</v>
      </c>
    </row>
    <row r="2546" spans="1:13">
      <c r="A2546" s="1">
        <v>2545</v>
      </c>
      <c r="B2546" s="1">
        <v>888918.00329999998</v>
      </c>
      <c r="C2546" s="1">
        <v>856916.36487165792</v>
      </c>
      <c r="D2546" s="1">
        <f t="shared" si="39"/>
        <v>32001.638428342063</v>
      </c>
      <c r="E2546" s="1">
        <v>19</v>
      </c>
      <c r="F2546" s="1">
        <v>10</v>
      </c>
      <c r="G2546" s="1">
        <v>6</v>
      </c>
      <c r="H2546" s="1">
        <v>2</v>
      </c>
      <c r="I2546" s="1">
        <v>0</v>
      </c>
      <c r="J2546" s="1">
        <v>0</v>
      </c>
      <c r="K2546" s="1">
        <v>2</v>
      </c>
      <c r="L2546" s="1">
        <v>0</v>
      </c>
      <c r="M2546" s="1">
        <v>0</v>
      </c>
    </row>
    <row r="2547" spans="1:13">
      <c r="A2547" s="1">
        <v>2546</v>
      </c>
      <c r="B2547" s="1">
        <v>951077.77</v>
      </c>
      <c r="C2547" s="1">
        <v>1029334.2695165387</v>
      </c>
      <c r="D2547" s="1">
        <f t="shared" si="39"/>
        <v>-78256.499516538694</v>
      </c>
      <c r="E2547" s="1">
        <v>17</v>
      </c>
      <c r="F2547" s="1">
        <v>11</v>
      </c>
      <c r="G2547" s="1">
        <v>7</v>
      </c>
      <c r="H2547" s="1">
        <v>1</v>
      </c>
      <c r="I2547" s="1">
        <v>0</v>
      </c>
      <c r="J2547" s="1">
        <v>2</v>
      </c>
      <c r="K2547" s="1">
        <v>0</v>
      </c>
      <c r="L2547" s="1">
        <v>0</v>
      </c>
      <c r="M2547" s="1">
        <v>1</v>
      </c>
    </row>
    <row r="2548" spans="1:13">
      <c r="A2548" s="1">
        <v>2547</v>
      </c>
      <c r="B2548" s="1">
        <v>862831.41240000003</v>
      </c>
      <c r="C2548" s="1">
        <v>806885.6393412652</v>
      </c>
      <c r="D2548" s="1">
        <f t="shared" si="39"/>
        <v>55945.773058734834</v>
      </c>
      <c r="E2548" s="1">
        <v>17</v>
      </c>
      <c r="F2548" s="1">
        <v>16</v>
      </c>
      <c r="G2548" s="1">
        <v>2</v>
      </c>
      <c r="H2548" s="1">
        <v>1</v>
      </c>
      <c r="I2548" s="1">
        <v>1</v>
      </c>
      <c r="J2548" s="1">
        <v>2</v>
      </c>
      <c r="K2548" s="1">
        <v>0</v>
      </c>
      <c r="L2548" s="1">
        <v>0</v>
      </c>
      <c r="M2548" s="1">
        <v>0</v>
      </c>
    </row>
    <row r="2549" spans="1:13">
      <c r="A2549" s="1">
        <v>2548</v>
      </c>
      <c r="B2549" s="1">
        <v>945706.31559999997</v>
      </c>
      <c r="C2549" s="1">
        <v>599151.62879377429</v>
      </c>
      <c r="D2549" s="1">
        <f t="shared" si="39"/>
        <v>346554.68680622568</v>
      </c>
      <c r="E2549" s="1">
        <v>14</v>
      </c>
      <c r="F2549" s="1">
        <v>17</v>
      </c>
      <c r="G2549" s="1">
        <v>4</v>
      </c>
      <c r="H2549" s="1">
        <v>1</v>
      </c>
      <c r="I2549" s="1">
        <v>0</v>
      </c>
      <c r="J2549" s="1">
        <v>0</v>
      </c>
      <c r="K2549" s="1">
        <v>0</v>
      </c>
      <c r="L2549" s="1">
        <v>0</v>
      </c>
      <c r="M2549" s="1">
        <v>0</v>
      </c>
    </row>
    <row r="2550" spans="1:13">
      <c r="A2550" s="1">
        <v>2549</v>
      </c>
      <c r="B2550" s="1">
        <v>920499.51699999999</v>
      </c>
      <c r="C2550" s="1">
        <v>4115350.7462171623</v>
      </c>
      <c r="D2550" s="1">
        <f t="shared" si="39"/>
        <v>-3194851.2292171624</v>
      </c>
      <c r="E2550" s="1">
        <v>15</v>
      </c>
      <c r="F2550" s="1">
        <v>14</v>
      </c>
      <c r="G2550" s="1">
        <v>6</v>
      </c>
      <c r="H2550" s="1">
        <v>1</v>
      </c>
      <c r="I2550" s="1">
        <v>1</v>
      </c>
      <c r="J2550" s="1">
        <v>0</v>
      </c>
      <c r="K2550" s="1">
        <v>0</v>
      </c>
      <c r="L2550" s="1">
        <v>0</v>
      </c>
      <c r="M2550" s="1">
        <v>0</v>
      </c>
    </row>
    <row r="2551" spans="1:13">
      <c r="A2551" s="1">
        <v>2550</v>
      </c>
      <c r="B2551" s="1">
        <v>903750.83539999998</v>
      </c>
      <c r="C2551" s="1">
        <v>378604.55889519362</v>
      </c>
      <c r="D2551" s="1">
        <f t="shared" si="39"/>
        <v>525146.27650480636</v>
      </c>
      <c r="E2551" s="1">
        <v>18</v>
      </c>
      <c r="F2551" s="1">
        <v>14</v>
      </c>
      <c r="G2551" s="1">
        <v>3</v>
      </c>
      <c r="H2551" s="1">
        <v>0</v>
      </c>
      <c r="I2551" s="1">
        <v>0</v>
      </c>
      <c r="J2551" s="1">
        <v>2</v>
      </c>
      <c r="K2551" s="1">
        <v>0</v>
      </c>
      <c r="L2551" s="1">
        <v>0</v>
      </c>
      <c r="M2551" s="1">
        <v>1</v>
      </c>
    </row>
    <row r="2552" spans="1:13">
      <c r="A2552" s="1">
        <v>2551</v>
      </c>
      <c r="B2552" s="1">
        <v>928230.75190000003</v>
      </c>
      <c r="C2552" s="1">
        <v>1210905.4968501027</v>
      </c>
      <c r="D2552" s="1">
        <f t="shared" si="39"/>
        <v>-282674.74495010264</v>
      </c>
      <c r="E2552" s="1">
        <v>15</v>
      </c>
      <c r="F2552" s="1">
        <v>17</v>
      </c>
      <c r="G2552" s="1">
        <v>3</v>
      </c>
      <c r="H2552" s="1">
        <v>0</v>
      </c>
      <c r="I2552" s="1">
        <v>0</v>
      </c>
      <c r="J2552" s="1">
        <v>1</v>
      </c>
      <c r="K2552" s="1">
        <v>1</v>
      </c>
      <c r="L2552" s="1">
        <v>0</v>
      </c>
      <c r="M2552" s="1">
        <v>0</v>
      </c>
    </row>
    <row r="2553" spans="1:13">
      <c r="A2553" s="1">
        <v>2552</v>
      </c>
      <c r="B2553" s="1">
        <v>925567.48710000003</v>
      </c>
      <c r="C2553" s="1">
        <v>1345558.48884359</v>
      </c>
      <c r="D2553" s="1">
        <f t="shared" si="39"/>
        <v>-419991.00174358999</v>
      </c>
      <c r="E2553" s="1">
        <v>6</v>
      </c>
      <c r="F2553" s="1">
        <v>23</v>
      </c>
      <c r="G2553" s="1">
        <v>6</v>
      </c>
      <c r="H2553" s="1">
        <v>0</v>
      </c>
      <c r="I2553" s="1">
        <v>1</v>
      </c>
      <c r="J2553" s="1">
        <v>2</v>
      </c>
      <c r="K2553" s="1">
        <v>0</v>
      </c>
      <c r="L2553" s="1">
        <v>0</v>
      </c>
      <c r="M2553" s="1">
        <v>0</v>
      </c>
    </row>
    <row r="2554" spans="1:13">
      <c r="A2554" s="1">
        <v>2553</v>
      </c>
      <c r="B2554" s="1">
        <v>899478.31259999995</v>
      </c>
      <c r="C2554" s="1">
        <v>710053.45747765689</v>
      </c>
      <c r="D2554" s="1">
        <f t="shared" si="39"/>
        <v>189424.85512234305</v>
      </c>
      <c r="E2554" s="1">
        <v>15</v>
      </c>
      <c r="F2554" s="1">
        <v>16</v>
      </c>
      <c r="G2554" s="1">
        <v>4</v>
      </c>
      <c r="H2554" s="1">
        <v>0</v>
      </c>
      <c r="I2554" s="1">
        <v>0</v>
      </c>
      <c r="J2554" s="1">
        <v>1</v>
      </c>
      <c r="K2554" s="1">
        <v>0</v>
      </c>
      <c r="L2554" s="1">
        <v>0</v>
      </c>
      <c r="M2554" s="1">
        <v>1</v>
      </c>
    </row>
    <row r="2555" spans="1:13">
      <c r="A2555" s="1">
        <v>2554</v>
      </c>
      <c r="B2555" s="1">
        <v>880817.19169999997</v>
      </c>
      <c r="C2555" s="1">
        <v>1028500.3754484981</v>
      </c>
      <c r="D2555" s="1">
        <f t="shared" si="39"/>
        <v>-147683.18374849809</v>
      </c>
      <c r="E2555" s="1">
        <v>6</v>
      </c>
      <c r="F2555" s="1">
        <v>24</v>
      </c>
      <c r="G2555" s="1">
        <v>5</v>
      </c>
      <c r="H2555" s="1">
        <v>0</v>
      </c>
      <c r="I2555" s="1">
        <v>1</v>
      </c>
      <c r="J2555" s="1">
        <v>0</v>
      </c>
      <c r="K2555" s="1">
        <v>0</v>
      </c>
      <c r="L2555" s="1">
        <v>0</v>
      </c>
      <c r="M2555" s="1">
        <v>0</v>
      </c>
    </row>
    <row r="2556" spans="1:13">
      <c r="A2556" s="1">
        <v>2555</v>
      </c>
      <c r="B2556" s="1">
        <v>1067818.8367000001</v>
      </c>
      <c r="C2556" s="1">
        <v>714531.66826701502</v>
      </c>
      <c r="D2556" s="1">
        <f t="shared" si="39"/>
        <v>353287.16843298508</v>
      </c>
      <c r="E2556" s="1">
        <v>15</v>
      </c>
      <c r="F2556" s="1">
        <v>15</v>
      </c>
      <c r="G2556" s="1">
        <v>5</v>
      </c>
      <c r="H2556" s="1">
        <v>0</v>
      </c>
      <c r="I2556" s="1">
        <v>1</v>
      </c>
      <c r="J2556" s="1">
        <v>1</v>
      </c>
      <c r="K2556" s="1">
        <v>1</v>
      </c>
      <c r="L2556" s="1">
        <v>0</v>
      </c>
      <c r="M2556" s="1">
        <v>0</v>
      </c>
    </row>
    <row r="2557" spans="1:13">
      <c r="A2557" s="1">
        <v>2556</v>
      </c>
      <c r="B2557" s="1">
        <v>924082.30680000002</v>
      </c>
      <c r="C2557" s="1">
        <v>1353665.0146347226</v>
      </c>
      <c r="D2557" s="1">
        <f t="shared" si="39"/>
        <v>-429582.70783472259</v>
      </c>
      <c r="E2557" s="1">
        <v>9</v>
      </c>
      <c r="F2557" s="1">
        <v>20</v>
      </c>
      <c r="G2557" s="1">
        <v>6</v>
      </c>
      <c r="H2557" s="1">
        <v>0</v>
      </c>
      <c r="I2557" s="1">
        <v>0</v>
      </c>
      <c r="J2557" s="1">
        <v>2</v>
      </c>
      <c r="K2557" s="1">
        <v>0</v>
      </c>
      <c r="L2557" s="1">
        <v>0</v>
      </c>
      <c r="M2557" s="1">
        <v>1</v>
      </c>
    </row>
    <row r="2558" spans="1:13">
      <c r="A2558" s="1">
        <v>2557</v>
      </c>
      <c r="B2558" s="1">
        <v>859171.78480000002</v>
      </c>
      <c r="C2558" s="1">
        <v>1471343.7932406976</v>
      </c>
      <c r="D2558" s="1">
        <f t="shared" si="39"/>
        <v>-612172.00844069757</v>
      </c>
      <c r="E2558" s="1">
        <v>14</v>
      </c>
      <c r="F2558" s="1">
        <v>20</v>
      </c>
      <c r="G2558" s="1">
        <v>1</v>
      </c>
      <c r="H2558" s="1">
        <v>1</v>
      </c>
      <c r="I2558" s="1">
        <v>0</v>
      </c>
      <c r="J2558" s="1">
        <v>1</v>
      </c>
      <c r="K2558" s="1">
        <v>0</v>
      </c>
      <c r="L2558" s="1">
        <v>1</v>
      </c>
      <c r="M2558" s="1">
        <v>1</v>
      </c>
    </row>
    <row r="2559" spans="1:13">
      <c r="A2559" s="1">
        <v>2558</v>
      </c>
      <c r="B2559" s="1">
        <v>908412.28579999995</v>
      </c>
      <c r="C2559" s="1">
        <v>1325277.6461728704</v>
      </c>
      <c r="D2559" s="1">
        <f t="shared" si="39"/>
        <v>-416865.36037287046</v>
      </c>
      <c r="E2559" s="1">
        <v>12</v>
      </c>
      <c r="F2559" s="1">
        <v>18</v>
      </c>
      <c r="G2559" s="1">
        <v>5</v>
      </c>
      <c r="H2559" s="1">
        <v>1</v>
      </c>
      <c r="I2559" s="1">
        <v>1</v>
      </c>
      <c r="J2559" s="1">
        <v>0</v>
      </c>
      <c r="K2559" s="1">
        <v>1</v>
      </c>
      <c r="L2559" s="1">
        <v>0</v>
      </c>
      <c r="M2559" s="1">
        <v>0</v>
      </c>
    </row>
    <row r="2560" spans="1:13">
      <c r="A2560" s="1">
        <v>2559</v>
      </c>
      <c r="B2560" s="1">
        <v>1012305.4735</v>
      </c>
      <c r="C2560" s="1">
        <v>987816.20706210751</v>
      </c>
      <c r="D2560" s="1">
        <f t="shared" si="39"/>
        <v>24489.266437892453</v>
      </c>
      <c r="E2560" s="1">
        <v>9</v>
      </c>
      <c r="F2560" s="1">
        <v>19</v>
      </c>
      <c r="G2560" s="1">
        <v>7</v>
      </c>
      <c r="H2560" s="1">
        <v>2</v>
      </c>
      <c r="I2560" s="1">
        <v>0</v>
      </c>
      <c r="J2560" s="1">
        <v>0</v>
      </c>
      <c r="K2560" s="1">
        <v>0</v>
      </c>
      <c r="L2560" s="1">
        <v>0</v>
      </c>
      <c r="M2560" s="1">
        <v>1</v>
      </c>
    </row>
    <row r="2561" spans="1:13">
      <c r="A2561" s="1">
        <v>2560</v>
      </c>
      <c r="B2561" s="1">
        <v>887661.35730000003</v>
      </c>
      <c r="C2561" s="1">
        <v>832794.52032721858</v>
      </c>
      <c r="D2561" s="1">
        <f t="shared" si="39"/>
        <v>54866.836972781457</v>
      </c>
      <c r="E2561" s="1">
        <v>18</v>
      </c>
      <c r="F2561" s="1">
        <v>13</v>
      </c>
      <c r="G2561" s="1">
        <v>4</v>
      </c>
      <c r="H2561" s="1">
        <v>1</v>
      </c>
      <c r="I2561" s="1">
        <v>0</v>
      </c>
      <c r="J2561" s="1">
        <v>0</v>
      </c>
      <c r="K2561" s="1">
        <v>0</v>
      </c>
      <c r="L2561" s="1">
        <v>0</v>
      </c>
      <c r="M2561" s="1">
        <v>1</v>
      </c>
    </row>
    <row r="2562" spans="1:13">
      <c r="A2562" s="1">
        <v>2561</v>
      </c>
      <c r="B2562" s="1">
        <v>964859.15819999995</v>
      </c>
      <c r="C2562" s="1">
        <v>619487.9318939338</v>
      </c>
      <c r="D2562" s="1">
        <f t="shared" ref="D2562:D2625" si="40">B2562-C2562</f>
        <v>345371.22630606615</v>
      </c>
      <c r="E2562" s="1">
        <v>11</v>
      </c>
      <c r="F2562" s="1">
        <v>20</v>
      </c>
      <c r="G2562" s="1">
        <v>4</v>
      </c>
      <c r="H2562" s="1">
        <v>1</v>
      </c>
      <c r="I2562" s="1">
        <v>0</v>
      </c>
      <c r="J2562" s="1">
        <v>0</v>
      </c>
      <c r="K2562" s="1">
        <v>0</v>
      </c>
      <c r="L2562" s="1">
        <v>0</v>
      </c>
      <c r="M2562" s="1">
        <v>0</v>
      </c>
    </row>
    <row r="2563" spans="1:13">
      <c r="A2563" s="1">
        <v>2562</v>
      </c>
      <c r="B2563" s="1">
        <v>942720.2</v>
      </c>
      <c r="C2563" s="1">
        <v>725937.13411166391</v>
      </c>
      <c r="D2563" s="1">
        <f t="shared" si="40"/>
        <v>216783.06588833604</v>
      </c>
      <c r="E2563" s="1">
        <v>9</v>
      </c>
      <c r="F2563" s="1">
        <v>18</v>
      </c>
      <c r="G2563" s="1">
        <v>8</v>
      </c>
      <c r="H2563" s="1">
        <v>0</v>
      </c>
      <c r="I2563" s="1">
        <v>0</v>
      </c>
      <c r="J2563" s="1">
        <v>2</v>
      </c>
      <c r="K2563" s="1">
        <v>0</v>
      </c>
      <c r="L2563" s="1">
        <v>0</v>
      </c>
      <c r="M2563" s="1">
        <v>0</v>
      </c>
    </row>
    <row r="2564" spans="1:13">
      <c r="A2564" s="1">
        <v>2563</v>
      </c>
      <c r="B2564" s="1">
        <v>837535.63989999995</v>
      </c>
      <c r="C2564" s="1">
        <v>495106.4335713695</v>
      </c>
      <c r="D2564" s="1">
        <f t="shared" si="40"/>
        <v>342429.20632863045</v>
      </c>
      <c r="E2564" s="1">
        <v>13</v>
      </c>
      <c r="F2564" s="1">
        <v>14</v>
      </c>
      <c r="G2564" s="1">
        <v>8</v>
      </c>
      <c r="H2564" s="1">
        <v>2</v>
      </c>
      <c r="I2564" s="1">
        <v>0</v>
      </c>
      <c r="J2564" s="1">
        <v>1</v>
      </c>
      <c r="K2564" s="1">
        <v>1</v>
      </c>
      <c r="L2564" s="1">
        <v>0</v>
      </c>
      <c r="M2564" s="1">
        <v>0</v>
      </c>
    </row>
    <row r="2565" spans="1:13">
      <c r="A2565" s="1">
        <v>2564</v>
      </c>
      <c r="B2565" s="1">
        <v>971642.23439999996</v>
      </c>
      <c r="C2565" s="1">
        <v>946082.23167008685</v>
      </c>
      <c r="D2565" s="1">
        <f t="shared" si="40"/>
        <v>25560.002729913103</v>
      </c>
      <c r="E2565" s="1">
        <v>16</v>
      </c>
      <c r="F2565" s="1">
        <v>15</v>
      </c>
      <c r="G2565" s="1">
        <v>4</v>
      </c>
      <c r="H2565" s="1">
        <v>0</v>
      </c>
      <c r="I2565" s="1">
        <v>0</v>
      </c>
      <c r="J2565" s="1">
        <v>2</v>
      </c>
      <c r="K2565" s="1">
        <v>0</v>
      </c>
      <c r="L2565" s="1">
        <v>0</v>
      </c>
      <c r="M2565" s="1">
        <v>0</v>
      </c>
    </row>
    <row r="2566" spans="1:13">
      <c r="A2566" s="1">
        <v>2565</v>
      </c>
      <c r="B2566" s="1">
        <v>936071.78020000004</v>
      </c>
      <c r="C2566" s="1">
        <v>1080786.9676823316</v>
      </c>
      <c r="D2566" s="1">
        <f t="shared" si="40"/>
        <v>-144715.18748233153</v>
      </c>
      <c r="E2566" s="1">
        <v>10</v>
      </c>
      <c r="F2566" s="1">
        <v>19</v>
      </c>
      <c r="G2566" s="1">
        <v>6</v>
      </c>
      <c r="H2566" s="1">
        <v>1</v>
      </c>
      <c r="I2566" s="1">
        <v>1</v>
      </c>
      <c r="J2566" s="1">
        <v>0</v>
      </c>
      <c r="K2566" s="1">
        <v>1</v>
      </c>
      <c r="L2566" s="1">
        <v>0</v>
      </c>
      <c r="M2566" s="1">
        <v>0</v>
      </c>
    </row>
    <row r="2567" spans="1:13">
      <c r="A2567" s="1">
        <v>2566</v>
      </c>
      <c r="B2567" s="1">
        <v>886655.04090000002</v>
      </c>
      <c r="C2567" s="1">
        <v>852126.52813688968</v>
      </c>
      <c r="D2567" s="1">
        <f t="shared" si="40"/>
        <v>34528.512763110339</v>
      </c>
      <c r="E2567" s="1">
        <v>9</v>
      </c>
      <c r="F2567" s="1">
        <v>21</v>
      </c>
      <c r="G2567" s="1">
        <v>5</v>
      </c>
      <c r="H2567" s="1">
        <v>1</v>
      </c>
      <c r="I2567" s="1">
        <v>0</v>
      </c>
      <c r="J2567" s="1">
        <v>0</v>
      </c>
      <c r="K2567" s="1">
        <v>1</v>
      </c>
      <c r="L2567" s="1">
        <v>0</v>
      </c>
      <c r="M2567" s="1">
        <v>1</v>
      </c>
    </row>
    <row r="2568" spans="1:13">
      <c r="A2568" s="1">
        <v>2567</v>
      </c>
      <c r="B2568" s="1">
        <v>984992.36439999996</v>
      </c>
      <c r="C2568" s="1">
        <v>769786.36021209264</v>
      </c>
      <c r="D2568" s="1">
        <f t="shared" si="40"/>
        <v>215206.00418790733</v>
      </c>
      <c r="E2568" s="1">
        <v>12</v>
      </c>
      <c r="F2568" s="1">
        <v>14</v>
      </c>
      <c r="G2568" s="1">
        <v>9</v>
      </c>
      <c r="H2568" s="1">
        <v>1</v>
      </c>
      <c r="I2568" s="1">
        <v>0</v>
      </c>
      <c r="J2568" s="1">
        <v>0</v>
      </c>
      <c r="K2568" s="1">
        <v>0</v>
      </c>
      <c r="L2568" s="1">
        <v>0</v>
      </c>
      <c r="M2568" s="1">
        <v>0</v>
      </c>
    </row>
    <row r="2569" spans="1:13">
      <c r="A2569" s="1">
        <v>2568</v>
      </c>
      <c r="B2569" s="1">
        <v>1000429.0398</v>
      </c>
      <c r="C2569" s="1">
        <v>1266493.3321585557</v>
      </c>
      <c r="D2569" s="1">
        <f t="shared" si="40"/>
        <v>-266064.29235855571</v>
      </c>
      <c r="E2569" s="1">
        <v>20</v>
      </c>
      <c r="F2569" s="1">
        <v>12</v>
      </c>
      <c r="G2569" s="1">
        <v>3</v>
      </c>
      <c r="H2569" s="1">
        <v>1</v>
      </c>
      <c r="I2569" s="1">
        <v>0</v>
      </c>
      <c r="J2569" s="1">
        <v>1</v>
      </c>
      <c r="K2569" s="1">
        <v>1</v>
      </c>
      <c r="L2569" s="1">
        <v>0</v>
      </c>
      <c r="M2569" s="1">
        <v>0</v>
      </c>
    </row>
    <row r="2570" spans="1:13">
      <c r="A2570" s="1">
        <v>2569</v>
      </c>
      <c r="B2570" s="1">
        <v>931815.98849999998</v>
      </c>
      <c r="C2570" s="1">
        <v>599303.4641511729</v>
      </c>
      <c r="D2570" s="1">
        <f t="shared" si="40"/>
        <v>332512.52434882708</v>
      </c>
      <c r="E2570" s="1">
        <v>7</v>
      </c>
      <c r="F2570" s="1">
        <v>23</v>
      </c>
      <c r="G2570" s="1">
        <v>5</v>
      </c>
      <c r="H2570" s="1">
        <v>0</v>
      </c>
      <c r="I2570" s="1">
        <v>0</v>
      </c>
      <c r="J2570" s="1">
        <v>2</v>
      </c>
      <c r="K2570" s="1">
        <v>0</v>
      </c>
      <c r="L2570" s="1">
        <v>0</v>
      </c>
      <c r="M2570" s="1">
        <v>1</v>
      </c>
    </row>
    <row r="2571" spans="1:13">
      <c r="A2571" s="1">
        <v>2570</v>
      </c>
      <c r="B2571" s="1">
        <v>1007899.1797</v>
      </c>
      <c r="C2571" s="1">
        <v>852877.72975469625</v>
      </c>
      <c r="D2571" s="1">
        <f t="shared" si="40"/>
        <v>155021.44994530373</v>
      </c>
      <c r="E2571" s="1">
        <v>2</v>
      </c>
      <c r="F2571" s="1">
        <v>29</v>
      </c>
      <c r="G2571" s="1">
        <v>4</v>
      </c>
      <c r="H2571" s="1">
        <v>0</v>
      </c>
      <c r="I2571" s="1">
        <v>0</v>
      </c>
      <c r="J2571" s="1">
        <v>0</v>
      </c>
      <c r="K2571" s="1">
        <v>2</v>
      </c>
      <c r="L2571" s="1">
        <v>0</v>
      </c>
      <c r="M2571" s="1">
        <v>0</v>
      </c>
    </row>
    <row r="2572" spans="1:13">
      <c r="A2572" s="1">
        <v>2571</v>
      </c>
      <c r="B2572" s="1">
        <v>875753.63219999999</v>
      </c>
      <c r="C2572" s="1">
        <v>697231.610244688</v>
      </c>
      <c r="D2572" s="1">
        <f t="shared" si="40"/>
        <v>178522.021955312</v>
      </c>
      <c r="E2572" s="1">
        <v>21</v>
      </c>
      <c r="F2572" s="1">
        <v>11</v>
      </c>
      <c r="G2572" s="1">
        <v>3</v>
      </c>
      <c r="H2572" s="1">
        <v>1</v>
      </c>
      <c r="I2572" s="1">
        <v>0</v>
      </c>
      <c r="J2572" s="1">
        <v>1</v>
      </c>
      <c r="K2572" s="1">
        <v>1</v>
      </c>
      <c r="L2572" s="1">
        <v>0</v>
      </c>
      <c r="M2572" s="1">
        <v>0</v>
      </c>
    </row>
    <row r="2573" spans="1:13">
      <c r="A2573" s="1">
        <v>2572</v>
      </c>
      <c r="B2573" s="1">
        <v>938014.07669999998</v>
      </c>
      <c r="C2573" s="1">
        <v>855129.97295027052</v>
      </c>
      <c r="D2573" s="1">
        <f t="shared" si="40"/>
        <v>82884.10374972946</v>
      </c>
      <c r="E2573" s="1">
        <v>15</v>
      </c>
      <c r="F2573" s="1">
        <v>16</v>
      </c>
      <c r="G2573" s="1">
        <v>4</v>
      </c>
      <c r="H2573" s="1">
        <v>2</v>
      </c>
      <c r="I2573" s="1">
        <v>0</v>
      </c>
      <c r="J2573" s="1">
        <v>1</v>
      </c>
      <c r="K2573" s="1">
        <v>0</v>
      </c>
      <c r="L2573" s="1">
        <v>0</v>
      </c>
      <c r="M2573" s="1">
        <v>0</v>
      </c>
    </row>
    <row r="2574" spans="1:13">
      <c r="A2574" s="1">
        <v>2573</v>
      </c>
      <c r="B2574" s="1">
        <v>838217.11710000003</v>
      </c>
      <c r="C2574" s="1">
        <v>1217741.6933375997</v>
      </c>
      <c r="D2574" s="1">
        <f t="shared" si="40"/>
        <v>-379524.57623759971</v>
      </c>
      <c r="E2574" s="1">
        <v>9</v>
      </c>
      <c r="F2574" s="1">
        <v>19</v>
      </c>
      <c r="G2574" s="1">
        <v>7</v>
      </c>
      <c r="H2574" s="1">
        <v>1</v>
      </c>
      <c r="I2574" s="1">
        <v>0</v>
      </c>
      <c r="J2574" s="1">
        <v>1</v>
      </c>
      <c r="K2574" s="1">
        <v>1</v>
      </c>
      <c r="L2574" s="1">
        <v>0</v>
      </c>
      <c r="M2574" s="1">
        <v>0</v>
      </c>
    </row>
    <row r="2575" spans="1:13">
      <c r="A2575" s="1">
        <v>2574</v>
      </c>
      <c r="B2575" s="1">
        <v>927076.72309999994</v>
      </c>
      <c r="C2575" s="1">
        <v>407500.09234704764</v>
      </c>
      <c r="D2575" s="1">
        <f t="shared" si="40"/>
        <v>519576.6307529523</v>
      </c>
      <c r="E2575" s="1">
        <v>21</v>
      </c>
      <c r="F2575" s="1">
        <v>8</v>
      </c>
      <c r="G2575" s="1">
        <v>6</v>
      </c>
      <c r="H2575" s="1">
        <v>1</v>
      </c>
      <c r="I2575" s="1">
        <v>0</v>
      </c>
      <c r="J2575" s="1">
        <v>0</v>
      </c>
      <c r="K2575" s="1">
        <v>2</v>
      </c>
      <c r="L2575" s="1">
        <v>0</v>
      </c>
      <c r="M2575" s="1">
        <v>0</v>
      </c>
    </row>
    <row r="2576" spans="1:13">
      <c r="A2576" s="1">
        <v>2575</v>
      </c>
      <c r="B2576" s="1">
        <v>885784.98710000003</v>
      </c>
      <c r="C2576" s="1">
        <v>819698.12160521047</v>
      </c>
      <c r="D2576" s="1">
        <f t="shared" si="40"/>
        <v>66086.865494789556</v>
      </c>
      <c r="E2576" s="1">
        <v>14</v>
      </c>
      <c r="F2576" s="1">
        <v>17</v>
      </c>
      <c r="G2576" s="1">
        <v>4</v>
      </c>
      <c r="H2576" s="1">
        <v>2</v>
      </c>
      <c r="I2576" s="1">
        <v>0</v>
      </c>
      <c r="J2576" s="1">
        <v>2</v>
      </c>
      <c r="K2576" s="1">
        <v>0</v>
      </c>
      <c r="L2576" s="1">
        <v>0</v>
      </c>
      <c r="M2576" s="1">
        <v>0</v>
      </c>
    </row>
    <row r="2577" spans="1:13">
      <c r="A2577" s="1">
        <v>2576</v>
      </c>
      <c r="B2577" s="1">
        <v>890327.06099999999</v>
      </c>
      <c r="C2577" s="1">
        <v>1229315.3254786497</v>
      </c>
      <c r="D2577" s="1">
        <f t="shared" si="40"/>
        <v>-338988.26447864971</v>
      </c>
      <c r="E2577" s="1">
        <v>21</v>
      </c>
      <c r="F2577" s="1">
        <v>12</v>
      </c>
      <c r="G2577" s="1">
        <v>2</v>
      </c>
      <c r="H2577" s="1">
        <v>0</v>
      </c>
      <c r="I2577" s="1">
        <v>1</v>
      </c>
      <c r="J2577" s="1">
        <v>1</v>
      </c>
      <c r="K2577" s="1">
        <v>1</v>
      </c>
      <c r="L2577" s="1">
        <v>0</v>
      </c>
      <c r="M2577" s="1">
        <v>1</v>
      </c>
    </row>
    <row r="2578" spans="1:13">
      <c r="A2578" s="1">
        <v>2577</v>
      </c>
      <c r="B2578" s="1">
        <v>913147.87490000005</v>
      </c>
      <c r="C2578" s="1">
        <v>1058366.2879179106</v>
      </c>
      <c r="D2578" s="1">
        <f t="shared" si="40"/>
        <v>-145218.41301791056</v>
      </c>
      <c r="E2578" s="1">
        <v>10</v>
      </c>
      <c r="F2578" s="1">
        <v>20</v>
      </c>
      <c r="G2578" s="1">
        <v>5</v>
      </c>
      <c r="H2578" s="1">
        <v>2</v>
      </c>
      <c r="I2578" s="1">
        <v>0</v>
      </c>
      <c r="J2578" s="1">
        <v>0</v>
      </c>
      <c r="K2578" s="1">
        <v>1</v>
      </c>
      <c r="L2578" s="1">
        <v>1</v>
      </c>
      <c r="M2578" s="1">
        <v>1</v>
      </c>
    </row>
    <row r="2579" spans="1:13">
      <c r="A2579" s="1">
        <v>2578</v>
      </c>
      <c r="B2579" s="1">
        <v>860342.09909999999</v>
      </c>
      <c r="C2579" s="1">
        <v>755839.99078690342</v>
      </c>
      <c r="D2579" s="1">
        <f t="shared" si="40"/>
        <v>104502.10831309657</v>
      </c>
      <c r="E2579" s="1">
        <v>18</v>
      </c>
      <c r="F2579" s="1">
        <v>13</v>
      </c>
      <c r="G2579" s="1">
        <v>4</v>
      </c>
      <c r="H2579" s="1">
        <v>0</v>
      </c>
      <c r="I2579" s="1">
        <v>0</v>
      </c>
      <c r="J2579" s="1">
        <v>0</v>
      </c>
      <c r="K2579" s="1">
        <v>0</v>
      </c>
      <c r="L2579" s="1">
        <v>0</v>
      </c>
      <c r="M2579" s="1">
        <v>0</v>
      </c>
    </row>
    <row r="2580" spans="1:13">
      <c r="A2580" s="1">
        <v>2579</v>
      </c>
      <c r="B2580" s="1">
        <v>896510.79720000003</v>
      </c>
      <c r="C2580" s="1">
        <v>879064.68439575552</v>
      </c>
      <c r="D2580" s="1">
        <f t="shared" si="40"/>
        <v>17446.112804244505</v>
      </c>
      <c r="E2580" s="1">
        <v>23</v>
      </c>
      <c r="F2580" s="1">
        <v>10</v>
      </c>
      <c r="G2580" s="1">
        <v>2</v>
      </c>
      <c r="H2580" s="1">
        <v>1</v>
      </c>
      <c r="I2580" s="1">
        <v>1</v>
      </c>
      <c r="J2580" s="1">
        <v>0</v>
      </c>
      <c r="K2580" s="1">
        <v>2</v>
      </c>
      <c r="L2580" s="1">
        <v>0</v>
      </c>
      <c r="M2580" s="1">
        <v>1</v>
      </c>
    </row>
    <row r="2581" spans="1:13">
      <c r="A2581" s="1">
        <v>2580</v>
      </c>
      <c r="B2581" s="1">
        <v>1005189.1538</v>
      </c>
      <c r="C2581" s="1">
        <v>444394.03858914296</v>
      </c>
      <c r="D2581" s="1">
        <f t="shared" si="40"/>
        <v>560795.11521085701</v>
      </c>
      <c r="E2581" s="1">
        <v>9</v>
      </c>
      <c r="F2581" s="1">
        <v>21</v>
      </c>
      <c r="G2581" s="1">
        <v>5</v>
      </c>
      <c r="H2581" s="1">
        <v>1</v>
      </c>
      <c r="I2581" s="1">
        <v>0</v>
      </c>
      <c r="J2581" s="1">
        <v>1</v>
      </c>
      <c r="K2581" s="1">
        <v>0</v>
      </c>
      <c r="L2581" s="1">
        <v>0</v>
      </c>
      <c r="M2581" s="1">
        <v>0</v>
      </c>
    </row>
    <row r="2582" spans="1:13">
      <c r="A2582" s="1">
        <v>2581</v>
      </c>
      <c r="B2582" s="1">
        <v>940289.13879999996</v>
      </c>
      <c r="C2582" s="1">
        <v>633274.497939163</v>
      </c>
      <c r="D2582" s="1">
        <f t="shared" si="40"/>
        <v>307014.64086083695</v>
      </c>
      <c r="E2582" s="1">
        <v>27</v>
      </c>
      <c r="F2582" s="1">
        <v>3</v>
      </c>
      <c r="G2582" s="1">
        <v>5</v>
      </c>
      <c r="H2582" s="1">
        <v>2</v>
      </c>
      <c r="I2582" s="1">
        <v>0</v>
      </c>
      <c r="J2582" s="1">
        <v>2</v>
      </c>
      <c r="K2582" s="1">
        <v>0</v>
      </c>
      <c r="L2582" s="1">
        <v>0</v>
      </c>
      <c r="M2582" s="1">
        <v>0</v>
      </c>
    </row>
    <row r="2583" spans="1:13">
      <c r="A2583" s="1">
        <v>2582</v>
      </c>
      <c r="B2583" s="1">
        <v>943162.42070000002</v>
      </c>
      <c r="C2583" s="1">
        <v>626713.16554222151</v>
      </c>
      <c r="D2583" s="1">
        <f t="shared" si="40"/>
        <v>316449.25515777851</v>
      </c>
      <c r="E2583" s="1">
        <v>14</v>
      </c>
      <c r="F2583" s="1">
        <v>11</v>
      </c>
      <c r="G2583" s="1">
        <v>10</v>
      </c>
      <c r="H2583" s="1">
        <v>1</v>
      </c>
      <c r="I2583" s="1">
        <v>0</v>
      </c>
      <c r="J2583" s="1">
        <v>1</v>
      </c>
      <c r="K2583" s="1">
        <v>0</v>
      </c>
      <c r="L2583" s="1">
        <v>0</v>
      </c>
      <c r="M2583" s="1">
        <v>1</v>
      </c>
    </row>
    <row r="2584" spans="1:13">
      <c r="A2584" s="1">
        <v>2583</v>
      </c>
      <c r="B2584" s="1">
        <v>910651.6176</v>
      </c>
      <c r="C2584" s="1">
        <v>1215360.4534737994</v>
      </c>
      <c r="D2584" s="1">
        <f t="shared" si="40"/>
        <v>-304708.8358737994</v>
      </c>
      <c r="E2584" s="1">
        <v>12</v>
      </c>
      <c r="F2584" s="1">
        <v>20</v>
      </c>
      <c r="G2584" s="1">
        <v>3</v>
      </c>
      <c r="H2584" s="1">
        <v>1</v>
      </c>
      <c r="I2584" s="1">
        <v>0</v>
      </c>
      <c r="J2584" s="1">
        <v>0</v>
      </c>
      <c r="K2584" s="1">
        <v>1</v>
      </c>
      <c r="L2584" s="1">
        <v>0</v>
      </c>
      <c r="M2584" s="1">
        <v>0</v>
      </c>
    </row>
    <row r="2585" spans="1:13">
      <c r="A2585" s="1">
        <v>2584</v>
      </c>
      <c r="B2585" s="1">
        <v>897301.9608</v>
      </c>
      <c r="C2585" s="1">
        <v>1079034.3528482998</v>
      </c>
      <c r="D2585" s="1">
        <f t="shared" si="40"/>
        <v>-181732.39204829978</v>
      </c>
      <c r="E2585" s="1">
        <v>17</v>
      </c>
      <c r="F2585" s="1">
        <v>16</v>
      </c>
      <c r="G2585" s="1">
        <v>2</v>
      </c>
      <c r="H2585" s="1">
        <v>1</v>
      </c>
      <c r="I2585" s="1">
        <v>0</v>
      </c>
      <c r="J2585" s="1">
        <v>0</v>
      </c>
      <c r="K2585" s="1">
        <v>0</v>
      </c>
      <c r="L2585" s="1">
        <v>1</v>
      </c>
      <c r="M2585" s="1">
        <v>1</v>
      </c>
    </row>
    <row r="2586" spans="1:13">
      <c r="A2586" s="1">
        <v>2585</v>
      </c>
      <c r="B2586" s="1">
        <v>1055785.9428999999</v>
      </c>
      <c r="C2586" s="1">
        <v>882311.96918420726</v>
      </c>
      <c r="D2586" s="1">
        <f t="shared" si="40"/>
        <v>173473.97371579264</v>
      </c>
      <c r="E2586" s="1">
        <v>10</v>
      </c>
      <c r="F2586" s="1">
        <v>19</v>
      </c>
      <c r="G2586" s="1">
        <v>6</v>
      </c>
      <c r="H2586" s="1">
        <v>1</v>
      </c>
      <c r="I2586" s="1">
        <v>0</v>
      </c>
      <c r="J2586" s="1">
        <v>1</v>
      </c>
      <c r="K2586" s="1">
        <v>0</v>
      </c>
      <c r="L2586" s="1">
        <v>0</v>
      </c>
      <c r="M2586" s="1">
        <v>0</v>
      </c>
    </row>
    <row r="2587" spans="1:13">
      <c r="A2587" s="1">
        <v>2586</v>
      </c>
      <c r="B2587" s="1">
        <v>868381.81570000004</v>
      </c>
      <c r="C2587" s="1">
        <v>1294036.3356748936</v>
      </c>
      <c r="D2587" s="1">
        <f t="shared" si="40"/>
        <v>-425654.51997489354</v>
      </c>
      <c r="E2587" s="1">
        <v>18</v>
      </c>
      <c r="F2587" s="1">
        <v>13</v>
      </c>
      <c r="G2587" s="1">
        <v>4</v>
      </c>
      <c r="H2587" s="1">
        <v>2</v>
      </c>
      <c r="I2587" s="1">
        <v>0</v>
      </c>
      <c r="J2587" s="1">
        <v>1</v>
      </c>
      <c r="K2587" s="1">
        <v>0</v>
      </c>
      <c r="L2587" s="1">
        <v>0</v>
      </c>
      <c r="M2587" s="1">
        <v>0</v>
      </c>
    </row>
    <row r="2588" spans="1:13">
      <c r="A2588" s="1">
        <v>2587</v>
      </c>
      <c r="B2588" s="1">
        <v>900596.81660000002</v>
      </c>
      <c r="C2588" s="1">
        <v>1492735.1287983137</v>
      </c>
      <c r="D2588" s="1">
        <f t="shared" si="40"/>
        <v>-592138.31219831365</v>
      </c>
      <c r="E2588" s="1">
        <v>16</v>
      </c>
      <c r="F2588" s="1">
        <v>12</v>
      </c>
      <c r="G2588" s="1">
        <v>7</v>
      </c>
      <c r="H2588" s="1">
        <v>2</v>
      </c>
      <c r="I2588" s="1">
        <v>0</v>
      </c>
      <c r="J2588" s="1">
        <v>1</v>
      </c>
      <c r="K2588" s="1">
        <v>0</v>
      </c>
      <c r="L2588" s="1">
        <v>0</v>
      </c>
      <c r="M2588" s="1">
        <v>0</v>
      </c>
    </row>
    <row r="2589" spans="1:13">
      <c r="A2589" s="1">
        <v>2588</v>
      </c>
      <c r="B2589" s="1">
        <v>873181.75939999998</v>
      </c>
      <c r="C2589" s="1">
        <v>794963.80196698615</v>
      </c>
      <c r="D2589" s="1">
        <f t="shared" si="40"/>
        <v>78217.957433013828</v>
      </c>
      <c r="E2589" s="1">
        <v>22</v>
      </c>
      <c r="F2589" s="1">
        <v>8</v>
      </c>
      <c r="G2589" s="1">
        <v>5</v>
      </c>
      <c r="H2589" s="1">
        <v>2</v>
      </c>
      <c r="I2589" s="1">
        <v>0</v>
      </c>
      <c r="J2589" s="1">
        <v>1</v>
      </c>
      <c r="K2589" s="1">
        <v>1</v>
      </c>
      <c r="L2589" s="1">
        <v>0</v>
      </c>
      <c r="M2589" s="1">
        <v>1</v>
      </c>
    </row>
    <row r="2590" spans="1:13">
      <c r="A2590" s="1">
        <v>2589</v>
      </c>
      <c r="B2590" s="1">
        <v>986325.45310000004</v>
      </c>
      <c r="C2590" s="1">
        <v>1086098.9841374019</v>
      </c>
      <c r="D2590" s="1">
        <f t="shared" si="40"/>
        <v>-99773.531037401874</v>
      </c>
      <c r="E2590" s="1">
        <v>10</v>
      </c>
      <c r="F2590" s="1">
        <v>18</v>
      </c>
      <c r="G2590" s="1">
        <v>7</v>
      </c>
      <c r="H2590" s="1">
        <v>2</v>
      </c>
      <c r="I2590" s="1">
        <v>0</v>
      </c>
      <c r="J2590" s="1">
        <v>0</v>
      </c>
      <c r="K2590" s="1">
        <v>1</v>
      </c>
      <c r="L2590" s="1">
        <v>0</v>
      </c>
      <c r="M2590" s="1">
        <v>0</v>
      </c>
    </row>
    <row r="2591" spans="1:13">
      <c r="A2591" s="1">
        <v>2590</v>
      </c>
      <c r="B2591" s="1">
        <v>852439.64280000003</v>
      </c>
      <c r="C2591" s="1">
        <v>630002.14051073545</v>
      </c>
      <c r="D2591" s="1">
        <f t="shared" si="40"/>
        <v>222437.50228926458</v>
      </c>
      <c r="E2591" s="1">
        <v>14</v>
      </c>
      <c r="F2591" s="1">
        <v>17</v>
      </c>
      <c r="G2591" s="1">
        <v>4</v>
      </c>
      <c r="H2591" s="1">
        <v>2</v>
      </c>
      <c r="I2591" s="1">
        <v>0</v>
      </c>
      <c r="J2591" s="1">
        <v>0</v>
      </c>
      <c r="K2591" s="1">
        <v>0</v>
      </c>
      <c r="L2591" s="1">
        <v>0</v>
      </c>
      <c r="M2591" s="1">
        <v>0</v>
      </c>
    </row>
    <row r="2592" spans="1:13">
      <c r="A2592" s="1">
        <v>2591</v>
      </c>
      <c r="B2592" s="1">
        <v>938684.33409999998</v>
      </c>
      <c r="C2592" s="1">
        <v>765402.54088938469</v>
      </c>
      <c r="D2592" s="1">
        <f t="shared" si="40"/>
        <v>173281.79321061529</v>
      </c>
      <c r="E2592" s="1">
        <v>11</v>
      </c>
      <c r="F2592" s="1">
        <v>21</v>
      </c>
      <c r="G2592" s="1">
        <v>3</v>
      </c>
      <c r="H2592" s="1">
        <v>0</v>
      </c>
      <c r="I2592" s="1">
        <v>0</v>
      </c>
      <c r="J2592" s="1">
        <v>1</v>
      </c>
      <c r="K2592" s="1">
        <v>1</v>
      </c>
      <c r="L2592" s="1">
        <v>0</v>
      </c>
      <c r="M2592" s="1">
        <v>0</v>
      </c>
    </row>
    <row r="2593" spans="1:13">
      <c r="A2593" s="1">
        <v>2592</v>
      </c>
      <c r="B2593" s="1">
        <v>861167.43489999999</v>
      </c>
      <c r="C2593" s="1">
        <v>858013.49729933683</v>
      </c>
      <c r="D2593" s="1">
        <f t="shared" si="40"/>
        <v>3153.9376006631646</v>
      </c>
      <c r="E2593" s="1">
        <v>16</v>
      </c>
      <c r="F2593" s="1">
        <v>13</v>
      </c>
      <c r="G2593" s="1">
        <v>6</v>
      </c>
      <c r="H2593" s="1">
        <v>0</v>
      </c>
      <c r="I2593" s="1">
        <v>1</v>
      </c>
      <c r="J2593" s="1">
        <v>1</v>
      </c>
      <c r="K2593" s="1">
        <v>1</v>
      </c>
      <c r="L2593" s="1">
        <v>0</v>
      </c>
      <c r="M2593" s="1">
        <v>0</v>
      </c>
    </row>
    <row r="2594" spans="1:13">
      <c r="A2594" s="1">
        <v>2593</v>
      </c>
      <c r="B2594" s="1">
        <v>891895.98490000004</v>
      </c>
      <c r="C2594" s="1">
        <v>909973.47237706999</v>
      </c>
      <c r="D2594" s="1">
        <f t="shared" si="40"/>
        <v>-18077.487477069953</v>
      </c>
      <c r="E2594" s="1">
        <v>6</v>
      </c>
      <c r="F2594" s="1">
        <v>24</v>
      </c>
      <c r="G2594" s="1">
        <v>5</v>
      </c>
      <c r="H2594" s="1">
        <v>0</v>
      </c>
      <c r="I2594" s="1">
        <v>0</v>
      </c>
      <c r="J2594" s="1">
        <v>1</v>
      </c>
      <c r="K2594" s="1">
        <v>1</v>
      </c>
      <c r="L2594" s="1">
        <v>0</v>
      </c>
      <c r="M2594" s="1">
        <v>0</v>
      </c>
    </row>
    <row r="2595" spans="1:13">
      <c r="A2595" s="1">
        <v>2594</v>
      </c>
      <c r="B2595" s="1">
        <v>910073.79399999999</v>
      </c>
      <c r="C2595" s="1">
        <v>1226266.8032785952</v>
      </c>
      <c r="D2595" s="1">
        <f t="shared" si="40"/>
        <v>-316193.00927859521</v>
      </c>
      <c r="E2595" s="1">
        <v>12</v>
      </c>
      <c r="F2595" s="1">
        <v>20</v>
      </c>
      <c r="G2595" s="1">
        <v>3</v>
      </c>
      <c r="H2595" s="1">
        <v>1</v>
      </c>
      <c r="I2595" s="1">
        <v>1</v>
      </c>
      <c r="J2595" s="1">
        <v>0</v>
      </c>
      <c r="K2595" s="1">
        <v>0</v>
      </c>
      <c r="L2595" s="1">
        <v>0</v>
      </c>
      <c r="M2595" s="1">
        <v>0</v>
      </c>
    </row>
    <row r="2596" spans="1:13">
      <c r="A2596" s="1">
        <v>2595</v>
      </c>
      <c r="B2596" s="1">
        <v>1056984.1455999999</v>
      </c>
      <c r="C2596" s="1">
        <v>1206399.6029421531</v>
      </c>
      <c r="D2596" s="1">
        <f t="shared" si="40"/>
        <v>-149415.45734215318</v>
      </c>
      <c r="E2596" s="1">
        <v>12</v>
      </c>
      <c r="F2596" s="1">
        <v>19</v>
      </c>
      <c r="G2596" s="1">
        <v>4</v>
      </c>
      <c r="H2596" s="1">
        <v>0</v>
      </c>
      <c r="I2596" s="1">
        <v>0</v>
      </c>
      <c r="J2596" s="1">
        <v>2</v>
      </c>
      <c r="K2596" s="1">
        <v>0</v>
      </c>
      <c r="L2596" s="1">
        <v>0</v>
      </c>
      <c r="M2596" s="1">
        <v>0</v>
      </c>
    </row>
    <row r="2597" spans="1:13">
      <c r="A2597" s="1">
        <v>2596</v>
      </c>
      <c r="B2597" s="1">
        <v>856563.48400000005</v>
      </c>
      <c r="C2597" s="1">
        <v>906997.77540881478</v>
      </c>
      <c r="D2597" s="1">
        <f t="shared" si="40"/>
        <v>-50434.291408814723</v>
      </c>
      <c r="E2597" s="1">
        <v>14</v>
      </c>
      <c r="F2597" s="1">
        <v>17</v>
      </c>
      <c r="G2597" s="1">
        <v>4</v>
      </c>
      <c r="H2597" s="1">
        <v>2</v>
      </c>
      <c r="I2597" s="1">
        <v>0</v>
      </c>
      <c r="J2597" s="1">
        <v>0</v>
      </c>
      <c r="K2597" s="1">
        <v>1</v>
      </c>
      <c r="L2597" s="1">
        <v>0</v>
      </c>
      <c r="M2597" s="1">
        <v>1</v>
      </c>
    </row>
    <row r="2598" spans="1:13">
      <c r="A2598" s="1">
        <v>2597</v>
      </c>
      <c r="B2598" s="1">
        <v>1014302.9997</v>
      </c>
      <c r="C2598" s="1">
        <v>1814763.1442817268</v>
      </c>
      <c r="D2598" s="1">
        <f t="shared" si="40"/>
        <v>-800460.14458172675</v>
      </c>
      <c r="E2598" s="1">
        <v>2</v>
      </c>
      <c r="F2598" s="1">
        <v>25</v>
      </c>
      <c r="G2598" s="1">
        <v>8</v>
      </c>
      <c r="H2598" s="1">
        <v>0</v>
      </c>
      <c r="I2598" s="1">
        <v>0</v>
      </c>
      <c r="J2598" s="1">
        <v>0</v>
      </c>
      <c r="K2598" s="1">
        <v>2</v>
      </c>
      <c r="L2598" s="1">
        <v>0</v>
      </c>
      <c r="M2598" s="1">
        <v>0</v>
      </c>
    </row>
    <row r="2599" spans="1:13">
      <c r="A2599" s="1">
        <v>2598</v>
      </c>
      <c r="B2599" s="1">
        <v>959844.97279999999</v>
      </c>
      <c r="C2599" s="1">
        <v>1075536.9737959304</v>
      </c>
      <c r="D2599" s="1">
        <f t="shared" si="40"/>
        <v>-115692.0009959304</v>
      </c>
      <c r="E2599" s="1">
        <v>13</v>
      </c>
      <c r="F2599" s="1">
        <v>16</v>
      </c>
      <c r="G2599" s="1">
        <v>6</v>
      </c>
      <c r="H2599" s="1">
        <v>2</v>
      </c>
      <c r="I2599" s="1">
        <v>0</v>
      </c>
      <c r="J2599" s="1">
        <v>1</v>
      </c>
      <c r="K2599" s="1">
        <v>0</v>
      </c>
      <c r="L2599" s="1">
        <v>0</v>
      </c>
      <c r="M2599" s="1">
        <v>0</v>
      </c>
    </row>
    <row r="2600" spans="1:13">
      <c r="A2600" s="1">
        <v>2599</v>
      </c>
      <c r="B2600" s="1">
        <v>930533.48529999994</v>
      </c>
      <c r="C2600" s="1">
        <v>850597.29030675534</v>
      </c>
      <c r="D2600" s="1">
        <f t="shared" si="40"/>
        <v>79936.1949932446</v>
      </c>
      <c r="E2600" s="1">
        <v>11</v>
      </c>
      <c r="F2600" s="1">
        <v>20</v>
      </c>
      <c r="G2600" s="1">
        <v>4</v>
      </c>
      <c r="H2600" s="1">
        <v>0</v>
      </c>
      <c r="I2600" s="1">
        <v>0</v>
      </c>
      <c r="J2600" s="1">
        <v>1</v>
      </c>
      <c r="K2600" s="1">
        <v>1</v>
      </c>
      <c r="L2600" s="1">
        <v>0</v>
      </c>
      <c r="M2600" s="1">
        <v>1</v>
      </c>
    </row>
    <row r="2601" spans="1:13">
      <c r="A2601" s="1">
        <v>2600</v>
      </c>
      <c r="B2601" s="1">
        <v>995612.90139999997</v>
      </c>
      <c r="C2601" s="1">
        <v>941486.08292123524</v>
      </c>
      <c r="D2601" s="1">
        <f t="shared" si="40"/>
        <v>54126.818478764733</v>
      </c>
      <c r="E2601" s="1">
        <v>10</v>
      </c>
      <c r="F2601" s="1">
        <v>21</v>
      </c>
      <c r="G2601" s="1">
        <v>4</v>
      </c>
      <c r="H2601" s="1">
        <v>1</v>
      </c>
      <c r="I2601" s="1">
        <v>0</v>
      </c>
      <c r="J2601" s="1">
        <v>0</v>
      </c>
      <c r="K2601" s="1">
        <v>2</v>
      </c>
      <c r="L2601" s="1">
        <v>0</v>
      </c>
      <c r="M2601" s="1">
        <v>0</v>
      </c>
    </row>
    <row r="2602" spans="1:13">
      <c r="A2602" s="1">
        <v>2601</v>
      </c>
      <c r="B2602" s="1">
        <v>914987.09140000003</v>
      </c>
      <c r="C2602" s="1">
        <v>1027414.2852554995</v>
      </c>
      <c r="D2602" s="1">
        <f t="shared" si="40"/>
        <v>-112427.1938554995</v>
      </c>
      <c r="E2602" s="1">
        <v>16</v>
      </c>
      <c r="F2602" s="1">
        <v>16</v>
      </c>
      <c r="G2602" s="1">
        <v>3</v>
      </c>
      <c r="H2602" s="1">
        <v>1</v>
      </c>
      <c r="I2602" s="1">
        <v>0</v>
      </c>
      <c r="J2602" s="1">
        <v>1</v>
      </c>
      <c r="K2602" s="1">
        <v>1</v>
      </c>
      <c r="L2602" s="1">
        <v>0</v>
      </c>
      <c r="M2602" s="1">
        <v>1</v>
      </c>
    </row>
    <row r="2603" spans="1:13">
      <c r="A2603" s="1">
        <v>2602</v>
      </c>
      <c r="B2603" s="1">
        <v>834779.4584</v>
      </c>
      <c r="C2603" s="1">
        <v>824215.72801951971</v>
      </c>
      <c r="D2603" s="1">
        <f t="shared" si="40"/>
        <v>10563.730380480294</v>
      </c>
      <c r="E2603" s="1">
        <v>14</v>
      </c>
      <c r="F2603" s="1">
        <v>17</v>
      </c>
      <c r="G2603" s="1">
        <v>4</v>
      </c>
      <c r="H2603" s="1">
        <v>0</v>
      </c>
      <c r="I2603" s="1">
        <v>1</v>
      </c>
      <c r="J2603" s="1">
        <v>1</v>
      </c>
      <c r="K2603" s="1">
        <v>1</v>
      </c>
      <c r="L2603" s="1">
        <v>0</v>
      </c>
      <c r="M2603" s="1">
        <v>0</v>
      </c>
    </row>
    <row r="2604" spans="1:13">
      <c r="A2604" s="1">
        <v>2603</v>
      </c>
      <c r="B2604" s="1">
        <v>962116.75179999997</v>
      </c>
      <c r="C2604" s="1">
        <v>988146.35087377543</v>
      </c>
      <c r="D2604" s="1">
        <f t="shared" si="40"/>
        <v>-26029.599073775462</v>
      </c>
      <c r="E2604" s="1">
        <v>14</v>
      </c>
      <c r="F2604" s="1">
        <v>18</v>
      </c>
      <c r="G2604" s="1">
        <v>3</v>
      </c>
      <c r="H2604" s="1">
        <v>0</v>
      </c>
      <c r="I2604" s="1">
        <v>0</v>
      </c>
      <c r="J2604" s="1">
        <v>0</v>
      </c>
      <c r="K2604" s="1">
        <v>0</v>
      </c>
      <c r="L2604" s="1">
        <v>0</v>
      </c>
      <c r="M2604" s="1">
        <v>1</v>
      </c>
    </row>
    <row r="2605" spans="1:13">
      <c r="A2605" s="1">
        <v>2604</v>
      </c>
      <c r="B2605" s="1">
        <v>890144.88690000004</v>
      </c>
      <c r="C2605" s="1">
        <v>717209.73357312498</v>
      </c>
      <c r="D2605" s="1">
        <f t="shared" si="40"/>
        <v>172935.15332687506</v>
      </c>
      <c r="E2605" s="1">
        <v>20</v>
      </c>
      <c r="F2605" s="1">
        <v>13</v>
      </c>
      <c r="G2605" s="1">
        <v>2</v>
      </c>
      <c r="H2605" s="1">
        <v>1</v>
      </c>
      <c r="I2605" s="1">
        <v>1</v>
      </c>
      <c r="J2605" s="1">
        <v>1</v>
      </c>
      <c r="K2605" s="1">
        <v>1</v>
      </c>
      <c r="L2605" s="1">
        <v>0</v>
      </c>
      <c r="M2605" s="1">
        <v>0</v>
      </c>
    </row>
    <row r="2606" spans="1:13">
      <c r="A2606" s="1">
        <v>2605</v>
      </c>
      <c r="B2606" s="1">
        <v>866216.68550000002</v>
      </c>
      <c r="C2606" s="1">
        <v>975683.75978877791</v>
      </c>
      <c r="D2606" s="1">
        <f t="shared" si="40"/>
        <v>-109467.07428877789</v>
      </c>
      <c r="E2606" s="1">
        <v>13</v>
      </c>
      <c r="F2606" s="1">
        <v>14</v>
      </c>
      <c r="G2606" s="1">
        <v>8</v>
      </c>
      <c r="H2606" s="1">
        <v>1</v>
      </c>
      <c r="I2606" s="1">
        <v>0</v>
      </c>
      <c r="J2606" s="1">
        <v>1</v>
      </c>
      <c r="K2606" s="1">
        <v>0</v>
      </c>
      <c r="L2606" s="1">
        <v>0</v>
      </c>
      <c r="M2606" s="1">
        <v>0</v>
      </c>
    </row>
    <row r="2607" spans="1:13">
      <c r="A2607" s="1">
        <v>2606</v>
      </c>
      <c r="B2607" s="1">
        <v>1064213.405</v>
      </c>
      <c r="C2607" s="1">
        <v>1202900.2038668094</v>
      </c>
      <c r="D2607" s="1">
        <f t="shared" si="40"/>
        <v>-138686.79886680935</v>
      </c>
      <c r="E2607" s="1">
        <v>6</v>
      </c>
      <c r="F2607" s="1">
        <v>25</v>
      </c>
      <c r="G2607" s="1">
        <v>4</v>
      </c>
      <c r="H2607" s="1">
        <v>0</v>
      </c>
      <c r="I2607" s="1">
        <v>1</v>
      </c>
      <c r="J2607" s="1">
        <v>0</v>
      </c>
      <c r="K2607" s="1">
        <v>0</v>
      </c>
      <c r="L2607" s="1">
        <v>0</v>
      </c>
      <c r="M2607" s="1">
        <v>0</v>
      </c>
    </row>
    <row r="2608" spans="1:13">
      <c r="A2608" s="1">
        <v>2607</v>
      </c>
      <c r="B2608" s="1">
        <v>863531.92319999996</v>
      </c>
      <c r="C2608" s="1">
        <v>516018.66480854293</v>
      </c>
      <c r="D2608" s="1">
        <f t="shared" si="40"/>
        <v>347513.25839145703</v>
      </c>
      <c r="E2608" s="1">
        <v>13</v>
      </c>
      <c r="F2608" s="1">
        <v>16</v>
      </c>
      <c r="G2608" s="1">
        <v>6</v>
      </c>
      <c r="H2608" s="1">
        <v>1</v>
      </c>
      <c r="I2608" s="1">
        <v>0</v>
      </c>
      <c r="J2608" s="1">
        <v>0</v>
      </c>
      <c r="K2608" s="1">
        <v>0</v>
      </c>
      <c r="L2608" s="1">
        <v>0</v>
      </c>
      <c r="M2608" s="1">
        <v>1</v>
      </c>
    </row>
    <row r="2609" spans="1:13">
      <c r="A2609" s="1">
        <v>2608</v>
      </c>
      <c r="B2609" s="1">
        <v>1043451.6669</v>
      </c>
      <c r="C2609" s="1">
        <v>551170.94431676203</v>
      </c>
      <c r="D2609" s="1">
        <f t="shared" si="40"/>
        <v>492280.72258323792</v>
      </c>
      <c r="E2609" s="1">
        <v>2</v>
      </c>
      <c r="F2609" s="1">
        <v>27</v>
      </c>
      <c r="G2609" s="1">
        <v>6</v>
      </c>
      <c r="H2609" s="1">
        <v>1</v>
      </c>
      <c r="I2609" s="1">
        <v>0</v>
      </c>
      <c r="J2609" s="1">
        <v>0</v>
      </c>
      <c r="K2609" s="1">
        <v>2</v>
      </c>
      <c r="L2609" s="1">
        <v>0</v>
      </c>
      <c r="M2609" s="1">
        <v>0</v>
      </c>
    </row>
    <row r="2610" spans="1:13">
      <c r="A2610" s="1">
        <v>2609</v>
      </c>
      <c r="B2610" s="1">
        <v>942278.16830000002</v>
      </c>
      <c r="C2610" s="1">
        <v>658316.37384086719</v>
      </c>
      <c r="D2610" s="1">
        <f t="shared" si="40"/>
        <v>283961.79445913283</v>
      </c>
      <c r="E2610" s="1">
        <v>6</v>
      </c>
      <c r="F2610" s="1">
        <v>22</v>
      </c>
      <c r="G2610" s="1">
        <v>7</v>
      </c>
      <c r="H2610" s="1">
        <v>2</v>
      </c>
      <c r="I2610" s="1">
        <v>0</v>
      </c>
      <c r="J2610" s="1">
        <v>0</v>
      </c>
      <c r="K2610" s="1">
        <v>1</v>
      </c>
      <c r="L2610" s="1">
        <v>0</v>
      </c>
      <c r="M2610" s="1">
        <v>0</v>
      </c>
    </row>
    <row r="2611" spans="1:13">
      <c r="A2611" s="1">
        <v>2610</v>
      </c>
      <c r="B2611" s="1">
        <v>1057002.0639</v>
      </c>
      <c r="C2611" s="1">
        <v>957256.44639480475</v>
      </c>
      <c r="D2611" s="1">
        <f t="shared" si="40"/>
        <v>99745.617505195201</v>
      </c>
      <c r="E2611" s="1">
        <v>11</v>
      </c>
      <c r="F2611" s="1">
        <v>16</v>
      </c>
      <c r="G2611" s="1">
        <v>8</v>
      </c>
      <c r="H2611" s="1">
        <v>0</v>
      </c>
      <c r="I2611" s="1">
        <v>1</v>
      </c>
      <c r="J2611" s="1">
        <v>1</v>
      </c>
      <c r="K2611" s="1">
        <v>0</v>
      </c>
      <c r="L2611" s="1">
        <v>0</v>
      </c>
      <c r="M2611" s="1">
        <v>0</v>
      </c>
    </row>
    <row r="2612" spans="1:13">
      <c r="A2612" s="1">
        <v>2611</v>
      </c>
      <c r="B2612" s="1">
        <v>907322.40590000001</v>
      </c>
      <c r="C2612" s="1">
        <v>830927.60766212712</v>
      </c>
      <c r="D2612" s="1">
        <f t="shared" si="40"/>
        <v>76394.798237872892</v>
      </c>
      <c r="E2612" s="1">
        <v>8</v>
      </c>
      <c r="F2612" s="1">
        <v>23</v>
      </c>
      <c r="G2612" s="1">
        <v>4</v>
      </c>
      <c r="H2612" s="1">
        <v>2</v>
      </c>
      <c r="I2612" s="1">
        <v>0</v>
      </c>
      <c r="J2612" s="1">
        <v>1</v>
      </c>
      <c r="K2612" s="1">
        <v>0</v>
      </c>
      <c r="L2612" s="1">
        <v>0</v>
      </c>
      <c r="M2612" s="1">
        <v>0</v>
      </c>
    </row>
    <row r="2613" spans="1:13">
      <c r="A2613" s="1">
        <v>2612</v>
      </c>
      <c r="B2613" s="1">
        <v>945070.48470000003</v>
      </c>
      <c r="C2613" s="1">
        <v>752549.03973796056</v>
      </c>
      <c r="D2613" s="1">
        <f t="shared" si="40"/>
        <v>192521.44496203947</v>
      </c>
      <c r="E2613" s="1">
        <v>19</v>
      </c>
      <c r="F2613" s="1">
        <v>12</v>
      </c>
      <c r="G2613" s="1">
        <v>4</v>
      </c>
      <c r="H2613" s="1">
        <v>1</v>
      </c>
      <c r="I2613" s="1">
        <v>0</v>
      </c>
      <c r="J2613" s="1">
        <v>1</v>
      </c>
      <c r="K2613" s="1">
        <v>0</v>
      </c>
      <c r="L2613" s="1">
        <v>0</v>
      </c>
      <c r="M2613" s="1">
        <v>0</v>
      </c>
    </row>
    <row r="2614" spans="1:13">
      <c r="A2614" s="1">
        <v>2613</v>
      </c>
      <c r="B2614" s="1">
        <v>888559.15549999999</v>
      </c>
      <c r="C2614" s="1">
        <v>842744.7098052341</v>
      </c>
      <c r="D2614" s="1">
        <f t="shared" si="40"/>
        <v>45814.445694765891</v>
      </c>
      <c r="E2614" s="1">
        <v>18</v>
      </c>
      <c r="F2614" s="1">
        <v>12</v>
      </c>
      <c r="G2614" s="1">
        <v>5</v>
      </c>
      <c r="H2614" s="1">
        <v>0</v>
      </c>
      <c r="I2614" s="1">
        <v>0</v>
      </c>
      <c r="J2614" s="1">
        <v>1</v>
      </c>
      <c r="K2614" s="1">
        <v>0</v>
      </c>
      <c r="L2614" s="1">
        <v>0</v>
      </c>
      <c r="M2614" s="1">
        <v>0</v>
      </c>
    </row>
    <row r="2615" spans="1:13">
      <c r="A2615" s="1">
        <v>2614</v>
      </c>
      <c r="B2615" s="1">
        <v>973253.3615</v>
      </c>
      <c r="C2615" s="1">
        <v>610961.12523646886</v>
      </c>
      <c r="D2615" s="1">
        <f t="shared" si="40"/>
        <v>362292.23626353114</v>
      </c>
      <c r="E2615" s="1">
        <v>8</v>
      </c>
      <c r="F2615" s="1">
        <v>22</v>
      </c>
      <c r="G2615" s="1">
        <v>5</v>
      </c>
      <c r="H2615" s="1">
        <v>1</v>
      </c>
      <c r="I2615" s="1">
        <v>0</v>
      </c>
      <c r="J2615" s="1">
        <v>0</v>
      </c>
      <c r="K2615" s="1">
        <v>0</v>
      </c>
      <c r="L2615" s="1">
        <v>0</v>
      </c>
      <c r="M2615" s="1">
        <v>0</v>
      </c>
    </row>
    <row r="2616" spans="1:13">
      <c r="A2616" s="1">
        <v>2615</v>
      </c>
      <c r="B2616" s="1">
        <v>995903.52220000001</v>
      </c>
      <c r="C2616" s="1">
        <v>635546.35883491638</v>
      </c>
      <c r="D2616" s="1">
        <f t="shared" si="40"/>
        <v>360357.16336508363</v>
      </c>
      <c r="E2616" s="1">
        <v>21</v>
      </c>
      <c r="F2616" s="1">
        <v>9</v>
      </c>
      <c r="G2616" s="1">
        <v>5</v>
      </c>
      <c r="H2616" s="1">
        <v>0</v>
      </c>
      <c r="I2616" s="1">
        <v>1</v>
      </c>
      <c r="J2616" s="1">
        <v>2</v>
      </c>
      <c r="K2616" s="1">
        <v>0</v>
      </c>
      <c r="L2616" s="1">
        <v>0</v>
      </c>
      <c r="M2616" s="1">
        <v>0</v>
      </c>
    </row>
    <row r="2617" spans="1:13">
      <c r="A2617" s="1">
        <v>2616</v>
      </c>
      <c r="B2617" s="1">
        <v>883444.56510000001</v>
      </c>
      <c r="C2617" s="1">
        <v>876210.29756125319</v>
      </c>
      <c r="D2617" s="1">
        <f t="shared" si="40"/>
        <v>7234.2675387468189</v>
      </c>
      <c r="E2617" s="1">
        <v>10</v>
      </c>
      <c r="F2617" s="1">
        <v>22</v>
      </c>
      <c r="G2617" s="1">
        <v>3</v>
      </c>
      <c r="H2617" s="1">
        <v>2</v>
      </c>
      <c r="I2617" s="1">
        <v>0</v>
      </c>
      <c r="J2617" s="1">
        <v>2</v>
      </c>
      <c r="K2617" s="1">
        <v>0</v>
      </c>
      <c r="L2617" s="1">
        <v>0</v>
      </c>
      <c r="M2617" s="1">
        <v>1</v>
      </c>
    </row>
    <row r="2618" spans="1:13">
      <c r="A2618" s="1">
        <v>2617</v>
      </c>
      <c r="B2618" s="1">
        <v>965239.63890000002</v>
      </c>
      <c r="C2618" s="1">
        <v>812041.28120352933</v>
      </c>
      <c r="D2618" s="1">
        <f t="shared" si="40"/>
        <v>153198.35769647069</v>
      </c>
      <c r="E2618" s="1">
        <v>12</v>
      </c>
      <c r="F2618" s="1">
        <v>18</v>
      </c>
      <c r="G2618" s="1">
        <v>5</v>
      </c>
      <c r="H2618" s="1">
        <v>0</v>
      </c>
      <c r="I2618" s="1">
        <v>0</v>
      </c>
      <c r="J2618" s="1">
        <v>1</v>
      </c>
      <c r="K2618" s="1">
        <v>0</v>
      </c>
      <c r="L2618" s="1">
        <v>0</v>
      </c>
      <c r="M2618" s="1">
        <v>0</v>
      </c>
    </row>
    <row r="2619" spans="1:13">
      <c r="A2619" s="1">
        <v>2618</v>
      </c>
      <c r="B2619" s="1">
        <v>889040.40579999995</v>
      </c>
      <c r="C2619" s="1">
        <v>819299.69957109424</v>
      </c>
      <c r="D2619" s="1">
        <f t="shared" si="40"/>
        <v>69740.706228905707</v>
      </c>
      <c r="E2619" s="1">
        <v>14</v>
      </c>
      <c r="F2619" s="1">
        <v>16</v>
      </c>
      <c r="G2619" s="1">
        <v>5</v>
      </c>
      <c r="H2619" s="1">
        <v>0</v>
      </c>
      <c r="I2619" s="1">
        <v>0</v>
      </c>
      <c r="J2619" s="1">
        <v>2</v>
      </c>
      <c r="K2619" s="1">
        <v>0</v>
      </c>
      <c r="L2619" s="1">
        <v>0</v>
      </c>
      <c r="M2619" s="1">
        <v>1</v>
      </c>
    </row>
    <row r="2620" spans="1:13">
      <c r="A2620" s="1">
        <v>2619</v>
      </c>
      <c r="B2620" s="1">
        <v>1083005.9582</v>
      </c>
      <c r="C2620" s="1">
        <v>752468.47946486878</v>
      </c>
      <c r="D2620" s="1">
        <f t="shared" si="40"/>
        <v>330537.47873513121</v>
      </c>
      <c r="E2620" s="1">
        <v>10</v>
      </c>
      <c r="F2620" s="1">
        <v>22</v>
      </c>
      <c r="G2620" s="1">
        <v>3</v>
      </c>
      <c r="H2620" s="1">
        <v>2</v>
      </c>
      <c r="I2620" s="1">
        <v>0</v>
      </c>
      <c r="J2620" s="1">
        <v>0</v>
      </c>
      <c r="K2620" s="1">
        <v>1</v>
      </c>
      <c r="L2620" s="1">
        <v>0</v>
      </c>
      <c r="M2620" s="1">
        <v>1</v>
      </c>
    </row>
    <row r="2621" spans="1:13">
      <c r="A2621" s="1">
        <v>2620</v>
      </c>
      <c r="B2621" s="1">
        <v>858821.06079999998</v>
      </c>
      <c r="C2621" s="1">
        <v>764248.48655369866</v>
      </c>
      <c r="D2621" s="1">
        <f t="shared" si="40"/>
        <v>94572.574246301316</v>
      </c>
      <c r="E2621" s="1">
        <v>21</v>
      </c>
      <c r="F2621" s="1">
        <v>10</v>
      </c>
      <c r="G2621" s="1">
        <v>4</v>
      </c>
      <c r="H2621" s="1">
        <v>2</v>
      </c>
      <c r="I2621" s="1">
        <v>0</v>
      </c>
      <c r="J2621" s="1">
        <v>1</v>
      </c>
      <c r="K2621" s="1">
        <v>1</v>
      </c>
      <c r="L2621" s="1">
        <v>0</v>
      </c>
      <c r="M2621" s="1">
        <v>1</v>
      </c>
    </row>
    <row r="2622" spans="1:13">
      <c r="A2622" s="1">
        <v>2621</v>
      </c>
      <c r="B2622" s="1">
        <v>958996.46510000003</v>
      </c>
      <c r="C2622" s="1">
        <v>842326.05435468489</v>
      </c>
      <c r="D2622" s="1">
        <f t="shared" si="40"/>
        <v>116670.41074531514</v>
      </c>
      <c r="E2622" s="1">
        <v>16</v>
      </c>
      <c r="F2622" s="1">
        <v>14</v>
      </c>
      <c r="G2622" s="1">
        <v>5</v>
      </c>
      <c r="H2622" s="1">
        <v>2</v>
      </c>
      <c r="I2622" s="1">
        <v>0</v>
      </c>
      <c r="J2622" s="1">
        <v>0</v>
      </c>
      <c r="K2622" s="1">
        <v>1</v>
      </c>
      <c r="L2622" s="1">
        <v>0</v>
      </c>
      <c r="M2622" s="1">
        <v>0</v>
      </c>
    </row>
    <row r="2623" spans="1:13">
      <c r="A2623" s="1">
        <v>2622</v>
      </c>
      <c r="B2623" s="1">
        <v>990216.86880000005</v>
      </c>
      <c r="C2623" s="1">
        <v>1096297.9793738588</v>
      </c>
      <c r="D2623" s="1">
        <f t="shared" si="40"/>
        <v>-106081.11057385872</v>
      </c>
      <c r="E2623" s="1">
        <v>11</v>
      </c>
      <c r="F2623" s="1">
        <v>20</v>
      </c>
      <c r="G2623" s="1">
        <v>4</v>
      </c>
      <c r="H2623" s="1">
        <v>1</v>
      </c>
      <c r="I2623" s="1">
        <v>0</v>
      </c>
      <c r="J2623" s="1">
        <v>0</v>
      </c>
      <c r="K2623" s="1">
        <v>1</v>
      </c>
      <c r="L2623" s="1">
        <v>0</v>
      </c>
      <c r="M2623" s="1">
        <v>0</v>
      </c>
    </row>
    <row r="2624" spans="1:13">
      <c r="A2624" s="1">
        <v>2623</v>
      </c>
      <c r="B2624" s="1">
        <v>879047.96959999995</v>
      </c>
      <c r="C2624" s="1">
        <v>1023415.662029376</v>
      </c>
      <c r="D2624" s="1">
        <f t="shared" si="40"/>
        <v>-144367.69242937607</v>
      </c>
      <c r="E2624" s="1">
        <v>19</v>
      </c>
      <c r="F2624" s="1">
        <v>11</v>
      </c>
      <c r="G2624" s="1">
        <v>5</v>
      </c>
      <c r="H2624" s="1">
        <v>0</v>
      </c>
      <c r="I2624" s="1">
        <v>0</v>
      </c>
      <c r="J2624" s="1">
        <v>0</v>
      </c>
      <c r="K2624" s="1">
        <v>2</v>
      </c>
      <c r="L2624" s="1">
        <v>0</v>
      </c>
      <c r="M2624" s="1">
        <v>0</v>
      </c>
    </row>
    <row r="2625" spans="1:13">
      <c r="A2625" s="1">
        <v>2624</v>
      </c>
      <c r="B2625" s="1">
        <v>829991.32109999994</v>
      </c>
      <c r="C2625" s="1">
        <v>1542491.1957331148</v>
      </c>
      <c r="D2625" s="1">
        <f t="shared" si="40"/>
        <v>-712499.8746331149</v>
      </c>
      <c r="E2625" s="1">
        <v>18</v>
      </c>
      <c r="F2625" s="1">
        <v>13</v>
      </c>
      <c r="G2625" s="1">
        <v>4</v>
      </c>
      <c r="H2625" s="1">
        <v>0</v>
      </c>
      <c r="I2625" s="1">
        <v>0</v>
      </c>
      <c r="J2625" s="1">
        <v>1</v>
      </c>
      <c r="K2625" s="1">
        <v>0</v>
      </c>
      <c r="L2625" s="1">
        <v>0</v>
      </c>
      <c r="M2625" s="1">
        <v>0</v>
      </c>
    </row>
    <row r="2626" spans="1:13">
      <c r="A2626" s="1">
        <v>2625</v>
      </c>
      <c r="B2626" s="1">
        <v>883655.69669999997</v>
      </c>
      <c r="C2626" s="1">
        <v>2200022.6228505066</v>
      </c>
      <c r="D2626" s="1">
        <f t="shared" ref="D2626:D2689" si="41">B2626-C2626</f>
        <v>-1316366.9261505066</v>
      </c>
      <c r="E2626" s="1">
        <v>12</v>
      </c>
      <c r="F2626" s="1">
        <v>18</v>
      </c>
      <c r="G2626" s="1">
        <v>5</v>
      </c>
      <c r="H2626" s="1">
        <v>1</v>
      </c>
      <c r="I2626" s="1">
        <v>1</v>
      </c>
      <c r="J2626" s="1">
        <v>0</v>
      </c>
      <c r="K2626" s="1">
        <v>0</v>
      </c>
      <c r="L2626" s="1">
        <v>0</v>
      </c>
      <c r="M2626" s="1">
        <v>0</v>
      </c>
    </row>
    <row r="2627" spans="1:13">
      <c r="A2627" s="1">
        <v>2626</v>
      </c>
      <c r="B2627" s="1">
        <v>855158.43299999996</v>
      </c>
      <c r="C2627" s="1">
        <v>823058.74492569454</v>
      </c>
      <c r="D2627" s="1">
        <f t="shared" si="41"/>
        <v>32099.688074305421</v>
      </c>
      <c r="E2627" s="1">
        <v>16</v>
      </c>
      <c r="F2627" s="1">
        <v>14</v>
      </c>
      <c r="G2627" s="1">
        <v>5</v>
      </c>
      <c r="H2627" s="1">
        <v>1</v>
      </c>
      <c r="I2627" s="1">
        <v>1</v>
      </c>
      <c r="J2627" s="1">
        <v>0</v>
      </c>
      <c r="K2627" s="1">
        <v>0</v>
      </c>
      <c r="L2627" s="1">
        <v>0</v>
      </c>
      <c r="M2627" s="1">
        <v>1</v>
      </c>
    </row>
    <row r="2628" spans="1:13">
      <c r="A2628" s="1">
        <v>2627</v>
      </c>
      <c r="B2628" s="1">
        <v>1057297.1076</v>
      </c>
      <c r="C2628" s="1">
        <v>994264.57149736909</v>
      </c>
      <c r="D2628" s="1">
        <f t="shared" si="41"/>
        <v>63032.536102630896</v>
      </c>
      <c r="E2628" s="1">
        <v>14</v>
      </c>
      <c r="F2628" s="1">
        <v>14</v>
      </c>
      <c r="G2628" s="1">
        <v>7</v>
      </c>
      <c r="H2628" s="1">
        <v>1</v>
      </c>
      <c r="I2628" s="1">
        <v>1</v>
      </c>
      <c r="J2628" s="1">
        <v>1</v>
      </c>
      <c r="K2628" s="1">
        <v>1</v>
      </c>
      <c r="L2628" s="1">
        <v>0</v>
      </c>
      <c r="M2628" s="1">
        <v>0</v>
      </c>
    </row>
    <row r="2629" spans="1:13">
      <c r="A2629" s="1">
        <v>2628</v>
      </c>
      <c r="B2629" s="1">
        <v>978555.30180000002</v>
      </c>
      <c r="C2629" s="1">
        <v>838165.08442213212</v>
      </c>
      <c r="D2629" s="1">
        <f t="shared" si="41"/>
        <v>140390.2173778679</v>
      </c>
      <c r="E2629" s="1">
        <v>13</v>
      </c>
      <c r="F2629" s="1">
        <v>15</v>
      </c>
      <c r="G2629" s="1">
        <v>7</v>
      </c>
      <c r="H2629" s="1">
        <v>1</v>
      </c>
      <c r="I2629" s="1">
        <v>0</v>
      </c>
      <c r="J2629" s="1">
        <v>1</v>
      </c>
      <c r="K2629" s="1">
        <v>1</v>
      </c>
      <c r="L2629" s="1">
        <v>0</v>
      </c>
      <c r="M2629" s="1">
        <v>0</v>
      </c>
    </row>
    <row r="2630" spans="1:13">
      <c r="A2630" s="1">
        <v>2629</v>
      </c>
      <c r="B2630" s="1">
        <v>1064361.1850000001</v>
      </c>
      <c r="C2630" s="1">
        <v>5347898.4453827422</v>
      </c>
      <c r="D2630" s="1">
        <f t="shared" si="41"/>
        <v>-4283537.2603827417</v>
      </c>
      <c r="E2630" s="1">
        <v>9</v>
      </c>
      <c r="F2630" s="1">
        <v>17</v>
      </c>
      <c r="G2630" s="1">
        <v>9</v>
      </c>
      <c r="H2630" s="1">
        <v>2</v>
      </c>
      <c r="I2630" s="1">
        <v>0</v>
      </c>
      <c r="J2630" s="1">
        <v>0</v>
      </c>
      <c r="K2630" s="1">
        <v>2</v>
      </c>
      <c r="L2630" s="1">
        <v>0</v>
      </c>
      <c r="M2630" s="1">
        <v>0</v>
      </c>
    </row>
    <row r="2631" spans="1:13">
      <c r="A2631" s="1">
        <v>2630</v>
      </c>
      <c r="B2631" s="1">
        <v>956128.39110000001</v>
      </c>
      <c r="C2631" s="1">
        <v>1128949.3492298543</v>
      </c>
      <c r="D2631" s="1">
        <f t="shared" si="41"/>
        <v>-172820.95812985429</v>
      </c>
      <c r="E2631" s="1">
        <v>10</v>
      </c>
      <c r="F2631" s="1">
        <v>20</v>
      </c>
      <c r="G2631" s="1">
        <v>5</v>
      </c>
      <c r="H2631" s="1">
        <v>0</v>
      </c>
      <c r="I2631" s="1">
        <v>1</v>
      </c>
      <c r="J2631" s="1">
        <v>1</v>
      </c>
      <c r="K2631" s="1">
        <v>1</v>
      </c>
      <c r="L2631" s="1">
        <v>0</v>
      </c>
      <c r="M2631" s="1">
        <v>0</v>
      </c>
    </row>
    <row r="2632" spans="1:13">
      <c r="A2632" s="1">
        <v>2631</v>
      </c>
      <c r="B2632" s="1">
        <v>862382.73459999997</v>
      </c>
      <c r="C2632" s="1">
        <v>1045114.6308174094</v>
      </c>
      <c r="D2632" s="1">
        <f t="shared" si="41"/>
        <v>-182731.8962174094</v>
      </c>
      <c r="E2632" s="1">
        <v>15</v>
      </c>
      <c r="F2632" s="1">
        <v>16</v>
      </c>
      <c r="G2632" s="1">
        <v>4</v>
      </c>
      <c r="H2632" s="1">
        <v>2</v>
      </c>
      <c r="I2632" s="1">
        <v>0</v>
      </c>
      <c r="J2632" s="1">
        <v>1</v>
      </c>
      <c r="K2632" s="1">
        <v>1</v>
      </c>
      <c r="L2632" s="1">
        <v>0</v>
      </c>
      <c r="M2632" s="1">
        <v>0</v>
      </c>
    </row>
    <row r="2633" spans="1:13">
      <c r="A2633" s="1">
        <v>2632</v>
      </c>
      <c r="B2633" s="1">
        <v>958072.21279999998</v>
      </c>
      <c r="C2633" s="1">
        <v>746534.58223067177</v>
      </c>
      <c r="D2633" s="1">
        <f t="shared" si="41"/>
        <v>211537.6305693282</v>
      </c>
      <c r="E2633" s="1">
        <v>10</v>
      </c>
      <c r="F2633" s="1">
        <v>20</v>
      </c>
      <c r="G2633" s="1">
        <v>5</v>
      </c>
      <c r="H2633" s="1">
        <v>1</v>
      </c>
      <c r="I2633" s="1">
        <v>0</v>
      </c>
      <c r="J2633" s="1">
        <v>1</v>
      </c>
      <c r="K2633" s="1">
        <v>1</v>
      </c>
      <c r="L2633" s="1">
        <v>0</v>
      </c>
      <c r="M2633" s="1">
        <v>1</v>
      </c>
    </row>
    <row r="2634" spans="1:13">
      <c r="A2634" s="1">
        <v>2633</v>
      </c>
      <c r="B2634" s="1">
        <v>1036205.5443</v>
      </c>
      <c r="C2634" s="1">
        <v>800215.06039981009</v>
      </c>
      <c r="D2634" s="1">
        <f t="shared" si="41"/>
        <v>235990.48390018987</v>
      </c>
      <c r="E2634" s="1">
        <v>6</v>
      </c>
      <c r="F2634" s="1">
        <v>23</v>
      </c>
      <c r="G2634" s="1">
        <v>6</v>
      </c>
      <c r="H2634" s="1">
        <v>2</v>
      </c>
      <c r="I2634" s="1">
        <v>0</v>
      </c>
      <c r="J2634" s="1">
        <v>0</v>
      </c>
      <c r="K2634" s="1">
        <v>2</v>
      </c>
      <c r="L2634" s="1">
        <v>0</v>
      </c>
      <c r="M2634" s="1">
        <v>1</v>
      </c>
    </row>
    <row r="2635" spans="1:13">
      <c r="A2635" s="1">
        <v>2634</v>
      </c>
      <c r="B2635" s="1">
        <v>868742.78359999997</v>
      </c>
      <c r="C2635" s="1">
        <v>873383.63193089678</v>
      </c>
      <c r="D2635" s="1">
        <f t="shared" si="41"/>
        <v>-4640.8483308968134</v>
      </c>
      <c r="E2635" s="1">
        <v>19</v>
      </c>
      <c r="F2635" s="1">
        <v>13</v>
      </c>
      <c r="G2635" s="1">
        <v>3</v>
      </c>
      <c r="H2635" s="1">
        <v>0</v>
      </c>
      <c r="I2635" s="1">
        <v>2</v>
      </c>
      <c r="J2635" s="1">
        <v>0</v>
      </c>
      <c r="K2635" s="1">
        <v>0</v>
      </c>
      <c r="L2635" s="1">
        <v>0</v>
      </c>
      <c r="M2635" s="1">
        <v>1</v>
      </c>
    </row>
    <row r="2636" spans="1:13">
      <c r="A2636" s="1">
        <v>2635</v>
      </c>
      <c r="B2636" s="1">
        <v>941013.5135</v>
      </c>
      <c r="C2636" s="1">
        <v>760565.05033693975</v>
      </c>
      <c r="D2636" s="1">
        <f t="shared" si="41"/>
        <v>180448.46316306025</v>
      </c>
      <c r="E2636" s="1">
        <v>14</v>
      </c>
      <c r="F2636" s="1">
        <v>19</v>
      </c>
      <c r="G2636" s="1">
        <v>2</v>
      </c>
      <c r="H2636" s="1">
        <v>0</v>
      </c>
      <c r="I2636" s="1">
        <v>0</v>
      </c>
      <c r="J2636" s="1">
        <v>2</v>
      </c>
      <c r="K2636" s="1">
        <v>0</v>
      </c>
      <c r="L2636" s="1">
        <v>0</v>
      </c>
      <c r="M2636" s="1">
        <v>0</v>
      </c>
    </row>
    <row r="2637" spans="1:13">
      <c r="A2637" s="1">
        <v>2636</v>
      </c>
      <c r="B2637" s="1">
        <v>920426.78170000005</v>
      </c>
      <c r="C2637" s="1">
        <v>815726.95145570568</v>
      </c>
      <c r="D2637" s="1">
        <f t="shared" si="41"/>
        <v>104699.83024429437</v>
      </c>
      <c r="E2637" s="1">
        <v>17</v>
      </c>
      <c r="F2637" s="1">
        <v>14</v>
      </c>
      <c r="G2637" s="1">
        <v>4</v>
      </c>
      <c r="H2637" s="1">
        <v>2</v>
      </c>
      <c r="I2637" s="1">
        <v>0</v>
      </c>
      <c r="J2637" s="1">
        <v>0</v>
      </c>
      <c r="K2637" s="1">
        <v>2</v>
      </c>
      <c r="L2637" s="1">
        <v>0</v>
      </c>
      <c r="M2637" s="1">
        <v>1</v>
      </c>
    </row>
    <row r="2638" spans="1:13">
      <c r="A2638" s="1">
        <v>2637</v>
      </c>
      <c r="B2638" s="1">
        <v>883636.86239999998</v>
      </c>
      <c r="C2638" s="1">
        <v>634919.281610679</v>
      </c>
      <c r="D2638" s="1">
        <f t="shared" si="41"/>
        <v>248717.58078932099</v>
      </c>
      <c r="E2638" s="1">
        <v>10</v>
      </c>
      <c r="F2638" s="1">
        <v>17</v>
      </c>
      <c r="G2638" s="1">
        <v>8</v>
      </c>
      <c r="H2638" s="1">
        <v>0</v>
      </c>
      <c r="I2638" s="1">
        <v>0</v>
      </c>
      <c r="J2638" s="1">
        <v>1</v>
      </c>
      <c r="K2638" s="1">
        <v>0</v>
      </c>
      <c r="L2638" s="1">
        <v>0</v>
      </c>
      <c r="M2638" s="1">
        <v>0</v>
      </c>
    </row>
    <row r="2639" spans="1:13">
      <c r="A2639" s="1">
        <v>2638</v>
      </c>
      <c r="B2639" s="1">
        <v>942672.64210000006</v>
      </c>
      <c r="C2639" s="1">
        <v>1383744.7300947541</v>
      </c>
      <c r="D2639" s="1">
        <f t="shared" si="41"/>
        <v>-441072.08799475408</v>
      </c>
      <c r="E2639" s="1">
        <v>10</v>
      </c>
      <c r="F2639" s="1">
        <v>20</v>
      </c>
      <c r="G2639" s="1">
        <v>5</v>
      </c>
      <c r="H2639" s="1">
        <v>0</v>
      </c>
      <c r="I2639" s="1">
        <v>0</v>
      </c>
      <c r="J2639" s="1">
        <v>1</v>
      </c>
      <c r="K2639" s="1">
        <v>1</v>
      </c>
      <c r="L2639" s="1">
        <v>0</v>
      </c>
      <c r="M2639" s="1">
        <v>0</v>
      </c>
    </row>
    <row r="2640" spans="1:13">
      <c r="A2640" s="1">
        <v>2639</v>
      </c>
      <c r="B2640" s="1">
        <v>903889.69839999999</v>
      </c>
      <c r="C2640" s="1">
        <v>1059432.8821322774</v>
      </c>
      <c r="D2640" s="1">
        <f t="shared" si="41"/>
        <v>-155543.18373227736</v>
      </c>
      <c r="E2640" s="1">
        <v>12</v>
      </c>
      <c r="F2640" s="1">
        <v>16</v>
      </c>
      <c r="G2640" s="1">
        <v>7</v>
      </c>
      <c r="H2640" s="1">
        <v>1</v>
      </c>
      <c r="I2640" s="1">
        <v>0</v>
      </c>
      <c r="J2640" s="1">
        <v>0</v>
      </c>
      <c r="K2640" s="1">
        <v>2</v>
      </c>
      <c r="L2640" s="1">
        <v>0</v>
      </c>
      <c r="M2640" s="1">
        <v>0</v>
      </c>
    </row>
    <row r="2641" spans="1:13">
      <c r="A2641" s="1">
        <v>2640</v>
      </c>
      <c r="B2641" s="1">
        <v>876672.4203</v>
      </c>
      <c r="C2641" s="1">
        <v>1198890.4085360903</v>
      </c>
      <c r="D2641" s="1">
        <f t="shared" si="41"/>
        <v>-322217.98823609028</v>
      </c>
      <c r="E2641" s="1">
        <v>16</v>
      </c>
      <c r="F2641" s="1">
        <v>13</v>
      </c>
      <c r="G2641" s="1">
        <v>6</v>
      </c>
      <c r="H2641" s="1">
        <v>0</v>
      </c>
      <c r="I2641" s="1">
        <v>0</v>
      </c>
      <c r="J2641" s="1">
        <v>0</v>
      </c>
      <c r="K2641" s="1">
        <v>0</v>
      </c>
      <c r="L2641" s="1">
        <v>0</v>
      </c>
      <c r="M2641" s="1">
        <v>0</v>
      </c>
    </row>
    <row r="2642" spans="1:13">
      <c r="A2642" s="1">
        <v>2641</v>
      </c>
      <c r="B2642" s="1">
        <v>972588.04870000004</v>
      </c>
      <c r="C2642" s="1">
        <v>743308.63809912803</v>
      </c>
      <c r="D2642" s="1">
        <f t="shared" si="41"/>
        <v>229279.41060087201</v>
      </c>
      <c r="E2642" s="1">
        <v>12</v>
      </c>
      <c r="F2642" s="1">
        <v>18</v>
      </c>
      <c r="G2642" s="1">
        <v>5</v>
      </c>
      <c r="H2642" s="1">
        <v>2</v>
      </c>
      <c r="I2642" s="1">
        <v>0</v>
      </c>
      <c r="J2642" s="1">
        <v>1</v>
      </c>
      <c r="K2642" s="1">
        <v>1</v>
      </c>
      <c r="L2642" s="1">
        <v>0</v>
      </c>
      <c r="M2642" s="1">
        <v>0</v>
      </c>
    </row>
    <row r="2643" spans="1:13">
      <c r="A2643" s="1">
        <v>2642</v>
      </c>
      <c r="B2643" s="1">
        <v>980642.73049999995</v>
      </c>
      <c r="C2643" s="1">
        <v>1234746.3799210186</v>
      </c>
      <c r="D2643" s="1">
        <f t="shared" si="41"/>
        <v>-254103.64942101866</v>
      </c>
      <c r="E2643" s="1">
        <v>9</v>
      </c>
      <c r="F2643" s="1">
        <v>21</v>
      </c>
      <c r="G2643" s="1">
        <v>5</v>
      </c>
      <c r="H2643" s="1">
        <v>2</v>
      </c>
      <c r="I2643" s="1">
        <v>0</v>
      </c>
      <c r="J2643" s="1">
        <v>0</v>
      </c>
      <c r="K2643" s="1">
        <v>0</v>
      </c>
      <c r="L2643" s="1">
        <v>0</v>
      </c>
      <c r="M2643" s="1">
        <v>0</v>
      </c>
    </row>
    <row r="2644" spans="1:13">
      <c r="A2644" s="1">
        <v>2643</v>
      </c>
      <c r="B2644" s="1">
        <v>930343.54449999996</v>
      </c>
      <c r="C2644" s="1">
        <v>802428.27007592155</v>
      </c>
      <c r="D2644" s="1">
        <f t="shared" si="41"/>
        <v>127915.27442407841</v>
      </c>
      <c r="E2644" s="1">
        <v>12</v>
      </c>
      <c r="F2644" s="1">
        <v>17</v>
      </c>
      <c r="G2644" s="1">
        <v>6</v>
      </c>
      <c r="H2644" s="1">
        <v>2</v>
      </c>
      <c r="I2644" s="1">
        <v>0</v>
      </c>
      <c r="J2644" s="1">
        <v>0</v>
      </c>
      <c r="K2644" s="1">
        <v>2</v>
      </c>
      <c r="L2644" s="1">
        <v>0</v>
      </c>
      <c r="M2644" s="1">
        <v>1</v>
      </c>
    </row>
    <row r="2645" spans="1:13">
      <c r="A2645" s="1">
        <v>2644</v>
      </c>
      <c r="B2645" s="1">
        <v>1057261.7193</v>
      </c>
      <c r="C2645" s="1">
        <v>787743.58334376488</v>
      </c>
      <c r="D2645" s="1">
        <f t="shared" si="41"/>
        <v>269518.13595623511</v>
      </c>
      <c r="E2645" s="1">
        <v>2</v>
      </c>
      <c r="F2645" s="1">
        <v>26</v>
      </c>
      <c r="G2645" s="1">
        <v>7</v>
      </c>
      <c r="H2645" s="1">
        <v>0</v>
      </c>
      <c r="I2645" s="1">
        <v>0</v>
      </c>
      <c r="J2645" s="1">
        <v>1</v>
      </c>
      <c r="K2645" s="1">
        <v>1</v>
      </c>
      <c r="L2645" s="1">
        <v>0</v>
      </c>
      <c r="M2645" s="1">
        <v>1</v>
      </c>
    </row>
    <row r="2646" spans="1:13">
      <c r="A2646" s="1">
        <v>2645</v>
      </c>
      <c r="B2646" s="1">
        <v>988760.10869999998</v>
      </c>
      <c r="C2646" s="1">
        <v>863245.66864117549</v>
      </c>
      <c r="D2646" s="1">
        <f t="shared" si="41"/>
        <v>125514.44005882449</v>
      </c>
      <c r="E2646" s="1">
        <v>16</v>
      </c>
      <c r="F2646" s="1">
        <v>14</v>
      </c>
      <c r="G2646" s="1">
        <v>5</v>
      </c>
      <c r="H2646" s="1">
        <v>0</v>
      </c>
      <c r="I2646" s="1">
        <v>1</v>
      </c>
      <c r="J2646" s="1">
        <v>1</v>
      </c>
      <c r="K2646" s="1">
        <v>0</v>
      </c>
      <c r="L2646" s="1">
        <v>1</v>
      </c>
      <c r="M2646" s="1">
        <v>0</v>
      </c>
    </row>
    <row r="2647" spans="1:13">
      <c r="A2647" s="1">
        <v>2646</v>
      </c>
      <c r="B2647" s="1">
        <v>1008859.3638000001</v>
      </c>
      <c r="C2647" s="1">
        <v>1087542.9116433309</v>
      </c>
      <c r="D2647" s="1">
        <f t="shared" si="41"/>
        <v>-78683.547843330889</v>
      </c>
      <c r="E2647" s="1">
        <v>12</v>
      </c>
      <c r="F2647" s="1">
        <v>15</v>
      </c>
      <c r="G2647" s="1">
        <v>8</v>
      </c>
      <c r="H2647" s="1">
        <v>0</v>
      </c>
      <c r="I2647" s="1">
        <v>0</v>
      </c>
      <c r="J2647" s="1">
        <v>1</v>
      </c>
      <c r="K2647" s="1">
        <v>1</v>
      </c>
      <c r="L2647" s="1">
        <v>0</v>
      </c>
      <c r="M2647" s="1">
        <v>0</v>
      </c>
    </row>
    <row r="2648" spans="1:13">
      <c r="A2648" s="1">
        <v>2647</v>
      </c>
      <c r="B2648" s="1">
        <v>838699.5747</v>
      </c>
      <c r="C2648" s="1">
        <v>776350.40905605187</v>
      </c>
      <c r="D2648" s="1">
        <f t="shared" si="41"/>
        <v>62349.16564394813</v>
      </c>
      <c r="E2648" s="1">
        <v>11</v>
      </c>
      <c r="F2648" s="1">
        <v>20</v>
      </c>
      <c r="G2648" s="1">
        <v>4</v>
      </c>
      <c r="H2648" s="1">
        <v>2</v>
      </c>
      <c r="I2648" s="1">
        <v>0</v>
      </c>
      <c r="J2648" s="1">
        <v>0</v>
      </c>
      <c r="K2648" s="1">
        <v>1</v>
      </c>
      <c r="L2648" s="1">
        <v>0</v>
      </c>
      <c r="M2648" s="1">
        <v>0</v>
      </c>
    </row>
    <row r="2649" spans="1:13">
      <c r="A2649" s="1">
        <v>2648</v>
      </c>
      <c r="B2649" s="1">
        <v>1023418.1111</v>
      </c>
      <c r="C2649" s="1">
        <v>1278576.1561165175</v>
      </c>
      <c r="D2649" s="1">
        <f t="shared" si="41"/>
        <v>-255158.04501651751</v>
      </c>
      <c r="E2649" s="1">
        <v>13</v>
      </c>
      <c r="F2649" s="1">
        <v>17</v>
      </c>
      <c r="G2649" s="1">
        <v>5</v>
      </c>
      <c r="H2649" s="1">
        <v>0</v>
      </c>
      <c r="I2649" s="1">
        <v>0</v>
      </c>
      <c r="J2649" s="1">
        <v>0</v>
      </c>
      <c r="K2649" s="1">
        <v>1</v>
      </c>
      <c r="L2649" s="1">
        <v>1</v>
      </c>
      <c r="M2649" s="1">
        <v>0</v>
      </c>
    </row>
    <row r="2650" spans="1:13">
      <c r="A2650" s="1">
        <v>2649</v>
      </c>
      <c r="B2650" s="1">
        <v>1008676.8615</v>
      </c>
      <c r="C2650" s="1">
        <v>647687.64615913341</v>
      </c>
      <c r="D2650" s="1">
        <f t="shared" si="41"/>
        <v>360989.21534086659</v>
      </c>
      <c r="E2650" s="1">
        <v>13</v>
      </c>
      <c r="F2650" s="1">
        <v>17</v>
      </c>
      <c r="G2650" s="1">
        <v>5</v>
      </c>
      <c r="H2650" s="1">
        <v>1</v>
      </c>
      <c r="I2650" s="1">
        <v>1</v>
      </c>
      <c r="J2650" s="1">
        <v>0</v>
      </c>
      <c r="K2650" s="1">
        <v>0</v>
      </c>
      <c r="L2650" s="1">
        <v>1</v>
      </c>
      <c r="M2650" s="1">
        <v>0</v>
      </c>
    </row>
    <row r="2651" spans="1:13">
      <c r="A2651" s="1">
        <v>2650</v>
      </c>
      <c r="B2651" s="1">
        <v>1144085.2379000001</v>
      </c>
      <c r="C2651" s="1">
        <v>667129.56051424693</v>
      </c>
      <c r="D2651" s="1">
        <f t="shared" si="41"/>
        <v>476955.67738575314</v>
      </c>
      <c r="E2651" s="1">
        <v>9</v>
      </c>
      <c r="F2651" s="1">
        <v>20</v>
      </c>
      <c r="G2651" s="1">
        <v>6</v>
      </c>
      <c r="H2651" s="1">
        <v>1</v>
      </c>
      <c r="I2651" s="1">
        <v>0</v>
      </c>
      <c r="J2651" s="1">
        <v>0</v>
      </c>
      <c r="K2651" s="1">
        <v>1</v>
      </c>
      <c r="L2651" s="1">
        <v>0</v>
      </c>
      <c r="M2651" s="1">
        <v>1</v>
      </c>
    </row>
    <row r="2652" spans="1:13">
      <c r="A2652" s="1">
        <v>2651</v>
      </c>
      <c r="B2652" s="1">
        <v>978960.48490000004</v>
      </c>
      <c r="C2652" s="1">
        <v>700282.70276536467</v>
      </c>
      <c r="D2652" s="1">
        <f t="shared" si="41"/>
        <v>278677.78213463537</v>
      </c>
      <c r="E2652" s="1">
        <v>9</v>
      </c>
      <c r="F2652" s="1">
        <v>19</v>
      </c>
      <c r="G2652" s="1">
        <v>7</v>
      </c>
      <c r="H2652" s="1">
        <v>1</v>
      </c>
      <c r="I2652" s="1">
        <v>0</v>
      </c>
      <c r="J2652" s="1">
        <v>0</v>
      </c>
      <c r="K2652" s="1">
        <v>0</v>
      </c>
      <c r="L2652" s="1">
        <v>0</v>
      </c>
      <c r="M2652" s="1">
        <v>0</v>
      </c>
    </row>
    <row r="2653" spans="1:13">
      <c r="A2653" s="1">
        <v>2652</v>
      </c>
      <c r="B2653" s="1">
        <v>894537.94680000003</v>
      </c>
      <c r="C2653" s="1">
        <v>1022859.5604415084</v>
      </c>
      <c r="D2653" s="1">
        <f t="shared" si="41"/>
        <v>-128321.61364150839</v>
      </c>
      <c r="E2653" s="1">
        <v>22</v>
      </c>
      <c r="F2653" s="1">
        <v>11</v>
      </c>
      <c r="G2653" s="1">
        <v>2</v>
      </c>
      <c r="H2653" s="1">
        <v>1</v>
      </c>
      <c r="I2653" s="1">
        <v>0</v>
      </c>
      <c r="J2653" s="1">
        <v>1</v>
      </c>
      <c r="K2653" s="1">
        <v>1</v>
      </c>
      <c r="L2653" s="1">
        <v>0</v>
      </c>
      <c r="M2653" s="1">
        <v>0</v>
      </c>
    </row>
    <row r="2654" spans="1:13">
      <c r="A2654" s="1">
        <v>2653</v>
      </c>
      <c r="B2654" s="1">
        <v>897921.95779999997</v>
      </c>
      <c r="C2654" s="1">
        <v>1208862.5167279504</v>
      </c>
      <c r="D2654" s="1">
        <f t="shared" si="41"/>
        <v>-310940.55892795045</v>
      </c>
      <c r="E2654" s="1">
        <v>20</v>
      </c>
      <c r="F2654" s="1">
        <v>13</v>
      </c>
      <c r="G2654" s="1">
        <v>2</v>
      </c>
      <c r="H2654" s="1">
        <v>2</v>
      </c>
      <c r="I2654" s="1">
        <v>0</v>
      </c>
      <c r="J2654" s="1">
        <v>0</v>
      </c>
      <c r="K2654" s="1">
        <v>0</v>
      </c>
      <c r="L2654" s="1">
        <v>0</v>
      </c>
      <c r="M2654" s="1">
        <v>0</v>
      </c>
    </row>
    <row r="2655" spans="1:13">
      <c r="A2655" s="1">
        <v>2654</v>
      </c>
      <c r="B2655" s="1">
        <v>1078221.4271</v>
      </c>
      <c r="C2655" s="1">
        <v>1074093.3661327194</v>
      </c>
      <c r="D2655" s="1">
        <f t="shared" si="41"/>
        <v>4128.0609672805294</v>
      </c>
      <c r="E2655" s="1">
        <v>4</v>
      </c>
      <c r="F2655" s="1">
        <v>27</v>
      </c>
      <c r="G2655" s="1">
        <v>4</v>
      </c>
      <c r="H2655" s="1">
        <v>1</v>
      </c>
      <c r="I2655" s="1">
        <v>0</v>
      </c>
      <c r="J2655" s="1">
        <v>0</v>
      </c>
      <c r="K2655" s="1">
        <v>2</v>
      </c>
      <c r="L2655" s="1">
        <v>0</v>
      </c>
      <c r="M2655" s="1">
        <v>0</v>
      </c>
    </row>
    <row r="2656" spans="1:13">
      <c r="A2656" s="1">
        <v>2655</v>
      </c>
      <c r="B2656" s="1">
        <v>997068.63060000003</v>
      </c>
      <c r="C2656" s="1">
        <v>842933.44133855682</v>
      </c>
      <c r="D2656" s="1">
        <f t="shared" si="41"/>
        <v>154135.18926144321</v>
      </c>
      <c r="E2656" s="1">
        <v>8</v>
      </c>
      <c r="F2656" s="1">
        <v>19</v>
      </c>
      <c r="G2656" s="1">
        <v>8</v>
      </c>
      <c r="H2656" s="1">
        <v>1</v>
      </c>
      <c r="I2656" s="1">
        <v>0</v>
      </c>
      <c r="J2656" s="1">
        <v>0</v>
      </c>
      <c r="K2656" s="1">
        <v>1</v>
      </c>
      <c r="L2656" s="1">
        <v>0</v>
      </c>
      <c r="M2656" s="1">
        <v>1</v>
      </c>
    </row>
    <row r="2657" spans="1:13">
      <c r="A2657" s="1">
        <v>2656</v>
      </c>
      <c r="B2657" s="1">
        <v>949196.88179999997</v>
      </c>
      <c r="C2657" s="1">
        <v>1043934.8075072982</v>
      </c>
      <c r="D2657" s="1">
        <f t="shared" si="41"/>
        <v>-94737.925707298215</v>
      </c>
      <c r="E2657" s="1">
        <v>17</v>
      </c>
      <c r="F2657" s="1">
        <v>14</v>
      </c>
      <c r="G2657" s="1">
        <v>4</v>
      </c>
      <c r="H2657" s="1">
        <v>1</v>
      </c>
      <c r="I2657" s="1">
        <v>0</v>
      </c>
      <c r="J2657" s="1">
        <v>0</v>
      </c>
      <c r="K2657" s="1">
        <v>0</v>
      </c>
      <c r="L2657" s="1">
        <v>0</v>
      </c>
      <c r="M2657" s="1">
        <v>0</v>
      </c>
    </row>
    <row r="2658" spans="1:13">
      <c r="A2658" s="1">
        <v>2657</v>
      </c>
      <c r="B2658" s="1">
        <v>980252.15139999997</v>
      </c>
      <c r="C2658" s="1">
        <v>1000792.2479278508</v>
      </c>
      <c r="D2658" s="1">
        <f t="shared" si="41"/>
        <v>-20540.096527850837</v>
      </c>
      <c r="E2658" s="1">
        <v>14</v>
      </c>
      <c r="F2658" s="1">
        <v>15</v>
      </c>
      <c r="G2658" s="1">
        <v>6</v>
      </c>
      <c r="H2658" s="1">
        <v>0</v>
      </c>
      <c r="I2658" s="1">
        <v>0</v>
      </c>
      <c r="J2658" s="1">
        <v>0</v>
      </c>
      <c r="K2658" s="1">
        <v>0</v>
      </c>
      <c r="L2658" s="1">
        <v>0</v>
      </c>
      <c r="M2658" s="1">
        <v>0</v>
      </c>
    </row>
    <row r="2659" spans="1:13">
      <c r="A2659" s="1">
        <v>2658</v>
      </c>
      <c r="B2659" s="1">
        <v>1002977.3212</v>
      </c>
      <c r="C2659" s="1">
        <v>511056.75694150198</v>
      </c>
      <c r="D2659" s="1">
        <f t="shared" si="41"/>
        <v>491920.56425849802</v>
      </c>
      <c r="E2659" s="1">
        <v>13</v>
      </c>
      <c r="F2659" s="1">
        <v>16</v>
      </c>
      <c r="G2659" s="1">
        <v>6</v>
      </c>
      <c r="H2659" s="1">
        <v>1</v>
      </c>
      <c r="I2659" s="1">
        <v>1</v>
      </c>
      <c r="J2659" s="1">
        <v>0</v>
      </c>
      <c r="K2659" s="1">
        <v>2</v>
      </c>
      <c r="L2659" s="1">
        <v>0</v>
      </c>
      <c r="M2659" s="1">
        <v>1</v>
      </c>
    </row>
    <row r="2660" spans="1:13">
      <c r="A2660" s="1">
        <v>2659</v>
      </c>
      <c r="B2660" s="1">
        <v>922816.40540000005</v>
      </c>
      <c r="C2660" s="1">
        <v>915551.88694188942</v>
      </c>
      <c r="D2660" s="1">
        <f t="shared" si="41"/>
        <v>7264.5184581106296</v>
      </c>
      <c r="E2660" s="1">
        <v>11</v>
      </c>
      <c r="F2660" s="1">
        <v>20</v>
      </c>
      <c r="G2660" s="1">
        <v>4</v>
      </c>
      <c r="H2660" s="1">
        <v>0</v>
      </c>
      <c r="I2660" s="1">
        <v>0</v>
      </c>
      <c r="J2660" s="1">
        <v>0</v>
      </c>
      <c r="K2660" s="1">
        <v>0</v>
      </c>
      <c r="L2660" s="1">
        <v>1</v>
      </c>
      <c r="M2660" s="1">
        <v>0</v>
      </c>
    </row>
    <row r="2661" spans="1:13">
      <c r="A2661" s="1">
        <v>2660</v>
      </c>
      <c r="B2661" s="1">
        <v>892987.49609999999</v>
      </c>
      <c r="C2661" s="1">
        <v>1028864.6743854439</v>
      </c>
      <c r="D2661" s="1">
        <f t="shared" si="41"/>
        <v>-135877.17828544392</v>
      </c>
      <c r="E2661" s="1">
        <v>20</v>
      </c>
      <c r="F2661" s="1">
        <v>12</v>
      </c>
      <c r="G2661" s="1">
        <v>3</v>
      </c>
      <c r="H2661" s="1">
        <v>1</v>
      </c>
      <c r="I2661" s="1">
        <v>0</v>
      </c>
      <c r="J2661" s="1">
        <v>0</v>
      </c>
      <c r="K2661" s="1">
        <v>1</v>
      </c>
      <c r="L2661" s="1">
        <v>0</v>
      </c>
      <c r="M2661" s="1">
        <v>0</v>
      </c>
    </row>
    <row r="2662" spans="1:13">
      <c r="A2662" s="1">
        <v>2661</v>
      </c>
      <c r="B2662" s="1">
        <v>843861.44799999997</v>
      </c>
      <c r="C2662" s="1">
        <v>731658.88127714442</v>
      </c>
      <c r="D2662" s="1">
        <f t="shared" si="41"/>
        <v>112202.56672285555</v>
      </c>
      <c r="E2662" s="1">
        <v>13</v>
      </c>
      <c r="F2662" s="1">
        <v>17</v>
      </c>
      <c r="G2662" s="1">
        <v>5</v>
      </c>
      <c r="H2662" s="1">
        <v>0</v>
      </c>
      <c r="I2662" s="1">
        <v>0</v>
      </c>
      <c r="J2662" s="1">
        <v>2</v>
      </c>
      <c r="K2662" s="1">
        <v>0</v>
      </c>
      <c r="L2662" s="1">
        <v>0</v>
      </c>
      <c r="M2662" s="1">
        <v>1</v>
      </c>
    </row>
    <row r="2663" spans="1:13">
      <c r="A2663" s="1">
        <v>2662</v>
      </c>
      <c r="B2663" s="1">
        <v>916510.67649999994</v>
      </c>
      <c r="C2663" s="1">
        <v>693602.42815294489</v>
      </c>
      <c r="D2663" s="1">
        <f t="shared" si="41"/>
        <v>222908.24834705505</v>
      </c>
      <c r="E2663" s="1">
        <v>14</v>
      </c>
      <c r="F2663" s="1">
        <v>17</v>
      </c>
      <c r="G2663" s="1">
        <v>4</v>
      </c>
      <c r="H2663" s="1">
        <v>0</v>
      </c>
      <c r="I2663" s="1">
        <v>0</v>
      </c>
      <c r="J2663" s="1">
        <v>2</v>
      </c>
      <c r="K2663" s="1">
        <v>0</v>
      </c>
      <c r="L2663" s="1">
        <v>0</v>
      </c>
      <c r="M2663" s="1">
        <v>1</v>
      </c>
    </row>
    <row r="2664" spans="1:13">
      <c r="A2664" s="1">
        <v>2663</v>
      </c>
      <c r="B2664" s="1">
        <v>912198.7156</v>
      </c>
      <c r="C2664" s="1">
        <v>760550.73123405827</v>
      </c>
      <c r="D2664" s="1">
        <f t="shared" si="41"/>
        <v>151647.98436594172</v>
      </c>
      <c r="E2664" s="1">
        <v>14</v>
      </c>
      <c r="F2664" s="1">
        <v>19</v>
      </c>
      <c r="G2664" s="1">
        <v>2</v>
      </c>
      <c r="H2664" s="1">
        <v>0</v>
      </c>
      <c r="I2664" s="1">
        <v>0</v>
      </c>
      <c r="J2664" s="1">
        <v>0</v>
      </c>
      <c r="K2664" s="1">
        <v>2</v>
      </c>
      <c r="L2664" s="1">
        <v>0</v>
      </c>
      <c r="M2664" s="1">
        <v>0</v>
      </c>
    </row>
    <row r="2665" spans="1:13">
      <c r="A2665" s="1">
        <v>2664</v>
      </c>
      <c r="B2665" s="1">
        <v>878276.07010000001</v>
      </c>
      <c r="C2665" s="1">
        <v>965235.07818198658</v>
      </c>
      <c r="D2665" s="1">
        <f t="shared" si="41"/>
        <v>-86959.008081986569</v>
      </c>
      <c r="E2665" s="1">
        <v>20</v>
      </c>
      <c r="F2665" s="1">
        <v>12</v>
      </c>
      <c r="G2665" s="1">
        <v>3</v>
      </c>
      <c r="H2665" s="1">
        <v>0</v>
      </c>
      <c r="I2665" s="1">
        <v>0</v>
      </c>
      <c r="J2665" s="1">
        <v>1</v>
      </c>
      <c r="K2665" s="1">
        <v>0</v>
      </c>
      <c r="L2665" s="1">
        <v>0</v>
      </c>
      <c r="M2665" s="1">
        <v>0</v>
      </c>
    </row>
    <row r="2666" spans="1:13">
      <c r="A2666" s="1">
        <v>2665</v>
      </c>
      <c r="B2666" s="1">
        <v>887710.34169999999</v>
      </c>
      <c r="C2666" s="1">
        <v>829440.5181151093</v>
      </c>
      <c r="D2666" s="1">
        <f t="shared" si="41"/>
        <v>58269.823584890692</v>
      </c>
      <c r="E2666" s="1">
        <v>17</v>
      </c>
      <c r="F2666" s="1">
        <v>13</v>
      </c>
      <c r="G2666" s="1">
        <v>5</v>
      </c>
      <c r="H2666" s="1">
        <v>2</v>
      </c>
      <c r="I2666" s="1">
        <v>0</v>
      </c>
      <c r="J2666" s="1">
        <v>0</v>
      </c>
      <c r="K2666" s="1">
        <v>1</v>
      </c>
      <c r="L2666" s="1">
        <v>0</v>
      </c>
      <c r="M2666" s="1">
        <v>1</v>
      </c>
    </row>
    <row r="2667" spans="1:13">
      <c r="A2667" s="1">
        <v>2666</v>
      </c>
      <c r="B2667" s="1">
        <v>902418.64040000003</v>
      </c>
      <c r="C2667" s="1">
        <v>972852.91144442966</v>
      </c>
      <c r="D2667" s="1">
        <f t="shared" si="41"/>
        <v>-70434.271044429624</v>
      </c>
      <c r="E2667" s="1">
        <v>10</v>
      </c>
      <c r="F2667" s="1">
        <v>20</v>
      </c>
      <c r="G2667" s="1">
        <v>5</v>
      </c>
      <c r="H2667" s="1">
        <v>0</v>
      </c>
      <c r="I2667" s="1">
        <v>0</v>
      </c>
      <c r="J2667" s="1">
        <v>1</v>
      </c>
      <c r="K2667" s="1">
        <v>0</v>
      </c>
      <c r="L2667" s="1">
        <v>0</v>
      </c>
      <c r="M2667" s="1">
        <v>0</v>
      </c>
    </row>
    <row r="2668" spans="1:13">
      <c r="A2668" s="1">
        <v>2667</v>
      </c>
      <c r="B2668" s="1">
        <v>995427.69720000005</v>
      </c>
      <c r="C2668" s="1">
        <v>524677.70934912469</v>
      </c>
      <c r="D2668" s="1">
        <f t="shared" si="41"/>
        <v>470749.98785087536</v>
      </c>
      <c r="E2668" s="1">
        <v>9</v>
      </c>
      <c r="F2668" s="1">
        <v>21</v>
      </c>
      <c r="G2668" s="1">
        <v>5</v>
      </c>
      <c r="H2668" s="1">
        <v>1</v>
      </c>
      <c r="I2668" s="1">
        <v>0</v>
      </c>
      <c r="J2668" s="1">
        <v>0</v>
      </c>
      <c r="K2668" s="1">
        <v>1</v>
      </c>
      <c r="L2668" s="1">
        <v>0</v>
      </c>
      <c r="M2668" s="1">
        <v>0</v>
      </c>
    </row>
    <row r="2669" spans="1:13">
      <c r="A2669" s="1">
        <v>2668</v>
      </c>
      <c r="B2669" s="1">
        <v>861851.69259999995</v>
      </c>
      <c r="C2669" s="1">
        <v>626639.95797227684</v>
      </c>
      <c r="D2669" s="1">
        <f t="shared" si="41"/>
        <v>235211.73462772311</v>
      </c>
      <c r="E2669" s="1">
        <v>18</v>
      </c>
      <c r="F2669" s="1">
        <v>14</v>
      </c>
      <c r="G2669" s="1">
        <v>3</v>
      </c>
      <c r="H2669" s="1">
        <v>2</v>
      </c>
      <c r="I2669" s="1">
        <v>0</v>
      </c>
      <c r="J2669" s="1">
        <v>0</v>
      </c>
      <c r="K2669" s="1">
        <v>1</v>
      </c>
      <c r="L2669" s="1">
        <v>0</v>
      </c>
      <c r="M2669" s="1">
        <v>1</v>
      </c>
    </row>
    <row r="2670" spans="1:13">
      <c r="A2670" s="1">
        <v>2669</v>
      </c>
      <c r="B2670" s="1">
        <v>966050.37609999999</v>
      </c>
      <c r="C2670" s="1">
        <v>677966.14634396299</v>
      </c>
      <c r="D2670" s="1">
        <f t="shared" si="41"/>
        <v>288084.22975603701</v>
      </c>
      <c r="E2670" s="1">
        <v>9</v>
      </c>
      <c r="F2670" s="1">
        <v>17</v>
      </c>
      <c r="G2670" s="1">
        <v>9</v>
      </c>
      <c r="H2670" s="1">
        <v>0</v>
      </c>
      <c r="I2670" s="1">
        <v>2</v>
      </c>
      <c r="J2670" s="1">
        <v>0</v>
      </c>
      <c r="K2670" s="1">
        <v>1</v>
      </c>
      <c r="L2670" s="1">
        <v>0</v>
      </c>
      <c r="M2670" s="1">
        <v>1</v>
      </c>
    </row>
    <row r="2671" spans="1:13">
      <c r="A2671" s="1">
        <v>2670</v>
      </c>
      <c r="B2671" s="1">
        <v>910141.38959999999</v>
      </c>
      <c r="C2671" s="1">
        <v>1890185.2149960925</v>
      </c>
      <c r="D2671" s="1">
        <f t="shared" si="41"/>
        <v>-980043.82539609249</v>
      </c>
      <c r="E2671" s="1">
        <v>9</v>
      </c>
      <c r="F2671" s="1">
        <v>21</v>
      </c>
      <c r="G2671" s="1">
        <v>5</v>
      </c>
      <c r="H2671" s="1">
        <v>0</v>
      </c>
      <c r="I2671" s="1">
        <v>1</v>
      </c>
      <c r="J2671" s="1">
        <v>2</v>
      </c>
      <c r="K2671" s="1">
        <v>0</v>
      </c>
      <c r="L2671" s="1">
        <v>0</v>
      </c>
      <c r="M2671" s="1">
        <v>1</v>
      </c>
    </row>
    <row r="2672" spans="1:13">
      <c r="A2672" s="1">
        <v>2671</v>
      </c>
      <c r="B2672" s="1">
        <v>884653.54339999997</v>
      </c>
      <c r="C2672" s="1">
        <v>1046122.1675156737</v>
      </c>
      <c r="D2672" s="1">
        <f t="shared" si="41"/>
        <v>-161468.62411567371</v>
      </c>
      <c r="E2672" s="1">
        <v>11</v>
      </c>
      <c r="F2672" s="1">
        <v>20</v>
      </c>
      <c r="G2672" s="1">
        <v>4</v>
      </c>
      <c r="H2672" s="1">
        <v>1</v>
      </c>
      <c r="I2672" s="1">
        <v>0</v>
      </c>
      <c r="J2672" s="1">
        <v>1</v>
      </c>
      <c r="K2672" s="1">
        <v>1</v>
      </c>
      <c r="L2672" s="1">
        <v>0</v>
      </c>
      <c r="M2672" s="1">
        <v>0</v>
      </c>
    </row>
    <row r="2673" spans="1:13">
      <c r="A2673" s="1">
        <v>2672</v>
      </c>
      <c r="B2673" s="1">
        <v>926736.59250000003</v>
      </c>
      <c r="C2673" s="1">
        <v>653519.22461158852</v>
      </c>
      <c r="D2673" s="1">
        <f t="shared" si="41"/>
        <v>273217.36788841151</v>
      </c>
      <c r="E2673" s="1">
        <v>15</v>
      </c>
      <c r="F2673" s="1">
        <v>14</v>
      </c>
      <c r="G2673" s="1">
        <v>6</v>
      </c>
      <c r="H2673" s="1">
        <v>0</v>
      </c>
      <c r="I2673" s="1">
        <v>0</v>
      </c>
      <c r="J2673" s="1">
        <v>1</v>
      </c>
      <c r="K2673" s="1">
        <v>1</v>
      </c>
      <c r="L2673" s="1">
        <v>0</v>
      </c>
      <c r="M2673" s="1">
        <v>0</v>
      </c>
    </row>
    <row r="2674" spans="1:13">
      <c r="A2674" s="1">
        <v>2673</v>
      </c>
      <c r="B2674" s="1">
        <v>994563.45640000002</v>
      </c>
      <c r="C2674" s="1">
        <v>797140.81373638147</v>
      </c>
      <c r="D2674" s="1">
        <f t="shared" si="41"/>
        <v>197422.64266361855</v>
      </c>
      <c r="E2674" s="1">
        <v>4</v>
      </c>
      <c r="F2674" s="1">
        <v>25</v>
      </c>
      <c r="G2674" s="1">
        <v>6</v>
      </c>
      <c r="H2674" s="1">
        <v>0</v>
      </c>
      <c r="I2674" s="1">
        <v>0</v>
      </c>
      <c r="J2674" s="1">
        <v>1</v>
      </c>
      <c r="K2674" s="1">
        <v>1</v>
      </c>
      <c r="L2674" s="1">
        <v>0</v>
      </c>
      <c r="M2674" s="1">
        <v>0</v>
      </c>
    </row>
    <row r="2675" spans="1:13">
      <c r="A2675" s="1">
        <v>2674</v>
      </c>
      <c r="B2675" s="1">
        <v>962877.80889999995</v>
      </c>
      <c r="C2675" s="1">
        <v>612651.84217954869</v>
      </c>
      <c r="D2675" s="1">
        <f t="shared" si="41"/>
        <v>350225.96672045125</v>
      </c>
      <c r="E2675" s="1">
        <v>14</v>
      </c>
      <c r="F2675" s="1">
        <v>17</v>
      </c>
      <c r="G2675" s="1">
        <v>4</v>
      </c>
      <c r="H2675" s="1">
        <v>1</v>
      </c>
      <c r="I2675" s="1">
        <v>0</v>
      </c>
      <c r="J2675" s="1">
        <v>1</v>
      </c>
      <c r="K2675" s="1">
        <v>1</v>
      </c>
      <c r="L2675" s="1">
        <v>0</v>
      </c>
      <c r="M2675" s="1">
        <v>0</v>
      </c>
    </row>
    <row r="2676" spans="1:13">
      <c r="A2676" s="1">
        <v>2675</v>
      </c>
      <c r="B2676" s="1">
        <v>926843.14870000002</v>
      </c>
      <c r="C2676" s="1">
        <v>1157544.3336583362</v>
      </c>
      <c r="D2676" s="1">
        <f t="shared" si="41"/>
        <v>-230701.18495833618</v>
      </c>
      <c r="E2676" s="1">
        <v>11</v>
      </c>
      <c r="F2676" s="1">
        <v>18</v>
      </c>
      <c r="G2676" s="1">
        <v>6</v>
      </c>
      <c r="H2676" s="1">
        <v>0</v>
      </c>
      <c r="I2676" s="1">
        <v>0</v>
      </c>
      <c r="J2676" s="1">
        <v>0</v>
      </c>
      <c r="K2676" s="1">
        <v>0</v>
      </c>
      <c r="L2676" s="1">
        <v>0</v>
      </c>
      <c r="M2676" s="1">
        <v>0</v>
      </c>
    </row>
    <row r="2677" spans="1:13">
      <c r="A2677" s="1">
        <v>2676</v>
      </c>
      <c r="B2677" s="1">
        <v>879443.77139999997</v>
      </c>
      <c r="C2677" s="1">
        <v>590013.04310584278</v>
      </c>
      <c r="D2677" s="1">
        <f t="shared" si="41"/>
        <v>289430.72829415719</v>
      </c>
      <c r="E2677" s="1">
        <v>17</v>
      </c>
      <c r="F2677" s="1">
        <v>15</v>
      </c>
      <c r="G2677" s="1">
        <v>3</v>
      </c>
      <c r="H2677" s="1">
        <v>1</v>
      </c>
      <c r="I2677" s="1">
        <v>0</v>
      </c>
      <c r="J2677" s="1">
        <v>0</v>
      </c>
      <c r="K2677" s="1">
        <v>2</v>
      </c>
      <c r="L2677" s="1">
        <v>0</v>
      </c>
      <c r="M2677" s="1">
        <v>1</v>
      </c>
    </row>
    <row r="2678" spans="1:13">
      <c r="A2678" s="1">
        <v>2677</v>
      </c>
      <c r="B2678" s="1">
        <v>946903.01549999998</v>
      </c>
      <c r="C2678" s="1">
        <v>919118.25116034283</v>
      </c>
      <c r="D2678" s="1">
        <f t="shared" si="41"/>
        <v>27784.764339657151</v>
      </c>
      <c r="E2678" s="1">
        <v>8</v>
      </c>
      <c r="F2678" s="1">
        <v>22</v>
      </c>
      <c r="G2678" s="1">
        <v>5</v>
      </c>
      <c r="H2678" s="1">
        <v>2</v>
      </c>
      <c r="I2678" s="1">
        <v>0</v>
      </c>
      <c r="J2678" s="1">
        <v>0</v>
      </c>
      <c r="K2678" s="1">
        <v>0</v>
      </c>
      <c r="L2678" s="1">
        <v>0</v>
      </c>
      <c r="M2678" s="1">
        <v>0</v>
      </c>
    </row>
    <row r="2679" spans="1:13">
      <c r="A2679" s="1">
        <v>2678</v>
      </c>
      <c r="B2679" s="1">
        <v>1087894.4051999999</v>
      </c>
      <c r="C2679" s="1">
        <v>875206.93726610928</v>
      </c>
      <c r="D2679" s="1">
        <f t="shared" si="41"/>
        <v>212687.46793389064</v>
      </c>
      <c r="E2679" s="1">
        <v>7</v>
      </c>
      <c r="F2679" s="1">
        <v>23</v>
      </c>
      <c r="G2679" s="1">
        <v>5</v>
      </c>
      <c r="H2679" s="1">
        <v>1</v>
      </c>
      <c r="I2679" s="1">
        <v>0</v>
      </c>
      <c r="J2679" s="1">
        <v>1</v>
      </c>
      <c r="K2679" s="1">
        <v>1</v>
      </c>
      <c r="L2679" s="1">
        <v>0</v>
      </c>
      <c r="M2679" s="1">
        <v>0</v>
      </c>
    </row>
    <row r="2680" spans="1:13">
      <c r="A2680" s="1">
        <v>2679</v>
      </c>
      <c r="B2680" s="1">
        <v>941070.022</v>
      </c>
      <c r="C2680" s="1">
        <v>4954531.4885803796</v>
      </c>
      <c r="D2680" s="1">
        <f t="shared" si="41"/>
        <v>-4013461.4665803798</v>
      </c>
      <c r="E2680" s="1">
        <v>6</v>
      </c>
      <c r="F2680" s="1">
        <v>22</v>
      </c>
      <c r="G2680" s="1">
        <v>7</v>
      </c>
      <c r="H2680" s="1">
        <v>0</v>
      </c>
      <c r="I2680" s="1">
        <v>0</v>
      </c>
      <c r="J2680" s="1">
        <v>0</v>
      </c>
      <c r="K2680" s="1">
        <v>0</v>
      </c>
      <c r="L2680" s="1">
        <v>0</v>
      </c>
      <c r="M2680" s="1">
        <v>0</v>
      </c>
    </row>
    <row r="2681" spans="1:13">
      <c r="A2681" s="1">
        <v>2680</v>
      </c>
      <c r="B2681" s="1">
        <v>923767.5048</v>
      </c>
      <c r="C2681" s="1">
        <v>1125197.2913911862</v>
      </c>
      <c r="D2681" s="1">
        <f t="shared" si="41"/>
        <v>-201429.78659118619</v>
      </c>
      <c r="E2681" s="1">
        <v>5</v>
      </c>
      <c r="F2681" s="1">
        <v>24</v>
      </c>
      <c r="G2681" s="1">
        <v>6</v>
      </c>
      <c r="H2681" s="1">
        <v>0</v>
      </c>
      <c r="I2681" s="1">
        <v>0</v>
      </c>
      <c r="J2681" s="1">
        <v>0</v>
      </c>
      <c r="K2681" s="1">
        <v>0</v>
      </c>
      <c r="L2681" s="1">
        <v>0</v>
      </c>
      <c r="M2681" s="1">
        <v>0</v>
      </c>
    </row>
    <row r="2682" spans="1:13">
      <c r="A2682" s="1">
        <v>2681</v>
      </c>
      <c r="B2682" s="1">
        <v>942950.59979999997</v>
      </c>
      <c r="C2682" s="1">
        <v>913704.17001650529</v>
      </c>
      <c r="D2682" s="1">
        <f t="shared" si="41"/>
        <v>29246.429783494677</v>
      </c>
      <c r="E2682" s="1">
        <v>15</v>
      </c>
      <c r="F2682" s="1">
        <v>16</v>
      </c>
      <c r="G2682" s="1">
        <v>4</v>
      </c>
      <c r="H2682" s="1">
        <v>0</v>
      </c>
      <c r="I2682" s="1">
        <v>0</v>
      </c>
      <c r="J2682" s="1">
        <v>0</v>
      </c>
      <c r="K2682" s="1">
        <v>1</v>
      </c>
      <c r="L2682" s="1">
        <v>0</v>
      </c>
      <c r="M2682" s="1">
        <v>0</v>
      </c>
    </row>
    <row r="2683" spans="1:13">
      <c r="A2683" s="1">
        <v>2682</v>
      </c>
      <c r="B2683" s="1">
        <v>917020.71649999998</v>
      </c>
      <c r="C2683" s="1">
        <v>380158.95906781917</v>
      </c>
      <c r="D2683" s="1">
        <f t="shared" si="41"/>
        <v>536861.75743218081</v>
      </c>
      <c r="E2683" s="1">
        <v>18</v>
      </c>
      <c r="F2683" s="1">
        <v>13</v>
      </c>
      <c r="G2683" s="1">
        <v>4</v>
      </c>
      <c r="H2683" s="1">
        <v>1</v>
      </c>
      <c r="I2683" s="1">
        <v>0</v>
      </c>
      <c r="J2683" s="1">
        <v>0</v>
      </c>
      <c r="K2683" s="1">
        <v>1</v>
      </c>
      <c r="L2683" s="1">
        <v>1</v>
      </c>
      <c r="M2683" s="1">
        <v>0</v>
      </c>
    </row>
    <row r="2684" spans="1:13">
      <c r="A2684" s="1">
        <v>2683</v>
      </c>
      <c r="B2684" s="1">
        <v>830769.49210000003</v>
      </c>
      <c r="C2684" s="1">
        <v>468527.78604729276</v>
      </c>
      <c r="D2684" s="1">
        <f t="shared" si="41"/>
        <v>362241.70605270728</v>
      </c>
      <c r="E2684" s="1">
        <v>14</v>
      </c>
      <c r="F2684" s="1">
        <v>18</v>
      </c>
      <c r="G2684" s="1">
        <v>3</v>
      </c>
      <c r="H2684" s="1">
        <v>0</v>
      </c>
      <c r="I2684" s="1">
        <v>1</v>
      </c>
      <c r="J2684" s="1">
        <v>0</v>
      </c>
      <c r="K2684" s="1">
        <v>0</v>
      </c>
      <c r="L2684" s="1">
        <v>0</v>
      </c>
      <c r="M2684" s="1">
        <v>1</v>
      </c>
    </row>
    <row r="2685" spans="1:13">
      <c r="A2685" s="1">
        <v>2684</v>
      </c>
      <c r="B2685" s="1">
        <v>966391.86880000005</v>
      </c>
      <c r="C2685" s="1">
        <v>724376.98722898832</v>
      </c>
      <c r="D2685" s="1">
        <f t="shared" si="41"/>
        <v>242014.88157101173</v>
      </c>
      <c r="E2685" s="1">
        <v>8</v>
      </c>
      <c r="F2685" s="1">
        <v>21</v>
      </c>
      <c r="G2685" s="1">
        <v>6</v>
      </c>
      <c r="H2685" s="1">
        <v>1</v>
      </c>
      <c r="I2685" s="1">
        <v>0</v>
      </c>
      <c r="J2685" s="1">
        <v>0</v>
      </c>
      <c r="K2685" s="1">
        <v>1</v>
      </c>
      <c r="L2685" s="1">
        <v>0</v>
      </c>
      <c r="M2685" s="1">
        <v>1</v>
      </c>
    </row>
    <row r="2686" spans="1:13">
      <c r="A2686" s="1">
        <v>2685</v>
      </c>
      <c r="B2686" s="1">
        <v>916416.87910000002</v>
      </c>
      <c r="C2686" s="1">
        <v>624222.98325840372</v>
      </c>
      <c r="D2686" s="1">
        <f t="shared" si="41"/>
        <v>292193.8958415963</v>
      </c>
      <c r="E2686" s="1">
        <v>14</v>
      </c>
      <c r="F2686" s="1">
        <v>16</v>
      </c>
      <c r="G2686" s="1">
        <v>5</v>
      </c>
      <c r="H2686" s="1">
        <v>1</v>
      </c>
      <c r="I2686" s="1">
        <v>1</v>
      </c>
      <c r="J2686" s="1">
        <v>1</v>
      </c>
      <c r="K2686" s="1">
        <v>1</v>
      </c>
      <c r="L2686" s="1">
        <v>0</v>
      </c>
      <c r="M2686" s="1">
        <v>0</v>
      </c>
    </row>
    <row r="2687" spans="1:13">
      <c r="A2687" s="1">
        <v>2686</v>
      </c>
      <c r="B2687" s="1">
        <v>964692.36109999998</v>
      </c>
      <c r="C2687" s="1">
        <v>712376.5584660219</v>
      </c>
      <c r="D2687" s="1">
        <f t="shared" si="41"/>
        <v>252315.80263397808</v>
      </c>
      <c r="E2687" s="1">
        <v>15</v>
      </c>
      <c r="F2687" s="1">
        <v>15</v>
      </c>
      <c r="G2687" s="1">
        <v>5</v>
      </c>
      <c r="H2687" s="1">
        <v>2</v>
      </c>
      <c r="I2687" s="1">
        <v>0</v>
      </c>
      <c r="J2687" s="1">
        <v>1</v>
      </c>
      <c r="K2687" s="1">
        <v>1</v>
      </c>
      <c r="L2687" s="1">
        <v>0</v>
      </c>
      <c r="M2687" s="1">
        <v>1</v>
      </c>
    </row>
    <row r="2688" spans="1:13">
      <c r="A2688" s="1">
        <v>2687</v>
      </c>
      <c r="B2688" s="1">
        <v>861007.9351</v>
      </c>
      <c r="C2688" s="1">
        <v>810497.70121645089</v>
      </c>
      <c r="D2688" s="1">
        <f t="shared" si="41"/>
        <v>50510.23388354911</v>
      </c>
      <c r="E2688" s="1">
        <v>11</v>
      </c>
      <c r="F2688" s="1">
        <v>20</v>
      </c>
      <c r="G2688" s="1">
        <v>4</v>
      </c>
      <c r="H2688" s="1">
        <v>0</v>
      </c>
      <c r="I2688" s="1">
        <v>0</v>
      </c>
      <c r="J2688" s="1">
        <v>2</v>
      </c>
      <c r="K2688" s="1">
        <v>0</v>
      </c>
      <c r="L2688" s="1">
        <v>0</v>
      </c>
      <c r="M2688" s="1">
        <v>0</v>
      </c>
    </row>
    <row r="2689" spans="1:13">
      <c r="A2689" s="1">
        <v>2688</v>
      </c>
      <c r="B2689" s="1">
        <v>881071.37239999999</v>
      </c>
      <c r="C2689" s="1">
        <v>726578.75060310261</v>
      </c>
      <c r="D2689" s="1">
        <f t="shared" si="41"/>
        <v>154492.62179689738</v>
      </c>
      <c r="E2689" s="1">
        <v>16</v>
      </c>
      <c r="F2689" s="1">
        <v>12</v>
      </c>
      <c r="G2689" s="1">
        <v>7</v>
      </c>
      <c r="H2689" s="1">
        <v>1</v>
      </c>
      <c r="I2689" s="1">
        <v>0</v>
      </c>
      <c r="J2689" s="1">
        <v>1</v>
      </c>
      <c r="K2689" s="1">
        <v>1</v>
      </c>
      <c r="L2689" s="1">
        <v>0</v>
      </c>
      <c r="M2689" s="1">
        <v>0</v>
      </c>
    </row>
    <row r="2690" spans="1:13">
      <c r="A2690" s="1">
        <v>2689</v>
      </c>
      <c r="B2690" s="1">
        <v>959284.37930000003</v>
      </c>
      <c r="C2690" s="1">
        <v>696372.53165461088</v>
      </c>
      <c r="D2690" s="1">
        <f t="shared" ref="D2690:D2753" si="42">B2690-C2690</f>
        <v>262911.84764538915</v>
      </c>
      <c r="E2690" s="1">
        <v>13</v>
      </c>
      <c r="F2690" s="1">
        <v>14</v>
      </c>
      <c r="G2690" s="1">
        <v>8</v>
      </c>
      <c r="H2690" s="1">
        <v>0</v>
      </c>
      <c r="I2690" s="1">
        <v>0</v>
      </c>
      <c r="J2690" s="1">
        <v>0</v>
      </c>
      <c r="K2690" s="1">
        <v>0</v>
      </c>
      <c r="L2690" s="1">
        <v>0</v>
      </c>
      <c r="M2690" s="1">
        <v>0</v>
      </c>
    </row>
    <row r="2691" spans="1:13">
      <c r="A2691" s="1">
        <v>2690</v>
      </c>
      <c r="B2691" s="1">
        <v>963394.89439999999</v>
      </c>
      <c r="C2691" s="1">
        <v>708898.59487898217</v>
      </c>
      <c r="D2691" s="1">
        <f t="shared" si="42"/>
        <v>254496.29952101782</v>
      </c>
      <c r="E2691" s="1">
        <v>8</v>
      </c>
      <c r="F2691" s="1">
        <v>22</v>
      </c>
      <c r="G2691" s="1">
        <v>5</v>
      </c>
      <c r="H2691" s="1">
        <v>1</v>
      </c>
      <c r="I2691" s="1">
        <v>0</v>
      </c>
      <c r="J2691" s="1">
        <v>1</v>
      </c>
      <c r="K2691" s="1">
        <v>0</v>
      </c>
      <c r="L2691" s="1">
        <v>0</v>
      </c>
      <c r="M2691" s="1">
        <v>0</v>
      </c>
    </row>
    <row r="2692" spans="1:13">
      <c r="A2692" s="1">
        <v>2691</v>
      </c>
      <c r="B2692" s="1">
        <v>938029.48529999994</v>
      </c>
      <c r="C2692" s="1">
        <v>493485.27845922753</v>
      </c>
      <c r="D2692" s="1">
        <f t="shared" si="42"/>
        <v>444544.20684077241</v>
      </c>
      <c r="E2692" s="1">
        <v>11</v>
      </c>
      <c r="F2692" s="1">
        <v>19</v>
      </c>
      <c r="G2692" s="1">
        <v>5</v>
      </c>
      <c r="H2692" s="1">
        <v>1</v>
      </c>
      <c r="I2692" s="1">
        <v>0</v>
      </c>
      <c r="J2692" s="1">
        <v>0</v>
      </c>
      <c r="K2692" s="1">
        <v>0</v>
      </c>
      <c r="L2692" s="1">
        <v>1</v>
      </c>
      <c r="M2692" s="1">
        <v>1</v>
      </c>
    </row>
    <row r="2693" spans="1:13">
      <c r="A2693" s="1">
        <v>2692</v>
      </c>
      <c r="B2693" s="1">
        <v>834961.30039999995</v>
      </c>
      <c r="C2693" s="1">
        <v>487621.98983777547</v>
      </c>
      <c r="D2693" s="1">
        <f t="shared" si="42"/>
        <v>347339.31056222448</v>
      </c>
      <c r="E2693" s="1">
        <v>16</v>
      </c>
      <c r="F2693" s="1">
        <v>17</v>
      </c>
      <c r="G2693" s="1">
        <v>2</v>
      </c>
      <c r="H2693" s="1">
        <v>1</v>
      </c>
      <c r="I2693" s="1">
        <v>0</v>
      </c>
      <c r="J2693" s="1">
        <v>1</v>
      </c>
      <c r="K2693" s="1">
        <v>1</v>
      </c>
      <c r="L2693" s="1">
        <v>0</v>
      </c>
      <c r="M2693" s="1">
        <v>0</v>
      </c>
    </row>
    <row r="2694" spans="1:13">
      <c r="A2694" s="1">
        <v>2693</v>
      </c>
      <c r="B2694" s="1">
        <v>1010403.2345</v>
      </c>
      <c r="C2694" s="1">
        <v>887698.54184762819</v>
      </c>
      <c r="D2694" s="1">
        <f t="shared" si="42"/>
        <v>122704.69265237183</v>
      </c>
      <c r="E2694" s="1">
        <v>4</v>
      </c>
      <c r="F2694" s="1">
        <v>26</v>
      </c>
      <c r="G2694" s="1">
        <v>5</v>
      </c>
      <c r="H2694" s="1">
        <v>1</v>
      </c>
      <c r="I2694" s="1">
        <v>0</v>
      </c>
      <c r="J2694" s="1">
        <v>0</v>
      </c>
      <c r="K2694" s="1">
        <v>2</v>
      </c>
      <c r="L2694" s="1">
        <v>0</v>
      </c>
      <c r="M2694" s="1">
        <v>0</v>
      </c>
    </row>
    <row r="2695" spans="1:13">
      <c r="A2695" s="1">
        <v>2694</v>
      </c>
      <c r="B2695" s="1">
        <v>904482.00930000003</v>
      </c>
      <c r="C2695" s="1">
        <v>521590.08887455461</v>
      </c>
      <c r="D2695" s="1">
        <f t="shared" si="42"/>
        <v>382891.92042544542</v>
      </c>
      <c r="E2695" s="1">
        <v>17</v>
      </c>
      <c r="F2695" s="1">
        <v>15</v>
      </c>
      <c r="G2695" s="1">
        <v>3</v>
      </c>
      <c r="H2695" s="1">
        <v>0</v>
      </c>
      <c r="I2695" s="1">
        <v>0</v>
      </c>
      <c r="J2695" s="1">
        <v>1</v>
      </c>
      <c r="K2695" s="1">
        <v>1</v>
      </c>
      <c r="L2695" s="1">
        <v>0</v>
      </c>
      <c r="M2695" s="1">
        <v>0</v>
      </c>
    </row>
    <row r="2696" spans="1:13">
      <c r="A2696" s="1">
        <v>2695</v>
      </c>
      <c r="B2696" s="1">
        <v>910013.7108</v>
      </c>
      <c r="C2696" s="1">
        <v>1103655.3223564373</v>
      </c>
      <c r="D2696" s="1">
        <f t="shared" si="42"/>
        <v>-193641.61155643733</v>
      </c>
      <c r="E2696" s="1">
        <v>18</v>
      </c>
      <c r="F2696" s="1">
        <v>12</v>
      </c>
      <c r="G2696" s="1">
        <v>5</v>
      </c>
      <c r="H2696" s="1">
        <v>0</v>
      </c>
      <c r="I2696" s="1">
        <v>0</v>
      </c>
      <c r="J2696" s="1">
        <v>2</v>
      </c>
      <c r="K2696" s="1">
        <v>0</v>
      </c>
      <c r="L2696" s="1">
        <v>0</v>
      </c>
      <c r="M2696" s="1">
        <v>0</v>
      </c>
    </row>
    <row r="2697" spans="1:13">
      <c r="A2697" s="1">
        <v>2696</v>
      </c>
      <c r="B2697" s="1">
        <v>909581.73360000004</v>
      </c>
      <c r="C2697" s="1">
        <v>945223.75687806623</v>
      </c>
      <c r="D2697" s="1">
        <f t="shared" si="42"/>
        <v>-35642.02327806619</v>
      </c>
      <c r="E2697" s="1">
        <v>13</v>
      </c>
      <c r="F2697" s="1">
        <v>12</v>
      </c>
      <c r="G2697" s="1">
        <v>10</v>
      </c>
      <c r="H2697" s="1">
        <v>0</v>
      </c>
      <c r="I2697" s="1">
        <v>0</v>
      </c>
      <c r="J2697" s="1">
        <v>2</v>
      </c>
      <c r="K2697" s="1">
        <v>0</v>
      </c>
      <c r="L2697" s="1">
        <v>0</v>
      </c>
      <c r="M2697" s="1">
        <v>0</v>
      </c>
    </row>
    <row r="2698" spans="1:13">
      <c r="A2698" s="1">
        <v>2697</v>
      </c>
      <c r="B2698" s="1">
        <v>902724.44559999998</v>
      </c>
      <c r="C2698" s="1">
        <v>911593.03650581278</v>
      </c>
      <c r="D2698" s="1">
        <f t="shared" si="42"/>
        <v>-8868.5909058128018</v>
      </c>
      <c r="E2698" s="1">
        <v>19</v>
      </c>
      <c r="F2698" s="1">
        <v>10</v>
      </c>
      <c r="G2698" s="1">
        <v>6</v>
      </c>
      <c r="H2698" s="1">
        <v>0</v>
      </c>
      <c r="I2698" s="1">
        <v>0</v>
      </c>
      <c r="J2698" s="1">
        <v>0</v>
      </c>
      <c r="K2698" s="1">
        <v>0</v>
      </c>
      <c r="L2698" s="1">
        <v>0</v>
      </c>
      <c r="M2698" s="1">
        <v>0</v>
      </c>
    </row>
    <row r="2699" spans="1:13">
      <c r="A2699" s="1">
        <v>2698</v>
      </c>
      <c r="B2699" s="1">
        <v>954853.97719999996</v>
      </c>
      <c r="C2699" s="1">
        <v>531533.32985415077</v>
      </c>
      <c r="D2699" s="1">
        <f t="shared" si="42"/>
        <v>423320.6473458492</v>
      </c>
      <c r="E2699" s="1">
        <v>12</v>
      </c>
      <c r="F2699" s="1">
        <v>17</v>
      </c>
      <c r="G2699" s="1">
        <v>6</v>
      </c>
      <c r="H2699" s="1">
        <v>0</v>
      </c>
      <c r="I2699" s="1">
        <v>1</v>
      </c>
      <c r="J2699" s="1">
        <v>0</v>
      </c>
      <c r="K2699" s="1">
        <v>0</v>
      </c>
      <c r="L2699" s="1">
        <v>0</v>
      </c>
      <c r="M2699" s="1">
        <v>0</v>
      </c>
    </row>
    <row r="2700" spans="1:13">
      <c r="A2700" s="1">
        <v>2699</v>
      </c>
      <c r="B2700" s="1">
        <v>1017355.5355</v>
      </c>
      <c r="C2700" s="1">
        <v>738305.54171827727</v>
      </c>
      <c r="D2700" s="1">
        <f t="shared" si="42"/>
        <v>279049.99378172273</v>
      </c>
      <c r="E2700" s="1">
        <v>6</v>
      </c>
      <c r="F2700" s="1">
        <v>25</v>
      </c>
      <c r="G2700" s="1">
        <v>4</v>
      </c>
      <c r="H2700" s="1">
        <v>1</v>
      </c>
      <c r="I2700" s="1">
        <v>0</v>
      </c>
      <c r="J2700" s="1">
        <v>1</v>
      </c>
      <c r="K2700" s="1">
        <v>0</v>
      </c>
      <c r="L2700" s="1">
        <v>0</v>
      </c>
      <c r="M2700" s="1">
        <v>0</v>
      </c>
    </row>
    <row r="2701" spans="1:13">
      <c r="A2701" s="1">
        <v>2700</v>
      </c>
      <c r="B2701" s="1">
        <v>971997.0919</v>
      </c>
      <c r="C2701" s="1">
        <v>633772.52164054464</v>
      </c>
      <c r="D2701" s="1">
        <f t="shared" si="42"/>
        <v>338224.57025945536</v>
      </c>
      <c r="E2701" s="1">
        <v>12</v>
      </c>
      <c r="F2701" s="1">
        <v>18</v>
      </c>
      <c r="G2701" s="1">
        <v>5</v>
      </c>
      <c r="H2701" s="1">
        <v>1</v>
      </c>
      <c r="I2701" s="1">
        <v>1</v>
      </c>
      <c r="J2701" s="1">
        <v>0</v>
      </c>
      <c r="K2701" s="1">
        <v>0</v>
      </c>
      <c r="L2701" s="1">
        <v>0</v>
      </c>
      <c r="M2701" s="1">
        <v>0</v>
      </c>
    </row>
    <row r="2702" spans="1:13">
      <c r="A2702" s="1">
        <v>2701</v>
      </c>
      <c r="B2702" s="1">
        <v>926290.75899999996</v>
      </c>
      <c r="C2702" s="1">
        <v>569072.46252639021</v>
      </c>
      <c r="D2702" s="1">
        <f t="shared" si="42"/>
        <v>357218.29647360975</v>
      </c>
      <c r="E2702" s="1">
        <v>12</v>
      </c>
      <c r="F2702" s="1">
        <v>16</v>
      </c>
      <c r="G2702" s="1">
        <v>7</v>
      </c>
      <c r="H2702" s="1">
        <v>0</v>
      </c>
      <c r="I2702" s="1">
        <v>1</v>
      </c>
      <c r="J2702" s="1">
        <v>2</v>
      </c>
      <c r="K2702" s="1">
        <v>0</v>
      </c>
      <c r="L2702" s="1">
        <v>0</v>
      </c>
      <c r="M2702" s="1">
        <v>0</v>
      </c>
    </row>
    <row r="2703" spans="1:13">
      <c r="A2703" s="1">
        <v>2702</v>
      </c>
      <c r="B2703" s="1">
        <v>935815.17810000002</v>
      </c>
      <c r="C2703" s="1">
        <v>727892.00733560394</v>
      </c>
      <c r="D2703" s="1">
        <f t="shared" si="42"/>
        <v>207923.17076439608</v>
      </c>
      <c r="E2703" s="1">
        <v>11</v>
      </c>
      <c r="F2703" s="1">
        <v>18</v>
      </c>
      <c r="G2703" s="1">
        <v>6</v>
      </c>
      <c r="H2703" s="1">
        <v>0</v>
      </c>
      <c r="I2703" s="1">
        <v>0</v>
      </c>
      <c r="J2703" s="1">
        <v>0</v>
      </c>
      <c r="K2703" s="1">
        <v>0</v>
      </c>
      <c r="L2703" s="1">
        <v>0</v>
      </c>
      <c r="M2703" s="1">
        <v>0</v>
      </c>
    </row>
    <row r="2704" spans="1:13">
      <c r="A2704" s="1">
        <v>2703</v>
      </c>
      <c r="B2704" s="1">
        <v>991726.83840000001</v>
      </c>
      <c r="C2704" s="1">
        <v>851154.38498991646</v>
      </c>
      <c r="D2704" s="1">
        <f t="shared" si="42"/>
        <v>140572.45341008354</v>
      </c>
      <c r="E2704" s="1">
        <v>4</v>
      </c>
      <c r="F2704" s="1">
        <v>25</v>
      </c>
      <c r="G2704" s="1">
        <v>6</v>
      </c>
      <c r="H2704" s="1">
        <v>1</v>
      </c>
      <c r="I2704" s="1">
        <v>0</v>
      </c>
      <c r="J2704" s="1">
        <v>0</v>
      </c>
      <c r="K2704" s="1">
        <v>1</v>
      </c>
      <c r="L2704" s="1">
        <v>0</v>
      </c>
      <c r="M2704" s="1">
        <v>0</v>
      </c>
    </row>
    <row r="2705" spans="1:13">
      <c r="A2705" s="1">
        <v>2704</v>
      </c>
      <c r="B2705" s="1">
        <v>938319.63580000005</v>
      </c>
      <c r="C2705" s="1">
        <v>1684580.9789286833</v>
      </c>
      <c r="D2705" s="1">
        <f t="shared" si="42"/>
        <v>-746261.34312868328</v>
      </c>
      <c r="E2705" s="1">
        <v>14</v>
      </c>
      <c r="F2705" s="1">
        <v>18</v>
      </c>
      <c r="G2705" s="1">
        <v>3</v>
      </c>
      <c r="H2705" s="1">
        <v>0</v>
      </c>
      <c r="I2705" s="1">
        <v>1</v>
      </c>
      <c r="J2705" s="1">
        <v>1</v>
      </c>
      <c r="K2705" s="1">
        <v>1</v>
      </c>
      <c r="L2705" s="1">
        <v>0</v>
      </c>
      <c r="M2705" s="1">
        <v>0</v>
      </c>
    </row>
    <row r="2706" spans="1:13">
      <c r="A2706" s="1">
        <v>2705</v>
      </c>
      <c r="B2706" s="1">
        <v>906103.42310000001</v>
      </c>
      <c r="C2706" s="1">
        <v>938555.89111618628</v>
      </c>
      <c r="D2706" s="1">
        <f t="shared" si="42"/>
        <v>-32452.468016186263</v>
      </c>
      <c r="E2706" s="1">
        <v>13</v>
      </c>
      <c r="F2706" s="1">
        <v>16</v>
      </c>
      <c r="G2706" s="1">
        <v>6</v>
      </c>
      <c r="H2706" s="1">
        <v>0</v>
      </c>
      <c r="I2706" s="1">
        <v>0</v>
      </c>
      <c r="J2706" s="1">
        <v>1</v>
      </c>
      <c r="K2706" s="1">
        <v>0</v>
      </c>
      <c r="L2706" s="1">
        <v>0</v>
      </c>
      <c r="M2706" s="1">
        <v>0</v>
      </c>
    </row>
    <row r="2707" spans="1:13">
      <c r="A2707" s="1">
        <v>2706</v>
      </c>
      <c r="B2707" s="1">
        <v>984639.46239999996</v>
      </c>
      <c r="C2707" s="1">
        <v>605914.60742701276</v>
      </c>
      <c r="D2707" s="1">
        <f t="shared" si="42"/>
        <v>378724.8549729872</v>
      </c>
      <c r="E2707" s="1">
        <v>10</v>
      </c>
      <c r="F2707" s="1">
        <v>19</v>
      </c>
      <c r="G2707" s="1">
        <v>6</v>
      </c>
      <c r="H2707" s="1">
        <v>2</v>
      </c>
      <c r="I2707" s="1">
        <v>0</v>
      </c>
      <c r="J2707" s="1">
        <v>0</v>
      </c>
      <c r="K2707" s="1">
        <v>0</v>
      </c>
      <c r="L2707" s="1">
        <v>1</v>
      </c>
      <c r="M2707" s="1">
        <v>0</v>
      </c>
    </row>
    <row r="2708" spans="1:13">
      <c r="A2708" s="1">
        <v>2707</v>
      </c>
      <c r="B2708" s="1">
        <v>943593.79209999996</v>
      </c>
      <c r="C2708" s="1">
        <v>765816.16876904923</v>
      </c>
      <c r="D2708" s="1">
        <f t="shared" si="42"/>
        <v>177777.62333095074</v>
      </c>
      <c r="E2708" s="1">
        <v>15</v>
      </c>
      <c r="F2708" s="1">
        <v>17</v>
      </c>
      <c r="G2708" s="1">
        <v>3</v>
      </c>
      <c r="H2708" s="1">
        <v>2</v>
      </c>
      <c r="I2708" s="1">
        <v>0</v>
      </c>
      <c r="J2708" s="1">
        <v>0</v>
      </c>
      <c r="K2708" s="1">
        <v>0</v>
      </c>
      <c r="L2708" s="1">
        <v>0</v>
      </c>
      <c r="M2708" s="1">
        <v>0</v>
      </c>
    </row>
    <row r="2709" spans="1:13">
      <c r="A2709" s="1">
        <v>2708</v>
      </c>
      <c r="B2709" s="1">
        <v>951203.30500000005</v>
      </c>
      <c r="C2709" s="1">
        <v>681052.41038928577</v>
      </c>
      <c r="D2709" s="1">
        <f t="shared" si="42"/>
        <v>270150.89461071428</v>
      </c>
      <c r="E2709" s="1">
        <v>18</v>
      </c>
      <c r="F2709" s="1">
        <v>10</v>
      </c>
      <c r="G2709" s="1">
        <v>7</v>
      </c>
      <c r="H2709" s="1">
        <v>1</v>
      </c>
      <c r="I2709" s="1">
        <v>0</v>
      </c>
      <c r="J2709" s="1">
        <v>0</v>
      </c>
      <c r="K2709" s="1">
        <v>0</v>
      </c>
      <c r="L2709" s="1">
        <v>1</v>
      </c>
      <c r="M2709" s="1">
        <v>0</v>
      </c>
    </row>
    <row r="2710" spans="1:13">
      <c r="A2710" s="1">
        <v>2709</v>
      </c>
      <c r="B2710" s="1">
        <v>967728.94640000002</v>
      </c>
      <c r="C2710" s="1">
        <v>837921.3869093064</v>
      </c>
      <c r="D2710" s="1">
        <f t="shared" si="42"/>
        <v>129807.55949069362</v>
      </c>
      <c r="E2710" s="1">
        <v>16</v>
      </c>
      <c r="F2710" s="1">
        <v>16</v>
      </c>
      <c r="G2710" s="1">
        <v>3</v>
      </c>
      <c r="H2710" s="1">
        <v>0</v>
      </c>
      <c r="I2710" s="1">
        <v>0</v>
      </c>
      <c r="J2710" s="1">
        <v>0</v>
      </c>
      <c r="K2710" s="1">
        <v>2</v>
      </c>
      <c r="L2710" s="1">
        <v>0</v>
      </c>
      <c r="M2710" s="1">
        <v>0</v>
      </c>
    </row>
    <row r="2711" spans="1:13">
      <c r="A2711" s="1">
        <v>2710</v>
      </c>
      <c r="B2711" s="1">
        <v>896121.55480000004</v>
      </c>
      <c r="C2711" s="1">
        <v>835543.99575489596</v>
      </c>
      <c r="D2711" s="1">
        <f t="shared" si="42"/>
        <v>60577.559045104077</v>
      </c>
      <c r="E2711" s="1">
        <v>16</v>
      </c>
      <c r="F2711" s="1">
        <v>11</v>
      </c>
      <c r="G2711" s="1">
        <v>8</v>
      </c>
      <c r="H2711" s="1">
        <v>1</v>
      </c>
      <c r="I2711" s="1">
        <v>0</v>
      </c>
      <c r="J2711" s="1">
        <v>0</v>
      </c>
      <c r="K2711" s="1">
        <v>0</v>
      </c>
      <c r="L2711" s="1">
        <v>0</v>
      </c>
      <c r="M2711" s="1">
        <v>0</v>
      </c>
    </row>
    <row r="2712" spans="1:13">
      <c r="A2712" s="1">
        <v>2711</v>
      </c>
      <c r="B2712" s="1">
        <v>904214.00069999998</v>
      </c>
      <c r="C2712" s="1">
        <v>654067.339141567</v>
      </c>
      <c r="D2712" s="1">
        <f t="shared" si="42"/>
        <v>250146.66155843297</v>
      </c>
      <c r="E2712" s="1">
        <v>20</v>
      </c>
      <c r="F2712" s="1">
        <v>12</v>
      </c>
      <c r="G2712" s="1">
        <v>3</v>
      </c>
      <c r="H2712" s="1">
        <v>0</v>
      </c>
      <c r="I2712" s="1">
        <v>1</v>
      </c>
      <c r="J2712" s="1">
        <v>2</v>
      </c>
      <c r="K2712" s="1">
        <v>0</v>
      </c>
      <c r="L2712" s="1">
        <v>0</v>
      </c>
      <c r="M2712" s="1">
        <v>0</v>
      </c>
    </row>
    <row r="2713" spans="1:13">
      <c r="A2713" s="1">
        <v>2712</v>
      </c>
      <c r="B2713" s="1">
        <v>931394.81869999995</v>
      </c>
      <c r="C2713" s="1">
        <v>889608.57112412679</v>
      </c>
      <c r="D2713" s="1">
        <f t="shared" si="42"/>
        <v>41786.24757587316</v>
      </c>
      <c r="E2713" s="1">
        <v>4</v>
      </c>
      <c r="F2713" s="1">
        <v>25</v>
      </c>
      <c r="G2713" s="1">
        <v>6</v>
      </c>
      <c r="H2713" s="1">
        <v>0</v>
      </c>
      <c r="I2713" s="1">
        <v>0</v>
      </c>
      <c r="J2713" s="1">
        <v>1</v>
      </c>
      <c r="K2713" s="1">
        <v>0</v>
      </c>
      <c r="L2713" s="1">
        <v>0</v>
      </c>
      <c r="M2713" s="1">
        <v>0</v>
      </c>
    </row>
    <row r="2714" spans="1:13">
      <c r="A2714" s="1">
        <v>2713</v>
      </c>
      <c r="B2714" s="1">
        <v>896872.16170000006</v>
      </c>
      <c r="C2714" s="1">
        <v>859160.10270167189</v>
      </c>
      <c r="D2714" s="1">
        <f t="shared" si="42"/>
        <v>37712.058998328168</v>
      </c>
      <c r="E2714" s="1">
        <v>19</v>
      </c>
      <c r="F2714" s="1">
        <v>13</v>
      </c>
      <c r="G2714" s="1">
        <v>3</v>
      </c>
      <c r="H2714" s="1">
        <v>1</v>
      </c>
      <c r="I2714" s="1">
        <v>0</v>
      </c>
      <c r="J2714" s="1">
        <v>0</v>
      </c>
      <c r="K2714" s="1">
        <v>1</v>
      </c>
      <c r="L2714" s="1">
        <v>1</v>
      </c>
      <c r="M2714" s="1">
        <v>0</v>
      </c>
    </row>
    <row r="2715" spans="1:13">
      <c r="A2715" s="1">
        <v>2714</v>
      </c>
      <c r="B2715" s="1">
        <v>872269.87009999994</v>
      </c>
      <c r="C2715" s="1">
        <v>666770.19583330431</v>
      </c>
      <c r="D2715" s="1">
        <f t="shared" si="42"/>
        <v>205499.67426669563</v>
      </c>
      <c r="E2715" s="1">
        <v>13</v>
      </c>
      <c r="F2715" s="1">
        <v>15</v>
      </c>
      <c r="G2715" s="1">
        <v>7</v>
      </c>
      <c r="H2715" s="1">
        <v>2</v>
      </c>
      <c r="I2715" s="1">
        <v>0</v>
      </c>
      <c r="J2715" s="1">
        <v>2</v>
      </c>
      <c r="K2715" s="1">
        <v>0</v>
      </c>
      <c r="L2715" s="1">
        <v>0</v>
      </c>
      <c r="M2715" s="1">
        <v>1</v>
      </c>
    </row>
    <row r="2716" spans="1:13">
      <c r="A2716" s="1">
        <v>2715</v>
      </c>
      <c r="B2716" s="1">
        <v>1031586.3765</v>
      </c>
      <c r="C2716" s="1">
        <v>711007.09567573294</v>
      </c>
      <c r="D2716" s="1">
        <f t="shared" si="42"/>
        <v>320579.28082426707</v>
      </c>
      <c r="E2716" s="1">
        <v>10</v>
      </c>
      <c r="F2716" s="1">
        <v>17</v>
      </c>
      <c r="G2716" s="1">
        <v>8</v>
      </c>
      <c r="H2716" s="1">
        <v>1</v>
      </c>
      <c r="I2716" s="1">
        <v>0</v>
      </c>
      <c r="J2716" s="1">
        <v>0</v>
      </c>
      <c r="K2716" s="1">
        <v>2</v>
      </c>
      <c r="L2716" s="1">
        <v>0</v>
      </c>
      <c r="M2716" s="1">
        <v>0</v>
      </c>
    </row>
    <row r="2717" spans="1:13">
      <c r="A2717" s="1">
        <v>2716</v>
      </c>
      <c r="B2717" s="1">
        <v>1097900.4169000001</v>
      </c>
      <c r="C2717" s="1">
        <v>927218.85009927815</v>
      </c>
      <c r="D2717" s="1">
        <f t="shared" si="42"/>
        <v>170681.56680072192</v>
      </c>
      <c r="E2717" s="1">
        <v>17</v>
      </c>
      <c r="F2717" s="1">
        <v>14</v>
      </c>
      <c r="G2717" s="1">
        <v>4</v>
      </c>
      <c r="H2717" s="1">
        <v>2</v>
      </c>
      <c r="I2717" s="1">
        <v>0</v>
      </c>
      <c r="J2717" s="1">
        <v>0</v>
      </c>
      <c r="K2717" s="1">
        <v>0</v>
      </c>
      <c r="L2717" s="1">
        <v>0</v>
      </c>
      <c r="M2717" s="1">
        <v>0</v>
      </c>
    </row>
    <row r="2718" spans="1:13">
      <c r="A2718" s="1">
        <v>2717</v>
      </c>
      <c r="B2718" s="1">
        <v>912128.00939999998</v>
      </c>
      <c r="C2718" s="1">
        <v>750709.02738741296</v>
      </c>
      <c r="D2718" s="1">
        <f t="shared" si="42"/>
        <v>161418.98201258702</v>
      </c>
      <c r="E2718" s="1">
        <v>13</v>
      </c>
      <c r="F2718" s="1">
        <v>17</v>
      </c>
      <c r="G2718" s="1">
        <v>5</v>
      </c>
      <c r="H2718" s="1">
        <v>2</v>
      </c>
      <c r="I2718" s="1">
        <v>0</v>
      </c>
      <c r="J2718" s="1">
        <v>1</v>
      </c>
      <c r="K2718" s="1">
        <v>1</v>
      </c>
      <c r="L2718" s="1">
        <v>0</v>
      </c>
      <c r="M2718" s="1">
        <v>0</v>
      </c>
    </row>
    <row r="2719" spans="1:13">
      <c r="A2719" s="1">
        <v>2718</v>
      </c>
      <c r="B2719" s="1">
        <v>951483.74419999996</v>
      </c>
      <c r="C2719" s="1">
        <v>669573.47382659162</v>
      </c>
      <c r="D2719" s="1">
        <f t="shared" si="42"/>
        <v>281910.27037340833</v>
      </c>
      <c r="E2719" s="1">
        <v>4</v>
      </c>
      <c r="F2719" s="1">
        <v>27</v>
      </c>
      <c r="G2719" s="1">
        <v>4</v>
      </c>
      <c r="H2719" s="1">
        <v>1</v>
      </c>
      <c r="I2719" s="1">
        <v>1</v>
      </c>
      <c r="J2719" s="1">
        <v>0</v>
      </c>
      <c r="K2719" s="1">
        <v>2</v>
      </c>
      <c r="L2719" s="1">
        <v>0</v>
      </c>
      <c r="M2719" s="1">
        <v>0</v>
      </c>
    </row>
    <row r="2720" spans="1:13">
      <c r="A2720" s="1">
        <v>2719</v>
      </c>
      <c r="B2720" s="1">
        <v>886254.29200000002</v>
      </c>
      <c r="C2720" s="1">
        <v>680643.39984822378</v>
      </c>
      <c r="D2720" s="1">
        <f t="shared" si="42"/>
        <v>205610.89215177624</v>
      </c>
      <c r="E2720" s="1">
        <v>10</v>
      </c>
      <c r="F2720" s="1">
        <v>19</v>
      </c>
      <c r="G2720" s="1">
        <v>6</v>
      </c>
      <c r="H2720" s="1">
        <v>1</v>
      </c>
      <c r="I2720" s="1">
        <v>1</v>
      </c>
      <c r="J2720" s="1">
        <v>0</v>
      </c>
      <c r="K2720" s="1">
        <v>1</v>
      </c>
      <c r="L2720" s="1">
        <v>0</v>
      </c>
      <c r="M2720" s="1">
        <v>1</v>
      </c>
    </row>
    <row r="2721" spans="1:13">
      <c r="A2721" s="1">
        <v>2720</v>
      </c>
      <c r="B2721" s="1">
        <v>943009.65830000001</v>
      </c>
      <c r="C2721" s="1">
        <v>950658.2480781558</v>
      </c>
      <c r="D2721" s="1">
        <f t="shared" si="42"/>
        <v>-7648.5897781557869</v>
      </c>
      <c r="E2721" s="1">
        <v>13</v>
      </c>
      <c r="F2721" s="1">
        <v>13</v>
      </c>
      <c r="G2721" s="1">
        <v>9</v>
      </c>
      <c r="H2721" s="1">
        <v>2</v>
      </c>
      <c r="I2721" s="1">
        <v>0</v>
      </c>
      <c r="J2721" s="1">
        <v>0</v>
      </c>
      <c r="K2721" s="1">
        <v>1</v>
      </c>
      <c r="L2721" s="1">
        <v>0</v>
      </c>
      <c r="M2721" s="1">
        <v>1</v>
      </c>
    </row>
    <row r="2722" spans="1:13">
      <c r="A2722" s="1">
        <v>2721</v>
      </c>
      <c r="B2722" s="1">
        <v>944731.08189999999</v>
      </c>
      <c r="C2722" s="1">
        <v>1180837.8851639521</v>
      </c>
      <c r="D2722" s="1">
        <f t="shared" si="42"/>
        <v>-236106.80326395214</v>
      </c>
      <c r="E2722" s="1">
        <v>17</v>
      </c>
      <c r="F2722" s="1">
        <v>12</v>
      </c>
      <c r="G2722" s="1">
        <v>6</v>
      </c>
      <c r="H2722" s="1">
        <v>0</v>
      </c>
      <c r="I2722" s="1">
        <v>0</v>
      </c>
      <c r="J2722" s="1">
        <v>0</v>
      </c>
      <c r="K2722" s="1">
        <v>1</v>
      </c>
      <c r="L2722" s="1">
        <v>0</v>
      </c>
      <c r="M2722" s="1">
        <v>0</v>
      </c>
    </row>
    <row r="2723" spans="1:13">
      <c r="A2723" s="1">
        <v>2722</v>
      </c>
      <c r="B2723" s="1">
        <v>904670.31039999996</v>
      </c>
      <c r="C2723" s="1">
        <v>851993.38440455718</v>
      </c>
      <c r="D2723" s="1">
        <f t="shared" si="42"/>
        <v>52676.925995442783</v>
      </c>
      <c r="E2723" s="1">
        <v>12</v>
      </c>
      <c r="F2723" s="1">
        <v>21</v>
      </c>
      <c r="G2723" s="1">
        <v>2</v>
      </c>
      <c r="H2723" s="1">
        <v>1</v>
      </c>
      <c r="I2723" s="1">
        <v>0</v>
      </c>
      <c r="J2723" s="1">
        <v>1</v>
      </c>
      <c r="K2723" s="1">
        <v>0</v>
      </c>
      <c r="L2723" s="1">
        <v>0</v>
      </c>
      <c r="M2723" s="1">
        <v>0</v>
      </c>
    </row>
    <row r="2724" spans="1:13">
      <c r="A2724" s="1">
        <v>2723</v>
      </c>
      <c r="B2724" s="1">
        <v>884144.5675</v>
      </c>
      <c r="C2724" s="1">
        <v>915750.19448733935</v>
      </c>
      <c r="D2724" s="1">
        <f t="shared" si="42"/>
        <v>-31605.626987339347</v>
      </c>
      <c r="E2724" s="1">
        <v>15</v>
      </c>
      <c r="F2724" s="1">
        <v>16</v>
      </c>
      <c r="G2724" s="1">
        <v>4</v>
      </c>
      <c r="H2724" s="1">
        <v>2</v>
      </c>
      <c r="I2724" s="1">
        <v>0</v>
      </c>
      <c r="J2724" s="1">
        <v>0</v>
      </c>
      <c r="K2724" s="1">
        <v>0</v>
      </c>
      <c r="L2724" s="1">
        <v>0</v>
      </c>
      <c r="M2724" s="1">
        <v>0</v>
      </c>
    </row>
    <row r="2725" spans="1:13">
      <c r="A2725" s="1">
        <v>2724</v>
      </c>
      <c r="B2725" s="1">
        <v>843223.39119999995</v>
      </c>
      <c r="C2725" s="1">
        <v>920752.65008219366</v>
      </c>
      <c r="D2725" s="1">
        <f t="shared" si="42"/>
        <v>-77529.25888219371</v>
      </c>
      <c r="E2725" s="1">
        <v>18</v>
      </c>
      <c r="F2725" s="1">
        <v>14</v>
      </c>
      <c r="G2725" s="1">
        <v>3</v>
      </c>
      <c r="H2725" s="1">
        <v>1</v>
      </c>
      <c r="I2725" s="1">
        <v>0</v>
      </c>
      <c r="J2725" s="1">
        <v>1</v>
      </c>
      <c r="K2725" s="1">
        <v>1</v>
      </c>
      <c r="L2725" s="1">
        <v>0</v>
      </c>
      <c r="M2725" s="1">
        <v>1</v>
      </c>
    </row>
    <row r="2726" spans="1:13">
      <c r="A2726" s="1">
        <v>2725</v>
      </c>
      <c r="B2726" s="1">
        <v>929467.89119999995</v>
      </c>
      <c r="C2726" s="1">
        <v>696911.50430006941</v>
      </c>
      <c r="D2726" s="1">
        <f t="shared" si="42"/>
        <v>232556.38689993054</v>
      </c>
      <c r="E2726" s="1">
        <v>15</v>
      </c>
      <c r="F2726" s="1">
        <v>13</v>
      </c>
      <c r="G2726" s="1">
        <v>7</v>
      </c>
      <c r="H2726" s="1">
        <v>0</v>
      </c>
      <c r="I2726" s="1">
        <v>0</v>
      </c>
      <c r="J2726" s="1">
        <v>1</v>
      </c>
      <c r="K2726" s="1">
        <v>0</v>
      </c>
      <c r="L2726" s="1">
        <v>0</v>
      </c>
      <c r="M2726" s="1">
        <v>1</v>
      </c>
    </row>
    <row r="2727" spans="1:13">
      <c r="A2727" s="1">
        <v>2726</v>
      </c>
      <c r="B2727" s="1">
        <v>929705.33169999998</v>
      </c>
      <c r="C2727" s="1">
        <v>815583.26668990566</v>
      </c>
      <c r="D2727" s="1">
        <f t="shared" si="42"/>
        <v>114122.06501009432</v>
      </c>
      <c r="E2727" s="1">
        <v>10</v>
      </c>
      <c r="F2727" s="1">
        <v>20</v>
      </c>
      <c r="G2727" s="1">
        <v>5</v>
      </c>
      <c r="H2727" s="1">
        <v>1</v>
      </c>
      <c r="I2727" s="1">
        <v>0</v>
      </c>
      <c r="J2727" s="1">
        <v>1</v>
      </c>
      <c r="K2727" s="1">
        <v>1</v>
      </c>
      <c r="L2727" s="1">
        <v>0</v>
      </c>
      <c r="M2727" s="1">
        <v>0</v>
      </c>
    </row>
    <row r="2728" spans="1:13">
      <c r="A2728" s="1">
        <v>2727</v>
      </c>
      <c r="B2728" s="1">
        <v>1023991.8935</v>
      </c>
      <c r="C2728" s="1">
        <v>813888.58074161899</v>
      </c>
      <c r="D2728" s="1">
        <f t="shared" si="42"/>
        <v>210103.31275838101</v>
      </c>
      <c r="E2728" s="1">
        <v>12</v>
      </c>
      <c r="F2728" s="1">
        <v>16</v>
      </c>
      <c r="G2728" s="1">
        <v>7</v>
      </c>
      <c r="H2728" s="1">
        <v>1</v>
      </c>
      <c r="I2728" s="1">
        <v>0</v>
      </c>
      <c r="J2728" s="1">
        <v>1</v>
      </c>
      <c r="K2728" s="1">
        <v>0</v>
      </c>
      <c r="L2728" s="1">
        <v>0</v>
      </c>
      <c r="M2728" s="1">
        <v>0</v>
      </c>
    </row>
    <row r="2729" spans="1:13">
      <c r="A2729" s="1">
        <v>2728</v>
      </c>
      <c r="B2729" s="1">
        <v>806003.4584</v>
      </c>
      <c r="C2729" s="1">
        <v>1526401.1325014154</v>
      </c>
      <c r="D2729" s="1">
        <f t="shared" si="42"/>
        <v>-720397.67410141544</v>
      </c>
      <c r="E2729" s="1">
        <v>12</v>
      </c>
      <c r="F2729" s="1">
        <v>20</v>
      </c>
      <c r="G2729" s="1">
        <v>3</v>
      </c>
      <c r="H2729" s="1">
        <v>2</v>
      </c>
      <c r="I2729" s="1">
        <v>0</v>
      </c>
      <c r="J2729" s="1">
        <v>1</v>
      </c>
      <c r="K2729" s="1">
        <v>1</v>
      </c>
      <c r="L2729" s="1">
        <v>0</v>
      </c>
      <c r="M2729" s="1">
        <v>1</v>
      </c>
    </row>
    <row r="2730" spans="1:13">
      <c r="A2730" s="1">
        <v>2729</v>
      </c>
      <c r="B2730" s="1">
        <v>885084.77119999996</v>
      </c>
      <c r="C2730" s="1">
        <v>913508.44321744272</v>
      </c>
      <c r="D2730" s="1">
        <f t="shared" si="42"/>
        <v>-28423.672017442761</v>
      </c>
      <c r="E2730" s="1">
        <v>16</v>
      </c>
      <c r="F2730" s="1">
        <v>15</v>
      </c>
      <c r="G2730" s="1">
        <v>4</v>
      </c>
      <c r="H2730" s="1">
        <v>0</v>
      </c>
      <c r="I2730" s="1">
        <v>0</v>
      </c>
      <c r="J2730" s="1">
        <v>0</v>
      </c>
      <c r="K2730" s="1">
        <v>2</v>
      </c>
      <c r="L2730" s="1">
        <v>0</v>
      </c>
      <c r="M2730" s="1">
        <v>0</v>
      </c>
    </row>
    <row r="2731" spans="1:13">
      <c r="A2731" s="1">
        <v>2730</v>
      </c>
      <c r="B2731" s="1">
        <v>891526.73129999998</v>
      </c>
      <c r="C2731" s="1">
        <v>6615011.3464194154</v>
      </c>
      <c r="D2731" s="1">
        <f t="shared" si="42"/>
        <v>-5723484.6151194153</v>
      </c>
      <c r="E2731" s="1">
        <v>16</v>
      </c>
      <c r="F2731" s="1">
        <v>14</v>
      </c>
      <c r="G2731" s="1">
        <v>5</v>
      </c>
      <c r="H2731" s="1">
        <v>1</v>
      </c>
      <c r="I2731" s="1">
        <v>1</v>
      </c>
      <c r="J2731" s="1">
        <v>0</v>
      </c>
      <c r="K2731" s="1">
        <v>1</v>
      </c>
      <c r="L2731" s="1">
        <v>0</v>
      </c>
      <c r="M2731" s="1">
        <v>1</v>
      </c>
    </row>
    <row r="2732" spans="1:13">
      <c r="A2732" s="1">
        <v>2731</v>
      </c>
      <c r="B2732" s="1">
        <v>1072086.3846</v>
      </c>
      <c r="C2732" s="1">
        <v>861543.55002421653</v>
      </c>
      <c r="D2732" s="1">
        <f t="shared" si="42"/>
        <v>210542.83457578346</v>
      </c>
      <c r="E2732" s="1">
        <v>5</v>
      </c>
      <c r="F2732" s="1">
        <v>21</v>
      </c>
      <c r="G2732" s="1">
        <v>9</v>
      </c>
      <c r="H2732" s="1">
        <v>1</v>
      </c>
      <c r="I2732" s="1">
        <v>1</v>
      </c>
      <c r="J2732" s="1">
        <v>0</v>
      </c>
      <c r="K2732" s="1">
        <v>0</v>
      </c>
      <c r="L2732" s="1">
        <v>1</v>
      </c>
      <c r="M2732" s="1">
        <v>0</v>
      </c>
    </row>
    <row r="2733" spans="1:13">
      <c r="A2733" s="1">
        <v>2732</v>
      </c>
      <c r="B2733" s="1">
        <v>753018.22219999996</v>
      </c>
      <c r="C2733" s="1">
        <v>836607.51652490709</v>
      </c>
      <c r="D2733" s="1">
        <f t="shared" si="42"/>
        <v>-83589.294324907125</v>
      </c>
      <c r="E2733" s="1">
        <v>26</v>
      </c>
      <c r="F2733" s="1">
        <v>5</v>
      </c>
      <c r="G2733" s="1">
        <v>4</v>
      </c>
      <c r="H2733" s="1">
        <v>1</v>
      </c>
      <c r="I2733" s="1">
        <v>0</v>
      </c>
      <c r="J2733" s="1">
        <v>0</v>
      </c>
      <c r="K2733" s="1">
        <v>0</v>
      </c>
      <c r="L2733" s="1">
        <v>0</v>
      </c>
      <c r="M2733" s="1">
        <v>1</v>
      </c>
    </row>
    <row r="2734" spans="1:13">
      <c r="A2734" s="1">
        <v>2733</v>
      </c>
      <c r="B2734" s="1">
        <v>878251.78090000001</v>
      </c>
      <c r="C2734" s="1">
        <v>713296.11823837389</v>
      </c>
      <c r="D2734" s="1">
        <f t="shared" si="42"/>
        <v>164955.66266162612</v>
      </c>
      <c r="E2734" s="1">
        <v>20</v>
      </c>
      <c r="F2734" s="1">
        <v>11</v>
      </c>
      <c r="G2734" s="1">
        <v>4</v>
      </c>
      <c r="H2734" s="1">
        <v>0</v>
      </c>
      <c r="I2734" s="1">
        <v>0</v>
      </c>
      <c r="J2734" s="1">
        <v>0</v>
      </c>
      <c r="K2734" s="1">
        <v>1</v>
      </c>
      <c r="L2734" s="1">
        <v>0</v>
      </c>
      <c r="M2734" s="1">
        <v>1</v>
      </c>
    </row>
    <row r="2735" spans="1:13">
      <c r="A2735" s="1">
        <v>2734</v>
      </c>
      <c r="B2735" s="1">
        <v>956120.12699999998</v>
      </c>
      <c r="C2735" s="1">
        <v>847231.94724158989</v>
      </c>
      <c r="D2735" s="1">
        <f t="shared" si="42"/>
        <v>108888.17975841009</v>
      </c>
      <c r="E2735" s="1">
        <v>9</v>
      </c>
      <c r="F2735" s="1">
        <v>20</v>
      </c>
      <c r="G2735" s="1">
        <v>6</v>
      </c>
      <c r="H2735" s="1">
        <v>0</v>
      </c>
      <c r="I2735" s="1">
        <v>1</v>
      </c>
      <c r="J2735" s="1">
        <v>0</v>
      </c>
      <c r="K2735" s="1">
        <v>1</v>
      </c>
      <c r="L2735" s="1">
        <v>0</v>
      </c>
      <c r="M2735" s="1">
        <v>0</v>
      </c>
    </row>
    <row r="2736" spans="1:13">
      <c r="A2736" s="1">
        <v>2735</v>
      </c>
      <c r="B2736" s="1">
        <v>818893.82250000001</v>
      </c>
      <c r="C2736" s="1">
        <v>1064166.2593188793</v>
      </c>
      <c r="D2736" s="1">
        <f t="shared" si="42"/>
        <v>-245272.43681887933</v>
      </c>
      <c r="E2736" s="1">
        <v>23</v>
      </c>
      <c r="F2736" s="1">
        <v>10</v>
      </c>
      <c r="G2736" s="1">
        <v>2</v>
      </c>
      <c r="H2736" s="1">
        <v>1</v>
      </c>
      <c r="I2736" s="1">
        <v>0</v>
      </c>
      <c r="J2736" s="1">
        <v>0</v>
      </c>
      <c r="K2736" s="1">
        <v>1</v>
      </c>
      <c r="L2736" s="1">
        <v>0</v>
      </c>
      <c r="M2736" s="1">
        <v>1</v>
      </c>
    </row>
    <row r="2737" spans="1:13">
      <c r="A2737" s="1">
        <v>2736</v>
      </c>
      <c r="B2737" s="1">
        <v>1021055.8409</v>
      </c>
      <c r="C2737" s="1">
        <v>756678.62489765836</v>
      </c>
      <c r="D2737" s="1">
        <f t="shared" si="42"/>
        <v>264377.21600234159</v>
      </c>
      <c r="E2737" s="1">
        <v>12</v>
      </c>
      <c r="F2737" s="1">
        <v>15</v>
      </c>
      <c r="G2737" s="1">
        <v>8</v>
      </c>
      <c r="H2737" s="1">
        <v>0</v>
      </c>
      <c r="I2737" s="1">
        <v>0</v>
      </c>
      <c r="J2737" s="1">
        <v>1</v>
      </c>
      <c r="K2737" s="1">
        <v>0</v>
      </c>
      <c r="L2737" s="1">
        <v>0</v>
      </c>
      <c r="M2737" s="1">
        <v>0</v>
      </c>
    </row>
    <row r="2738" spans="1:13">
      <c r="A2738" s="1">
        <v>2737</v>
      </c>
      <c r="B2738" s="1">
        <v>993199.20050000004</v>
      </c>
      <c r="C2738" s="1">
        <v>710330.26701076922</v>
      </c>
      <c r="D2738" s="1">
        <f t="shared" si="42"/>
        <v>282868.93348923081</v>
      </c>
      <c r="E2738" s="1">
        <v>10</v>
      </c>
      <c r="F2738" s="1">
        <v>21</v>
      </c>
      <c r="G2738" s="1">
        <v>4</v>
      </c>
      <c r="H2738" s="1">
        <v>1</v>
      </c>
      <c r="I2738" s="1">
        <v>0</v>
      </c>
      <c r="J2738" s="1">
        <v>1</v>
      </c>
      <c r="K2738" s="1">
        <v>0</v>
      </c>
      <c r="L2738" s="1">
        <v>0</v>
      </c>
      <c r="M2738" s="1">
        <v>0</v>
      </c>
    </row>
    <row r="2739" spans="1:13">
      <c r="A2739" s="1">
        <v>2738</v>
      </c>
      <c r="B2739" s="1">
        <v>1006432.164</v>
      </c>
      <c r="C2739" s="1">
        <v>585589.90061262914</v>
      </c>
      <c r="D2739" s="1">
        <f t="shared" si="42"/>
        <v>420842.26338737085</v>
      </c>
      <c r="E2739" s="1">
        <v>9</v>
      </c>
      <c r="F2739" s="1">
        <v>22</v>
      </c>
      <c r="G2739" s="1">
        <v>4</v>
      </c>
      <c r="H2739" s="1">
        <v>1</v>
      </c>
      <c r="I2739" s="1">
        <v>0</v>
      </c>
      <c r="J2739" s="1">
        <v>0</v>
      </c>
      <c r="K2739" s="1">
        <v>0</v>
      </c>
      <c r="L2739" s="1">
        <v>0</v>
      </c>
      <c r="M2739" s="1">
        <v>0</v>
      </c>
    </row>
    <row r="2740" spans="1:13">
      <c r="A2740" s="1">
        <v>2739</v>
      </c>
      <c r="B2740" s="1">
        <v>1072150.2538000001</v>
      </c>
      <c r="C2740" s="1">
        <v>730605.39756034839</v>
      </c>
      <c r="D2740" s="1">
        <f t="shared" si="42"/>
        <v>341544.85623965168</v>
      </c>
      <c r="E2740" s="1">
        <v>4</v>
      </c>
      <c r="F2740" s="1">
        <v>21</v>
      </c>
      <c r="G2740" s="1">
        <v>10</v>
      </c>
      <c r="H2740" s="1">
        <v>1</v>
      </c>
      <c r="I2740" s="1">
        <v>0</v>
      </c>
      <c r="J2740" s="1">
        <v>0</v>
      </c>
      <c r="K2740" s="1">
        <v>0</v>
      </c>
      <c r="L2740" s="1">
        <v>0</v>
      </c>
      <c r="M2740" s="1">
        <v>1</v>
      </c>
    </row>
    <row r="2741" spans="1:13">
      <c r="A2741" s="1">
        <v>2740</v>
      </c>
      <c r="B2741" s="1">
        <v>971551.28500000003</v>
      </c>
      <c r="C2741" s="1">
        <v>632470.74354386062</v>
      </c>
      <c r="D2741" s="1">
        <f t="shared" si="42"/>
        <v>339080.54145613941</v>
      </c>
      <c r="E2741" s="1">
        <v>17</v>
      </c>
      <c r="F2741" s="1">
        <v>12</v>
      </c>
      <c r="G2741" s="1">
        <v>6</v>
      </c>
      <c r="H2741" s="1">
        <v>0</v>
      </c>
      <c r="I2741" s="1">
        <v>0</v>
      </c>
      <c r="J2741" s="1">
        <v>0</v>
      </c>
      <c r="K2741" s="1">
        <v>1</v>
      </c>
      <c r="L2741" s="1">
        <v>0</v>
      </c>
      <c r="M2741" s="1">
        <v>0</v>
      </c>
    </row>
    <row r="2742" spans="1:13">
      <c r="A2742" s="1">
        <v>2741</v>
      </c>
      <c r="B2742" s="1">
        <v>888370.92189999996</v>
      </c>
      <c r="C2742" s="1">
        <v>470650.71125082788</v>
      </c>
      <c r="D2742" s="1">
        <f t="shared" si="42"/>
        <v>417720.21064917208</v>
      </c>
      <c r="E2742" s="1">
        <v>13</v>
      </c>
      <c r="F2742" s="1">
        <v>15</v>
      </c>
      <c r="G2742" s="1">
        <v>7</v>
      </c>
      <c r="H2742" s="1">
        <v>0</v>
      </c>
      <c r="I2742" s="1">
        <v>0</v>
      </c>
      <c r="J2742" s="1">
        <v>2</v>
      </c>
      <c r="K2742" s="1">
        <v>0</v>
      </c>
      <c r="L2742" s="1">
        <v>0</v>
      </c>
      <c r="M2742" s="1">
        <v>0</v>
      </c>
    </row>
    <row r="2743" spans="1:13">
      <c r="A2743" s="1">
        <v>2742</v>
      </c>
      <c r="B2743" s="1">
        <v>901543.68550000002</v>
      </c>
      <c r="C2743" s="1">
        <v>1113976.2477369839</v>
      </c>
      <c r="D2743" s="1">
        <f t="shared" si="42"/>
        <v>-212432.56223698391</v>
      </c>
      <c r="E2743" s="1">
        <v>18</v>
      </c>
      <c r="F2743" s="1">
        <v>12</v>
      </c>
      <c r="G2743" s="1">
        <v>5</v>
      </c>
      <c r="H2743" s="1">
        <v>0</v>
      </c>
      <c r="I2743" s="1">
        <v>0</v>
      </c>
      <c r="J2743" s="1">
        <v>0</v>
      </c>
      <c r="K2743" s="1">
        <v>0</v>
      </c>
      <c r="L2743" s="1">
        <v>0</v>
      </c>
      <c r="M2743" s="1">
        <v>1</v>
      </c>
    </row>
    <row r="2744" spans="1:13">
      <c r="A2744" s="1">
        <v>2743</v>
      </c>
      <c r="B2744" s="1">
        <v>898878.89069999999</v>
      </c>
      <c r="C2744" s="1">
        <v>932907.56058460125</v>
      </c>
      <c r="D2744" s="1">
        <f t="shared" si="42"/>
        <v>-34028.669884601259</v>
      </c>
      <c r="E2744" s="1">
        <v>18</v>
      </c>
      <c r="F2744" s="1">
        <v>11</v>
      </c>
      <c r="G2744" s="1">
        <v>6</v>
      </c>
      <c r="H2744" s="1">
        <v>2</v>
      </c>
      <c r="I2744" s="1">
        <v>0</v>
      </c>
      <c r="J2744" s="1">
        <v>0</v>
      </c>
      <c r="K2744" s="1">
        <v>1</v>
      </c>
      <c r="L2744" s="1">
        <v>1</v>
      </c>
      <c r="M2744" s="1">
        <v>1</v>
      </c>
    </row>
    <row r="2745" spans="1:13">
      <c r="A2745" s="1">
        <v>2744</v>
      </c>
      <c r="B2745" s="1">
        <v>922469.73010000004</v>
      </c>
      <c r="C2745" s="1">
        <v>1216652.645882559</v>
      </c>
      <c r="D2745" s="1">
        <f t="shared" si="42"/>
        <v>-294182.91578255896</v>
      </c>
      <c r="E2745" s="1">
        <v>9</v>
      </c>
      <c r="F2745" s="1">
        <v>20</v>
      </c>
      <c r="G2745" s="1">
        <v>6</v>
      </c>
      <c r="H2745" s="1">
        <v>0</v>
      </c>
      <c r="I2745" s="1">
        <v>0</v>
      </c>
      <c r="J2745" s="1">
        <v>2</v>
      </c>
      <c r="K2745" s="1">
        <v>0</v>
      </c>
      <c r="L2745" s="1">
        <v>0</v>
      </c>
      <c r="M2745" s="1">
        <v>0</v>
      </c>
    </row>
    <row r="2746" spans="1:13">
      <c r="A2746" s="1">
        <v>2745</v>
      </c>
      <c r="B2746" s="1">
        <v>890775.59120000002</v>
      </c>
      <c r="C2746" s="1">
        <v>1073534.4639718283</v>
      </c>
      <c r="D2746" s="1">
        <f t="shared" si="42"/>
        <v>-182758.87277182832</v>
      </c>
      <c r="E2746" s="1">
        <v>15</v>
      </c>
      <c r="F2746" s="1">
        <v>16</v>
      </c>
      <c r="G2746" s="1">
        <v>4</v>
      </c>
      <c r="H2746" s="1">
        <v>1</v>
      </c>
      <c r="I2746" s="1">
        <v>0</v>
      </c>
      <c r="J2746" s="1">
        <v>0</v>
      </c>
      <c r="K2746" s="1">
        <v>0</v>
      </c>
      <c r="L2746" s="1">
        <v>0</v>
      </c>
      <c r="M2746" s="1">
        <v>1</v>
      </c>
    </row>
    <row r="2747" spans="1:13">
      <c r="A2747" s="1">
        <v>2746</v>
      </c>
      <c r="B2747" s="1">
        <v>859172.74580000003</v>
      </c>
      <c r="C2747" s="1">
        <v>805019.11124515533</v>
      </c>
      <c r="D2747" s="1">
        <f t="shared" si="42"/>
        <v>54153.634554844699</v>
      </c>
      <c r="E2747" s="1">
        <v>18</v>
      </c>
      <c r="F2747" s="1">
        <v>12</v>
      </c>
      <c r="G2747" s="1">
        <v>5</v>
      </c>
      <c r="H2747" s="1">
        <v>1</v>
      </c>
      <c r="I2747" s="1">
        <v>0</v>
      </c>
      <c r="J2747" s="1">
        <v>0</v>
      </c>
      <c r="K2747" s="1">
        <v>0</v>
      </c>
      <c r="L2747" s="1">
        <v>1</v>
      </c>
      <c r="M2747" s="1">
        <v>0</v>
      </c>
    </row>
    <row r="2748" spans="1:13">
      <c r="A2748" s="1">
        <v>2747</v>
      </c>
      <c r="B2748" s="1">
        <v>872812.45620000002</v>
      </c>
      <c r="C2748" s="1">
        <v>680101.27427055291</v>
      </c>
      <c r="D2748" s="1">
        <f t="shared" si="42"/>
        <v>192711.18192944711</v>
      </c>
      <c r="E2748" s="1">
        <v>12</v>
      </c>
      <c r="F2748" s="1">
        <v>17</v>
      </c>
      <c r="G2748" s="1">
        <v>6</v>
      </c>
      <c r="H2748" s="1">
        <v>1</v>
      </c>
      <c r="I2748" s="1">
        <v>0</v>
      </c>
      <c r="J2748" s="1">
        <v>1</v>
      </c>
      <c r="K2748" s="1">
        <v>0</v>
      </c>
      <c r="L2748" s="1">
        <v>0</v>
      </c>
      <c r="M2748" s="1">
        <v>0</v>
      </c>
    </row>
    <row r="2749" spans="1:13">
      <c r="A2749" s="1">
        <v>2748</v>
      </c>
      <c r="B2749" s="1">
        <v>809096.93940000003</v>
      </c>
      <c r="C2749" s="1">
        <v>962465.528356642</v>
      </c>
      <c r="D2749" s="1">
        <f t="shared" si="42"/>
        <v>-153368.58895664196</v>
      </c>
      <c r="E2749" s="1">
        <v>12</v>
      </c>
      <c r="F2749" s="1">
        <v>19</v>
      </c>
      <c r="G2749" s="1">
        <v>4</v>
      </c>
      <c r="H2749" s="1">
        <v>2</v>
      </c>
      <c r="I2749" s="1">
        <v>0</v>
      </c>
      <c r="J2749" s="1">
        <v>1</v>
      </c>
      <c r="K2749" s="1">
        <v>0</v>
      </c>
      <c r="L2749" s="1">
        <v>0</v>
      </c>
      <c r="M2749" s="1">
        <v>1</v>
      </c>
    </row>
    <row r="2750" spans="1:13">
      <c r="A2750" s="1">
        <v>2749</v>
      </c>
      <c r="B2750" s="1">
        <v>933612.93629999994</v>
      </c>
      <c r="C2750" s="1">
        <v>1083036.2533034447</v>
      </c>
      <c r="D2750" s="1">
        <f t="shared" si="42"/>
        <v>-149423.31700344477</v>
      </c>
      <c r="E2750" s="1">
        <v>14</v>
      </c>
      <c r="F2750" s="1">
        <v>15</v>
      </c>
      <c r="G2750" s="1">
        <v>6</v>
      </c>
      <c r="H2750" s="1">
        <v>2</v>
      </c>
      <c r="I2750" s="1">
        <v>0</v>
      </c>
      <c r="J2750" s="1">
        <v>1</v>
      </c>
      <c r="K2750" s="1">
        <v>1</v>
      </c>
      <c r="L2750" s="1">
        <v>0</v>
      </c>
      <c r="M2750" s="1">
        <v>1</v>
      </c>
    </row>
    <row r="2751" spans="1:13">
      <c r="A2751" s="1">
        <v>2750</v>
      </c>
      <c r="B2751" s="1">
        <v>991688.57609999995</v>
      </c>
      <c r="C2751" s="1">
        <v>685800.45010070107</v>
      </c>
      <c r="D2751" s="1">
        <f t="shared" si="42"/>
        <v>305888.12599929888</v>
      </c>
      <c r="E2751" s="1">
        <v>8</v>
      </c>
      <c r="F2751" s="1">
        <v>20</v>
      </c>
      <c r="G2751" s="1">
        <v>7</v>
      </c>
      <c r="H2751" s="1">
        <v>1</v>
      </c>
      <c r="I2751" s="1">
        <v>1</v>
      </c>
      <c r="J2751" s="1">
        <v>0</v>
      </c>
      <c r="K2751" s="1">
        <v>1</v>
      </c>
      <c r="L2751" s="1">
        <v>0</v>
      </c>
      <c r="M2751" s="1">
        <v>0</v>
      </c>
    </row>
    <row r="2752" spans="1:13">
      <c r="A2752" s="1">
        <v>2751</v>
      </c>
      <c r="B2752" s="1">
        <v>946447.728</v>
      </c>
      <c r="C2752" s="1">
        <v>1270402.6059551749</v>
      </c>
      <c r="D2752" s="1">
        <f t="shared" si="42"/>
        <v>-323954.87795517489</v>
      </c>
      <c r="E2752" s="1">
        <v>9</v>
      </c>
      <c r="F2752" s="1">
        <v>24</v>
      </c>
      <c r="G2752" s="1">
        <v>2</v>
      </c>
      <c r="H2752" s="1">
        <v>0</v>
      </c>
      <c r="I2752" s="1">
        <v>0</v>
      </c>
      <c r="J2752" s="1">
        <v>1</v>
      </c>
      <c r="K2752" s="1">
        <v>1</v>
      </c>
      <c r="L2752" s="1">
        <v>0</v>
      </c>
      <c r="M2752" s="1">
        <v>1</v>
      </c>
    </row>
    <row r="2753" spans="1:13">
      <c r="A2753" s="1">
        <v>2752</v>
      </c>
      <c r="B2753" s="1">
        <v>909990.48419999995</v>
      </c>
      <c r="C2753" s="1">
        <v>952491.55243660591</v>
      </c>
      <c r="D2753" s="1">
        <f t="shared" si="42"/>
        <v>-42501.068236605963</v>
      </c>
      <c r="E2753" s="1">
        <v>20</v>
      </c>
      <c r="F2753" s="1">
        <v>13</v>
      </c>
      <c r="G2753" s="1">
        <v>2</v>
      </c>
      <c r="H2753" s="1">
        <v>0</v>
      </c>
      <c r="I2753" s="1">
        <v>1</v>
      </c>
      <c r="J2753" s="1">
        <v>1</v>
      </c>
      <c r="K2753" s="1">
        <v>1</v>
      </c>
      <c r="L2753" s="1">
        <v>0</v>
      </c>
      <c r="M2753" s="1">
        <v>0</v>
      </c>
    </row>
    <row r="2754" spans="1:13">
      <c r="A2754" s="1">
        <v>2753</v>
      </c>
      <c r="B2754" s="1">
        <v>936906.5379</v>
      </c>
      <c r="C2754" s="1">
        <v>665219.59742483718</v>
      </c>
      <c r="D2754" s="1">
        <f t="shared" ref="D2754:D2817" si="43">B2754-C2754</f>
        <v>271686.94047516282</v>
      </c>
      <c r="E2754" s="1">
        <v>10</v>
      </c>
      <c r="F2754" s="1">
        <v>24</v>
      </c>
      <c r="G2754" s="1">
        <v>1</v>
      </c>
      <c r="H2754" s="1">
        <v>2</v>
      </c>
      <c r="I2754" s="1">
        <v>0</v>
      </c>
      <c r="J2754" s="1">
        <v>1</v>
      </c>
      <c r="K2754" s="1">
        <v>1</v>
      </c>
      <c r="L2754" s="1">
        <v>0</v>
      </c>
      <c r="M2754" s="1">
        <v>0</v>
      </c>
    </row>
    <row r="2755" spans="1:13">
      <c r="A2755" s="1">
        <v>2754</v>
      </c>
      <c r="B2755" s="1">
        <v>903673.17810000002</v>
      </c>
      <c r="C2755" s="1">
        <v>839938.49600580544</v>
      </c>
      <c r="D2755" s="1">
        <f t="shared" si="43"/>
        <v>63734.682094194577</v>
      </c>
      <c r="E2755" s="1">
        <v>17</v>
      </c>
      <c r="F2755" s="1">
        <v>14</v>
      </c>
      <c r="G2755" s="1">
        <v>4</v>
      </c>
      <c r="H2755" s="1">
        <v>0</v>
      </c>
      <c r="I2755" s="1">
        <v>0</v>
      </c>
      <c r="J2755" s="1">
        <v>1</v>
      </c>
      <c r="K2755" s="1">
        <v>1</v>
      </c>
      <c r="L2755" s="1">
        <v>0</v>
      </c>
      <c r="M2755" s="1">
        <v>0</v>
      </c>
    </row>
    <row r="2756" spans="1:13">
      <c r="A2756" s="1">
        <v>2755</v>
      </c>
      <c r="B2756" s="1">
        <v>960960.55619999999</v>
      </c>
      <c r="C2756" s="1">
        <v>789178.25116320339</v>
      </c>
      <c r="D2756" s="1">
        <f t="shared" si="43"/>
        <v>171782.30503679661</v>
      </c>
      <c r="E2756" s="1">
        <v>9</v>
      </c>
      <c r="F2756" s="1">
        <v>23</v>
      </c>
      <c r="G2756" s="1">
        <v>3</v>
      </c>
      <c r="H2756" s="1">
        <v>2</v>
      </c>
      <c r="I2756" s="1">
        <v>0</v>
      </c>
      <c r="J2756" s="1">
        <v>1</v>
      </c>
      <c r="K2756" s="1">
        <v>0</v>
      </c>
      <c r="L2756" s="1">
        <v>0</v>
      </c>
      <c r="M2756" s="1">
        <v>0</v>
      </c>
    </row>
    <row r="2757" spans="1:13">
      <c r="A2757" s="1">
        <v>2756</v>
      </c>
      <c r="B2757" s="1">
        <v>973257.77009999997</v>
      </c>
      <c r="C2757" s="1">
        <v>1123045.026380491</v>
      </c>
      <c r="D2757" s="1">
        <f t="shared" si="43"/>
        <v>-149787.25628049101</v>
      </c>
      <c r="E2757" s="1">
        <v>10</v>
      </c>
      <c r="F2757" s="1">
        <v>18</v>
      </c>
      <c r="G2757" s="1">
        <v>7</v>
      </c>
      <c r="H2757" s="1">
        <v>0</v>
      </c>
      <c r="I2757" s="1">
        <v>0</v>
      </c>
      <c r="J2757" s="1">
        <v>2</v>
      </c>
      <c r="K2757" s="1">
        <v>0</v>
      </c>
      <c r="L2757" s="1">
        <v>0</v>
      </c>
      <c r="M2757" s="1">
        <v>0</v>
      </c>
    </row>
    <row r="2758" spans="1:13">
      <c r="A2758" s="1">
        <v>2757</v>
      </c>
      <c r="B2758" s="1">
        <v>917293.29989999998</v>
      </c>
      <c r="C2758" s="1">
        <v>987105.11538753158</v>
      </c>
      <c r="D2758" s="1">
        <f t="shared" si="43"/>
        <v>-69811.815487531596</v>
      </c>
      <c r="E2758" s="1">
        <v>11</v>
      </c>
      <c r="F2758" s="1">
        <v>20</v>
      </c>
      <c r="G2758" s="1">
        <v>4</v>
      </c>
      <c r="H2758" s="1">
        <v>2</v>
      </c>
      <c r="I2758" s="1">
        <v>0</v>
      </c>
      <c r="J2758" s="1">
        <v>0</v>
      </c>
      <c r="K2758" s="1">
        <v>0</v>
      </c>
      <c r="L2758" s="1">
        <v>0</v>
      </c>
      <c r="M2758" s="1">
        <v>0</v>
      </c>
    </row>
    <row r="2759" spans="1:13">
      <c r="A2759" s="1">
        <v>2758</v>
      </c>
      <c r="B2759" s="1">
        <v>953277.35459999996</v>
      </c>
      <c r="C2759" s="1">
        <v>1213190.3082164491</v>
      </c>
      <c r="D2759" s="1">
        <f t="shared" si="43"/>
        <v>-259912.95361644914</v>
      </c>
      <c r="E2759" s="1">
        <v>10</v>
      </c>
      <c r="F2759" s="1">
        <v>15</v>
      </c>
      <c r="G2759" s="1">
        <v>10</v>
      </c>
      <c r="H2759" s="1">
        <v>1</v>
      </c>
      <c r="I2759" s="1">
        <v>0</v>
      </c>
      <c r="J2759" s="1">
        <v>0</v>
      </c>
      <c r="K2759" s="1">
        <v>0</v>
      </c>
      <c r="L2759" s="1">
        <v>0</v>
      </c>
      <c r="M2759" s="1">
        <v>0</v>
      </c>
    </row>
    <row r="2760" spans="1:13">
      <c r="A2760" s="1">
        <v>2759</v>
      </c>
      <c r="B2760" s="1">
        <v>976436.9399</v>
      </c>
      <c r="C2760" s="1">
        <v>852133.30448375142</v>
      </c>
      <c r="D2760" s="1">
        <f t="shared" si="43"/>
        <v>124303.63541624858</v>
      </c>
      <c r="E2760" s="1">
        <v>20</v>
      </c>
      <c r="F2760" s="1">
        <v>10</v>
      </c>
      <c r="G2760" s="1">
        <v>5</v>
      </c>
      <c r="H2760" s="1">
        <v>1</v>
      </c>
      <c r="I2760" s="1">
        <v>0</v>
      </c>
      <c r="J2760" s="1">
        <v>2</v>
      </c>
      <c r="K2760" s="1">
        <v>0</v>
      </c>
      <c r="L2760" s="1">
        <v>0</v>
      </c>
      <c r="M2760" s="1">
        <v>0</v>
      </c>
    </row>
    <row r="2761" spans="1:13">
      <c r="A2761" s="1">
        <v>2760</v>
      </c>
      <c r="B2761" s="1">
        <v>933871.00959999999</v>
      </c>
      <c r="C2761" s="1">
        <v>772128.58582944237</v>
      </c>
      <c r="D2761" s="1">
        <f t="shared" si="43"/>
        <v>161742.42377055762</v>
      </c>
      <c r="E2761" s="1">
        <v>14</v>
      </c>
      <c r="F2761" s="1">
        <v>17</v>
      </c>
      <c r="G2761" s="1">
        <v>4</v>
      </c>
      <c r="H2761" s="1">
        <v>0</v>
      </c>
      <c r="I2761" s="1">
        <v>0</v>
      </c>
      <c r="J2761" s="1">
        <v>2</v>
      </c>
      <c r="K2761" s="1">
        <v>0</v>
      </c>
      <c r="L2761" s="1">
        <v>0</v>
      </c>
      <c r="M2761" s="1">
        <v>1</v>
      </c>
    </row>
    <row r="2762" spans="1:13">
      <c r="A2762" s="1">
        <v>2761</v>
      </c>
      <c r="B2762" s="1">
        <v>813273.10609999998</v>
      </c>
      <c r="C2762" s="1">
        <v>1697291.7409730796</v>
      </c>
      <c r="D2762" s="1">
        <f t="shared" si="43"/>
        <v>-884018.6348730796</v>
      </c>
      <c r="E2762" s="1">
        <v>15</v>
      </c>
      <c r="F2762" s="1">
        <v>18</v>
      </c>
      <c r="G2762" s="1">
        <v>2</v>
      </c>
      <c r="H2762" s="1">
        <v>0</v>
      </c>
      <c r="I2762" s="1">
        <v>0</v>
      </c>
      <c r="J2762" s="1">
        <v>1</v>
      </c>
      <c r="K2762" s="1">
        <v>0</v>
      </c>
      <c r="L2762" s="1">
        <v>0</v>
      </c>
      <c r="M2762" s="1">
        <v>0</v>
      </c>
    </row>
    <row r="2763" spans="1:13">
      <c r="A2763" s="1">
        <v>2762</v>
      </c>
      <c r="B2763" s="1">
        <v>954689.17539999995</v>
      </c>
      <c r="C2763" s="1">
        <v>779447.57716799423</v>
      </c>
      <c r="D2763" s="1">
        <f t="shared" si="43"/>
        <v>175241.59823200572</v>
      </c>
      <c r="E2763" s="1">
        <v>9</v>
      </c>
      <c r="F2763" s="1">
        <v>21</v>
      </c>
      <c r="G2763" s="1">
        <v>5</v>
      </c>
      <c r="H2763" s="1">
        <v>1</v>
      </c>
      <c r="I2763" s="1">
        <v>0</v>
      </c>
      <c r="J2763" s="1">
        <v>2</v>
      </c>
      <c r="K2763" s="1">
        <v>0</v>
      </c>
      <c r="L2763" s="1">
        <v>0</v>
      </c>
      <c r="M2763" s="1">
        <v>0</v>
      </c>
    </row>
    <row r="2764" spans="1:13">
      <c r="A2764" s="1">
        <v>2763</v>
      </c>
      <c r="B2764" s="1">
        <v>900309.57120000001</v>
      </c>
      <c r="C2764" s="1">
        <v>771791.97430706315</v>
      </c>
      <c r="D2764" s="1">
        <f t="shared" si="43"/>
        <v>128517.59689293685</v>
      </c>
      <c r="E2764" s="1">
        <v>19</v>
      </c>
      <c r="F2764" s="1">
        <v>11</v>
      </c>
      <c r="G2764" s="1">
        <v>5</v>
      </c>
      <c r="H2764" s="1">
        <v>2</v>
      </c>
      <c r="I2764" s="1">
        <v>0</v>
      </c>
      <c r="J2764" s="1">
        <v>2</v>
      </c>
      <c r="K2764" s="1">
        <v>0</v>
      </c>
      <c r="L2764" s="1">
        <v>0</v>
      </c>
      <c r="M2764" s="1">
        <v>1</v>
      </c>
    </row>
    <row r="2765" spans="1:13">
      <c r="A2765" s="1">
        <v>2764</v>
      </c>
      <c r="B2765" s="1">
        <v>982873.31160000002</v>
      </c>
      <c r="C2765" s="1">
        <v>748838.43128389481</v>
      </c>
      <c r="D2765" s="1">
        <f t="shared" si="43"/>
        <v>234034.88031610521</v>
      </c>
      <c r="E2765" s="1">
        <v>10</v>
      </c>
      <c r="F2765" s="1">
        <v>18</v>
      </c>
      <c r="G2765" s="1">
        <v>7</v>
      </c>
      <c r="H2765" s="1">
        <v>2</v>
      </c>
      <c r="I2765" s="1">
        <v>0</v>
      </c>
      <c r="J2765" s="1">
        <v>2</v>
      </c>
      <c r="K2765" s="1">
        <v>0</v>
      </c>
      <c r="L2765" s="1">
        <v>0</v>
      </c>
      <c r="M2765" s="1">
        <v>0</v>
      </c>
    </row>
    <row r="2766" spans="1:13">
      <c r="A2766" s="1">
        <v>2765</v>
      </c>
      <c r="B2766" s="1">
        <v>986074.34640000004</v>
      </c>
      <c r="C2766" s="1">
        <v>797770.35615533288</v>
      </c>
      <c r="D2766" s="1">
        <f t="shared" si="43"/>
        <v>188303.99024466716</v>
      </c>
      <c r="E2766" s="1">
        <v>15</v>
      </c>
      <c r="F2766" s="1">
        <v>17</v>
      </c>
      <c r="G2766" s="1">
        <v>3</v>
      </c>
      <c r="H2766" s="1">
        <v>2</v>
      </c>
      <c r="I2766" s="1">
        <v>0</v>
      </c>
      <c r="J2766" s="1">
        <v>1</v>
      </c>
      <c r="K2766" s="1">
        <v>1</v>
      </c>
      <c r="L2766" s="1">
        <v>0</v>
      </c>
      <c r="M2766" s="1">
        <v>1</v>
      </c>
    </row>
    <row r="2767" spans="1:13">
      <c r="A2767" s="1">
        <v>2766</v>
      </c>
      <c r="B2767" s="1">
        <v>951183.33039999998</v>
      </c>
      <c r="C2767" s="1">
        <v>1039256.6457371084</v>
      </c>
      <c r="D2767" s="1">
        <f t="shared" si="43"/>
        <v>-88073.315337108448</v>
      </c>
      <c r="E2767" s="1">
        <v>11</v>
      </c>
      <c r="F2767" s="1">
        <v>20</v>
      </c>
      <c r="G2767" s="1">
        <v>4</v>
      </c>
      <c r="H2767" s="1">
        <v>0</v>
      </c>
      <c r="I2767" s="1">
        <v>1</v>
      </c>
      <c r="J2767" s="1">
        <v>2</v>
      </c>
      <c r="K2767" s="1">
        <v>0</v>
      </c>
      <c r="L2767" s="1">
        <v>0</v>
      </c>
      <c r="M2767" s="1">
        <v>0</v>
      </c>
    </row>
    <row r="2768" spans="1:13">
      <c r="A2768" s="1">
        <v>2767</v>
      </c>
      <c r="B2768" s="1">
        <v>856246.83929999999</v>
      </c>
      <c r="C2768" s="1">
        <v>831739.84730468562</v>
      </c>
      <c r="D2768" s="1">
        <f t="shared" si="43"/>
        <v>24506.991995314369</v>
      </c>
      <c r="E2768" s="1">
        <v>23</v>
      </c>
      <c r="F2768" s="1">
        <v>10</v>
      </c>
      <c r="G2768" s="1">
        <v>2</v>
      </c>
      <c r="H2768" s="1">
        <v>2</v>
      </c>
      <c r="I2768" s="1">
        <v>0</v>
      </c>
      <c r="J2768" s="1">
        <v>0</v>
      </c>
      <c r="K2768" s="1">
        <v>0</v>
      </c>
      <c r="L2768" s="1">
        <v>0</v>
      </c>
      <c r="M2768" s="1">
        <v>0</v>
      </c>
    </row>
    <row r="2769" spans="1:13">
      <c r="A2769" s="1">
        <v>2768</v>
      </c>
      <c r="B2769" s="1">
        <v>920546.38249999995</v>
      </c>
      <c r="C2769" s="1">
        <v>689982.93791635986</v>
      </c>
      <c r="D2769" s="1">
        <f t="shared" si="43"/>
        <v>230563.44458364008</v>
      </c>
      <c r="E2769" s="1">
        <v>6</v>
      </c>
      <c r="F2769" s="1">
        <v>25</v>
      </c>
      <c r="G2769" s="1">
        <v>4</v>
      </c>
      <c r="H2769" s="1">
        <v>1</v>
      </c>
      <c r="I2769" s="1">
        <v>0</v>
      </c>
      <c r="J2769" s="1">
        <v>1</v>
      </c>
      <c r="K2769" s="1">
        <v>1</v>
      </c>
      <c r="L2769" s="1">
        <v>0</v>
      </c>
      <c r="M2769" s="1">
        <v>0</v>
      </c>
    </row>
    <row r="2770" spans="1:13">
      <c r="A2770" s="1">
        <v>2769</v>
      </c>
      <c r="B2770" s="1">
        <v>1014157.0137</v>
      </c>
      <c r="C2770" s="1">
        <v>1036371.2571199453</v>
      </c>
      <c r="D2770" s="1">
        <f t="shared" si="43"/>
        <v>-22214.24341994524</v>
      </c>
      <c r="E2770" s="1">
        <v>6</v>
      </c>
      <c r="F2770" s="1">
        <v>21</v>
      </c>
      <c r="G2770" s="1">
        <v>8</v>
      </c>
      <c r="H2770" s="1">
        <v>1</v>
      </c>
      <c r="I2770" s="1">
        <v>0</v>
      </c>
      <c r="J2770" s="1">
        <v>0</v>
      </c>
      <c r="K2770" s="1">
        <v>0</v>
      </c>
      <c r="L2770" s="1">
        <v>0</v>
      </c>
      <c r="M2770" s="1">
        <v>0</v>
      </c>
    </row>
    <row r="2771" spans="1:13">
      <c r="A2771" s="1">
        <v>2770</v>
      </c>
      <c r="B2771" s="1">
        <v>866590.63549999997</v>
      </c>
      <c r="C2771" s="1">
        <v>1473455.6512265701</v>
      </c>
      <c r="D2771" s="1">
        <f t="shared" si="43"/>
        <v>-606865.01572657016</v>
      </c>
      <c r="E2771" s="1">
        <v>18</v>
      </c>
      <c r="F2771" s="1">
        <v>13</v>
      </c>
      <c r="G2771" s="1">
        <v>4</v>
      </c>
      <c r="H2771" s="1">
        <v>0</v>
      </c>
      <c r="I2771" s="1">
        <v>0</v>
      </c>
      <c r="J2771" s="1">
        <v>1</v>
      </c>
      <c r="K2771" s="1">
        <v>1</v>
      </c>
      <c r="L2771" s="1">
        <v>0</v>
      </c>
      <c r="M2771" s="1">
        <v>0</v>
      </c>
    </row>
    <row r="2772" spans="1:13">
      <c r="A2772" s="1">
        <v>2771</v>
      </c>
      <c r="B2772" s="1">
        <v>1052215.4915</v>
      </c>
      <c r="C2772" s="1">
        <v>693159.64289890626</v>
      </c>
      <c r="D2772" s="1">
        <f t="shared" si="43"/>
        <v>359055.84860109375</v>
      </c>
      <c r="E2772" s="1">
        <v>12</v>
      </c>
      <c r="F2772" s="1">
        <v>16</v>
      </c>
      <c r="G2772" s="1">
        <v>7</v>
      </c>
      <c r="H2772" s="1">
        <v>1</v>
      </c>
      <c r="I2772" s="1">
        <v>1</v>
      </c>
      <c r="J2772" s="1">
        <v>0</v>
      </c>
      <c r="K2772" s="1">
        <v>0</v>
      </c>
      <c r="L2772" s="1">
        <v>0</v>
      </c>
      <c r="M2772" s="1">
        <v>0</v>
      </c>
    </row>
    <row r="2773" spans="1:13">
      <c r="A2773" s="1">
        <v>2772</v>
      </c>
      <c r="B2773" s="1">
        <v>959886.3493</v>
      </c>
      <c r="C2773" s="1">
        <v>1020714.384666112</v>
      </c>
      <c r="D2773" s="1">
        <f t="shared" si="43"/>
        <v>-60828.035366112017</v>
      </c>
      <c r="E2773" s="1">
        <v>13</v>
      </c>
      <c r="F2773" s="1">
        <v>22</v>
      </c>
      <c r="G2773" s="1">
        <v>0</v>
      </c>
      <c r="H2773" s="1">
        <v>0</v>
      </c>
      <c r="I2773" s="1">
        <v>0</v>
      </c>
      <c r="J2773" s="1">
        <v>0</v>
      </c>
      <c r="K2773" s="1">
        <v>2</v>
      </c>
      <c r="L2773" s="1">
        <v>0</v>
      </c>
      <c r="M2773" s="1">
        <v>0</v>
      </c>
    </row>
    <row r="2774" spans="1:13">
      <c r="A2774" s="1">
        <v>2773</v>
      </c>
      <c r="B2774" s="1">
        <v>864257.17260000005</v>
      </c>
      <c r="C2774" s="1">
        <v>900534.54558076803</v>
      </c>
      <c r="D2774" s="1">
        <f t="shared" si="43"/>
        <v>-36277.372980767977</v>
      </c>
      <c r="E2774" s="1">
        <v>14</v>
      </c>
      <c r="F2774" s="1">
        <v>18</v>
      </c>
      <c r="G2774" s="1">
        <v>3</v>
      </c>
      <c r="H2774" s="1">
        <v>0</v>
      </c>
      <c r="I2774" s="1">
        <v>0</v>
      </c>
      <c r="J2774" s="1">
        <v>0</v>
      </c>
      <c r="K2774" s="1">
        <v>0</v>
      </c>
      <c r="L2774" s="1">
        <v>0</v>
      </c>
      <c r="M2774" s="1">
        <v>1</v>
      </c>
    </row>
    <row r="2775" spans="1:13">
      <c r="A2775" s="1">
        <v>2774</v>
      </c>
      <c r="B2775" s="1">
        <v>931762.94319999998</v>
      </c>
      <c r="C2775" s="1">
        <v>710298.30635563144</v>
      </c>
      <c r="D2775" s="1">
        <f t="shared" si="43"/>
        <v>221464.63684436854</v>
      </c>
      <c r="E2775" s="1">
        <v>11</v>
      </c>
      <c r="F2775" s="1">
        <v>19</v>
      </c>
      <c r="G2775" s="1">
        <v>5</v>
      </c>
      <c r="H2775" s="1">
        <v>0</v>
      </c>
      <c r="I2775" s="1">
        <v>0</v>
      </c>
      <c r="J2775" s="1">
        <v>0</v>
      </c>
      <c r="K2775" s="1">
        <v>2</v>
      </c>
      <c r="L2775" s="1">
        <v>0</v>
      </c>
      <c r="M2775" s="1">
        <v>1</v>
      </c>
    </row>
    <row r="2776" spans="1:13">
      <c r="A2776" s="1">
        <v>2775</v>
      </c>
      <c r="B2776" s="1">
        <v>840085.69620000001</v>
      </c>
      <c r="C2776" s="1">
        <v>826557.67152802378</v>
      </c>
      <c r="D2776" s="1">
        <f t="shared" si="43"/>
        <v>13528.024671976222</v>
      </c>
      <c r="E2776" s="1">
        <v>19</v>
      </c>
      <c r="F2776" s="1">
        <v>12</v>
      </c>
      <c r="G2776" s="1">
        <v>4</v>
      </c>
      <c r="H2776" s="1">
        <v>0</v>
      </c>
      <c r="I2776" s="1">
        <v>0</v>
      </c>
      <c r="J2776" s="1">
        <v>1</v>
      </c>
      <c r="K2776" s="1">
        <v>0</v>
      </c>
      <c r="L2776" s="1">
        <v>0</v>
      </c>
      <c r="M2776" s="1">
        <v>0</v>
      </c>
    </row>
    <row r="2777" spans="1:13">
      <c r="A2777" s="1">
        <v>2776</v>
      </c>
      <c r="B2777" s="1">
        <v>1012174.9671</v>
      </c>
      <c r="C2777" s="1">
        <v>968181.23321757093</v>
      </c>
      <c r="D2777" s="1">
        <f t="shared" si="43"/>
        <v>43993.733882429078</v>
      </c>
      <c r="E2777" s="1">
        <v>5</v>
      </c>
      <c r="F2777" s="1">
        <v>26</v>
      </c>
      <c r="G2777" s="1">
        <v>4</v>
      </c>
      <c r="H2777" s="1">
        <v>1</v>
      </c>
      <c r="I2777" s="1">
        <v>0</v>
      </c>
      <c r="J2777" s="1">
        <v>0</v>
      </c>
      <c r="K2777" s="1">
        <v>0</v>
      </c>
      <c r="L2777" s="1">
        <v>0</v>
      </c>
      <c r="M2777" s="1">
        <v>0</v>
      </c>
    </row>
    <row r="2778" spans="1:13">
      <c r="A2778" s="1">
        <v>2777</v>
      </c>
      <c r="B2778" s="1">
        <v>899115.48289999994</v>
      </c>
      <c r="C2778" s="1">
        <v>767483.60754482495</v>
      </c>
      <c r="D2778" s="1">
        <f t="shared" si="43"/>
        <v>131631.875355175</v>
      </c>
      <c r="E2778" s="1">
        <v>11</v>
      </c>
      <c r="F2778" s="1">
        <v>20</v>
      </c>
      <c r="G2778" s="1">
        <v>4</v>
      </c>
      <c r="H2778" s="1">
        <v>0</v>
      </c>
      <c r="I2778" s="1">
        <v>0</v>
      </c>
      <c r="J2778" s="1">
        <v>1</v>
      </c>
      <c r="K2778" s="1">
        <v>0</v>
      </c>
      <c r="L2778" s="1">
        <v>0</v>
      </c>
      <c r="M2778" s="1">
        <v>0</v>
      </c>
    </row>
    <row r="2779" spans="1:13">
      <c r="A2779" s="1">
        <v>2778</v>
      </c>
      <c r="B2779" s="1">
        <v>982342.66260000004</v>
      </c>
      <c r="C2779" s="1">
        <v>859066.90111211874</v>
      </c>
      <c r="D2779" s="1">
        <f t="shared" si="43"/>
        <v>123275.7614878813</v>
      </c>
      <c r="E2779" s="1">
        <v>18</v>
      </c>
      <c r="F2779" s="1">
        <v>12</v>
      </c>
      <c r="G2779" s="1">
        <v>5</v>
      </c>
      <c r="H2779" s="1">
        <v>0</v>
      </c>
      <c r="I2779" s="1">
        <v>0</v>
      </c>
      <c r="J2779" s="1">
        <v>1</v>
      </c>
      <c r="K2779" s="1">
        <v>1</v>
      </c>
      <c r="L2779" s="1">
        <v>0</v>
      </c>
      <c r="M2779" s="1">
        <v>1</v>
      </c>
    </row>
    <row r="2780" spans="1:13">
      <c r="A2780" s="1">
        <v>2779</v>
      </c>
      <c r="B2780" s="1">
        <v>887917.29469999997</v>
      </c>
      <c r="C2780" s="1">
        <v>745725.09096012148</v>
      </c>
      <c r="D2780" s="1">
        <f t="shared" si="43"/>
        <v>142192.20373987849</v>
      </c>
      <c r="E2780" s="1">
        <v>16</v>
      </c>
      <c r="F2780" s="1">
        <v>11</v>
      </c>
      <c r="G2780" s="1">
        <v>8</v>
      </c>
      <c r="H2780" s="1">
        <v>0</v>
      </c>
      <c r="I2780" s="1">
        <v>1</v>
      </c>
      <c r="J2780" s="1">
        <v>0</v>
      </c>
      <c r="K2780" s="1">
        <v>1</v>
      </c>
      <c r="L2780" s="1">
        <v>0</v>
      </c>
      <c r="M2780" s="1">
        <v>1</v>
      </c>
    </row>
    <row r="2781" spans="1:13">
      <c r="A2781" s="1">
        <v>2780</v>
      </c>
      <c r="B2781" s="1">
        <v>910608.59069999994</v>
      </c>
      <c r="C2781" s="1">
        <v>934171.56643985561</v>
      </c>
      <c r="D2781" s="1">
        <f t="shared" si="43"/>
        <v>-23562.975739855669</v>
      </c>
      <c r="E2781" s="1">
        <v>17</v>
      </c>
      <c r="F2781" s="1">
        <v>14</v>
      </c>
      <c r="G2781" s="1">
        <v>4</v>
      </c>
      <c r="H2781" s="1">
        <v>0</v>
      </c>
      <c r="I2781" s="1">
        <v>1</v>
      </c>
      <c r="J2781" s="1">
        <v>0</v>
      </c>
      <c r="K2781" s="1">
        <v>1</v>
      </c>
      <c r="L2781" s="1">
        <v>0</v>
      </c>
      <c r="M2781" s="1">
        <v>0</v>
      </c>
    </row>
    <row r="2782" spans="1:13">
      <c r="A2782" s="1">
        <v>2781</v>
      </c>
      <c r="B2782" s="1">
        <v>912875.30949999997</v>
      </c>
      <c r="C2782" s="1">
        <v>1193837.1391019775</v>
      </c>
      <c r="D2782" s="1">
        <f t="shared" si="43"/>
        <v>-280961.82960197749</v>
      </c>
      <c r="E2782" s="1">
        <v>16</v>
      </c>
      <c r="F2782" s="1">
        <v>12</v>
      </c>
      <c r="G2782" s="1">
        <v>7</v>
      </c>
      <c r="H2782" s="1">
        <v>0</v>
      </c>
      <c r="I2782" s="1">
        <v>0</v>
      </c>
      <c r="J2782" s="1">
        <v>0</v>
      </c>
      <c r="K2782" s="1">
        <v>0</v>
      </c>
      <c r="L2782" s="1">
        <v>0</v>
      </c>
      <c r="M2782" s="1">
        <v>0</v>
      </c>
    </row>
    <row r="2783" spans="1:13">
      <c r="A2783" s="1">
        <v>2782</v>
      </c>
      <c r="B2783" s="1">
        <v>867773.98739999998</v>
      </c>
      <c r="C2783" s="1">
        <v>1055158.2331540245</v>
      </c>
      <c r="D2783" s="1">
        <f t="shared" si="43"/>
        <v>-187384.24575402448</v>
      </c>
      <c r="E2783" s="1">
        <v>19</v>
      </c>
      <c r="F2783" s="1">
        <v>15</v>
      </c>
      <c r="G2783" s="1">
        <v>1</v>
      </c>
      <c r="H2783" s="1">
        <v>0</v>
      </c>
      <c r="I2783" s="1">
        <v>1</v>
      </c>
      <c r="J2783" s="1">
        <v>0</v>
      </c>
      <c r="K2783" s="1">
        <v>2</v>
      </c>
      <c r="L2783" s="1">
        <v>0</v>
      </c>
      <c r="M2783" s="1">
        <v>0</v>
      </c>
    </row>
    <row r="2784" spans="1:13">
      <c r="A2784" s="1">
        <v>2783</v>
      </c>
      <c r="B2784" s="1">
        <v>1024895.7866</v>
      </c>
      <c r="C2784" s="1">
        <v>881253.52233751188</v>
      </c>
      <c r="D2784" s="1">
        <f t="shared" si="43"/>
        <v>143642.26426248811</v>
      </c>
      <c r="E2784" s="1">
        <v>7</v>
      </c>
      <c r="F2784" s="1">
        <v>24</v>
      </c>
      <c r="G2784" s="1">
        <v>4</v>
      </c>
      <c r="H2784" s="1">
        <v>0</v>
      </c>
      <c r="I2784" s="1">
        <v>0</v>
      </c>
      <c r="J2784" s="1">
        <v>1</v>
      </c>
      <c r="K2784" s="1">
        <v>0</v>
      </c>
      <c r="L2784" s="1">
        <v>0</v>
      </c>
      <c r="M2784" s="1">
        <v>0</v>
      </c>
    </row>
    <row r="2785" spans="1:13">
      <c r="A2785" s="1">
        <v>2784</v>
      </c>
      <c r="B2785" s="1">
        <v>886483.04890000005</v>
      </c>
      <c r="C2785" s="1">
        <v>690123.36719901697</v>
      </c>
      <c r="D2785" s="1">
        <f t="shared" si="43"/>
        <v>196359.68170098308</v>
      </c>
      <c r="E2785" s="1">
        <v>16</v>
      </c>
      <c r="F2785" s="1">
        <v>13</v>
      </c>
      <c r="G2785" s="1">
        <v>6</v>
      </c>
      <c r="H2785" s="1">
        <v>0</v>
      </c>
      <c r="I2785" s="1">
        <v>0</v>
      </c>
      <c r="J2785" s="1">
        <v>1</v>
      </c>
      <c r="K2785" s="1">
        <v>1</v>
      </c>
      <c r="L2785" s="1">
        <v>0</v>
      </c>
      <c r="M2785" s="1">
        <v>0</v>
      </c>
    </row>
    <row r="2786" spans="1:13">
      <c r="A2786" s="1">
        <v>2785</v>
      </c>
      <c r="B2786" s="1">
        <v>957294.16310000001</v>
      </c>
      <c r="C2786" s="1">
        <v>655308.13559580641</v>
      </c>
      <c r="D2786" s="1">
        <f t="shared" si="43"/>
        <v>301986.0275041936</v>
      </c>
      <c r="E2786" s="1">
        <v>8</v>
      </c>
      <c r="F2786" s="1">
        <v>22</v>
      </c>
      <c r="G2786" s="1">
        <v>5</v>
      </c>
      <c r="H2786" s="1">
        <v>1</v>
      </c>
      <c r="I2786" s="1">
        <v>0</v>
      </c>
      <c r="J2786" s="1">
        <v>0</v>
      </c>
      <c r="K2786" s="1">
        <v>0</v>
      </c>
      <c r="L2786" s="1">
        <v>0</v>
      </c>
      <c r="M2786" s="1">
        <v>0</v>
      </c>
    </row>
    <row r="2787" spans="1:13">
      <c r="A2787" s="1">
        <v>2786</v>
      </c>
      <c r="B2787" s="1">
        <v>829851.98309999995</v>
      </c>
      <c r="C2787" s="1">
        <v>1152707.3012741604</v>
      </c>
      <c r="D2787" s="1">
        <f t="shared" si="43"/>
        <v>-322855.31817416043</v>
      </c>
      <c r="E2787" s="1">
        <v>17</v>
      </c>
      <c r="F2787" s="1">
        <v>14</v>
      </c>
      <c r="G2787" s="1">
        <v>4</v>
      </c>
      <c r="H2787" s="1">
        <v>2</v>
      </c>
      <c r="I2787" s="1">
        <v>0</v>
      </c>
      <c r="J2787" s="1">
        <v>0</v>
      </c>
      <c r="K2787" s="1">
        <v>1</v>
      </c>
      <c r="L2787" s="1">
        <v>0</v>
      </c>
      <c r="M2787" s="1">
        <v>1</v>
      </c>
    </row>
    <row r="2788" spans="1:13">
      <c r="A2788" s="1">
        <v>2787</v>
      </c>
      <c r="B2788" s="1">
        <v>896057.72609999997</v>
      </c>
      <c r="C2788" s="1">
        <v>1447568.6634982303</v>
      </c>
      <c r="D2788" s="1">
        <f t="shared" si="43"/>
        <v>-551510.93739823031</v>
      </c>
      <c r="E2788" s="1">
        <v>18</v>
      </c>
      <c r="F2788" s="1">
        <v>13</v>
      </c>
      <c r="G2788" s="1">
        <v>4</v>
      </c>
      <c r="H2788" s="1">
        <v>2</v>
      </c>
      <c r="I2788" s="1">
        <v>0</v>
      </c>
      <c r="J2788" s="1">
        <v>1</v>
      </c>
      <c r="K2788" s="1">
        <v>1</v>
      </c>
      <c r="L2788" s="1">
        <v>0</v>
      </c>
      <c r="M2788" s="1">
        <v>1</v>
      </c>
    </row>
    <row r="2789" spans="1:13">
      <c r="A2789" s="1">
        <v>2788</v>
      </c>
      <c r="B2789" s="1">
        <v>1010474.5983</v>
      </c>
      <c r="C2789" s="1">
        <v>754562.7230409116</v>
      </c>
      <c r="D2789" s="1">
        <f t="shared" si="43"/>
        <v>255911.87525908835</v>
      </c>
      <c r="E2789" s="1">
        <v>8</v>
      </c>
      <c r="F2789" s="1">
        <v>23</v>
      </c>
      <c r="G2789" s="1">
        <v>4</v>
      </c>
      <c r="H2789" s="1">
        <v>1</v>
      </c>
      <c r="I2789" s="1">
        <v>0</v>
      </c>
      <c r="J2789" s="1">
        <v>1</v>
      </c>
      <c r="K2789" s="1">
        <v>0</v>
      </c>
      <c r="L2789" s="1">
        <v>0</v>
      </c>
      <c r="M2789" s="1">
        <v>1</v>
      </c>
    </row>
    <row r="2790" spans="1:13">
      <c r="A2790" s="1">
        <v>2789</v>
      </c>
      <c r="B2790" s="1">
        <v>850280.2378</v>
      </c>
      <c r="C2790" s="1">
        <v>357424.55096308712</v>
      </c>
      <c r="D2790" s="1">
        <f t="shared" si="43"/>
        <v>492855.68683691288</v>
      </c>
      <c r="E2790" s="1">
        <v>9</v>
      </c>
      <c r="F2790" s="1">
        <v>21</v>
      </c>
      <c r="G2790" s="1">
        <v>5</v>
      </c>
      <c r="H2790" s="1">
        <v>1</v>
      </c>
      <c r="I2790" s="1">
        <v>0</v>
      </c>
      <c r="J2790" s="1">
        <v>1</v>
      </c>
      <c r="K2790" s="1">
        <v>0</v>
      </c>
      <c r="L2790" s="1">
        <v>0</v>
      </c>
      <c r="M2790" s="1">
        <v>0</v>
      </c>
    </row>
    <row r="2791" spans="1:13">
      <c r="A2791" s="1">
        <v>2790</v>
      </c>
      <c r="B2791" s="1">
        <v>1003376.7389</v>
      </c>
      <c r="C2791" s="1">
        <v>1274632.4801739021</v>
      </c>
      <c r="D2791" s="1">
        <f t="shared" si="43"/>
        <v>-271255.74127390212</v>
      </c>
      <c r="E2791" s="1">
        <v>10</v>
      </c>
      <c r="F2791" s="1">
        <v>20</v>
      </c>
      <c r="G2791" s="1">
        <v>5</v>
      </c>
      <c r="H2791" s="1">
        <v>0</v>
      </c>
      <c r="I2791" s="1">
        <v>1</v>
      </c>
      <c r="J2791" s="1">
        <v>2</v>
      </c>
      <c r="K2791" s="1">
        <v>0</v>
      </c>
      <c r="L2791" s="1">
        <v>0</v>
      </c>
      <c r="M2791" s="1">
        <v>0</v>
      </c>
    </row>
    <row r="2792" spans="1:13">
      <c r="A2792" s="1">
        <v>2791</v>
      </c>
      <c r="B2792" s="1">
        <v>872846.7267</v>
      </c>
      <c r="C2792" s="1">
        <v>1915877.7849106519</v>
      </c>
      <c r="D2792" s="1">
        <f t="shared" si="43"/>
        <v>-1043031.0582106519</v>
      </c>
      <c r="E2792" s="1">
        <v>16</v>
      </c>
      <c r="F2792" s="1">
        <v>16</v>
      </c>
      <c r="G2792" s="1">
        <v>3</v>
      </c>
      <c r="H2792" s="1">
        <v>2</v>
      </c>
      <c r="I2792" s="1">
        <v>0</v>
      </c>
      <c r="J2792" s="1">
        <v>0</v>
      </c>
      <c r="K2792" s="1">
        <v>1</v>
      </c>
      <c r="L2792" s="1">
        <v>0</v>
      </c>
      <c r="M2792" s="1">
        <v>1</v>
      </c>
    </row>
    <row r="2793" spans="1:13">
      <c r="A2793" s="1">
        <v>2792</v>
      </c>
      <c r="B2793" s="1">
        <v>983532.46070000005</v>
      </c>
      <c r="C2793" s="1">
        <v>1136215.6539543848</v>
      </c>
      <c r="D2793" s="1">
        <f t="shared" si="43"/>
        <v>-152683.19325438479</v>
      </c>
      <c r="E2793" s="1">
        <v>10</v>
      </c>
      <c r="F2793" s="1">
        <v>23</v>
      </c>
      <c r="G2793" s="1">
        <v>2</v>
      </c>
      <c r="H2793" s="1">
        <v>0</v>
      </c>
      <c r="I2793" s="1">
        <v>0</v>
      </c>
      <c r="J2793" s="1">
        <v>1</v>
      </c>
      <c r="K2793" s="1">
        <v>1</v>
      </c>
      <c r="L2793" s="1">
        <v>0</v>
      </c>
      <c r="M2793" s="1">
        <v>0</v>
      </c>
    </row>
    <row r="2794" spans="1:13">
      <c r="A2794" s="1">
        <v>2793</v>
      </c>
      <c r="B2794" s="1">
        <v>987459.16879999998</v>
      </c>
      <c r="C2794" s="1">
        <v>916284.15829318948</v>
      </c>
      <c r="D2794" s="1">
        <f t="shared" si="43"/>
        <v>71175.010506810504</v>
      </c>
      <c r="E2794" s="1">
        <v>10</v>
      </c>
      <c r="F2794" s="1">
        <v>21</v>
      </c>
      <c r="G2794" s="1">
        <v>4</v>
      </c>
      <c r="H2794" s="1">
        <v>2</v>
      </c>
      <c r="I2794" s="1">
        <v>0</v>
      </c>
      <c r="J2794" s="1">
        <v>1</v>
      </c>
      <c r="K2794" s="1">
        <v>1</v>
      </c>
      <c r="L2794" s="1">
        <v>0</v>
      </c>
      <c r="M2794" s="1">
        <v>0</v>
      </c>
    </row>
    <row r="2795" spans="1:13">
      <c r="A2795" s="1">
        <v>2794</v>
      </c>
      <c r="B2795" s="1">
        <v>865185.60620000004</v>
      </c>
      <c r="C2795" s="1">
        <v>1423587.9050962264</v>
      </c>
      <c r="D2795" s="1">
        <f t="shared" si="43"/>
        <v>-558402.29889622633</v>
      </c>
      <c r="E2795" s="1">
        <v>17</v>
      </c>
      <c r="F2795" s="1">
        <v>15</v>
      </c>
      <c r="G2795" s="1">
        <v>3</v>
      </c>
      <c r="H2795" s="1">
        <v>2</v>
      </c>
      <c r="I2795" s="1">
        <v>0</v>
      </c>
      <c r="J2795" s="1">
        <v>0</v>
      </c>
      <c r="K2795" s="1">
        <v>0</v>
      </c>
      <c r="L2795" s="1">
        <v>0</v>
      </c>
      <c r="M2795" s="1">
        <v>0</v>
      </c>
    </row>
    <row r="2796" spans="1:13">
      <c r="A2796" s="1">
        <v>2795</v>
      </c>
      <c r="B2796" s="1">
        <v>967777.58349999995</v>
      </c>
      <c r="C2796" s="1">
        <v>887034.67191813432</v>
      </c>
      <c r="D2796" s="1">
        <f t="shared" si="43"/>
        <v>80742.911581865628</v>
      </c>
      <c r="E2796" s="1">
        <v>11</v>
      </c>
      <c r="F2796" s="1">
        <v>16</v>
      </c>
      <c r="G2796" s="1">
        <v>8</v>
      </c>
      <c r="H2796" s="1">
        <v>2</v>
      </c>
      <c r="I2796" s="1">
        <v>0</v>
      </c>
      <c r="J2796" s="1">
        <v>1</v>
      </c>
      <c r="K2796" s="1">
        <v>1</v>
      </c>
      <c r="L2796" s="1">
        <v>0</v>
      </c>
      <c r="M2796" s="1">
        <v>0</v>
      </c>
    </row>
    <row r="2797" spans="1:13">
      <c r="A2797" s="1">
        <v>2796</v>
      </c>
      <c r="B2797" s="1">
        <v>1009732.4328</v>
      </c>
      <c r="C2797" s="1">
        <v>809097.6379440733</v>
      </c>
      <c r="D2797" s="1">
        <f t="shared" si="43"/>
        <v>200634.79485592665</v>
      </c>
      <c r="E2797" s="1">
        <v>9</v>
      </c>
      <c r="F2797" s="1">
        <v>19</v>
      </c>
      <c r="G2797" s="1">
        <v>7</v>
      </c>
      <c r="H2797" s="1">
        <v>2</v>
      </c>
      <c r="I2797" s="1">
        <v>0</v>
      </c>
      <c r="J2797" s="1">
        <v>0</v>
      </c>
      <c r="K2797" s="1">
        <v>0</v>
      </c>
      <c r="L2797" s="1">
        <v>0</v>
      </c>
      <c r="M2797" s="1">
        <v>0</v>
      </c>
    </row>
    <row r="2798" spans="1:13">
      <c r="A2798" s="1">
        <v>2797</v>
      </c>
      <c r="B2798" s="1">
        <v>919252.0233</v>
      </c>
      <c r="C2798" s="1">
        <v>513720.01706607896</v>
      </c>
      <c r="D2798" s="1">
        <f t="shared" si="43"/>
        <v>405532.00623392104</v>
      </c>
      <c r="E2798" s="1">
        <v>11</v>
      </c>
      <c r="F2798" s="1">
        <v>15</v>
      </c>
      <c r="G2798" s="1">
        <v>9</v>
      </c>
      <c r="H2798" s="1">
        <v>1</v>
      </c>
      <c r="I2798" s="1">
        <v>0</v>
      </c>
      <c r="J2798" s="1">
        <v>0</v>
      </c>
      <c r="K2798" s="1">
        <v>0</v>
      </c>
      <c r="L2798" s="1">
        <v>1</v>
      </c>
      <c r="M2798" s="1">
        <v>0</v>
      </c>
    </row>
    <row r="2799" spans="1:13">
      <c r="A2799" s="1">
        <v>2798</v>
      </c>
      <c r="B2799" s="1">
        <v>901572.46039999998</v>
      </c>
      <c r="C2799" s="1">
        <v>1066236.9728602332</v>
      </c>
      <c r="D2799" s="1">
        <f t="shared" si="43"/>
        <v>-164664.51246023318</v>
      </c>
      <c r="E2799" s="1">
        <v>15</v>
      </c>
      <c r="F2799" s="1">
        <v>14</v>
      </c>
      <c r="G2799" s="1">
        <v>6</v>
      </c>
      <c r="H2799" s="1">
        <v>0</v>
      </c>
      <c r="I2799" s="1">
        <v>0</v>
      </c>
      <c r="J2799" s="1">
        <v>1</v>
      </c>
      <c r="K2799" s="1">
        <v>1</v>
      </c>
      <c r="L2799" s="1">
        <v>0</v>
      </c>
      <c r="M2799" s="1">
        <v>0</v>
      </c>
    </row>
    <row r="2800" spans="1:13">
      <c r="A2800" s="1">
        <v>2799</v>
      </c>
      <c r="B2800" s="1">
        <v>874183.59860000003</v>
      </c>
      <c r="C2800" s="1">
        <v>975532.3023849806</v>
      </c>
      <c r="D2800" s="1">
        <f t="shared" si="43"/>
        <v>-101348.70378498058</v>
      </c>
      <c r="E2800" s="1">
        <v>21</v>
      </c>
      <c r="F2800" s="1">
        <v>9</v>
      </c>
      <c r="G2800" s="1">
        <v>5</v>
      </c>
      <c r="H2800" s="1">
        <v>1</v>
      </c>
      <c r="I2800" s="1">
        <v>0</v>
      </c>
      <c r="J2800" s="1">
        <v>0</v>
      </c>
      <c r="K2800" s="1">
        <v>1</v>
      </c>
      <c r="L2800" s="1">
        <v>0</v>
      </c>
      <c r="M2800" s="1">
        <v>1</v>
      </c>
    </row>
    <row r="2801" spans="1:13">
      <c r="A2801" s="1">
        <v>2800</v>
      </c>
      <c r="B2801" s="1">
        <v>880484.70389999996</v>
      </c>
      <c r="C2801" s="1">
        <v>664418.82411916205</v>
      </c>
      <c r="D2801" s="1">
        <f t="shared" si="43"/>
        <v>216065.87978083792</v>
      </c>
      <c r="E2801" s="1">
        <v>16</v>
      </c>
      <c r="F2801" s="1">
        <v>13</v>
      </c>
      <c r="G2801" s="1">
        <v>6</v>
      </c>
      <c r="H2801" s="1">
        <v>2</v>
      </c>
      <c r="I2801" s="1">
        <v>0</v>
      </c>
      <c r="J2801" s="1">
        <v>0</v>
      </c>
      <c r="K2801" s="1">
        <v>0</v>
      </c>
      <c r="L2801" s="1">
        <v>0</v>
      </c>
      <c r="M2801" s="1">
        <v>1</v>
      </c>
    </row>
    <row r="2802" spans="1:13">
      <c r="A2802" s="1">
        <v>2801</v>
      </c>
      <c r="B2802" s="1">
        <v>957769.99509999994</v>
      </c>
      <c r="C2802" s="1">
        <v>1018878.3713784525</v>
      </c>
      <c r="D2802" s="1">
        <f t="shared" si="43"/>
        <v>-61108.376278452575</v>
      </c>
      <c r="E2802" s="1">
        <v>13</v>
      </c>
      <c r="F2802" s="1">
        <v>16</v>
      </c>
      <c r="G2802" s="1">
        <v>6</v>
      </c>
      <c r="H2802" s="1">
        <v>2</v>
      </c>
      <c r="I2802" s="1">
        <v>0</v>
      </c>
      <c r="J2802" s="1">
        <v>1</v>
      </c>
      <c r="K2802" s="1">
        <v>1</v>
      </c>
      <c r="L2802" s="1">
        <v>0</v>
      </c>
      <c r="M2802" s="1">
        <v>1</v>
      </c>
    </row>
    <row r="2803" spans="1:13">
      <c r="A2803" s="1">
        <v>2802</v>
      </c>
      <c r="B2803" s="1">
        <v>845449.20609999995</v>
      </c>
      <c r="C2803" s="1">
        <v>649408.30085376324</v>
      </c>
      <c r="D2803" s="1">
        <f t="shared" si="43"/>
        <v>196040.90524623671</v>
      </c>
      <c r="E2803" s="1">
        <v>6</v>
      </c>
      <c r="F2803" s="1">
        <v>27</v>
      </c>
      <c r="G2803" s="1">
        <v>2</v>
      </c>
      <c r="H2803" s="1">
        <v>2</v>
      </c>
      <c r="I2803" s="1">
        <v>0</v>
      </c>
      <c r="J2803" s="1">
        <v>1</v>
      </c>
      <c r="K2803" s="1">
        <v>1</v>
      </c>
      <c r="L2803" s="1">
        <v>0</v>
      </c>
      <c r="M2803" s="1">
        <v>1</v>
      </c>
    </row>
    <row r="2804" spans="1:13">
      <c r="A2804" s="1">
        <v>2803</v>
      </c>
      <c r="B2804" s="1">
        <v>1001923.0182</v>
      </c>
      <c r="C2804" s="1">
        <v>577054.83284787019</v>
      </c>
      <c r="D2804" s="1">
        <f t="shared" si="43"/>
        <v>424868.18535212986</v>
      </c>
      <c r="E2804" s="1">
        <v>9</v>
      </c>
      <c r="F2804" s="1">
        <v>20</v>
      </c>
      <c r="G2804" s="1">
        <v>6</v>
      </c>
      <c r="H2804" s="1">
        <v>2</v>
      </c>
      <c r="I2804" s="1">
        <v>0</v>
      </c>
      <c r="J2804" s="1">
        <v>0</v>
      </c>
      <c r="K2804" s="1">
        <v>0</v>
      </c>
      <c r="L2804" s="1">
        <v>0</v>
      </c>
      <c r="M2804" s="1">
        <v>0</v>
      </c>
    </row>
    <row r="2805" spans="1:13">
      <c r="A2805" s="1">
        <v>2804</v>
      </c>
      <c r="B2805" s="1">
        <v>967327.99419999996</v>
      </c>
      <c r="C2805" s="1">
        <v>851808.7140677995</v>
      </c>
      <c r="D2805" s="1">
        <f t="shared" si="43"/>
        <v>115519.28013220045</v>
      </c>
      <c r="E2805" s="1">
        <v>7</v>
      </c>
      <c r="F2805" s="1">
        <v>24</v>
      </c>
      <c r="G2805" s="1">
        <v>4</v>
      </c>
      <c r="H2805" s="1">
        <v>0</v>
      </c>
      <c r="I2805" s="1">
        <v>0</v>
      </c>
      <c r="J2805" s="1">
        <v>2</v>
      </c>
      <c r="K2805" s="1">
        <v>0</v>
      </c>
      <c r="L2805" s="1">
        <v>0</v>
      </c>
      <c r="M2805" s="1">
        <v>0</v>
      </c>
    </row>
    <row r="2806" spans="1:13">
      <c r="A2806" s="1">
        <v>2805</v>
      </c>
      <c r="B2806" s="1">
        <v>971940.50280000002</v>
      </c>
      <c r="C2806" s="1">
        <v>1072541.6376365998</v>
      </c>
      <c r="D2806" s="1">
        <f t="shared" si="43"/>
        <v>-100601.13483659981</v>
      </c>
      <c r="E2806" s="1">
        <v>14</v>
      </c>
      <c r="F2806" s="1">
        <v>16</v>
      </c>
      <c r="G2806" s="1">
        <v>5</v>
      </c>
      <c r="H2806" s="1">
        <v>2</v>
      </c>
      <c r="I2806" s="1">
        <v>0</v>
      </c>
      <c r="J2806" s="1">
        <v>0</v>
      </c>
      <c r="K2806" s="1">
        <v>0</v>
      </c>
      <c r="L2806" s="1">
        <v>0</v>
      </c>
      <c r="M2806" s="1">
        <v>0</v>
      </c>
    </row>
    <row r="2807" spans="1:13">
      <c r="A2807" s="1">
        <v>2806</v>
      </c>
      <c r="B2807" s="1">
        <v>931947.88080000004</v>
      </c>
      <c r="C2807" s="1">
        <v>659165.90384900908</v>
      </c>
      <c r="D2807" s="1">
        <f t="shared" si="43"/>
        <v>272781.97695099097</v>
      </c>
      <c r="E2807" s="1">
        <v>14</v>
      </c>
      <c r="F2807" s="1">
        <v>14</v>
      </c>
      <c r="G2807" s="1">
        <v>7</v>
      </c>
      <c r="H2807" s="1">
        <v>0</v>
      </c>
      <c r="I2807" s="1">
        <v>0</v>
      </c>
      <c r="J2807" s="1">
        <v>0</v>
      </c>
      <c r="K2807" s="1">
        <v>2</v>
      </c>
      <c r="L2807" s="1">
        <v>0</v>
      </c>
      <c r="M2807" s="1">
        <v>0</v>
      </c>
    </row>
    <row r="2808" spans="1:13">
      <c r="A2808" s="1">
        <v>2807</v>
      </c>
      <c r="B2808" s="1">
        <v>934160.978</v>
      </c>
      <c r="C2808" s="1">
        <v>1175690.6337804932</v>
      </c>
      <c r="D2808" s="1">
        <f t="shared" si="43"/>
        <v>-241529.65578049317</v>
      </c>
      <c r="E2808" s="1">
        <v>18</v>
      </c>
      <c r="F2808" s="1">
        <v>13</v>
      </c>
      <c r="G2808" s="1">
        <v>4</v>
      </c>
      <c r="H2808" s="1">
        <v>0</v>
      </c>
      <c r="I2808" s="1">
        <v>0</v>
      </c>
      <c r="J2808" s="1">
        <v>1</v>
      </c>
      <c r="K2808" s="1">
        <v>0</v>
      </c>
      <c r="L2808" s="1">
        <v>0</v>
      </c>
      <c r="M2808" s="1">
        <v>0</v>
      </c>
    </row>
    <row r="2809" spans="1:13">
      <c r="A2809" s="1">
        <v>2808</v>
      </c>
      <c r="B2809" s="1">
        <v>1087879.6457</v>
      </c>
      <c r="C2809" s="1">
        <v>1013762.6022225771</v>
      </c>
      <c r="D2809" s="1">
        <f t="shared" si="43"/>
        <v>74117.043477422907</v>
      </c>
      <c r="E2809" s="1">
        <v>10</v>
      </c>
      <c r="F2809" s="1">
        <v>18</v>
      </c>
      <c r="G2809" s="1">
        <v>7</v>
      </c>
      <c r="H2809" s="1">
        <v>0</v>
      </c>
      <c r="I2809" s="1">
        <v>0</v>
      </c>
      <c r="J2809" s="1">
        <v>1</v>
      </c>
      <c r="K2809" s="1">
        <v>1</v>
      </c>
      <c r="L2809" s="1">
        <v>0</v>
      </c>
      <c r="M2809" s="1">
        <v>0</v>
      </c>
    </row>
    <row r="2810" spans="1:13">
      <c r="A2810" s="1">
        <v>2809</v>
      </c>
      <c r="B2810" s="1">
        <v>844214.88959999999</v>
      </c>
      <c r="C2810" s="1">
        <v>1137151.7273551808</v>
      </c>
      <c r="D2810" s="1">
        <f t="shared" si="43"/>
        <v>-292936.83775518078</v>
      </c>
      <c r="E2810" s="1">
        <v>16</v>
      </c>
      <c r="F2810" s="1">
        <v>14</v>
      </c>
      <c r="G2810" s="1">
        <v>5</v>
      </c>
      <c r="H2810" s="1">
        <v>2</v>
      </c>
      <c r="I2810" s="1">
        <v>0</v>
      </c>
      <c r="J2810" s="1">
        <v>2</v>
      </c>
      <c r="K2810" s="1">
        <v>0</v>
      </c>
      <c r="L2810" s="1">
        <v>0</v>
      </c>
      <c r="M2810" s="1">
        <v>0</v>
      </c>
    </row>
    <row r="2811" spans="1:13">
      <c r="A2811" s="1">
        <v>2810</v>
      </c>
      <c r="B2811" s="1">
        <v>996705.72380000004</v>
      </c>
      <c r="C2811" s="1">
        <v>1007224.5079605421</v>
      </c>
      <c r="D2811" s="1">
        <f t="shared" si="43"/>
        <v>-10518.784160542069</v>
      </c>
      <c r="E2811" s="1">
        <v>11</v>
      </c>
      <c r="F2811" s="1">
        <v>17</v>
      </c>
      <c r="G2811" s="1">
        <v>7</v>
      </c>
      <c r="H2811" s="1">
        <v>1</v>
      </c>
      <c r="I2811" s="1">
        <v>0</v>
      </c>
      <c r="J2811" s="1">
        <v>1</v>
      </c>
      <c r="K2811" s="1">
        <v>1</v>
      </c>
      <c r="L2811" s="1">
        <v>0</v>
      </c>
      <c r="M2811" s="1">
        <v>0</v>
      </c>
    </row>
    <row r="2812" spans="1:13">
      <c r="A2812" s="1">
        <v>2811</v>
      </c>
      <c r="B2812" s="1">
        <v>873836.41079999995</v>
      </c>
      <c r="C2812" s="1">
        <v>811091.24717660074</v>
      </c>
      <c r="D2812" s="1">
        <f t="shared" si="43"/>
        <v>62745.163623399218</v>
      </c>
      <c r="E2812" s="1">
        <v>7</v>
      </c>
      <c r="F2812" s="1">
        <v>26</v>
      </c>
      <c r="G2812" s="1">
        <v>2</v>
      </c>
      <c r="H2812" s="1">
        <v>0</v>
      </c>
      <c r="I2812" s="1">
        <v>0</v>
      </c>
      <c r="J2812" s="1">
        <v>2</v>
      </c>
      <c r="K2812" s="1">
        <v>0</v>
      </c>
      <c r="L2812" s="1">
        <v>0</v>
      </c>
      <c r="M2812" s="1">
        <v>1</v>
      </c>
    </row>
    <row r="2813" spans="1:13">
      <c r="A2813" s="1">
        <v>2812</v>
      </c>
      <c r="B2813" s="1">
        <v>872901.21219999995</v>
      </c>
      <c r="C2813" s="1">
        <v>723785.07143659831</v>
      </c>
      <c r="D2813" s="1">
        <f t="shared" si="43"/>
        <v>149116.14076340164</v>
      </c>
      <c r="E2813" s="1">
        <v>16</v>
      </c>
      <c r="F2813" s="1">
        <v>14</v>
      </c>
      <c r="G2813" s="1">
        <v>5</v>
      </c>
      <c r="H2813" s="1">
        <v>1</v>
      </c>
      <c r="I2813" s="1">
        <v>0</v>
      </c>
      <c r="J2813" s="1">
        <v>0</v>
      </c>
      <c r="K2813" s="1">
        <v>2</v>
      </c>
      <c r="L2813" s="1">
        <v>0</v>
      </c>
      <c r="M2813" s="1">
        <v>1</v>
      </c>
    </row>
    <row r="2814" spans="1:13">
      <c r="A2814" s="1">
        <v>2813</v>
      </c>
      <c r="B2814" s="1">
        <v>957911.92359999998</v>
      </c>
      <c r="C2814" s="1">
        <v>1093000.9347011703</v>
      </c>
      <c r="D2814" s="1">
        <f t="shared" si="43"/>
        <v>-135089.01110117033</v>
      </c>
      <c r="E2814" s="1">
        <v>8</v>
      </c>
      <c r="F2814" s="1">
        <v>22</v>
      </c>
      <c r="G2814" s="1">
        <v>5</v>
      </c>
      <c r="H2814" s="1">
        <v>1</v>
      </c>
      <c r="I2814" s="1">
        <v>0</v>
      </c>
      <c r="J2814" s="1">
        <v>2</v>
      </c>
      <c r="K2814" s="1">
        <v>0</v>
      </c>
      <c r="L2814" s="1">
        <v>0</v>
      </c>
      <c r="M2814" s="1">
        <v>0</v>
      </c>
    </row>
    <row r="2815" spans="1:13">
      <c r="A2815" s="1">
        <v>2814</v>
      </c>
      <c r="B2815" s="1">
        <v>934330.15150000004</v>
      </c>
      <c r="C2815" s="1">
        <v>1205178.8688467345</v>
      </c>
      <c r="D2815" s="1">
        <f t="shared" si="43"/>
        <v>-270848.71734673448</v>
      </c>
      <c r="E2815" s="1">
        <v>17</v>
      </c>
      <c r="F2815" s="1">
        <v>13</v>
      </c>
      <c r="G2815" s="1">
        <v>5</v>
      </c>
      <c r="H2815" s="1">
        <v>2</v>
      </c>
      <c r="I2815" s="1">
        <v>0</v>
      </c>
      <c r="J2815" s="1">
        <v>0</v>
      </c>
      <c r="K2815" s="1">
        <v>2</v>
      </c>
      <c r="L2815" s="1">
        <v>0</v>
      </c>
      <c r="M2815" s="1">
        <v>0</v>
      </c>
    </row>
    <row r="2816" spans="1:13">
      <c r="A2816" s="1">
        <v>2815</v>
      </c>
      <c r="B2816" s="1">
        <v>952149.22699999996</v>
      </c>
      <c r="C2816" s="1">
        <v>895987.38593988679</v>
      </c>
      <c r="D2816" s="1">
        <f t="shared" si="43"/>
        <v>56161.841060113162</v>
      </c>
      <c r="E2816" s="1">
        <v>8</v>
      </c>
      <c r="F2816" s="1">
        <v>21</v>
      </c>
      <c r="G2816" s="1">
        <v>6</v>
      </c>
      <c r="H2816" s="1">
        <v>0</v>
      </c>
      <c r="I2816" s="1">
        <v>2</v>
      </c>
      <c r="J2816" s="1">
        <v>1</v>
      </c>
      <c r="K2816" s="1">
        <v>0</v>
      </c>
      <c r="L2816" s="1">
        <v>0</v>
      </c>
      <c r="M2816" s="1">
        <v>0</v>
      </c>
    </row>
    <row r="2817" spans="1:13">
      <c r="A2817" s="1">
        <v>2816</v>
      </c>
      <c r="B2817" s="1">
        <v>1030683.3712000001</v>
      </c>
      <c r="C2817" s="1">
        <v>839928.60850128927</v>
      </c>
      <c r="D2817" s="1">
        <f t="shared" si="43"/>
        <v>190754.76269871078</v>
      </c>
      <c r="E2817" s="1">
        <v>16</v>
      </c>
      <c r="F2817" s="1">
        <v>14</v>
      </c>
      <c r="G2817" s="1">
        <v>5</v>
      </c>
      <c r="H2817" s="1">
        <v>0</v>
      </c>
      <c r="I2817" s="1">
        <v>2</v>
      </c>
      <c r="J2817" s="1">
        <v>1</v>
      </c>
      <c r="K2817" s="1">
        <v>1</v>
      </c>
      <c r="L2817" s="1">
        <v>0</v>
      </c>
      <c r="M2817" s="1">
        <v>1</v>
      </c>
    </row>
    <row r="2818" spans="1:13">
      <c r="A2818" s="1">
        <v>2817</v>
      </c>
      <c r="B2818" s="1">
        <v>950490.93530000001</v>
      </c>
      <c r="C2818" s="1">
        <v>705596.63997267233</v>
      </c>
      <c r="D2818" s="1">
        <f t="shared" ref="D2818:D2881" si="44">B2818-C2818</f>
        <v>244894.29532732768</v>
      </c>
      <c r="E2818" s="1">
        <v>15</v>
      </c>
      <c r="F2818" s="1">
        <v>16</v>
      </c>
      <c r="G2818" s="1">
        <v>4</v>
      </c>
      <c r="H2818" s="1">
        <v>1</v>
      </c>
      <c r="I2818" s="1">
        <v>0</v>
      </c>
      <c r="J2818" s="1">
        <v>0</v>
      </c>
      <c r="K2818" s="1">
        <v>0</v>
      </c>
      <c r="L2818" s="1">
        <v>0</v>
      </c>
      <c r="M2818" s="1">
        <v>1</v>
      </c>
    </row>
    <row r="2819" spans="1:13">
      <c r="A2819" s="1">
        <v>2818</v>
      </c>
      <c r="B2819" s="1">
        <v>843479.57649999997</v>
      </c>
      <c r="C2819" s="1">
        <v>672700.50200654892</v>
      </c>
      <c r="D2819" s="1">
        <f t="shared" si="44"/>
        <v>170779.07449345104</v>
      </c>
      <c r="E2819" s="1">
        <v>24</v>
      </c>
      <c r="F2819" s="1">
        <v>7</v>
      </c>
      <c r="G2819" s="1">
        <v>4</v>
      </c>
      <c r="H2819" s="1">
        <v>0</v>
      </c>
      <c r="I2819" s="1">
        <v>1</v>
      </c>
      <c r="J2819" s="1">
        <v>1</v>
      </c>
      <c r="K2819" s="1">
        <v>1</v>
      </c>
      <c r="L2819" s="1">
        <v>0</v>
      </c>
      <c r="M2819" s="1">
        <v>0</v>
      </c>
    </row>
    <row r="2820" spans="1:13">
      <c r="A2820" s="1">
        <v>2819</v>
      </c>
      <c r="B2820" s="1">
        <v>1007738.8308999999</v>
      </c>
      <c r="C2820" s="1">
        <v>1199144.1784584089</v>
      </c>
      <c r="D2820" s="1">
        <f t="shared" si="44"/>
        <v>-191405.34755840898</v>
      </c>
      <c r="E2820" s="1">
        <v>7</v>
      </c>
      <c r="F2820" s="1">
        <v>24</v>
      </c>
      <c r="G2820" s="1">
        <v>4</v>
      </c>
      <c r="H2820" s="1">
        <v>2</v>
      </c>
      <c r="I2820" s="1">
        <v>0</v>
      </c>
      <c r="J2820" s="1">
        <v>0</v>
      </c>
      <c r="K2820" s="1">
        <v>1</v>
      </c>
      <c r="L2820" s="1">
        <v>0</v>
      </c>
      <c r="M2820" s="1">
        <v>0</v>
      </c>
    </row>
    <row r="2821" spans="1:13">
      <c r="A2821" s="1">
        <v>2820</v>
      </c>
      <c r="B2821" s="1">
        <v>952301.72279999999</v>
      </c>
      <c r="C2821" s="1">
        <v>681481.90688788507</v>
      </c>
      <c r="D2821" s="1">
        <f t="shared" si="44"/>
        <v>270819.81591211492</v>
      </c>
      <c r="E2821" s="1">
        <v>16</v>
      </c>
      <c r="F2821" s="1">
        <v>13</v>
      </c>
      <c r="G2821" s="1">
        <v>6</v>
      </c>
      <c r="H2821" s="1">
        <v>1</v>
      </c>
      <c r="I2821" s="1">
        <v>1</v>
      </c>
      <c r="J2821" s="1">
        <v>0</v>
      </c>
      <c r="K2821" s="1">
        <v>0</v>
      </c>
      <c r="L2821" s="1">
        <v>0</v>
      </c>
      <c r="M2821" s="1">
        <v>0</v>
      </c>
    </row>
    <row r="2822" spans="1:13">
      <c r="A2822" s="1">
        <v>2821</v>
      </c>
      <c r="B2822" s="1">
        <v>983343.78359999997</v>
      </c>
      <c r="C2822" s="1">
        <v>661059.5748744139</v>
      </c>
      <c r="D2822" s="1">
        <f t="shared" si="44"/>
        <v>322284.20872558607</v>
      </c>
      <c r="E2822" s="1">
        <v>13</v>
      </c>
      <c r="F2822" s="1">
        <v>15</v>
      </c>
      <c r="G2822" s="1">
        <v>7</v>
      </c>
      <c r="H2822" s="1">
        <v>1</v>
      </c>
      <c r="I2822" s="1">
        <v>1</v>
      </c>
      <c r="J2822" s="1">
        <v>1</v>
      </c>
      <c r="K2822" s="1">
        <v>1</v>
      </c>
      <c r="L2822" s="1">
        <v>0</v>
      </c>
      <c r="M2822" s="1">
        <v>0</v>
      </c>
    </row>
    <row r="2823" spans="1:13">
      <c r="A2823" s="1">
        <v>2822</v>
      </c>
      <c r="B2823" s="1">
        <v>894904.15500000003</v>
      </c>
      <c r="C2823" s="1">
        <v>745143.24189562921</v>
      </c>
      <c r="D2823" s="1">
        <f t="shared" si="44"/>
        <v>149760.91310437082</v>
      </c>
      <c r="E2823" s="1">
        <v>16</v>
      </c>
      <c r="F2823" s="1">
        <v>13</v>
      </c>
      <c r="G2823" s="1">
        <v>6</v>
      </c>
      <c r="H2823" s="1">
        <v>2</v>
      </c>
      <c r="I2823" s="1">
        <v>0</v>
      </c>
      <c r="J2823" s="1">
        <v>2</v>
      </c>
      <c r="K2823" s="1">
        <v>0</v>
      </c>
      <c r="L2823" s="1">
        <v>0</v>
      </c>
      <c r="M2823" s="1">
        <v>0</v>
      </c>
    </row>
    <row r="2824" spans="1:13">
      <c r="A2824" s="1">
        <v>2823</v>
      </c>
      <c r="B2824" s="1">
        <v>894630.07550000004</v>
      </c>
      <c r="C2824" s="1">
        <v>760709.78333197464</v>
      </c>
      <c r="D2824" s="1">
        <f t="shared" si="44"/>
        <v>133920.29216802539</v>
      </c>
      <c r="E2824" s="1">
        <v>19</v>
      </c>
      <c r="F2824" s="1">
        <v>11</v>
      </c>
      <c r="G2824" s="1">
        <v>5</v>
      </c>
      <c r="H2824" s="1">
        <v>2</v>
      </c>
      <c r="I2824" s="1">
        <v>0</v>
      </c>
      <c r="J2824" s="1">
        <v>0</v>
      </c>
      <c r="K2824" s="1">
        <v>0</v>
      </c>
      <c r="L2824" s="1">
        <v>0</v>
      </c>
      <c r="M2824" s="1">
        <v>0</v>
      </c>
    </row>
    <row r="2825" spans="1:13">
      <c r="A2825" s="1">
        <v>2824</v>
      </c>
      <c r="B2825" s="1">
        <v>1023396.8104</v>
      </c>
      <c r="C2825" s="1">
        <v>874901.17991422571</v>
      </c>
      <c r="D2825" s="1">
        <f t="shared" si="44"/>
        <v>148495.63048577425</v>
      </c>
      <c r="E2825" s="1">
        <v>11</v>
      </c>
      <c r="F2825" s="1">
        <v>16</v>
      </c>
      <c r="G2825" s="1">
        <v>8</v>
      </c>
      <c r="H2825" s="1">
        <v>1</v>
      </c>
      <c r="I2825" s="1">
        <v>0</v>
      </c>
      <c r="J2825" s="1">
        <v>0</v>
      </c>
      <c r="K2825" s="1">
        <v>2</v>
      </c>
      <c r="L2825" s="1">
        <v>0</v>
      </c>
      <c r="M2825" s="1">
        <v>0</v>
      </c>
    </row>
    <row r="2826" spans="1:13">
      <c r="A2826" s="1">
        <v>2825</v>
      </c>
      <c r="B2826" s="1">
        <v>910619.19660000002</v>
      </c>
      <c r="C2826" s="1">
        <v>565392.81839966099</v>
      </c>
      <c r="D2826" s="1">
        <f t="shared" si="44"/>
        <v>345226.37820033904</v>
      </c>
      <c r="E2826" s="1">
        <v>13</v>
      </c>
      <c r="F2826" s="1">
        <v>16</v>
      </c>
      <c r="G2826" s="1">
        <v>6</v>
      </c>
      <c r="H2826" s="1">
        <v>1</v>
      </c>
      <c r="I2826" s="1">
        <v>0</v>
      </c>
      <c r="J2826" s="1">
        <v>1</v>
      </c>
      <c r="K2826" s="1">
        <v>1</v>
      </c>
      <c r="L2826" s="1">
        <v>0</v>
      </c>
      <c r="M2826" s="1">
        <v>0</v>
      </c>
    </row>
    <row r="2827" spans="1:13">
      <c r="A2827" s="1">
        <v>2826</v>
      </c>
      <c r="B2827" s="1">
        <v>1027423.3811999999</v>
      </c>
      <c r="C2827" s="1">
        <v>603851.07180585177</v>
      </c>
      <c r="D2827" s="1">
        <f t="shared" si="44"/>
        <v>423572.30939414818</v>
      </c>
      <c r="E2827" s="1">
        <v>7</v>
      </c>
      <c r="F2827" s="1">
        <v>21</v>
      </c>
      <c r="G2827" s="1">
        <v>7</v>
      </c>
      <c r="H2827" s="1">
        <v>1</v>
      </c>
      <c r="I2827" s="1">
        <v>0</v>
      </c>
      <c r="J2827" s="1">
        <v>1</v>
      </c>
      <c r="K2827" s="1">
        <v>1</v>
      </c>
      <c r="L2827" s="1">
        <v>0</v>
      </c>
      <c r="M2827" s="1">
        <v>1</v>
      </c>
    </row>
    <row r="2828" spans="1:13">
      <c r="A2828" s="1">
        <v>2827</v>
      </c>
      <c r="B2828" s="1">
        <v>996124.31499999994</v>
      </c>
      <c r="C2828" s="1">
        <v>940971.42710625427</v>
      </c>
      <c r="D2828" s="1">
        <f t="shared" si="44"/>
        <v>55152.887893745676</v>
      </c>
      <c r="E2828" s="1">
        <v>7</v>
      </c>
      <c r="F2828" s="1">
        <v>22</v>
      </c>
      <c r="G2828" s="1">
        <v>6</v>
      </c>
      <c r="H2828" s="1">
        <v>0</v>
      </c>
      <c r="I2828" s="1">
        <v>2</v>
      </c>
      <c r="J2828" s="1">
        <v>1</v>
      </c>
      <c r="K2828" s="1">
        <v>1</v>
      </c>
      <c r="L2828" s="1">
        <v>0</v>
      </c>
      <c r="M2828" s="1">
        <v>1</v>
      </c>
    </row>
    <row r="2829" spans="1:13">
      <c r="A2829" s="1">
        <v>2828</v>
      </c>
      <c r="B2829" s="1">
        <v>957551.8835</v>
      </c>
      <c r="C2829" s="1">
        <v>1279793.1759388633</v>
      </c>
      <c r="D2829" s="1">
        <f t="shared" si="44"/>
        <v>-322241.29243886331</v>
      </c>
      <c r="E2829" s="1">
        <v>13</v>
      </c>
      <c r="F2829" s="1">
        <v>17</v>
      </c>
      <c r="G2829" s="1">
        <v>5</v>
      </c>
      <c r="H2829" s="1">
        <v>1</v>
      </c>
      <c r="I2829" s="1">
        <v>0</v>
      </c>
      <c r="J2829" s="1">
        <v>0</v>
      </c>
      <c r="K2829" s="1">
        <v>1</v>
      </c>
      <c r="L2829" s="1">
        <v>0</v>
      </c>
      <c r="M2829" s="1">
        <v>1</v>
      </c>
    </row>
    <row r="2830" spans="1:13">
      <c r="A2830" s="1">
        <v>2829</v>
      </c>
      <c r="B2830" s="1">
        <v>896321.14749999996</v>
      </c>
      <c r="C2830" s="1">
        <v>670157.25973317423</v>
      </c>
      <c r="D2830" s="1">
        <f t="shared" si="44"/>
        <v>226163.88776682573</v>
      </c>
      <c r="E2830" s="1">
        <v>16</v>
      </c>
      <c r="F2830" s="1">
        <v>17</v>
      </c>
      <c r="G2830" s="1">
        <v>2</v>
      </c>
      <c r="H2830" s="1">
        <v>0</v>
      </c>
      <c r="I2830" s="1">
        <v>1</v>
      </c>
      <c r="J2830" s="1">
        <v>1</v>
      </c>
      <c r="K2830" s="1">
        <v>1</v>
      </c>
      <c r="L2830" s="1">
        <v>0</v>
      </c>
      <c r="M2830" s="1">
        <v>0</v>
      </c>
    </row>
    <row r="2831" spans="1:13">
      <c r="A2831" s="1">
        <v>2830</v>
      </c>
      <c r="B2831" s="1">
        <v>925678.65410000004</v>
      </c>
      <c r="C2831" s="1">
        <v>738471.97045379679</v>
      </c>
      <c r="D2831" s="1">
        <f t="shared" si="44"/>
        <v>187206.68364620325</v>
      </c>
      <c r="E2831" s="1">
        <v>9</v>
      </c>
      <c r="F2831" s="1">
        <v>21</v>
      </c>
      <c r="G2831" s="1">
        <v>5</v>
      </c>
      <c r="H2831" s="1">
        <v>1</v>
      </c>
      <c r="I2831" s="1">
        <v>0</v>
      </c>
      <c r="J2831" s="1">
        <v>2</v>
      </c>
      <c r="K2831" s="1">
        <v>0</v>
      </c>
      <c r="L2831" s="1">
        <v>0</v>
      </c>
      <c r="M2831" s="1">
        <v>0</v>
      </c>
    </row>
    <row r="2832" spans="1:13">
      <c r="A2832" s="1">
        <v>2831</v>
      </c>
      <c r="B2832" s="1">
        <v>952839.26269999996</v>
      </c>
      <c r="C2832" s="1">
        <v>885888.6120471973</v>
      </c>
      <c r="D2832" s="1">
        <f t="shared" si="44"/>
        <v>66950.650652802666</v>
      </c>
      <c r="E2832" s="1">
        <v>21</v>
      </c>
      <c r="F2832" s="1">
        <v>9</v>
      </c>
      <c r="G2832" s="1">
        <v>5</v>
      </c>
      <c r="H2832" s="1">
        <v>2</v>
      </c>
      <c r="I2832" s="1">
        <v>0</v>
      </c>
      <c r="J2832" s="1">
        <v>1</v>
      </c>
      <c r="K2832" s="1">
        <v>1</v>
      </c>
      <c r="L2832" s="1">
        <v>0</v>
      </c>
      <c r="M2832" s="1">
        <v>0</v>
      </c>
    </row>
    <row r="2833" spans="1:13">
      <c r="A2833" s="1">
        <v>2832</v>
      </c>
      <c r="B2833" s="1">
        <v>1007816.7458</v>
      </c>
      <c r="C2833" s="1">
        <v>730759.06073014578</v>
      </c>
      <c r="D2833" s="1">
        <f t="shared" si="44"/>
        <v>277057.68506985425</v>
      </c>
      <c r="E2833" s="1">
        <v>14</v>
      </c>
      <c r="F2833" s="1">
        <v>15</v>
      </c>
      <c r="G2833" s="1">
        <v>6</v>
      </c>
      <c r="H2833" s="1">
        <v>0</v>
      </c>
      <c r="I2833" s="1">
        <v>0</v>
      </c>
      <c r="J2833" s="1">
        <v>0</v>
      </c>
      <c r="K2833" s="1">
        <v>2</v>
      </c>
      <c r="L2833" s="1">
        <v>0</v>
      </c>
      <c r="M2833" s="1">
        <v>1</v>
      </c>
    </row>
    <row r="2834" spans="1:13">
      <c r="A2834" s="1">
        <v>2833</v>
      </c>
      <c r="B2834" s="1">
        <v>875446.14809999999</v>
      </c>
      <c r="C2834" s="1">
        <v>1133098.3702667605</v>
      </c>
      <c r="D2834" s="1">
        <f t="shared" si="44"/>
        <v>-257652.22216676048</v>
      </c>
      <c r="E2834" s="1">
        <v>13</v>
      </c>
      <c r="F2834" s="1">
        <v>17</v>
      </c>
      <c r="G2834" s="1">
        <v>5</v>
      </c>
      <c r="H2834" s="1">
        <v>0</v>
      </c>
      <c r="I2834" s="1">
        <v>0</v>
      </c>
      <c r="J2834" s="1">
        <v>0</v>
      </c>
      <c r="K2834" s="1">
        <v>0</v>
      </c>
      <c r="L2834" s="1">
        <v>0</v>
      </c>
      <c r="M2834" s="1">
        <v>1</v>
      </c>
    </row>
    <row r="2835" spans="1:13">
      <c r="A2835" s="1">
        <v>2834</v>
      </c>
      <c r="B2835" s="1">
        <v>957796.92200000002</v>
      </c>
      <c r="C2835" s="1">
        <v>769073.51346763363</v>
      </c>
      <c r="D2835" s="1">
        <f t="shared" si="44"/>
        <v>188723.40853236639</v>
      </c>
      <c r="E2835" s="1">
        <v>16</v>
      </c>
      <c r="F2835" s="1">
        <v>16</v>
      </c>
      <c r="G2835" s="1">
        <v>3</v>
      </c>
      <c r="H2835" s="1">
        <v>1</v>
      </c>
      <c r="I2835" s="1">
        <v>0</v>
      </c>
      <c r="J2835" s="1">
        <v>0</v>
      </c>
      <c r="K2835" s="1">
        <v>0</v>
      </c>
      <c r="L2835" s="1">
        <v>1</v>
      </c>
      <c r="M2835" s="1">
        <v>0</v>
      </c>
    </row>
    <row r="2836" spans="1:13">
      <c r="A2836" s="1">
        <v>2835</v>
      </c>
      <c r="B2836" s="1">
        <v>965725.29099999997</v>
      </c>
      <c r="C2836" s="1">
        <v>1157883.66108799</v>
      </c>
      <c r="D2836" s="1">
        <f t="shared" si="44"/>
        <v>-192158.37008799007</v>
      </c>
      <c r="E2836" s="1">
        <v>14</v>
      </c>
      <c r="F2836" s="1">
        <v>13</v>
      </c>
      <c r="G2836" s="1">
        <v>8</v>
      </c>
      <c r="H2836" s="1">
        <v>1</v>
      </c>
      <c r="I2836" s="1">
        <v>0</v>
      </c>
      <c r="J2836" s="1">
        <v>2</v>
      </c>
      <c r="K2836" s="1">
        <v>0</v>
      </c>
      <c r="L2836" s="1">
        <v>0</v>
      </c>
      <c r="M2836" s="1">
        <v>0</v>
      </c>
    </row>
    <row r="2837" spans="1:13">
      <c r="A2837" s="1">
        <v>2836</v>
      </c>
      <c r="B2837" s="1">
        <v>926869.47230000002</v>
      </c>
      <c r="C2837" s="1">
        <v>522261.89988414152</v>
      </c>
      <c r="D2837" s="1">
        <f t="shared" si="44"/>
        <v>404607.57241585851</v>
      </c>
      <c r="E2837" s="1">
        <v>10</v>
      </c>
      <c r="F2837" s="1">
        <v>20</v>
      </c>
      <c r="G2837" s="1">
        <v>5</v>
      </c>
      <c r="H2837" s="1">
        <v>0</v>
      </c>
      <c r="I2837" s="1">
        <v>0</v>
      </c>
      <c r="J2837" s="1">
        <v>0</v>
      </c>
      <c r="K2837" s="1">
        <v>1</v>
      </c>
      <c r="L2837" s="1">
        <v>0</v>
      </c>
      <c r="M2837" s="1">
        <v>0</v>
      </c>
    </row>
    <row r="2838" spans="1:13">
      <c r="A2838" s="1">
        <v>2837</v>
      </c>
      <c r="B2838" s="1">
        <v>1004828.5082</v>
      </c>
      <c r="C2838" s="1">
        <v>699662.98491208907</v>
      </c>
      <c r="D2838" s="1">
        <f t="shared" si="44"/>
        <v>305165.52328791097</v>
      </c>
      <c r="E2838" s="1">
        <v>11</v>
      </c>
      <c r="F2838" s="1">
        <v>18</v>
      </c>
      <c r="G2838" s="1">
        <v>6</v>
      </c>
      <c r="H2838" s="1">
        <v>1</v>
      </c>
      <c r="I2838" s="1">
        <v>0</v>
      </c>
      <c r="J2838" s="1">
        <v>0</v>
      </c>
      <c r="K2838" s="1">
        <v>0</v>
      </c>
      <c r="L2838" s="1">
        <v>0</v>
      </c>
      <c r="M2838" s="1">
        <v>0</v>
      </c>
    </row>
    <row r="2839" spans="1:13">
      <c r="A2839" s="1">
        <v>2838</v>
      </c>
      <c r="B2839" s="1">
        <v>892590.67760000005</v>
      </c>
      <c r="C2839" s="1">
        <v>1143133.5765090636</v>
      </c>
      <c r="D2839" s="1">
        <f t="shared" si="44"/>
        <v>-250542.89890906354</v>
      </c>
      <c r="E2839" s="1">
        <v>9</v>
      </c>
      <c r="F2839" s="1">
        <v>22</v>
      </c>
      <c r="G2839" s="1">
        <v>4</v>
      </c>
      <c r="H2839" s="1">
        <v>0</v>
      </c>
      <c r="I2839" s="1">
        <v>1</v>
      </c>
      <c r="J2839" s="1">
        <v>1</v>
      </c>
      <c r="K2839" s="1">
        <v>1</v>
      </c>
      <c r="L2839" s="1">
        <v>0</v>
      </c>
      <c r="M2839" s="1">
        <v>0</v>
      </c>
    </row>
    <row r="2840" spans="1:13">
      <c r="A2840" s="1">
        <v>2839</v>
      </c>
      <c r="B2840" s="1">
        <v>821617.55099999998</v>
      </c>
      <c r="C2840" s="1">
        <v>673877.69107469881</v>
      </c>
      <c r="D2840" s="1">
        <f t="shared" si="44"/>
        <v>147739.85992530116</v>
      </c>
      <c r="E2840" s="1">
        <v>21</v>
      </c>
      <c r="F2840" s="1">
        <v>11</v>
      </c>
      <c r="G2840" s="1">
        <v>3</v>
      </c>
      <c r="H2840" s="1">
        <v>0</v>
      </c>
      <c r="I2840" s="1">
        <v>2</v>
      </c>
      <c r="J2840" s="1">
        <v>0</v>
      </c>
      <c r="K2840" s="1">
        <v>1</v>
      </c>
      <c r="L2840" s="1">
        <v>0</v>
      </c>
      <c r="M2840" s="1">
        <v>0</v>
      </c>
    </row>
    <row r="2841" spans="1:13">
      <c r="A2841" s="1">
        <v>2840</v>
      </c>
      <c r="B2841" s="1">
        <v>821469.42599999998</v>
      </c>
      <c r="C2841" s="1">
        <v>2901581.7170642694</v>
      </c>
      <c r="D2841" s="1">
        <f t="shared" si="44"/>
        <v>-2080112.2910642694</v>
      </c>
      <c r="E2841" s="1">
        <v>16</v>
      </c>
      <c r="F2841" s="1">
        <v>15</v>
      </c>
      <c r="G2841" s="1">
        <v>4</v>
      </c>
      <c r="H2841" s="1">
        <v>2</v>
      </c>
      <c r="I2841" s="1">
        <v>0</v>
      </c>
      <c r="J2841" s="1">
        <v>0</v>
      </c>
      <c r="K2841" s="1">
        <v>0</v>
      </c>
      <c r="L2841" s="1">
        <v>0</v>
      </c>
      <c r="M2841" s="1">
        <v>1</v>
      </c>
    </row>
    <row r="2842" spans="1:13">
      <c r="A2842" s="1">
        <v>2841</v>
      </c>
      <c r="B2842" s="1">
        <v>845790.10580000002</v>
      </c>
      <c r="C2842" s="1">
        <v>863845.65934578155</v>
      </c>
      <c r="D2842" s="1">
        <f t="shared" si="44"/>
        <v>-18055.553545781528</v>
      </c>
      <c r="E2842" s="1">
        <v>11</v>
      </c>
      <c r="F2842" s="1">
        <v>23</v>
      </c>
      <c r="G2842" s="1">
        <v>1</v>
      </c>
      <c r="H2842" s="1">
        <v>1</v>
      </c>
      <c r="I2842" s="1">
        <v>1</v>
      </c>
      <c r="J2842" s="1">
        <v>0</v>
      </c>
      <c r="K2842" s="1">
        <v>0</v>
      </c>
      <c r="L2842" s="1">
        <v>1</v>
      </c>
      <c r="M2842" s="1">
        <v>0</v>
      </c>
    </row>
    <row r="2843" spans="1:13">
      <c r="A2843" s="1">
        <v>2842</v>
      </c>
      <c r="B2843" s="1">
        <v>1120499.4912</v>
      </c>
      <c r="C2843" s="1">
        <v>839746.89559510211</v>
      </c>
      <c r="D2843" s="1">
        <f t="shared" si="44"/>
        <v>280752.59560489794</v>
      </c>
      <c r="E2843" s="1">
        <v>7</v>
      </c>
      <c r="F2843" s="1">
        <v>24</v>
      </c>
      <c r="G2843" s="1">
        <v>4</v>
      </c>
      <c r="H2843" s="1">
        <v>0</v>
      </c>
      <c r="I2843" s="1">
        <v>1</v>
      </c>
      <c r="J2843" s="1">
        <v>2</v>
      </c>
      <c r="K2843" s="1">
        <v>0</v>
      </c>
      <c r="L2843" s="1">
        <v>0</v>
      </c>
      <c r="M2843" s="1">
        <v>1</v>
      </c>
    </row>
    <row r="2844" spans="1:13">
      <c r="A2844" s="1">
        <v>2843</v>
      </c>
      <c r="B2844" s="1">
        <v>890242.55960000004</v>
      </c>
      <c r="C2844" s="1">
        <v>1107349.7978021367</v>
      </c>
      <c r="D2844" s="1">
        <f t="shared" si="44"/>
        <v>-217107.23820213671</v>
      </c>
      <c r="E2844" s="1">
        <v>14</v>
      </c>
      <c r="F2844" s="1">
        <v>19</v>
      </c>
      <c r="G2844" s="1">
        <v>2</v>
      </c>
      <c r="H2844" s="1">
        <v>1</v>
      </c>
      <c r="I2844" s="1">
        <v>1</v>
      </c>
      <c r="J2844" s="1">
        <v>0</v>
      </c>
      <c r="K2844" s="1">
        <v>0</v>
      </c>
      <c r="L2844" s="1">
        <v>0</v>
      </c>
      <c r="M2844" s="1">
        <v>0</v>
      </c>
    </row>
    <row r="2845" spans="1:13">
      <c r="A2845" s="1">
        <v>2844</v>
      </c>
      <c r="B2845" s="1">
        <v>949865.37230000005</v>
      </c>
      <c r="C2845" s="1">
        <v>807604.10006119404</v>
      </c>
      <c r="D2845" s="1">
        <f t="shared" si="44"/>
        <v>142261.27223880601</v>
      </c>
      <c r="E2845" s="1">
        <v>15</v>
      </c>
      <c r="F2845" s="1">
        <v>11</v>
      </c>
      <c r="G2845" s="1">
        <v>9</v>
      </c>
      <c r="H2845" s="1">
        <v>0</v>
      </c>
      <c r="I2845" s="1">
        <v>1</v>
      </c>
      <c r="J2845" s="1">
        <v>1</v>
      </c>
      <c r="K2845" s="1">
        <v>0</v>
      </c>
      <c r="L2845" s="1">
        <v>0</v>
      </c>
      <c r="M2845" s="1">
        <v>0</v>
      </c>
    </row>
    <row r="2846" spans="1:13">
      <c r="A2846" s="1">
        <v>2845</v>
      </c>
      <c r="B2846" s="1">
        <v>994735.04920000001</v>
      </c>
      <c r="C2846" s="1">
        <v>867758.83431735542</v>
      </c>
      <c r="D2846" s="1">
        <f t="shared" si="44"/>
        <v>126976.21488264459</v>
      </c>
      <c r="E2846" s="1">
        <v>3</v>
      </c>
      <c r="F2846" s="1">
        <v>27</v>
      </c>
      <c r="G2846" s="1">
        <v>5</v>
      </c>
      <c r="H2846" s="1">
        <v>1</v>
      </c>
      <c r="I2846" s="1">
        <v>0</v>
      </c>
      <c r="J2846" s="1">
        <v>0</v>
      </c>
      <c r="K2846" s="1">
        <v>2</v>
      </c>
      <c r="L2846" s="1">
        <v>0</v>
      </c>
      <c r="M2846" s="1">
        <v>0</v>
      </c>
    </row>
    <row r="2847" spans="1:13">
      <c r="A2847" s="1">
        <v>2846</v>
      </c>
      <c r="B2847" s="1">
        <v>1089986.3237999999</v>
      </c>
      <c r="C2847" s="1">
        <v>1353323.1975797366</v>
      </c>
      <c r="D2847" s="1">
        <f t="shared" si="44"/>
        <v>-263336.87377973669</v>
      </c>
      <c r="E2847" s="1">
        <v>6</v>
      </c>
      <c r="F2847" s="1">
        <v>23</v>
      </c>
      <c r="G2847" s="1">
        <v>6</v>
      </c>
      <c r="H2847" s="1">
        <v>1</v>
      </c>
      <c r="I2847" s="1">
        <v>1</v>
      </c>
      <c r="J2847" s="1">
        <v>0</v>
      </c>
      <c r="K2847" s="1">
        <v>1</v>
      </c>
      <c r="L2847" s="1">
        <v>0</v>
      </c>
      <c r="M2847" s="1">
        <v>1</v>
      </c>
    </row>
    <row r="2848" spans="1:13">
      <c r="A2848" s="1">
        <v>2847</v>
      </c>
      <c r="B2848" s="1">
        <v>991499.72199999995</v>
      </c>
      <c r="C2848" s="1">
        <v>601062.33444684569</v>
      </c>
      <c r="D2848" s="1">
        <f t="shared" si="44"/>
        <v>390437.38755315426</v>
      </c>
      <c r="E2848" s="1">
        <v>10</v>
      </c>
      <c r="F2848" s="1">
        <v>20</v>
      </c>
      <c r="G2848" s="1">
        <v>5</v>
      </c>
      <c r="H2848" s="1">
        <v>0</v>
      </c>
      <c r="I2848" s="1">
        <v>0</v>
      </c>
      <c r="J2848" s="1">
        <v>0</v>
      </c>
      <c r="K2848" s="1">
        <v>1</v>
      </c>
      <c r="L2848" s="1">
        <v>1</v>
      </c>
      <c r="M2848" s="1">
        <v>1</v>
      </c>
    </row>
    <row r="2849" spans="1:13">
      <c r="A2849" s="1">
        <v>2848</v>
      </c>
      <c r="B2849" s="1">
        <v>843554.8517</v>
      </c>
      <c r="C2849" s="1">
        <v>861414.65854673984</v>
      </c>
      <c r="D2849" s="1">
        <f t="shared" si="44"/>
        <v>-17859.806846739841</v>
      </c>
      <c r="E2849" s="1">
        <v>20</v>
      </c>
      <c r="F2849" s="1">
        <v>12</v>
      </c>
      <c r="G2849" s="1">
        <v>3</v>
      </c>
      <c r="H2849" s="1">
        <v>0</v>
      </c>
      <c r="I2849" s="1">
        <v>2</v>
      </c>
      <c r="J2849" s="1">
        <v>1</v>
      </c>
      <c r="K2849" s="1">
        <v>1</v>
      </c>
      <c r="L2849" s="1">
        <v>0</v>
      </c>
      <c r="M2849" s="1">
        <v>0</v>
      </c>
    </row>
    <row r="2850" spans="1:13">
      <c r="A2850" s="1">
        <v>2849</v>
      </c>
      <c r="B2850" s="1">
        <v>986358.44339999999</v>
      </c>
      <c r="C2850" s="1">
        <v>922096.83767313662</v>
      </c>
      <c r="D2850" s="1">
        <f t="shared" si="44"/>
        <v>64261.605726863374</v>
      </c>
      <c r="E2850" s="1">
        <v>8</v>
      </c>
      <c r="F2850" s="1">
        <v>21</v>
      </c>
      <c r="G2850" s="1">
        <v>6</v>
      </c>
      <c r="H2850" s="1">
        <v>2</v>
      </c>
      <c r="I2850" s="1">
        <v>0</v>
      </c>
      <c r="J2850" s="1">
        <v>0</v>
      </c>
      <c r="K2850" s="1">
        <v>1</v>
      </c>
      <c r="L2850" s="1">
        <v>0</v>
      </c>
      <c r="M2850" s="1">
        <v>0</v>
      </c>
    </row>
    <row r="2851" spans="1:13">
      <c r="A2851" s="1">
        <v>2850</v>
      </c>
      <c r="B2851" s="1">
        <v>994893.02359999996</v>
      </c>
      <c r="C2851" s="1">
        <v>730052.42214350181</v>
      </c>
      <c r="D2851" s="1">
        <f t="shared" si="44"/>
        <v>264840.60145649815</v>
      </c>
      <c r="E2851" s="1">
        <v>12</v>
      </c>
      <c r="F2851" s="1">
        <v>13</v>
      </c>
      <c r="G2851" s="1">
        <v>10</v>
      </c>
      <c r="H2851" s="1">
        <v>0</v>
      </c>
      <c r="I2851" s="1">
        <v>1</v>
      </c>
      <c r="J2851" s="1">
        <v>0</v>
      </c>
      <c r="K2851" s="1">
        <v>0</v>
      </c>
      <c r="L2851" s="1">
        <v>0</v>
      </c>
      <c r="M2851" s="1">
        <v>0</v>
      </c>
    </row>
    <row r="2852" spans="1:13">
      <c r="A2852" s="1">
        <v>2851</v>
      </c>
      <c r="B2852" s="1">
        <v>946596.08349999995</v>
      </c>
      <c r="C2852" s="1">
        <v>748528.85809982358</v>
      </c>
      <c r="D2852" s="1">
        <f t="shared" si="44"/>
        <v>198067.22540017636</v>
      </c>
      <c r="E2852" s="1">
        <v>10</v>
      </c>
      <c r="F2852" s="1">
        <v>21</v>
      </c>
      <c r="G2852" s="1">
        <v>4</v>
      </c>
      <c r="H2852" s="1">
        <v>0</v>
      </c>
      <c r="I2852" s="1">
        <v>0</v>
      </c>
      <c r="J2852" s="1">
        <v>0</v>
      </c>
      <c r="K2852" s="1">
        <v>0</v>
      </c>
      <c r="L2852" s="1">
        <v>0</v>
      </c>
      <c r="M2852" s="1">
        <v>0</v>
      </c>
    </row>
    <row r="2853" spans="1:13">
      <c r="A2853" s="1">
        <v>2852</v>
      </c>
      <c r="B2853" s="1">
        <v>894461.62080000003</v>
      </c>
      <c r="C2853" s="1">
        <v>1121802.1071060237</v>
      </c>
      <c r="D2853" s="1">
        <f t="shared" si="44"/>
        <v>-227340.48630602367</v>
      </c>
      <c r="E2853" s="1">
        <v>13</v>
      </c>
      <c r="F2853" s="1">
        <v>18</v>
      </c>
      <c r="G2853" s="1">
        <v>4</v>
      </c>
      <c r="H2853" s="1">
        <v>1</v>
      </c>
      <c r="I2853" s="1">
        <v>0</v>
      </c>
      <c r="J2853" s="1">
        <v>1</v>
      </c>
      <c r="K2853" s="1">
        <v>0</v>
      </c>
      <c r="L2853" s="1">
        <v>0</v>
      </c>
      <c r="M2853" s="1">
        <v>1</v>
      </c>
    </row>
    <row r="2854" spans="1:13">
      <c r="A2854" s="1">
        <v>2853</v>
      </c>
      <c r="B2854" s="1">
        <v>945128.36430000002</v>
      </c>
      <c r="C2854" s="1">
        <v>818695.32977406622</v>
      </c>
      <c r="D2854" s="1">
        <f t="shared" si="44"/>
        <v>126433.03452593379</v>
      </c>
      <c r="E2854" s="1">
        <v>9</v>
      </c>
      <c r="F2854" s="1">
        <v>16</v>
      </c>
      <c r="G2854" s="1">
        <v>10</v>
      </c>
      <c r="H2854" s="1">
        <v>2</v>
      </c>
      <c r="I2854" s="1">
        <v>0</v>
      </c>
      <c r="J2854" s="1">
        <v>0</v>
      </c>
      <c r="K2854" s="1">
        <v>0</v>
      </c>
      <c r="L2854" s="1">
        <v>0</v>
      </c>
      <c r="M2854" s="1">
        <v>0</v>
      </c>
    </row>
    <row r="2855" spans="1:13">
      <c r="A2855" s="1">
        <v>2854</v>
      </c>
      <c r="B2855" s="1">
        <v>917831.1287</v>
      </c>
      <c r="C2855" s="1">
        <v>807497.77807783289</v>
      </c>
      <c r="D2855" s="1">
        <f t="shared" si="44"/>
        <v>110333.35062216711</v>
      </c>
      <c r="E2855" s="1">
        <v>25</v>
      </c>
      <c r="F2855" s="1">
        <v>5</v>
      </c>
      <c r="G2855" s="1">
        <v>5</v>
      </c>
      <c r="H2855" s="1">
        <v>0</v>
      </c>
      <c r="I2855" s="1">
        <v>0</v>
      </c>
      <c r="J2855" s="1">
        <v>1</v>
      </c>
      <c r="K2855" s="1">
        <v>0</v>
      </c>
      <c r="L2855" s="1">
        <v>0</v>
      </c>
      <c r="M2855" s="1">
        <v>0</v>
      </c>
    </row>
    <row r="2856" spans="1:13">
      <c r="A2856" s="1">
        <v>2855</v>
      </c>
      <c r="B2856" s="1">
        <v>999072.49829999998</v>
      </c>
      <c r="C2856" s="1">
        <v>377954.66020983225</v>
      </c>
      <c r="D2856" s="1">
        <f t="shared" si="44"/>
        <v>621117.83809016773</v>
      </c>
      <c r="E2856" s="1">
        <v>13</v>
      </c>
      <c r="F2856" s="1">
        <v>15</v>
      </c>
      <c r="G2856" s="1">
        <v>7</v>
      </c>
      <c r="H2856" s="1">
        <v>0</v>
      </c>
      <c r="I2856" s="1">
        <v>0</v>
      </c>
      <c r="J2856" s="1">
        <v>0</v>
      </c>
      <c r="K2856" s="1">
        <v>2</v>
      </c>
      <c r="L2856" s="1">
        <v>0</v>
      </c>
      <c r="M2856" s="1">
        <v>0</v>
      </c>
    </row>
    <row r="2857" spans="1:13">
      <c r="A2857" s="1">
        <v>2856</v>
      </c>
      <c r="B2857" s="1">
        <v>1070903.4608</v>
      </c>
      <c r="C2857" s="1">
        <v>847179.75576806942</v>
      </c>
      <c r="D2857" s="1">
        <f t="shared" si="44"/>
        <v>223723.70503193059</v>
      </c>
      <c r="E2857" s="1">
        <v>9</v>
      </c>
      <c r="F2857" s="1">
        <v>20</v>
      </c>
      <c r="G2857" s="1">
        <v>6</v>
      </c>
      <c r="H2857" s="1">
        <v>0</v>
      </c>
      <c r="I2857" s="1">
        <v>0</v>
      </c>
      <c r="J2857" s="1">
        <v>1</v>
      </c>
      <c r="K2857" s="1">
        <v>0</v>
      </c>
      <c r="L2857" s="1">
        <v>0</v>
      </c>
      <c r="M2857" s="1">
        <v>0</v>
      </c>
    </row>
    <row r="2858" spans="1:13">
      <c r="A2858" s="1">
        <v>2857</v>
      </c>
      <c r="B2858" s="1">
        <v>1053503.0733</v>
      </c>
      <c r="C2858" s="1">
        <v>674120.87171320699</v>
      </c>
      <c r="D2858" s="1">
        <f t="shared" si="44"/>
        <v>379382.20158679306</v>
      </c>
      <c r="E2858" s="1">
        <v>6</v>
      </c>
      <c r="F2858" s="1">
        <v>25</v>
      </c>
      <c r="G2858" s="1">
        <v>4</v>
      </c>
      <c r="H2858" s="1">
        <v>1</v>
      </c>
      <c r="I2858" s="1">
        <v>1</v>
      </c>
      <c r="J2858" s="1">
        <v>1</v>
      </c>
      <c r="K2858" s="1">
        <v>1</v>
      </c>
      <c r="L2858" s="1">
        <v>0</v>
      </c>
      <c r="M2858" s="1">
        <v>0</v>
      </c>
    </row>
    <row r="2859" spans="1:13">
      <c r="A2859" s="1">
        <v>2858</v>
      </c>
      <c r="B2859" s="1">
        <v>858848.66249999998</v>
      </c>
      <c r="C2859" s="1">
        <v>994685.07880178327</v>
      </c>
      <c r="D2859" s="1">
        <f t="shared" si="44"/>
        <v>-135836.41630178329</v>
      </c>
      <c r="E2859" s="1">
        <v>17</v>
      </c>
      <c r="F2859" s="1">
        <v>13</v>
      </c>
      <c r="G2859" s="1">
        <v>5</v>
      </c>
      <c r="H2859" s="1">
        <v>1</v>
      </c>
      <c r="I2859" s="1">
        <v>0</v>
      </c>
      <c r="J2859" s="1">
        <v>1</v>
      </c>
      <c r="K2859" s="1">
        <v>0</v>
      </c>
      <c r="L2859" s="1">
        <v>0</v>
      </c>
      <c r="M2859" s="1">
        <v>0</v>
      </c>
    </row>
    <row r="2860" spans="1:13">
      <c r="A2860" s="1">
        <v>2859</v>
      </c>
      <c r="B2860" s="1">
        <v>1094372.7233</v>
      </c>
      <c r="C2860" s="1">
        <v>968642.71032514132</v>
      </c>
      <c r="D2860" s="1">
        <f t="shared" si="44"/>
        <v>125730.01297485863</v>
      </c>
      <c r="E2860" s="1">
        <v>7</v>
      </c>
      <c r="F2860" s="1">
        <v>21</v>
      </c>
      <c r="G2860" s="1">
        <v>7</v>
      </c>
      <c r="H2860" s="1">
        <v>2</v>
      </c>
      <c r="I2860" s="1">
        <v>0</v>
      </c>
      <c r="J2860" s="1">
        <v>0</v>
      </c>
      <c r="K2860" s="1">
        <v>2</v>
      </c>
      <c r="L2860" s="1">
        <v>0</v>
      </c>
      <c r="M2860" s="1">
        <v>0</v>
      </c>
    </row>
    <row r="2861" spans="1:13">
      <c r="A2861" s="1">
        <v>2860</v>
      </c>
      <c r="B2861" s="1">
        <v>896133.23719999997</v>
      </c>
      <c r="C2861" s="1">
        <v>990467.22700751317</v>
      </c>
      <c r="D2861" s="1">
        <f t="shared" si="44"/>
        <v>-94333.989807513193</v>
      </c>
      <c r="E2861" s="1">
        <v>17</v>
      </c>
      <c r="F2861" s="1">
        <v>13</v>
      </c>
      <c r="G2861" s="1">
        <v>5</v>
      </c>
      <c r="H2861" s="1">
        <v>2</v>
      </c>
      <c r="I2861" s="1">
        <v>0</v>
      </c>
      <c r="J2861" s="1">
        <v>1</v>
      </c>
      <c r="K2861" s="1">
        <v>1</v>
      </c>
      <c r="L2861" s="1">
        <v>0</v>
      </c>
      <c r="M2861" s="1">
        <v>0</v>
      </c>
    </row>
    <row r="2862" spans="1:13">
      <c r="A2862" s="1">
        <v>2861</v>
      </c>
      <c r="B2862" s="1">
        <v>905514.93610000005</v>
      </c>
      <c r="C2862" s="1">
        <v>646245.43669853127</v>
      </c>
      <c r="D2862" s="1">
        <f t="shared" si="44"/>
        <v>259269.49940146878</v>
      </c>
      <c r="E2862" s="1">
        <v>9</v>
      </c>
      <c r="F2862" s="1">
        <v>22</v>
      </c>
      <c r="G2862" s="1">
        <v>4</v>
      </c>
      <c r="H2862" s="1">
        <v>1</v>
      </c>
      <c r="I2862" s="1">
        <v>1</v>
      </c>
      <c r="J2862" s="1">
        <v>0</v>
      </c>
      <c r="K2862" s="1">
        <v>0</v>
      </c>
      <c r="L2862" s="1">
        <v>0</v>
      </c>
      <c r="M2862" s="1">
        <v>0</v>
      </c>
    </row>
    <row r="2863" spans="1:13">
      <c r="A2863" s="1">
        <v>2862</v>
      </c>
      <c r="B2863" s="1">
        <v>1009374.4693</v>
      </c>
      <c r="C2863" s="1">
        <v>1438807.5312186861</v>
      </c>
      <c r="D2863" s="1">
        <f t="shared" si="44"/>
        <v>-429433.06191868614</v>
      </c>
      <c r="E2863" s="1">
        <v>17</v>
      </c>
      <c r="F2863" s="1">
        <v>12</v>
      </c>
      <c r="G2863" s="1">
        <v>6</v>
      </c>
      <c r="H2863" s="1">
        <v>1</v>
      </c>
      <c r="I2863" s="1">
        <v>0</v>
      </c>
      <c r="J2863" s="1">
        <v>0</v>
      </c>
      <c r="K2863" s="1">
        <v>0</v>
      </c>
      <c r="L2863" s="1">
        <v>0</v>
      </c>
      <c r="M2863" s="1">
        <v>0</v>
      </c>
    </row>
    <row r="2864" spans="1:13">
      <c r="A2864" s="1">
        <v>2863</v>
      </c>
      <c r="B2864" s="1">
        <v>904892.87580000004</v>
      </c>
      <c r="C2864" s="1">
        <v>691377.54339317931</v>
      </c>
      <c r="D2864" s="1">
        <f t="shared" si="44"/>
        <v>213515.33240682073</v>
      </c>
      <c r="E2864" s="1">
        <v>15</v>
      </c>
      <c r="F2864" s="1">
        <v>16</v>
      </c>
      <c r="G2864" s="1">
        <v>4</v>
      </c>
      <c r="H2864" s="1">
        <v>2</v>
      </c>
      <c r="I2864" s="1">
        <v>0</v>
      </c>
      <c r="J2864" s="1">
        <v>0</v>
      </c>
      <c r="K2864" s="1">
        <v>2</v>
      </c>
      <c r="L2864" s="1">
        <v>0</v>
      </c>
      <c r="M2864" s="1">
        <v>0</v>
      </c>
    </row>
    <row r="2865" spans="1:13">
      <c r="A2865" s="1">
        <v>2864</v>
      </c>
      <c r="B2865" s="1">
        <v>925756.80189999996</v>
      </c>
      <c r="C2865" s="1">
        <v>506995.96826409921</v>
      </c>
      <c r="D2865" s="1">
        <f t="shared" si="44"/>
        <v>418760.83363590075</v>
      </c>
      <c r="E2865" s="1">
        <v>15</v>
      </c>
      <c r="F2865" s="1">
        <v>13</v>
      </c>
      <c r="G2865" s="1">
        <v>7</v>
      </c>
      <c r="H2865" s="1">
        <v>0</v>
      </c>
      <c r="I2865" s="1">
        <v>0</v>
      </c>
      <c r="J2865" s="1">
        <v>1</v>
      </c>
      <c r="K2865" s="1">
        <v>0</v>
      </c>
      <c r="L2865" s="1">
        <v>0</v>
      </c>
      <c r="M2865" s="1">
        <v>0</v>
      </c>
    </row>
    <row r="2866" spans="1:13">
      <c r="A2866" s="1">
        <v>2865</v>
      </c>
      <c r="B2866" s="1">
        <v>930619.49910000002</v>
      </c>
      <c r="C2866" s="1">
        <v>679484.40185362182</v>
      </c>
      <c r="D2866" s="1">
        <f t="shared" si="44"/>
        <v>251135.09724637819</v>
      </c>
      <c r="E2866" s="1">
        <v>9</v>
      </c>
      <c r="F2866" s="1">
        <v>22</v>
      </c>
      <c r="G2866" s="1">
        <v>4</v>
      </c>
      <c r="H2866" s="1">
        <v>0</v>
      </c>
      <c r="I2866" s="1">
        <v>0</v>
      </c>
      <c r="J2866" s="1">
        <v>1</v>
      </c>
      <c r="K2866" s="1">
        <v>0</v>
      </c>
      <c r="L2866" s="1">
        <v>0</v>
      </c>
      <c r="M2866" s="1">
        <v>0</v>
      </c>
    </row>
    <row r="2867" spans="1:13">
      <c r="A2867" s="1">
        <v>2866</v>
      </c>
      <c r="B2867" s="1">
        <v>873654.97730000003</v>
      </c>
      <c r="C2867" s="1">
        <v>542742.89680547093</v>
      </c>
      <c r="D2867" s="1">
        <f t="shared" si="44"/>
        <v>330912.0804945291</v>
      </c>
      <c r="E2867" s="1">
        <v>11</v>
      </c>
      <c r="F2867" s="1">
        <v>17</v>
      </c>
      <c r="G2867" s="1">
        <v>7</v>
      </c>
      <c r="H2867" s="1">
        <v>0</v>
      </c>
      <c r="I2867" s="1">
        <v>1</v>
      </c>
      <c r="J2867" s="1">
        <v>2</v>
      </c>
      <c r="K2867" s="1">
        <v>0</v>
      </c>
      <c r="L2867" s="1">
        <v>0</v>
      </c>
      <c r="M2867" s="1">
        <v>0</v>
      </c>
    </row>
    <row r="2868" spans="1:13">
      <c r="A2868" s="1">
        <v>2867</v>
      </c>
      <c r="B2868" s="1">
        <v>894301.20609999995</v>
      </c>
      <c r="C2868" s="1">
        <v>663622.01125092397</v>
      </c>
      <c r="D2868" s="1">
        <f t="shared" si="44"/>
        <v>230679.19484907598</v>
      </c>
      <c r="E2868" s="1">
        <v>21</v>
      </c>
      <c r="F2868" s="1">
        <v>11</v>
      </c>
      <c r="G2868" s="1">
        <v>3</v>
      </c>
      <c r="H2868" s="1">
        <v>1</v>
      </c>
      <c r="I2868" s="1">
        <v>0</v>
      </c>
      <c r="J2868" s="1">
        <v>0</v>
      </c>
      <c r="K2868" s="1">
        <v>1</v>
      </c>
      <c r="L2868" s="1">
        <v>1</v>
      </c>
      <c r="M2868" s="1">
        <v>1</v>
      </c>
    </row>
    <row r="2869" spans="1:13">
      <c r="A2869" s="1">
        <v>2868</v>
      </c>
      <c r="B2869" s="1">
        <v>1063249.2146999999</v>
      </c>
      <c r="C2869" s="1">
        <v>547380.41340078507</v>
      </c>
      <c r="D2869" s="1">
        <f t="shared" si="44"/>
        <v>515868.80129921483</v>
      </c>
      <c r="E2869" s="1">
        <v>7</v>
      </c>
      <c r="F2869" s="1">
        <v>20</v>
      </c>
      <c r="G2869" s="1">
        <v>8</v>
      </c>
      <c r="H2869" s="1">
        <v>1</v>
      </c>
      <c r="I2869" s="1">
        <v>0</v>
      </c>
      <c r="J2869" s="1">
        <v>0</v>
      </c>
      <c r="K2869" s="1">
        <v>1</v>
      </c>
      <c r="L2869" s="1">
        <v>0</v>
      </c>
      <c r="M2869" s="1">
        <v>0</v>
      </c>
    </row>
    <row r="2870" spans="1:13">
      <c r="A2870" s="1">
        <v>2869</v>
      </c>
      <c r="B2870" s="1">
        <v>998759.11939999997</v>
      </c>
      <c r="C2870" s="1">
        <v>812527.10374900396</v>
      </c>
      <c r="D2870" s="1">
        <f t="shared" si="44"/>
        <v>186232.01565099601</v>
      </c>
      <c r="E2870" s="1">
        <v>10</v>
      </c>
      <c r="F2870" s="1">
        <v>21</v>
      </c>
      <c r="G2870" s="1">
        <v>4</v>
      </c>
      <c r="H2870" s="1">
        <v>1</v>
      </c>
      <c r="I2870" s="1">
        <v>1</v>
      </c>
      <c r="J2870" s="1">
        <v>1</v>
      </c>
      <c r="K2870" s="1">
        <v>1</v>
      </c>
      <c r="L2870" s="1">
        <v>0</v>
      </c>
      <c r="M2870" s="1">
        <v>0</v>
      </c>
    </row>
    <row r="2871" spans="1:13">
      <c r="A2871" s="1">
        <v>2870</v>
      </c>
      <c r="B2871" s="1">
        <v>916228.26359999995</v>
      </c>
      <c r="C2871" s="1">
        <v>784096.91859433043</v>
      </c>
      <c r="D2871" s="1">
        <f t="shared" si="44"/>
        <v>132131.34500566951</v>
      </c>
      <c r="E2871" s="1">
        <v>12</v>
      </c>
      <c r="F2871" s="1">
        <v>17</v>
      </c>
      <c r="G2871" s="1">
        <v>6</v>
      </c>
      <c r="H2871" s="1">
        <v>2</v>
      </c>
      <c r="I2871" s="1">
        <v>0</v>
      </c>
      <c r="J2871" s="1">
        <v>0</v>
      </c>
      <c r="K2871" s="1">
        <v>2</v>
      </c>
      <c r="L2871" s="1">
        <v>0</v>
      </c>
      <c r="M2871" s="1">
        <v>0</v>
      </c>
    </row>
    <row r="2872" spans="1:13">
      <c r="A2872" s="1">
        <v>2871</v>
      </c>
      <c r="B2872" s="1">
        <v>914136.45660000003</v>
      </c>
      <c r="C2872" s="1">
        <v>1213600.4016712904</v>
      </c>
      <c r="D2872" s="1">
        <f t="shared" si="44"/>
        <v>-299463.94507129036</v>
      </c>
      <c r="E2872" s="1">
        <v>9</v>
      </c>
      <c r="F2872" s="1">
        <v>21</v>
      </c>
      <c r="G2872" s="1">
        <v>5</v>
      </c>
      <c r="H2872" s="1">
        <v>1</v>
      </c>
      <c r="I2872" s="1">
        <v>1</v>
      </c>
      <c r="J2872" s="1">
        <v>1</v>
      </c>
      <c r="K2872" s="1">
        <v>0</v>
      </c>
      <c r="L2872" s="1">
        <v>0</v>
      </c>
      <c r="M2872" s="1">
        <v>0</v>
      </c>
    </row>
    <row r="2873" spans="1:13">
      <c r="A2873" s="1">
        <v>2872</v>
      </c>
      <c r="B2873" s="1">
        <v>868025.78260000004</v>
      </c>
      <c r="C2873" s="1">
        <v>975607.55006919452</v>
      </c>
      <c r="D2873" s="1">
        <f t="shared" si="44"/>
        <v>-107581.76746919448</v>
      </c>
      <c r="E2873" s="1">
        <v>14</v>
      </c>
      <c r="F2873" s="1">
        <v>17</v>
      </c>
      <c r="G2873" s="1">
        <v>4</v>
      </c>
      <c r="H2873" s="1">
        <v>0</v>
      </c>
      <c r="I2873" s="1">
        <v>1</v>
      </c>
      <c r="J2873" s="1">
        <v>0</v>
      </c>
      <c r="K2873" s="1">
        <v>1</v>
      </c>
      <c r="L2873" s="1">
        <v>0</v>
      </c>
      <c r="M2873" s="1">
        <v>0</v>
      </c>
    </row>
    <row r="2874" spans="1:13">
      <c r="A2874" s="1">
        <v>2873</v>
      </c>
      <c r="B2874" s="1">
        <v>958697.76040000003</v>
      </c>
      <c r="C2874" s="1">
        <v>943015.91680636024</v>
      </c>
      <c r="D2874" s="1">
        <f t="shared" si="44"/>
        <v>15681.843593639787</v>
      </c>
      <c r="E2874" s="1">
        <v>11</v>
      </c>
      <c r="F2874" s="1">
        <v>18</v>
      </c>
      <c r="G2874" s="1">
        <v>6</v>
      </c>
      <c r="H2874" s="1">
        <v>1</v>
      </c>
      <c r="I2874" s="1">
        <v>0</v>
      </c>
      <c r="J2874" s="1">
        <v>1</v>
      </c>
      <c r="K2874" s="1">
        <v>1</v>
      </c>
      <c r="L2874" s="1">
        <v>0</v>
      </c>
      <c r="M2874" s="1">
        <v>0</v>
      </c>
    </row>
    <row r="2875" spans="1:13">
      <c r="A2875" s="1">
        <v>2874</v>
      </c>
      <c r="B2875" s="1">
        <v>991759.7733</v>
      </c>
      <c r="C2875" s="1">
        <v>1101499.9509403482</v>
      </c>
      <c r="D2875" s="1">
        <f t="shared" si="44"/>
        <v>-109740.17764034821</v>
      </c>
      <c r="E2875" s="1">
        <v>12</v>
      </c>
      <c r="F2875" s="1">
        <v>17</v>
      </c>
      <c r="G2875" s="1">
        <v>6</v>
      </c>
      <c r="H2875" s="1">
        <v>1</v>
      </c>
      <c r="I2875" s="1">
        <v>0</v>
      </c>
      <c r="J2875" s="1">
        <v>1</v>
      </c>
      <c r="K2875" s="1">
        <v>1</v>
      </c>
      <c r="L2875" s="1">
        <v>0</v>
      </c>
      <c r="M2875" s="1">
        <v>0</v>
      </c>
    </row>
    <row r="2876" spans="1:13">
      <c r="A2876" s="1">
        <v>2875</v>
      </c>
      <c r="B2876" s="1">
        <v>879588.37250000006</v>
      </c>
      <c r="C2876" s="1">
        <v>800844.00613611192</v>
      </c>
      <c r="D2876" s="1">
        <f t="shared" si="44"/>
        <v>78744.366363888141</v>
      </c>
      <c r="E2876" s="1">
        <v>11</v>
      </c>
      <c r="F2876" s="1">
        <v>19</v>
      </c>
      <c r="G2876" s="1">
        <v>5</v>
      </c>
      <c r="H2876" s="1">
        <v>0</v>
      </c>
      <c r="I2876" s="1">
        <v>0</v>
      </c>
      <c r="J2876" s="1">
        <v>2</v>
      </c>
      <c r="K2876" s="1">
        <v>0</v>
      </c>
      <c r="L2876" s="1">
        <v>0</v>
      </c>
      <c r="M2876" s="1">
        <v>1</v>
      </c>
    </row>
    <row r="2877" spans="1:13">
      <c r="A2877" s="1">
        <v>2876</v>
      </c>
      <c r="B2877" s="1">
        <v>1032030.5048</v>
      </c>
      <c r="C2877" s="1">
        <v>649325.14572002203</v>
      </c>
      <c r="D2877" s="1">
        <f t="shared" si="44"/>
        <v>382705.35907997796</v>
      </c>
      <c r="E2877" s="1">
        <v>9</v>
      </c>
      <c r="F2877" s="1">
        <v>19</v>
      </c>
      <c r="G2877" s="1">
        <v>7</v>
      </c>
      <c r="H2877" s="1">
        <v>0</v>
      </c>
      <c r="I2877" s="1">
        <v>0</v>
      </c>
      <c r="J2877" s="1">
        <v>0</v>
      </c>
      <c r="K2877" s="1">
        <v>1</v>
      </c>
      <c r="L2877" s="1">
        <v>0</v>
      </c>
      <c r="M2877" s="1">
        <v>0</v>
      </c>
    </row>
    <row r="2878" spans="1:13">
      <c r="A2878" s="1">
        <v>2877</v>
      </c>
      <c r="B2878" s="1">
        <v>967237.31510000001</v>
      </c>
      <c r="C2878" s="1">
        <v>817229.32502583251</v>
      </c>
      <c r="D2878" s="1">
        <f t="shared" si="44"/>
        <v>150007.99007416749</v>
      </c>
      <c r="E2878" s="1">
        <v>22</v>
      </c>
      <c r="F2878" s="1">
        <v>9</v>
      </c>
      <c r="G2878" s="1">
        <v>4</v>
      </c>
      <c r="H2878" s="1">
        <v>0</v>
      </c>
      <c r="I2878" s="1">
        <v>2</v>
      </c>
      <c r="J2878" s="1">
        <v>0</v>
      </c>
      <c r="K2878" s="1">
        <v>1</v>
      </c>
      <c r="L2878" s="1">
        <v>0</v>
      </c>
      <c r="M2878" s="1">
        <v>0</v>
      </c>
    </row>
    <row r="2879" spans="1:13">
      <c r="A2879" s="1">
        <v>2878</v>
      </c>
      <c r="B2879" s="1">
        <v>958302.52480000001</v>
      </c>
      <c r="C2879" s="1">
        <v>1124032.4668938569</v>
      </c>
      <c r="D2879" s="1">
        <f t="shared" si="44"/>
        <v>-165729.94209385687</v>
      </c>
      <c r="E2879" s="1">
        <v>11</v>
      </c>
      <c r="F2879" s="1">
        <v>18</v>
      </c>
      <c r="G2879" s="1">
        <v>6</v>
      </c>
      <c r="H2879" s="1">
        <v>0</v>
      </c>
      <c r="I2879" s="1">
        <v>0</v>
      </c>
      <c r="J2879" s="1">
        <v>2</v>
      </c>
      <c r="K2879" s="1">
        <v>0</v>
      </c>
      <c r="L2879" s="1">
        <v>0</v>
      </c>
      <c r="M2879" s="1">
        <v>0</v>
      </c>
    </row>
    <row r="2880" spans="1:13">
      <c r="A2880" s="1">
        <v>2879</v>
      </c>
      <c r="B2880" s="1">
        <v>854999.93980000005</v>
      </c>
      <c r="C2880" s="1">
        <v>1122640.943999588</v>
      </c>
      <c r="D2880" s="1">
        <f t="shared" si="44"/>
        <v>-267641.00419958797</v>
      </c>
      <c r="E2880" s="1">
        <v>16</v>
      </c>
      <c r="F2880" s="1">
        <v>13</v>
      </c>
      <c r="G2880" s="1">
        <v>6</v>
      </c>
      <c r="H2880" s="1">
        <v>1</v>
      </c>
      <c r="I2880" s="1">
        <v>0</v>
      </c>
      <c r="J2880" s="1">
        <v>0</v>
      </c>
      <c r="K2880" s="1">
        <v>1</v>
      </c>
      <c r="L2880" s="1">
        <v>0</v>
      </c>
      <c r="M2880" s="1">
        <v>0</v>
      </c>
    </row>
    <row r="2881" spans="1:13">
      <c r="A2881" s="1">
        <v>2880</v>
      </c>
      <c r="B2881" s="1">
        <v>923798.09080000001</v>
      </c>
      <c r="C2881" s="1">
        <v>728739.70898547256</v>
      </c>
      <c r="D2881" s="1">
        <f t="shared" si="44"/>
        <v>195058.38181452744</v>
      </c>
      <c r="E2881" s="1">
        <v>11</v>
      </c>
      <c r="F2881" s="1">
        <v>18</v>
      </c>
      <c r="G2881" s="1">
        <v>6</v>
      </c>
      <c r="H2881" s="1">
        <v>0</v>
      </c>
      <c r="I2881" s="1">
        <v>0</v>
      </c>
      <c r="J2881" s="1">
        <v>0</v>
      </c>
      <c r="K2881" s="1">
        <v>0</v>
      </c>
      <c r="L2881" s="1">
        <v>0</v>
      </c>
      <c r="M2881" s="1">
        <v>0</v>
      </c>
    </row>
    <row r="2882" spans="1:13">
      <c r="A2882" s="1">
        <v>2881</v>
      </c>
      <c r="B2882" s="1">
        <v>909270.49369999999</v>
      </c>
      <c r="C2882" s="1">
        <v>936299.29089191288</v>
      </c>
      <c r="D2882" s="1">
        <f t="shared" ref="D2882:D2945" si="45">B2882-C2882</f>
        <v>-27028.79719191289</v>
      </c>
      <c r="E2882" s="1">
        <v>12</v>
      </c>
      <c r="F2882" s="1">
        <v>16</v>
      </c>
      <c r="G2882" s="1">
        <v>7</v>
      </c>
      <c r="H2882" s="1">
        <v>1</v>
      </c>
      <c r="I2882" s="1">
        <v>1</v>
      </c>
      <c r="J2882" s="1">
        <v>0</v>
      </c>
      <c r="K2882" s="1">
        <v>1</v>
      </c>
      <c r="L2882" s="1">
        <v>0</v>
      </c>
      <c r="M2882" s="1">
        <v>0</v>
      </c>
    </row>
    <row r="2883" spans="1:13">
      <c r="A2883" s="1">
        <v>2882</v>
      </c>
      <c r="B2883" s="1">
        <v>961329.69660000002</v>
      </c>
      <c r="C2883" s="1">
        <v>837517.73956786771</v>
      </c>
      <c r="D2883" s="1">
        <f t="shared" si="45"/>
        <v>123811.95703213231</v>
      </c>
      <c r="E2883" s="1">
        <v>11</v>
      </c>
      <c r="F2883" s="1">
        <v>20</v>
      </c>
      <c r="G2883" s="1">
        <v>4</v>
      </c>
      <c r="H2883" s="1">
        <v>1</v>
      </c>
      <c r="I2883" s="1">
        <v>0</v>
      </c>
      <c r="J2883" s="1">
        <v>2</v>
      </c>
      <c r="K2883" s="1">
        <v>0</v>
      </c>
      <c r="L2883" s="1">
        <v>0</v>
      </c>
      <c r="M2883" s="1">
        <v>0</v>
      </c>
    </row>
    <row r="2884" spans="1:13">
      <c r="A2884" s="1">
        <v>2883</v>
      </c>
      <c r="B2884" s="1">
        <v>977563.09519999998</v>
      </c>
      <c r="C2884" s="1">
        <v>1888107.8900279943</v>
      </c>
      <c r="D2884" s="1">
        <f t="shared" si="45"/>
        <v>-910544.79482799431</v>
      </c>
      <c r="E2884" s="1">
        <v>6</v>
      </c>
      <c r="F2884" s="1">
        <v>23</v>
      </c>
      <c r="G2884" s="1">
        <v>6</v>
      </c>
      <c r="H2884" s="1">
        <v>0</v>
      </c>
      <c r="I2884" s="1">
        <v>1</v>
      </c>
      <c r="J2884" s="1">
        <v>0</v>
      </c>
      <c r="K2884" s="1">
        <v>1</v>
      </c>
      <c r="L2884" s="1">
        <v>0</v>
      </c>
      <c r="M2884" s="1">
        <v>0</v>
      </c>
    </row>
    <row r="2885" spans="1:13">
      <c r="A2885" s="1">
        <v>2884</v>
      </c>
      <c r="B2885" s="1">
        <v>962092.73190000001</v>
      </c>
      <c r="C2885" s="1">
        <v>930434.26760258456</v>
      </c>
      <c r="D2885" s="1">
        <f t="shared" si="45"/>
        <v>31658.464297415456</v>
      </c>
      <c r="E2885" s="1">
        <v>16</v>
      </c>
      <c r="F2885" s="1">
        <v>15</v>
      </c>
      <c r="G2885" s="1">
        <v>4</v>
      </c>
      <c r="H2885" s="1">
        <v>1</v>
      </c>
      <c r="I2885" s="1">
        <v>0</v>
      </c>
      <c r="J2885" s="1">
        <v>0</v>
      </c>
      <c r="K2885" s="1">
        <v>0</v>
      </c>
      <c r="L2885" s="1">
        <v>0</v>
      </c>
      <c r="M2885" s="1">
        <v>1</v>
      </c>
    </row>
    <row r="2886" spans="1:13">
      <c r="A2886" s="1">
        <v>2885</v>
      </c>
      <c r="B2886" s="1">
        <v>981572.29969999997</v>
      </c>
      <c r="C2886" s="1">
        <v>772905.24336793856</v>
      </c>
      <c r="D2886" s="1">
        <f t="shared" si="45"/>
        <v>208667.05633206142</v>
      </c>
      <c r="E2886" s="1">
        <v>9</v>
      </c>
      <c r="F2886" s="1">
        <v>21</v>
      </c>
      <c r="G2886" s="1">
        <v>5</v>
      </c>
      <c r="H2886" s="1">
        <v>1</v>
      </c>
      <c r="I2886" s="1">
        <v>1</v>
      </c>
      <c r="J2886" s="1">
        <v>1</v>
      </c>
      <c r="K2886" s="1">
        <v>0</v>
      </c>
      <c r="L2886" s="1">
        <v>0</v>
      </c>
      <c r="M2886" s="1">
        <v>0</v>
      </c>
    </row>
    <row r="2887" spans="1:13">
      <c r="A2887" s="1">
        <v>2886</v>
      </c>
      <c r="B2887" s="1">
        <v>960753.00650000002</v>
      </c>
      <c r="C2887" s="1">
        <v>749457.10951439769</v>
      </c>
      <c r="D2887" s="1">
        <f t="shared" si="45"/>
        <v>211295.89698560233</v>
      </c>
      <c r="E2887" s="1">
        <v>18</v>
      </c>
      <c r="F2887" s="1">
        <v>12</v>
      </c>
      <c r="G2887" s="1">
        <v>5</v>
      </c>
      <c r="H2887" s="1">
        <v>0</v>
      </c>
      <c r="I2887" s="1">
        <v>1</v>
      </c>
      <c r="J2887" s="1">
        <v>0</v>
      </c>
      <c r="K2887" s="1">
        <v>0</v>
      </c>
      <c r="L2887" s="1">
        <v>0</v>
      </c>
      <c r="M2887" s="1">
        <v>1</v>
      </c>
    </row>
    <row r="2888" spans="1:13">
      <c r="A2888" s="1">
        <v>2887</v>
      </c>
      <c r="B2888" s="1">
        <v>983436.19649999996</v>
      </c>
      <c r="C2888" s="1">
        <v>630572.76615568483</v>
      </c>
      <c r="D2888" s="1">
        <f t="shared" si="45"/>
        <v>352863.43034431513</v>
      </c>
      <c r="E2888" s="1">
        <v>11</v>
      </c>
      <c r="F2888" s="1">
        <v>18</v>
      </c>
      <c r="G2888" s="1">
        <v>6</v>
      </c>
      <c r="H2888" s="1">
        <v>0</v>
      </c>
      <c r="I2888" s="1">
        <v>1</v>
      </c>
      <c r="J2888" s="1">
        <v>1</v>
      </c>
      <c r="K2888" s="1">
        <v>1</v>
      </c>
      <c r="L2888" s="1">
        <v>0</v>
      </c>
      <c r="M2888" s="1">
        <v>0</v>
      </c>
    </row>
    <row r="2889" spans="1:13">
      <c r="A2889" s="1">
        <v>2888</v>
      </c>
      <c r="B2889" s="1">
        <v>1014246.7733999999</v>
      </c>
      <c r="C2889" s="1">
        <v>1370499.0761877422</v>
      </c>
      <c r="D2889" s="1">
        <f t="shared" si="45"/>
        <v>-356252.30278774223</v>
      </c>
      <c r="E2889" s="1">
        <v>12</v>
      </c>
      <c r="F2889" s="1">
        <v>15</v>
      </c>
      <c r="G2889" s="1">
        <v>8</v>
      </c>
      <c r="H2889" s="1">
        <v>2</v>
      </c>
      <c r="I2889" s="1">
        <v>0</v>
      </c>
      <c r="J2889" s="1">
        <v>1</v>
      </c>
      <c r="K2889" s="1">
        <v>0</v>
      </c>
      <c r="L2889" s="1">
        <v>0</v>
      </c>
      <c r="M2889" s="1">
        <v>0</v>
      </c>
    </row>
    <row r="2890" spans="1:13">
      <c r="A2890" s="1">
        <v>2889</v>
      </c>
      <c r="B2890" s="1">
        <v>909149.00650000002</v>
      </c>
      <c r="C2890" s="1">
        <v>383632.94421337696</v>
      </c>
      <c r="D2890" s="1">
        <f t="shared" si="45"/>
        <v>525516.06228662306</v>
      </c>
      <c r="E2890" s="1">
        <v>10</v>
      </c>
      <c r="F2890" s="1">
        <v>19</v>
      </c>
      <c r="G2890" s="1">
        <v>6</v>
      </c>
      <c r="H2890" s="1">
        <v>1</v>
      </c>
      <c r="I2890" s="1">
        <v>0</v>
      </c>
      <c r="J2890" s="1">
        <v>2</v>
      </c>
      <c r="K2890" s="1">
        <v>0</v>
      </c>
      <c r="L2890" s="1">
        <v>0</v>
      </c>
      <c r="M2890" s="1">
        <v>1</v>
      </c>
    </row>
    <row r="2891" spans="1:13">
      <c r="A2891" s="1">
        <v>2890</v>
      </c>
      <c r="B2891" s="1">
        <v>908055.98100000003</v>
      </c>
      <c r="C2891" s="1">
        <v>775598.08061822015</v>
      </c>
      <c r="D2891" s="1">
        <f t="shared" si="45"/>
        <v>132457.90038177988</v>
      </c>
      <c r="E2891" s="1">
        <v>14</v>
      </c>
      <c r="F2891" s="1">
        <v>16</v>
      </c>
      <c r="G2891" s="1">
        <v>5</v>
      </c>
      <c r="H2891" s="1">
        <v>2</v>
      </c>
      <c r="I2891" s="1">
        <v>0</v>
      </c>
      <c r="J2891" s="1">
        <v>0</v>
      </c>
      <c r="K2891" s="1">
        <v>0</v>
      </c>
      <c r="L2891" s="1">
        <v>0</v>
      </c>
      <c r="M2891" s="1">
        <v>0</v>
      </c>
    </row>
    <row r="2892" spans="1:13">
      <c r="A2892" s="1">
        <v>2891</v>
      </c>
      <c r="B2892" s="1">
        <v>905943.49730000005</v>
      </c>
      <c r="C2892" s="1">
        <v>636197.53861649137</v>
      </c>
      <c r="D2892" s="1">
        <f t="shared" si="45"/>
        <v>269745.95868350868</v>
      </c>
      <c r="E2892" s="1">
        <v>18</v>
      </c>
      <c r="F2892" s="1">
        <v>10</v>
      </c>
      <c r="G2892" s="1">
        <v>7</v>
      </c>
      <c r="H2892" s="1">
        <v>1</v>
      </c>
      <c r="I2892" s="1">
        <v>0</v>
      </c>
      <c r="J2892" s="1">
        <v>1</v>
      </c>
      <c r="K2892" s="1">
        <v>0</v>
      </c>
      <c r="L2892" s="1">
        <v>0</v>
      </c>
      <c r="M2892" s="1">
        <v>0</v>
      </c>
    </row>
    <row r="2893" spans="1:13">
      <c r="A2893" s="1">
        <v>2892</v>
      </c>
      <c r="B2893" s="1">
        <v>987338.22010000004</v>
      </c>
      <c r="C2893" s="1">
        <v>1613991.0228618346</v>
      </c>
      <c r="D2893" s="1">
        <f t="shared" si="45"/>
        <v>-626652.80276183458</v>
      </c>
      <c r="E2893" s="1">
        <v>16</v>
      </c>
      <c r="F2893" s="1">
        <v>11</v>
      </c>
      <c r="G2893" s="1">
        <v>8</v>
      </c>
      <c r="H2893" s="1">
        <v>1</v>
      </c>
      <c r="I2893" s="1">
        <v>0</v>
      </c>
      <c r="J2893" s="1">
        <v>0</v>
      </c>
      <c r="K2893" s="1">
        <v>0</v>
      </c>
      <c r="L2893" s="1">
        <v>0</v>
      </c>
      <c r="M2893" s="1">
        <v>0</v>
      </c>
    </row>
    <row r="2894" spans="1:13">
      <c r="A2894" s="1">
        <v>2893</v>
      </c>
      <c r="B2894" s="1">
        <v>849227.60490000003</v>
      </c>
      <c r="C2894" s="1">
        <v>1032984.1482473188</v>
      </c>
      <c r="D2894" s="1">
        <f t="shared" si="45"/>
        <v>-183756.54334731877</v>
      </c>
      <c r="E2894" s="1">
        <v>20</v>
      </c>
      <c r="F2894" s="1">
        <v>10</v>
      </c>
      <c r="G2894" s="1">
        <v>5</v>
      </c>
      <c r="H2894" s="1">
        <v>0</v>
      </c>
      <c r="I2894" s="1">
        <v>0</v>
      </c>
      <c r="J2894" s="1">
        <v>0</v>
      </c>
      <c r="K2894" s="1">
        <v>1</v>
      </c>
      <c r="L2894" s="1">
        <v>0</v>
      </c>
      <c r="M2894" s="1">
        <v>0</v>
      </c>
    </row>
    <row r="2895" spans="1:13">
      <c r="A2895" s="1">
        <v>2894</v>
      </c>
      <c r="B2895" s="1">
        <v>941780.91130000004</v>
      </c>
      <c r="C2895" s="1">
        <v>709678.51052469178</v>
      </c>
      <c r="D2895" s="1">
        <f t="shared" si="45"/>
        <v>232102.40077530826</v>
      </c>
      <c r="E2895" s="1">
        <v>14</v>
      </c>
      <c r="F2895" s="1">
        <v>17</v>
      </c>
      <c r="G2895" s="1">
        <v>4</v>
      </c>
      <c r="H2895" s="1">
        <v>0</v>
      </c>
      <c r="I2895" s="1">
        <v>1</v>
      </c>
      <c r="J2895" s="1">
        <v>0</v>
      </c>
      <c r="K2895" s="1">
        <v>1</v>
      </c>
      <c r="L2895" s="1">
        <v>0</v>
      </c>
      <c r="M2895" s="1">
        <v>1</v>
      </c>
    </row>
    <row r="2896" spans="1:13">
      <c r="A2896" s="1">
        <v>2895</v>
      </c>
      <c r="B2896" s="1">
        <v>883010.43790000002</v>
      </c>
      <c r="C2896" s="1">
        <v>1337588.261956946</v>
      </c>
      <c r="D2896" s="1">
        <f t="shared" si="45"/>
        <v>-454577.82405694597</v>
      </c>
      <c r="E2896" s="1">
        <v>21</v>
      </c>
      <c r="F2896" s="1">
        <v>11</v>
      </c>
      <c r="G2896" s="1">
        <v>3</v>
      </c>
      <c r="H2896" s="1">
        <v>2</v>
      </c>
      <c r="I2896" s="1">
        <v>0</v>
      </c>
      <c r="J2896" s="1">
        <v>0</v>
      </c>
      <c r="K2896" s="1">
        <v>0</v>
      </c>
      <c r="L2896" s="1">
        <v>0</v>
      </c>
      <c r="M2896" s="1">
        <v>0</v>
      </c>
    </row>
    <row r="2897" spans="1:13">
      <c r="A2897" s="1">
        <v>2896</v>
      </c>
      <c r="B2897" s="1">
        <v>932359.4362</v>
      </c>
      <c r="C2897" s="1">
        <v>1262504.3746273029</v>
      </c>
      <c r="D2897" s="1">
        <f t="shared" si="45"/>
        <v>-330144.93842730287</v>
      </c>
      <c r="E2897" s="1">
        <v>15</v>
      </c>
      <c r="F2897" s="1">
        <v>16</v>
      </c>
      <c r="G2897" s="1">
        <v>4</v>
      </c>
      <c r="H2897" s="1">
        <v>0</v>
      </c>
      <c r="I2897" s="1">
        <v>0</v>
      </c>
      <c r="J2897" s="1">
        <v>0</v>
      </c>
      <c r="K2897" s="1">
        <v>0</v>
      </c>
      <c r="L2897" s="1">
        <v>0</v>
      </c>
      <c r="M2897" s="1">
        <v>1</v>
      </c>
    </row>
    <row r="2898" spans="1:13">
      <c r="A2898" s="1">
        <v>2897</v>
      </c>
      <c r="B2898" s="1">
        <v>1047486.3631</v>
      </c>
      <c r="C2898" s="1">
        <v>655794.19781319087</v>
      </c>
      <c r="D2898" s="1">
        <f t="shared" si="45"/>
        <v>391692.16528680909</v>
      </c>
      <c r="E2898" s="1">
        <v>13</v>
      </c>
      <c r="F2898" s="1">
        <v>18</v>
      </c>
      <c r="G2898" s="1">
        <v>4</v>
      </c>
      <c r="H2898" s="1">
        <v>0</v>
      </c>
      <c r="I2898" s="1">
        <v>0</v>
      </c>
      <c r="J2898" s="1">
        <v>0</v>
      </c>
      <c r="K2898" s="1">
        <v>0</v>
      </c>
      <c r="L2898" s="1">
        <v>0</v>
      </c>
      <c r="M2898" s="1">
        <v>1</v>
      </c>
    </row>
    <row r="2899" spans="1:13">
      <c r="A2899" s="1">
        <v>2898</v>
      </c>
      <c r="B2899" s="1">
        <v>1037316.9013</v>
      </c>
      <c r="C2899" s="1">
        <v>1029590.9025940341</v>
      </c>
      <c r="D2899" s="1">
        <f t="shared" si="45"/>
        <v>7725.9987059659325</v>
      </c>
      <c r="E2899" s="1">
        <v>12</v>
      </c>
      <c r="F2899" s="1">
        <v>19</v>
      </c>
      <c r="G2899" s="1">
        <v>4</v>
      </c>
      <c r="H2899" s="1">
        <v>1</v>
      </c>
      <c r="I2899" s="1">
        <v>1</v>
      </c>
      <c r="J2899" s="1">
        <v>1</v>
      </c>
      <c r="K2899" s="1">
        <v>0</v>
      </c>
      <c r="L2899" s="1">
        <v>0</v>
      </c>
      <c r="M2899" s="1">
        <v>1</v>
      </c>
    </row>
    <row r="2900" spans="1:13">
      <c r="A2900" s="1">
        <v>2899</v>
      </c>
      <c r="B2900" s="1">
        <v>958861.61360000004</v>
      </c>
      <c r="C2900" s="1">
        <v>1020041.3517688217</v>
      </c>
      <c r="D2900" s="1">
        <f t="shared" si="45"/>
        <v>-61179.73816882167</v>
      </c>
      <c r="E2900" s="1">
        <v>16</v>
      </c>
      <c r="F2900" s="1">
        <v>14</v>
      </c>
      <c r="G2900" s="1">
        <v>5</v>
      </c>
      <c r="H2900" s="1">
        <v>1</v>
      </c>
      <c r="I2900" s="1">
        <v>0</v>
      </c>
      <c r="J2900" s="1">
        <v>1</v>
      </c>
      <c r="K2900" s="1">
        <v>1</v>
      </c>
      <c r="L2900" s="1">
        <v>0</v>
      </c>
      <c r="M2900" s="1">
        <v>0</v>
      </c>
    </row>
    <row r="2901" spans="1:13">
      <c r="A2901" s="1">
        <v>2900</v>
      </c>
      <c r="B2901" s="1">
        <v>971821.60589999997</v>
      </c>
      <c r="C2901" s="1">
        <v>860138.30271379254</v>
      </c>
      <c r="D2901" s="1">
        <f t="shared" si="45"/>
        <v>111683.30318620743</v>
      </c>
      <c r="E2901" s="1">
        <v>17</v>
      </c>
      <c r="F2901" s="1">
        <v>12</v>
      </c>
      <c r="G2901" s="1">
        <v>6</v>
      </c>
      <c r="H2901" s="1">
        <v>2</v>
      </c>
      <c r="I2901" s="1">
        <v>0</v>
      </c>
      <c r="J2901" s="1">
        <v>1</v>
      </c>
      <c r="K2901" s="1">
        <v>1</v>
      </c>
      <c r="L2901" s="1">
        <v>0</v>
      </c>
      <c r="M2901" s="1">
        <v>1</v>
      </c>
    </row>
    <row r="2902" spans="1:13">
      <c r="A2902" s="1">
        <v>2901</v>
      </c>
      <c r="B2902" s="1">
        <v>815600.71580000001</v>
      </c>
      <c r="C2902" s="1">
        <v>1049218.1195409759</v>
      </c>
      <c r="D2902" s="1">
        <f t="shared" si="45"/>
        <v>-233617.40374097589</v>
      </c>
      <c r="E2902" s="1">
        <v>21</v>
      </c>
      <c r="F2902" s="1">
        <v>11</v>
      </c>
      <c r="G2902" s="1">
        <v>3</v>
      </c>
      <c r="H2902" s="1">
        <v>1</v>
      </c>
      <c r="I2902" s="1">
        <v>0</v>
      </c>
      <c r="J2902" s="1">
        <v>0</v>
      </c>
      <c r="K2902" s="1">
        <v>1</v>
      </c>
      <c r="L2902" s="1">
        <v>0</v>
      </c>
      <c r="M2902" s="1">
        <v>0</v>
      </c>
    </row>
    <row r="2903" spans="1:13">
      <c r="A2903" s="1">
        <v>2902</v>
      </c>
      <c r="B2903" s="1">
        <v>1028569.6433</v>
      </c>
      <c r="C2903" s="1">
        <v>780582.85042505374</v>
      </c>
      <c r="D2903" s="1">
        <f t="shared" si="45"/>
        <v>247986.79287494626</v>
      </c>
      <c r="E2903" s="1">
        <v>11</v>
      </c>
      <c r="F2903" s="1">
        <v>17</v>
      </c>
      <c r="G2903" s="1">
        <v>7</v>
      </c>
      <c r="H2903" s="1">
        <v>0</v>
      </c>
      <c r="I2903" s="1">
        <v>0</v>
      </c>
      <c r="J2903" s="1">
        <v>0</v>
      </c>
      <c r="K2903" s="1">
        <v>1</v>
      </c>
      <c r="L2903" s="1">
        <v>0</v>
      </c>
      <c r="M2903" s="1">
        <v>0</v>
      </c>
    </row>
    <row r="2904" spans="1:13">
      <c r="A2904" s="1">
        <v>2903</v>
      </c>
      <c r="B2904" s="1">
        <v>1017880.1723</v>
      </c>
      <c r="C2904" s="1">
        <v>965802.21644205134</v>
      </c>
      <c r="D2904" s="1">
        <f t="shared" si="45"/>
        <v>52077.955857948633</v>
      </c>
      <c r="E2904" s="1">
        <v>4</v>
      </c>
      <c r="F2904" s="1">
        <v>27</v>
      </c>
      <c r="G2904" s="1">
        <v>4</v>
      </c>
      <c r="H2904" s="1">
        <v>1</v>
      </c>
      <c r="I2904" s="1">
        <v>1</v>
      </c>
      <c r="J2904" s="1">
        <v>0</v>
      </c>
      <c r="K2904" s="1">
        <v>1</v>
      </c>
      <c r="L2904" s="1">
        <v>0</v>
      </c>
      <c r="M2904" s="1">
        <v>1</v>
      </c>
    </row>
    <row r="2905" spans="1:13">
      <c r="A2905" s="1">
        <v>2904</v>
      </c>
      <c r="B2905" s="1">
        <v>929859.31169999996</v>
      </c>
      <c r="C2905" s="1">
        <v>871090.09008736501</v>
      </c>
      <c r="D2905" s="1">
        <f t="shared" si="45"/>
        <v>58769.221612634952</v>
      </c>
      <c r="E2905" s="1">
        <v>12</v>
      </c>
      <c r="F2905" s="1">
        <v>15</v>
      </c>
      <c r="G2905" s="1">
        <v>8</v>
      </c>
      <c r="H2905" s="1">
        <v>1</v>
      </c>
      <c r="I2905" s="1">
        <v>0</v>
      </c>
      <c r="J2905" s="1">
        <v>2</v>
      </c>
      <c r="K2905" s="1">
        <v>0</v>
      </c>
      <c r="L2905" s="1">
        <v>0</v>
      </c>
      <c r="M2905" s="1">
        <v>1</v>
      </c>
    </row>
    <row r="2906" spans="1:13">
      <c r="A2906" s="1">
        <v>2905</v>
      </c>
      <c r="B2906" s="1">
        <v>883389.73120000004</v>
      </c>
      <c r="C2906" s="1">
        <v>788164.78413161379</v>
      </c>
      <c r="D2906" s="1">
        <f t="shared" si="45"/>
        <v>95224.947068386246</v>
      </c>
      <c r="E2906" s="1">
        <v>11</v>
      </c>
      <c r="F2906" s="1">
        <v>20</v>
      </c>
      <c r="G2906" s="1">
        <v>4</v>
      </c>
      <c r="H2906" s="1">
        <v>0</v>
      </c>
      <c r="I2906" s="1">
        <v>0</v>
      </c>
      <c r="J2906" s="1">
        <v>0</v>
      </c>
      <c r="K2906" s="1">
        <v>0</v>
      </c>
      <c r="L2906" s="1">
        <v>0</v>
      </c>
      <c r="M2906" s="1">
        <v>1</v>
      </c>
    </row>
    <row r="2907" spans="1:13">
      <c r="A2907" s="1">
        <v>2906</v>
      </c>
      <c r="B2907" s="1">
        <v>915208.12150000001</v>
      </c>
      <c r="C2907" s="1">
        <v>907333.72798519558</v>
      </c>
      <c r="D2907" s="1">
        <f t="shared" si="45"/>
        <v>7874.3935148044256</v>
      </c>
      <c r="E2907" s="1">
        <v>7</v>
      </c>
      <c r="F2907" s="1">
        <v>23</v>
      </c>
      <c r="G2907" s="1">
        <v>5</v>
      </c>
      <c r="H2907" s="1">
        <v>1</v>
      </c>
      <c r="I2907" s="1">
        <v>1</v>
      </c>
      <c r="J2907" s="1">
        <v>1</v>
      </c>
      <c r="K2907" s="1">
        <v>0</v>
      </c>
      <c r="L2907" s="1">
        <v>0</v>
      </c>
      <c r="M2907" s="1">
        <v>1</v>
      </c>
    </row>
    <row r="2908" spans="1:13">
      <c r="A2908" s="1">
        <v>2907</v>
      </c>
      <c r="B2908" s="1">
        <v>852780.04779999994</v>
      </c>
      <c r="C2908" s="1">
        <v>1077730.3250334542</v>
      </c>
      <c r="D2908" s="1">
        <f t="shared" si="45"/>
        <v>-224950.27723345428</v>
      </c>
      <c r="E2908" s="1">
        <v>17</v>
      </c>
      <c r="F2908" s="1">
        <v>15</v>
      </c>
      <c r="G2908" s="1">
        <v>3</v>
      </c>
      <c r="H2908" s="1">
        <v>1</v>
      </c>
      <c r="I2908" s="1">
        <v>0</v>
      </c>
      <c r="J2908" s="1">
        <v>0</v>
      </c>
      <c r="K2908" s="1">
        <v>0</v>
      </c>
      <c r="L2908" s="1">
        <v>0</v>
      </c>
      <c r="M2908" s="1">
        <v>0</v>
      </c>
    </row>
    <row r="2909" spans="1:13">
      <c r="A2909" s="1">
        <v>2908</v>
      </c>
      <c r="B2909" s="1">
        <v>1033350.0431</v>
      </c>
      <c r="C2909" s="1">
        <v>1675544.448949697</v>
      </c>
      <c r="D2909" s="1">
        <f t="shared" si="45"/>
        <v>-642194.40584969695</v>
      </c>
      <c r="E2909" s="1">
        <v>18</v>
      </c>
      <c r="F2909" s="1">
        <v>14</v>
      </c>
      <c r="G2909" s="1">
        <v>3</v>
      </c>
      <c r="H2909" s="1">
        <v>1</v>
      </c>
      <c r="I2909" s="1">
        <v>0</v>
      </c>
      <c r="J2909" s="1">
        <v>2</v>
      </c>
      <c r="K2909" s="1">
        <v>0</v>
      </c>
      <c r="L2909" s="1">
        <v>0</v>
      </c>
      <c r="M2909" s="1">
        <v>0</v>
      </c>
    </row>
    <row r="2910" spans="1:13">
      <c r="A2910" s="1">
        <v>2909</v>
      </c>
      <c r="B2910" s="1">
        <v>895246.08519999997</v>
      </c>
      <c r="C2910" s="1">
        <v>957863.37691047764</v>
      </c>
      <c r="D2910" s="1">
        <f t="shared" si="45"/>
        <v>-62617.291710477672</v>
      </c>
      <c r="E2910" s="1">
        <v>12</v>
      </c>
      <c r="F2910" s="1">
        <v>19</v>
      </c>
      <c r="G2910" s="1">
        <v>4</v>
      </c>
      <c r="H2910" s="1">
        <v>0</v>
      </c>
      <c r="I2910" s="1">
        <v>0</v>
      </c>
      <c r="J2910" s="1">
        <v>0</v>
      </c>
      <c r="K2910" s="1">
        <v>0</v>
      </c>
      <c r="L2910" s="1">
        <v>0</v>
      </c>
      <c r="M2910" s="1">
        <v>0</v>
      </c>
    </row>
    <row r="2911" spans="1:13">
      <c r="A2911" s="1">
        <v>2910</v>
      </c>
      <c r="B2911" s="1">
        <v>969968.84279999998</v>
      </c>
      <c r="C2911" s="1">
        <v>1039408.2914789066</v>
      </c>
      <c r="D2911" s="1">
        <f t="shared" si="45"/>
        <v>-69439.448678906658</v>
      </c>
      <c r="E2911" s="1">
        <v>14</v>
      </c>
      <c r="F2911" s="1">
        <v>18</v>
      </c>
      <c r="G2911" s="1">
        <v>3</v>
      </c>
      <c r="H2911" s="1">
        <v>1</v>
      </c>
      <c r="I2911" s="1">
        <v>0</v>
      </c>
      <c r="J2911" s="1">
        <v>0</v>
      </c>
      <c r="K2911" s="1">
        <v>0</v>
      </c>
      <c r="L2911" s="1">
        <v>0</v>
      </c>
      <c r="M2911" s="1">
        <v>0</v>
      </c>
    </row>
    <row r="2912" spans="1:13">
      <c r="A2912" s="1">
        <v>2911</v>
      </c>
      <c r="B2912" s="1">
        <v>896645.5649</v>
      </c>
      <c r="C2912" s="1">
        <v>779845.05723377957</v>
      </c>
      <c r="D2912" s="1">
        <f t="shared" si="45"/>
        <v>116800.50766622042</v>
      </c>
      <c r="E2912" s="1">
        <v>8</v>
      </c>
      <c r="F2912" s="1">
        <v>17</v>
      </c>
      <c r="G2912" s="1">
        <v>10</v>
      </c>
      <c r="H2912" s="1">
        <v>1</v>
      </c>
      <c r="I2912" s="1">
        <v>0</v>
      </c>
      <c r="J2912" s="1">
        <v>1</v>
      </c>
      <c r="K2912" s="1">
        <v>0</v>
      </c>
      <c r="L2912" s="1">
        <v>0</v>
      </c>
      <c r="M2912" s="1">
        <v>0</v>
      </c>
    </row>
    <row r="2913" spans="1:13">
      <c r="A2913" s="1">
        <v>2912</v>
      </c>
      <c r="B2913" s="1">
        <v>938060.28399999999</v>
      </c>
      <c r="C2913" s="1">
        <v>710934.18646964466</v>
      </c>
      <c r="D2913" s="1">
        <f t="shared" si="45"/>
        <v>227126.09753035533</v>
      </c>
      <c r="E2913" s="1">
        <v>16</v>
      </c>
      <c r="F2913" s="1">
        <v>14</v>
      </c>
      <c r="G2913" s="1">
        <v>5</v>
      </c>
      <c r="H2913" s="1">
        <v>1</v>
      </c>
      <c r="I2913" s="1">
        <v>0</v>
      </c>
      <c r="J2913" s="1">
        <v>1</v>
      </c>
      <c r="K2913" s="1">
        <v>0</v>
      </c>
      <c r="L2913" s="1">
        <v>0</v>
      </c>
      <c r="M2913" s="1">
        <v>0</v>
      </c>
    </row>
    <row r="2914" spans="1:13">
      <c r="A2914" s="1">
        <v>2913</v>
      </c>
      <c r="B2914" s="1">
        <v>994644.73659999995</v>
      </c>
      <c r="C2914" s="1">
        <v>812180.37621146825</v>
      </c>
      <c r="D2914" s="1">
        <f t="shared" si="45"/>
        <v>182464.3603885317</v>
      </c>
      <c r="E2914" s="1">
        <v>18</v>
      </c>
      <c r="F2914" s="1">
        <v>13</v>
      </c>
      <c r="G2914" s="1">
        <v>4</v>
      </c>
      <c r="H2914" s="1">
        <v>0</v>
      </c>
      <c r="I2914" s="1">
        <v>0</v>
      </c>
      <c r="J2914" s="1">
        <v>0</v>
      </c>
      <c r="K2914" s="1">
        <v>0</v>
      </c>
      <c r="L2914" s="1">
        <v>0</v>
      </c>
      <c r="M2914" s="1">
        <v>0</v>
      </c>
    </row>
    <row r="2915" spans="1:13">
      <c r="A2915" s="1">
        <v>2914</v>
      </c>
      <c r="B2915" s="1">
        <v>881497.84450000001</v>
      </c>
      <c r="C2915" s="1">
        <v>803649.22945192805</v>
      </c>
      <c r="D2915" s="1">
        <f t="shared" si="45"/>
        <v>77848.615048071952</v>
      </c>
      <c r="E2915" s="1">
        <v>19</v>
      </c>
      <c r="F2915" s="1">
        <v>9</v>
      </c>
      <c r="G2915" s="1">
        <v>7</v>
      </c>
      <c r="H2915" s="1">
        <v>0</v>
      </c>
      <c r="I2915" s="1">
        <v>0</v>
      </c>
      <c r="J2915" s="1">
        <v>0</v>
      </c>
      <c r="K2915" s="1">
        <v>0</v>
      </c>
      <c r="L2915" s="1">
        <v>1</v>
      </c>
      <c r="M2915" s="1">
        <v>0</v>
      </c>
    </row>
    <row r="2916" spans="1:13">
      <c r="A2916" s="1">
        <v>2915</v>
      </c>
      <c r="B2916" s="1">
        <v>841592.9828</v>
      </c>
      <c r="C2916" s="1">
        <v>788352.99796742259</v>
      </c>
      <c r="D2916" s="1">
        <f t="shared" si="45"/>
        <v>53239.984832577407</v>
      </c>
      <c r="E2916" s="1">
        <v>22</v>
      </c>
      <c r="F2916" s="1">
        <v>10</v>
      </c>
      <c r="G2916" s="1">
        <v>3</v>
      </c>
      <c r="H2916" s="1">
        <v>1</v>
      </c>
      <c r="I2916" s="1">
        <v>0</v>
      </c>
      <c r="J2916" s="1">
        <v>0</v>
      </c>
      <c r="K2916" s="1">
        <v>0</v>
      </c>
      <c r="L2916" s="1">
        <v>0</v>
      </c>
      <c r="M2916" s="1">
        <v>0</v>
      </c>
    </row>
    <row r="2917" spans="1:13">
      <c r="A2917" s="1">
        <v>2916</v>
      </c>
      <c r="B2917" s="1">
        <v>858331.28810000001</v>
      </c>
      <c r="C2917" s="1">
        <v>912707.59340097371</v>
      </c>
      <c r="D2917" s="1">
        <f t="shared" si="45"/>
        <v>-54376.305300973705</v>
      </c>
      <c r="E2917" s="1">
        <v>12</v>
      </c>
      <c r="F2917" s="1">
        <v>20</v>
      </c>
      <c r="G2917" s="1">
        <v>3</v>
      </c>
      <c r="H2917" s="1">
        <v>2</v>
      </c>
      <c r="I2917" s="1">
        <v>0</v>
      </c>
      <c r="J2917" s="1">
        <v>0</v>
      </c>
      <c r="K2917" s="1">
        <v>0</v>
      </c>
      <c r="L2917" s="1">
        <v>0</v>
      </c>
      <c r="M2917" s="1">
        <v>0</v>
      </c>
    </row>
    <row r="2918" spans="1:13">
      <c r="A2918" s="1">
        <v>2917</v>
      </c>
      <c r="B2918" s="1">
        <v>900784.52179999999</v>
      </c>
      <c r="C2918" s="1">
        <v>531208.14213523804</v>
      </c>
      <c r="D2918" s="1">
        <f t="shared" si="45"/>
        <v>369576.37966476195</v>
      </c>
      <c r="E2918" s="1">
        <v>18</v>
      </c>
      <c r="F2918" s="1">
        <v>13</v>
      </c>
      <c r="G2918" s="1">
        <v>4</v>
      </c>
      <c r="H2918" s="1">
        <v>1</v>
      </c>
      <c r="I2918" s="1">
        <v>0</v>
      </c>
      <c r="J2918" s="1">
        <v>0</v>
      </c>
      <c r="K2918" s="1">
        <v>1</v>
      </c>
      <c r="L2918" s="1">
        <v>0</v>
      </c>
      <c r="M2918" s="1">
        <v>0</v>
      </c>
    </row>
    <row r="2919" spans="1:13">
      <c r="A2919" s="1">
        <v>2918</v>
      </c>
      <c r="B2919" s="1">
        <v>1003068.0343000001</v>
      </c>
      <c r="C2919" s="1">
        <v>1357533.4449019218</v>
      </c>
      <c r="D2919" s="1">
        <f t="shared" si="45"/>
        <v>-354465.41060192173</v>
      </c>
      <c r="E2919" s="1">
        <v>7</v>
      </c>
      <c r="F2919" s="1">
        <v>21</v>
      </c>
      <c r="G2919" s="1">
        <v>7</v>
      </c>
      <c r="H2919" s="1">
        <v>2</v>
      </c>
      <c r="I2919" s="1">
        <v>0</v>
      </c>
      <c r="J2919" s="1">
        <v>0</v>
      </c>
      <c r="K2919" s="1">
        <v>0</v>
      </c>
      <c r="L2919" s="1">
        <v>0</v>
      </c>
      <c r="M2919" s="1">
        <v>0</v>
      </c>
    </row>
    <row r="2920" spans="1:13">
      <c r="A2920" s="1">
        <v>2919</v>
      </c>
      <c r="B2920" s="1">
        <v>848394.47600000002</v>
      </c>
      <c r="C2920" s="1">
        <v>1053247.0956987632</v>
      </c>
      <c r="D2920" s="1">
        <f t="shared" si="45"/>
        <v>-204852.61969876313</v>
      </c>
      <c r="E2920" s="1">
        <v>23</v>
      </c>
      <c r="F2920" s="1">
        <v>10</v>
      </c>
      <c r="G2920" s="1">
        <v>2</v>
      </c>
      <c r="H2920" s="1">
        <v>1</v>
      </c>
      <c r="I2920" s="1">
        <v>1</v>
      </c>
      <c r="J2920" s="1">
        <v>0</v>
      </c>
      <c r="K2920" s="1">
        <v>2</v>
      </c>
      <c r="L2920" s="1">
        <v>0</v>
      </c>
      <c r="M2920" s="1">
        <v>0</v>
      </c>
    </row>
    <row r="2921" spans="1:13">
      <c r="A2921" s="1">
        <v>2920</v>
      </c>
      <c r="B2921" s="1">
        <v>912747.60600000003</v>
      </c>
      <c r="C2921" s="1">
        <v>645534.99066579458</v>
      </c>
      <c r="D2921" s="1">
        <f t="shared" si="45"/>
        <v>267212.61533420545</v>
      </c>
      <c r="E2921" s="1">
        <v>5</v>
      </c>
      <c r="F2921" s="1">
        <v>21</v>
      </c>
      <c r="G2921" s="1">
        <v>9</v>
      </c>
      <c r="H2921" s="1">
        <v>2</v>
      </c>
      <c r="I2921" s="1">
        <v>0</v>
      </c>
      <c r="J2921" s="1">
        <v>1</v>
      </c>
      <c r="K2921" s="1">
        <v>1</v>
      </c>
      <c r="L2921" s="1">
        <v>0</v>
      </c>
      <c r="M2921" s="1">
        <v>0</v>
      </c>
    </row>
    <row r="2922" spans="1:13">
      <c r="A2922" s="1">
        <v>2921</v>
      </c>
      <c r="B2922" s="1">
        <v>928148.30940000003</v>
      </c>
      <c r="C2922" s="1">
        <v>812476.0592187146</v>
      </c>
      <c r="D2922" s="1">
        <f t="shared" si="45"/>
        <v>115672.25018128543</v>
      </c>
      <c r="E2922" s="1">
        <v>5</v>
      </c>
      <c r="F2922" s="1">
        <v>26</v>
      </c>
      <c r="G2922" s="1">
        <v>4</v>
      </c>
      <c r="H2922" s="1">
        <v>0</v>
      </c>
      <c r="I2922" s="1">
        <v>0</v>
      </c>
      <c r="J2922" s="1">
        <v>1</v>
      </c>
      <c r="K2922" s="1">
        <v>1</v>
      </c>
      <c r="L2922" s="1">
        <v>0</v>
      </c>
      <c r="M2922" s="1">
        <v>0</v>
      </c>
    </row>
    <row r="2923" spans="1:13">
      <c r="A2923" s="1">
        <v>2922</v>
      </c>
      <c r="B2923" s="1">
        <v>914551.89139999996</v>
      </c>
      <c r="C2923" s="1">
        <v>589499.58343261294</v>
      </c>
      <c r="D2923" s="1">
        <f t="shared" si="45"/>
        <v>325052.30796738702</v>
      </c>
      <c r="E2923" s="1">
        <v>7</v>
      </c>
      <c r="F2923" s="1">
        <v>24</v>
      </c>
      <c r="G2923" s="1">
        <v>4</v>
      </c>
      <c r="H2923" s="1">
        <v>1</v>
      </c>
      <c r="I2923" s="1">
        <v>0</v>
      </c>
      <c r="J2923" s="1">
        <v>2</v>
      </c>
      <c r="K2923" s="1">
        <v>0</v>
      </c>
      <c r="L2923" s="1">
        <v>0</v>
      </c>
      <c r="M2923" s="1">
        <v>1</v>
      </c>
    </row>
    <row r="2924" spans="1:13">
      <c r="A2924" s="1">
        <v>2923</v>
      </c>
      <c r="B2924" s="1">
        <v>1013906.0603</v>
      </c>
      <c r="C2924" s="1">
        <v>600571.15086863504</v>
      </c>
      <c r="D2924" s="1">
        <f t="shared" si="45"/>
        <v>413334.90943136497</v>
      </c>
      <c r="E2924" s="1">
        <v>6</v>
      </c>
      <c r="F2924" s="1">
        <v>23</v>
      </c>
      <c r="G2924" s="1">
        <v>6</v>
      </c>
      <c r="H2924" s="1">
        <v>1</v>
      </c>
      <c r="I2924" s="1">
        <v>0</v>
      </c>
      <c r="J2924" s="1">
        <v>0</v>
      </c>
      <c r="K2924" s="1">
        <v>0</v>
      </c>
      <c r="L2924" s="1">
        <v>0</v>
      </c>
      <c r="M2924" s="1">
        <v>0</v>
      </c>
    </row>
    <row r="2925" spans="1:13">
      <c r="A2925" s="1">
        <v>2924</v>
      </c>
      <c r="B2925" s="1">
        <v>855603.25349999999</v>
      </c>
      <c r="C2925" s="1">
        <v>1292092.3264960032</v>
      </c>
      <c r="D2925" s="1">
        <f t="shared" si="45"/>
        <v>-436489.0729960032</v>
      </c>
      <c r="E2925" s="1">
        <v>18</v>
      </c>
      <c r="F2925" s="1">
        <v>14</v>
      </c>
      <c r="G2925" s="1">
        <v>3</v>
      </c>
      <c r="H2925" s="1">
        <v>1</v>
      </c>
      <c r="I2925" s="1">
        <v>0</v>
      </c>
      <c r="J2925" s="1">
        <v>0</v>
      </c>
      <c r="K2925" s="1">
        <v>0</v>
      </c>
      <c r="L2925" s="1">
        <v>0</v>
      </c>
      <c r="M2925" s="1">
        <v>1</v>
      </c>
    </row>
    <row r="2926" spans="1:13">
      <c r="A2926" s="1">
        <v>2925</v>
      </c>
      <c r="B2926" s="1">
        <v>895295.45200000005</v>
      </c>
      <c r="C2926" s="1">
        <v>662815.75156502042</v>
      </c>
      <c r="D2926" s="1">
        <f t="shared" si="45"/>
        <v>232479.70043497963</v>
      </c>
      <c r="E2926" s="1">
        <v>8</v>
      </c>
      <c r="F2926" s="1">
        <v>23</v>
      </c>
      <c r="G2926" s="1">
        <v>4</v>
      </c>
      <c r="H2926" s="1">
        <v>1</v>
      </c>
      <c r="I2926" s="1">
        <v>0</v>
      </c>
      <c r="J2926" s="1">
        <v>1</v>
      </c>
      <c r="K2926" s="1">
        <v>1</v>
      </c>
      <c r="L2926" s="1">
        <v>0</v>
      </c>
      <c r="M2926" s="1">
        <v>0</v>
      </c>
    </row>
    <row r="2927" spans="1:13">
      <c r="A2927" s="1">
        <v>2926</v>
      </c>
      <c r="B2927" s="1">
        <v>939561.27159999998</v>
      </c>
      <c r="C2927" s="1">
        <v>809472.9148239526</v>
      </c>
      <c r="D2927" s="1">
        <f t="shared" si="45"/>
        <v>130088.35677604738</v>
      </c>
      <c r="E2927" s="1">
        <v>12</v>
      </c>
      <c r="F2927" s="1">
        <v>15</v>
      </c>
      <c r="G2927" s="1">
        <v>8</v>
      </c>
      <c r="H2927" s="1">
        <v>1</v>
      </c>
      <c r="I2927" s="1">
        <v>0</v>
      </c>
      <c r="J2927" s="1">
        <v>1</v>
      </c>
      <c r="K2927" s="1">
        <v>0</v>
      </c>
      <c r="L2927" s="1">
        <v>0</v>
      </c>
      <c r="M2927" s="1">
        <v>0</v>
      </c>
    </row>
    <row r="2928" spans="1:13">
      <c r="A2928" s="1">
        <v>2927</v>
      </c>
      <c r="B2928" s="1">
        <v>958836.87970000005</v>
      </c>
      <c r="C2928" s="1">
        <v>680726.60676526255</v>
      </c>
      <c r="D2928" s="1">
        <f t="shared" si="45"/>
        <v>278110.2729347375</v>
      </c>
      <c r="E2928" s="1">
        <v>14</v>
      </c>
      <c r="F2928" s="1">
        <v>15</v>
      </c>
      <c r="G2928" s="1">
        <v>6</v>
      </c>
      <c r="H2928" s="1">
        <v>0</v>
      </c>
      <c r="I2928" s="1">
        <v>0</v>
      </c>
      <c r="J2928" s="1">
        <v>0</v>
      </c>
      <c r="K2928" s="1">
        <v>2</v>
      </c>
      <c r="L2928" s="1">
        <v>0</v>
      </c>
      <c r="M2928" s="1">
        <v>1</v>
      </c>
    </row>
    <row r="2929" spans="1:13">
      <c r="A2929" s="1">
        <v>2928</v>
      </c>
      <c r="B2929" s="1">
        <v>901420.07259999996</v>
      </c>
      <c r="C2929" s="1">
        <v>1029388.7878872609</v>
      </c>
      <c r="D2929" s="1">
        <f t="shared" si="45"/>
        <v>-127968.71528726094</v>
      </c>
      <c r="E2929" s="1">
        <v>15</v>
      </c>
      <c r="F2929" s="1">
        <v>16</v>
      </c>
      <c r="G2929" s="1">
        <v>4</v>
      </c>
      <c r="H2929" s="1">
        <v>1</v>
      </c>
      <c r="I2929" s="1">
        <v>0</v>
      </c>
      <c r="J2929" s="1">
        <v>2</v>
      </c>
      <c r="K2929" s="1">
        <v>0</v>
      </c>
      <c r="L2929" s="1">
        <v>0</v>
      </c>
      <c r="M2929" s="1">
        <v>0</v>
      </c>
    </row>
    <row r="2930" spans="1:13">
      <c r="A2930" s="1">
        <v>2929</v>
      </c>
      <c r="B2930" s="1">
        <v>843258.33600000001</v>
      </c>
      <c r="C2930" s="1">
        <v>790489.36572615313</v>
      </c>
      <c r="D2930" s="1">
        <f t="shared" si="45"/>
        <v>52768.970273846877</v>
      </c>
      <c r="E2930" s="1">
        <v>19</v>
      </c>
      <c r="F2930" s="1">
        <v>12</v>
      </c>
      <c r="G2930" s="1">
        <v>4</v>
      </c>
      <c r="H2930" s="1">
        <v>1</v>
      </c>
      <c r="I2930" s="1">
        <v>0</v>
      </c>
      <c r="J2930" s="1">
        <v>0</v>
      </c>
      <c r="K2930" s="1">
        <v>0</v>
      </c>
      <c r="L2930" s="1">
        <v>0</v>
      </c>
      <c r="M2930" s="1">
        <v>0</v>
      </c>
    </row>
    <row r="2931" spans="1:13">
      <c r="A2931" s="1">
        <v>2930</v>
      </c>
      <c r="B2931" s="1">
        <v>885929.99679999996</v>
      </c>
      <c r="C2931" s="1">
        <v>732029.86464194686</v>
      </c>
      <c r="D2931" s="1">
        <f t="shared" si="45"/>
        <v>153900.13215805311</v>
      </c>
      <c r="E2931" s="1">
        <v>16</v>
      </c>
      <c r="F2931" s="1">
        <v>16</v>
      </c>
      <c r="G2931" s="1">
        <v>3</v>
      </c>
      <c r="H2931" s="1">
        <v>1</v>
      </c>
      <c r="I2931" s="1">
        <v>0</v>
      </c>
      <c r="J2931" s="1">
        <v>2</v>
      </c>
      <c r="K2931" s="1">
        <v>0</v>
      </c>
      <c r="L2931" s="1">
        <v>0</v>
      </c>
      <c r="M2931" s="1">
        <v>0</v>
      </c>
    </row>
    <row r="2932" spans="1:13">
      <c r="A2932" s="1">
        <v>2931</v>
      </c>
      <c r="B2932" s="1">
        <v>999933.35889999999</v>
      </c>
      <c r="C2932" s="1">
        <v>703965.26237769739</v>
      </c>
      <c r="D2932" s="1">
        <f t="shared" si="45"/>
        <v>295968.0965223026</v>
      </c>
      <c r="E2932" s="1">
        <v>13</v>
      </c>
      <c r="F2932" s="1">
        <v>18</v>
      </c>
      <c r="G2932" s="1">
        <v>4</v>
      </c>
      <c r="H2932" s="1">
        <v>0</v>
      </c>
      <c r="I2932" s="1">
        <v>1</v>
      </c>
      <c r="J2932" s="1">
        <v>0</v>
      </c>
      <c r="K2932" s="1">
        <v>1</v>
      </c>
      <c r="L2932" s="1">
        <v>0</v>
      </c>
      <c r="M2932" s="1">
        <v>1</v>
      </c>
    </row>
    <row r="2933" spans="1:13">
      <c r="A2933" s="1">
        <v>2932</v>
      </c>
      <c r="B2933" s="1">
        <v>891775.20180000004</v>
      </c>
      <c r="C2933" s="1">
        <v>305125.24316155119</v>
      </c>
      <c r="D2933" s="1">
        <f t="shared" si="45"/>
        <v>586649.95863844885</v>
      </c>
      <c r="E2933" s="1">
        <v>7</v>
      </c>
      <c r="F2933" s="1">
        <v>23</v>
      </c>
      <c r="G2933" s="1">
        <v>5</v>
      </c>
      <c r="H2933" s="1">
        <v>1</v>
      </c>
      <c r="I2933" s="1">
        <v>1</v>
      </c>
      <c r="J2933" s="1">
        <v>0</v>
      </c>
      <c r="K2933" s="1">
        <v>1</v>
      </c>
      <c r="L2933" s="1">
        <v>0</v>
      </c>
      <c r="M2933" s="1">
        <v>0</v>
      </c>
    </row>
    <row r="2934" spans="1:13">
      <c r="A2934" s="1">
        <v>2933</v>
      </c>
      <c r="B2934" s="1">
        <v>858355.15139999997</v>
      </c>
      <c r="C2934" s="1">
        <v>1598475.5814387684</v>
      </c>
      <c r="D2934" s="1">
        <f t="shared" si="45"/>
        <v>-740120.43003876845</v>
      </c>
      <c r="E2934" s="1">
        <v>19</v>
      </c>
      <c r="F2934" s="1">
        <v>9</v>
      </c>
      <c r="G2934" s="1">
        <v>7</v>
      </c>
      <c r="H2934" s="1">
        <v>0</v>
      </c>
      <c r="I2934" s="1">
        <v>1</v>
      </c>
      <c r="J2934" s="1">
        <v>0</v>
      </c>
      <c r="K2934" s="1">
        <v>0</v>
      </c>
      <c r="L2934" s="1">
        <v>0</v>
      </c>
      <c r="M2934" s="1">
        <v>0</v>
      </c>
    </row>
    <row r="2935" spans="1:13">
      <c r="A2935" s="1">
        <v>2934</v>
      </c>
      <c r="B2935" s="1">
        <v>953003.67909999995</v>
      </c>
      <c r="C2935" s="1">
        <v>1122125.8072394705</v>
      </c>
      <c r="D2935" s="1">
        <f t="shared" si="45"/>
        <v>-169122.12813947059</v>
      </c>
      <c r="E2935" s="1">
        <v>5</v>
      </c>
      <c r="F2935" s="1">
        <v>26</v>
      </c>
      <c r="G2935" s="1">
        <v>4</v>
      </c>
      <c r="H2935" s="1">
        <v>1</v>
      </c>
      <c r="I2935" s="1">
        <v>1</v>
      </c>
      <c r="J2935" s="1">
        <v>0</v>
      </c>
      <c r="K2935" s="1">
        <v>1</v>
      </c>
      <c r="L2935" s="1">
        <v>0</v>
      </c>
      <c r="M2935" s="1">
        <v>0</v>
      </c>
    </row>
    <row r="2936" spans="1:13">
      <c r="A2936" s="1">
        <v>2935</v>
      </c>
      <c r="B2936" s="1">
        <v>986130.47400000005</v>
      </c>
      <c r="C2936" s="1">
        <v>1006350.7907699484</v>
      </c>
      <c r="D2936" s="1">
        <f t="shared" si="45"/>
        <v>-20220.316769948346</v>
      </c>
      <c r="E2936" s="1">
        <v>14</v>
      </c>
      <c r="F2936" s="1">
        <v>15</v>
      </c>
      <c r="G2936" s="1">
        <v>6</v>
      </c>
      <c r="H2936" s="1">
        <v>1</v>
      </c>
      <c r="I2936" s="1">
        <v>1</v>
      </c>
      <c r="J2936" s="1">
        <v>1</v>
      </c>
      <c r="K2936" s="1">
        <v>0</v>
      </c>
      <c r="L2936" s="1">
        <v>0</v>
      </c>
      <c r="M2936" s="1">
        <v>0</v>
      </c>
    </row>
    <row r="2937" spans="1:13">
      <c r="A2937" s="1">
        <v>2936</v>
      </c>
      <c r="B2937" s="1">
        <v>1007437.7882</v>
      </c>
      <c r="C2937" s="1">
        <v>876130.23414660152</v>
      </c>
      <c r="D2937" s="1">
        <f t="shared" si="45"/>
        <v>131307.55405339843</v>
      </c>
      <c r="E2937" s="1">
        <v>6</v>
      </c>
      <c r="F2937" s="1">
        <v>22</v>
      </c>
      <c r="G2937" s="1">
        <v>7</v>
      </c>
      <c r="H2937" s="1">
        <v>1</v>
      </c>
      <c r="I2937" s="1">
        <v>0</v>
      </c>
      <c r="J2937" s="1">
        <v>0</v>
      </c>
      <c r="K2937" s="1">
        <v>0</v>
      </c>
      <c r="L2937" s="1">
        <v>0</v>
      </c>
      <c r="M2937" s="1">
        <v>0</v>
      </c>
    </row>
    <row r="2938" spans="1:13">
      <c r="A2938" s="1">
        <v>2937</v>
      </c>
      <c r="B2938" s="1">
        <v>1049417.3995000001</v>
      </c>
      <c r="C2938" s="1">
        <v>722905.58882648987</v>
      </c>
      <c r="D2938" s="1">
        <f t="shared" si="45"/>
        <v>326511.81067351019</v>
      </c>
      <c r="E2938" s="1">
        <v>5</v>
      </c>
      <c r="F2938" s="1">
        <v>21</v>
      </c>
      <c r="G2938" s="1">
        <v>9</v>
      </c>
      <c r="H2938" s="1">
        <v>2</v>
      </c>
      <c r="I2938" s="1">
        <v>0</v>
      </c>
      <c r="J2938" s="1">
        <v>0</v>
      </c>
      <c r="K2938" s="1">
        <v>1</v>
      </c>
      <c r="L2938" s="1">
        <v>0</v>
      </c>
      <c r="M2938" s="1">
        <v>1</v>
      </c>
    </row>
    <row r="2939" spans="1:13">
      <c r="A2939" s="1">
        <v>2938</v>
      </c>
      <c r="B2939" s="1">
        <v>1078532.9635999999</v>
      </c>
      <c r="C2939" s="1">
        <v>644378.1660373538</v>
      </c>
      <c r="D2939" s="1">
        <f t="shared" si="45"/>
        <v>434154.7975626461</v>
      </c>
      <c r="E2939" s="1">
        <v>16</v>
      </c>
      <c r="F2939" s="1">
        <v>11</v>
      </c>
      <c r="G2939" s="1">
        <v>8</v>
      </c>
      <c r="H2939" s="1">
        <v>1</v>
      </c>
      <c r="I2939" s="1">
        <v>1</v>
      </c>
      <c r="J2939" s="1">
        <v>0</v>
      </c>
      <c r="K2939" s="1">
        <v>1</v>
      </c>
      <c r="L2939" s="1">
        <v>0</v>
      </c>
      <c r="M2939" s="1">
        <v>0</v>
      </c>
    </row>
    <row r="2940" spans="1:13">
      <c r="A2940" s="1">
        <v>2939</v>
      </c>
      <c r="B2940" s="1">
        <v>899798.49349999998</v>
      </c>
      <c r="C2940" s="1">
        <v>671128.07586089836</v>
      </c>
      <c r="D2940" s="1">
        <f t="shared" si="45"/>
        <v>228670.41763910162</v>
      </c>
      <c r="E2940" s="1">
        <v>18</v>
      </c>
      <c r="F2940" s="1">
        <v>13</v>
      </c>
      <c r="G2940" s="1">
        <v>4</v>
      </c>
      <c r="H2940" s="1">
        <v>0</v>
      </c>
      <c r="I2940" s="1">
        <v>0</v>
      </c>
      <c r="J2940" s="1">
        <v>0</v>
      </c>
      <c r="K2940" s="1">
        <v>0</v>
      </c>
      <c r="L2940" s="1">
        <v>1</v>
      </c>
      <c r="M2940" s="1">
        <v>1</v>
      </c>
    </row>
    <row r="2941" spans="1:13">
      <c r="A2941" s="1">
        <v>2940</v>
      </c>
      <c r="B2941" s="1">
        <v>968702.75840000005</v>
      </c>
      <c r="C2941" s="1">
        <v>839853.50462540903</v>
      </c>
      <c r="D2941" s="1">
        <f t="shared" si="45"/>
        <v>128849.25377459102</v>
      </c>
      <c r="E2941" s="1">
        <v>15</v>
      </c>
      <c r="F2941" s="1">
        <v>14</v>
      </c>
      <c r="G2941" s="1">
        <v>6</v>
      </c>
      <c r="H2941" s="1">
        <v>1</v>
      </c>
      <c r="I2941" s="1">
        <v>0</v>
      </c>
      <c r="J2941" s="1">
        <v>1</v>
      </c>
      <c r="K2941" s="1">
        <v>0</v>
      </c>
      <c r="L2941" s="1">
        <v>0</v>
      </c>
      <c r="M2941" s="1">
        <v>0</v>
      </c>
    </row>
    <row r="2942" spans="1:13">
      <c r="A2942" s="1">
        <v>2941</v>
      </c>
      <c r="B2942" s="1">
        <v>915108.45380000002</v>
      </c>
      <c r="C2942" s="1">
        <v>770253.37776978035</v>
      </c>
      <c r="D2942" s="1">
        <f t="shared" si="45"/>
        <v>144855.07603021967</v>
      </c>
      <c r="E2942" s="1">
        <v>7</v>
      </c>
      <c r="F2942" s="1">
        <v>21</v>
      </c>
      <c r="G2942" s="1">
        <v>7</v>
      </c>
      <c r="H2942" s="1">
        <v>1</v>
      </c>
      <c r="I2942" s="1">
        <v>1</v>
      </c>
      <c r="J2942" s="1">
        <v>0</v>
      </c>
      <c r="K2942" s="1">
        <v>1</v>
      </c>
      <c r="L2942" s="1">
        <v>0</v>
      </c>
      <c r="M2942" s="1">
        <v>1</v>
      </c>
    </row>
    <row r="2943" spans="1:13">
      <c r="A2943" s="1">
        <v>2942</v>
      </c>
      <c r="B2943" s="1">
        <v>972706.20920000004</v>
      </c>
      <c r="C2943" s="1">
        <v>684919.64201862214</v>
      </c>
      <c r="D2943" s="1">
        <f t="shared" si="45"/>
        <v>287786.5671813779</v>
      </c>
      <c r="E2943" s="1">
        <v>13</v>
      </c>
      <c r="F2943" s="1">
        <v>18</v>
      </c>
      <c r="G2943" s="1">
        <v>4</v>
      </c>
      <c r="H2943" s="1">
        <v>0</v>
      </c>
      <c r="I2943" s="1">
        <v>0</v>
      </c>
      <c r="J2943" s="1">
        <v>1</v>
      </c>
      <c r="K2943" s="1">
        <v>1</v>
      </c>
      <c r="L2943" s="1">
        <v>0</v>
      </c>
      <c r="M2943" s="1">
        <v>0</v>
      </c>
    </row>
    <row r="2944" spans="1:13">
      <c r="A2944" s="1">
        <v>2943</v>
      </c>
      <c r="B2944" s="1">
        <v>880577.92039999994</v>
      </c>
      <c r="C2944" s="1">
        <v>936196.21728764544</v>
      </c>
      <c r="D2944" s="1">
        <f t="shared" si="45"/>
        <v>-55618.296887645498</v>
      </c>
      <c r="E2944" s="1">
        <v>13</v>
      </c>
      <c r="F2944" s="1">
        <v>18</v>
      </c>
      <c r="G2944" s="1">
        <v>4</v>
      </c>
      <c r="H2944" s="1">
        <v>0</v>
      </c>
      <c r="I2944" s="1">
        <v>0</v>
      </c>
      <c r="J2944" s="1">
        <v>2</v>
      </c>
      <c r="K2944" s="1">
        <v>0</v>
      </c>
      <c r="L2944" s="1">
        <v>0</v>
      </c>
      <c r="M2944" s="1">
        <v>1</v>
      </c>
    </row>
    <row r="2945" spans="1:13">
      <c r="A2945" s="1">
        <v>2944</v>
      </c>
      <c r="B2945" s="1">
        <v>1011437.8375</v>
      </c>
      <c r="C2945" s="1">
        <v>555209.7848278383</v>
      </c>
      <c r="D2945" s="1">
        <f t="shared" si="45"/>
        <v>456228.05267216172</v>
      </c>
      <c r="E2945" s="1">
        <v>12</v>
      </c>
      <c r="F2945" s="1">
        <v>15</v>
      </c>
      <c r="G2945" s="1">
        <v>8</v>
      </c>
      <c r="H2945" s="1">
        <v>1</v>
      </c>
      <c r="I2945" s="1">
        <v>0</v>
      </c>
      <c r="J2945" s="1">
        <v>0</v>
      </c>
      <c r="K2945" s="1">
        <v>2</v>
      </c>
      <c r="L2945" s="1">
        <v>0</v>
      </c>
      <c r="M2945" s="1">
        <v>1</v>
      </c>
    </row>
    <row r="2946" spans="1:13">
      <c r="A2946" s="1">
        <v>2945</v>
      </c>
      <c r="B2946" s="1">
        <v>920646.75589999999</v>
      </c>
      <c r="C2946" s="1">
        <v>684999.00364929275</v>
      </c>
      <c r="D2946" s="1">
        <f t="shared" ref="D2946:D3009" si="46">B2946-C2946</f>
        <v>235647.75225070724</v>
      </c>
      <c r="E2946" s="1">
        <v>11</v>
      </c>
      <c r="F2946" s="1">
        <v>22</v>
      </c>
      <c r="G2946" s="1">
        <v>2</v>
      </c>
      <c r="H2946" s="1">
        <v>1</v>
      </c>
      <c r="I2946" s="1">
        <v>0</v>
      </c>
      <c r="J2946" s="1">
        <v>0</v>
      </c>
      <c r="K2946" s="1">
        <v>1</v>
      </c>
      <c r="L2946" s="1">
        <v>0</v>
      </c>
      <c r="M2946" s="1">
        <v>0</v>
      </c>
    </row>
    <row r="2947" spans="1:13">
      <c r="A2947" s="1">
        <v>2946</v>
      </c>
      <c r="B2947" s="1">
        <v>1131087.4365000001</v>
      </c>
      <c r="C2947" s="1">
        <v>409485.99004713027</v>
      </c>
      <c r="D2947" s="1">
        <f t="shared" si="46"/>
        <v>721601.4464528698</v>
      </c>
      <c r="E2947" s="1">
        <v>2</v>
      </c>
      <c r="F2947" s="1">
        <v>25</v>
      </c>
      <c r="G2947" s="1">
        <v>8</v>
      </c>
      <c r="H2947" s="1">
        <v>2</v>
      </c>
      <c r="I2947" s="1">
        <v>0</v>
      </c>
      <c r="J2947" s="1">
        <v>0</v>
      </c>
      <c r="K2947" s="1">
        <v>0</v>
      </c>
      <c r="L2947" s="1">
        <v>0</v>
      </c>
      <c r="M2947" s="1">
        <v>1</v>
      </c>
    </row>
    <row r="2948" spans="1:13">
      <c r="A2948" s="1">
        <v>2947</v>
      </c>
      <c r="B2948" s="1">
        <v>994980.18579999998</v>
      </c>
      <c r="C2948" s="1">
        <v>734451.49973691313</v>
      </c>
      <c r="D2948" s="1">
        <f t="shared" si="46"/>
        <v>260528.68606308685</v>
      </c>
      <c r="E2948" s="1">
        <v>12</v>
      </c>
      <c r="F2948" s="1">
        <v>17</v>
      </c>
      <c r="G2948" s="1">
        <v>6</v>
      </c>
      <c r="H2948" s="1">
        <v>0</v>
      </c>
      <c r="I2948" s="1">
        <v>0</v>
      </c>
      <c r="J2948" s="1">
        <v>0</v>
      </c>
      <c r="K2948" s="1">
        <v>1</v>
      </c>
      <c r="L2948" s="1">
        <v>0</v>
      </c>
      <c r="M2948" s="1">
        <v>1</v>
      </c>
    </row>
    <row r="2949" spans="1:13">
      <c r="A2949" s="1">
        <v>2948</v>
      </c>
      <c r="B2949" s="1">
        <v>846172.10829999996</v>
      </c>
      <c r="C2949" s="1">
        <v>517398.03530370444</v>
      </c>
      <c r="D2949" s="1">
        <f t="shared" si="46"/>
        <v>328774.07299629552</v>
      </c>
      <c r="E2949" s="1">
        <v>16</v>
      </c>
      <c r="F2949" s="1">
        <v>14</v>
      </c>
      <c r="G2949" s="1">
        <v>5</v>
      </c>
      <c r="H2949" s="1">
        <v>1</v>
      </c>
      <c r="I2949" s="1">
        <v>1</v>
      </c>
      <c r="J2949" s="1">
        <v>0</v>
      </c>
      <c r="K2949" s="1">
        <v>1</v>
      </c>
      <c r="L2949" s="1">
        <v>0</v>
      </c>
      <c r="M2949" s="1">
        <v>1</v>
      </c>
    </row>
    <row r="2950" spans="1:13">
      <c r="A2950" s="1">
        <v>2949</v>
      </c>
      <c r="B2950" s="1">
        <v>862415.96569999994</v>
      </c>
      <c r="C2950" s="1">
        <v>1027505.7784314398</v>
      </c>
      <c r="D2950" s="1">
        <f t="shared" si="46"/>
        <v>-165089.81273143983</v>
      </c>
      <c r="E2950" s="1">
        <v>22</v>
      </c>
      <c r="F2950" s="1">
        <v>11</v>
      </c>
      <c r="G2950" s="1">
        <v>2</v>
      </c>
      <c r="H2950" s="1">
        <v>1</v>
      </c>
      <c r="I2950" s="1">
        <v>0</v>
      </c>
      <c r="J2950" s="1">
        <v>0</v>
      </c>
      <c r="K2950" s="1">
        <v>0</v>
      </c>
      <c r="L2950" s="1">
        <v>0</v>
      </c>
      <c r="M2950" s="1">
        <v>1</v>
      </c>
    </row>
    <row r="2951" spans="1:13">
      <c r="A2951" s="1">
        <v>2950</v>
      </c>
      <c r="B2951" s="1">
        <v>900403.19209999999</v>
      </c>
      <c r="C2951" s="1">
        <v>685472.10440781468</v>
      </c>
      <c r="D2951" s="1">
        <f t="shared" si="46"/>
        <v>214931.08769218531</v>
      </c>
      <c r="E2951" s="1">
        <v>13</v>
      </c>
      <c r="F2951" s="1">
        <v>18</v>
      </c>
      <c r="G2951" s="1">
        <v>4</v>
      </c>
      <c r="H2951" s="1">
        <v>1</v>
      </c>
      <c r="I2951" s="1">
        <v>0</v>
      </c>
      <c r="J2951" s="1">
        <v>0</v>
      </c>
      <c r="K2951" s="1">
        <v>0</v>
      </c>
      <c r="L2951" s="1">
        <v>0</v>
      </c>
      <c r="M2951" s="1">
        <v>0</v>
      </c>
    </row>
    <row r="2952" spans="1:13">
      <c r="A2952" s="1">
        <v>2951</v>
      </c>
      <c r="B2952" s="1">
        <v>845362.29229999997</v>
      </c>
      <c r="C2952" s="1">
        <v>756475.55053215835</v>
      </c>
      <c r="D2952" s="1">
        <f t="shared" si="46"/>
        <v>88886.741767841624</v>
      </c>
      <c r="E2952" s="1">
        <v>26</v>
      </c>
      <c r="F2952" s="1">
        <v>5</v>
      </c>
      <c r="G2952" s="1">
        <v>4</v>
      </c>
      <c r="H2952" s="1">
        <v>1</v>
      </c>
      <c r="I2952" s="1">
        <v>0</v>
      </c>
      <c r="J2952" s="1">
        <v>0</v>
      </c>
      <c r="K2952" s="1">
        <v>2</v>
      </c>
      <c r="L2952" s="1">
        <v>0</v>
      </c>
      <c r="M2952" s="1">
        <v>0</v>
      </c>
    </row>
    <row r="2953" spans="1:13">
      <c r="A2953" s="1">
        <v>2952</v>
      </c>
      <c r="B2953" s="1">
        <v>891550.47169999999</v>
      </c>
      <c r="C2953" s="1">
        <v>722004.88311306597</v>
      </c>
      <c r="D2953" s="1">
        <f t="shared" si="46"/>
        <v>169545.58858693403</v>
      </c>
      <c r="E2953" s="1">
        <v>18</v>
      </c>
      <c r="F2953" s="1">
        <v>13</v>
      </c>
      <c r="G2953" s="1">
        <v>4</v>
      </c>
      <c r="H2953" s="1">
        <v>2</v>
      </c>
      <c r="I2953" s="1">
        <v>0</v>
      </c>
      <c r="J2953" s="1">
        <v>1</v>
      </c>
      <c r="K2953" s="1">
        <v>1</v>
      </c>
      <c r="L2953" s="1">
        <v>0</v>
      </c>
      <c r="M2953" s="1">
        <v>0</v>
      </c>
    </row>
    <row r="2954" spans="1:13">
      <c r="A2954" s="1">
        <v>2953</v>
      </c>
      <c r="B2954" s="1">
        <v>916082.50769999996</v>
      </c>
      <c r="C2954" s="1">
        <v>2703836.6442215247</v>
      </c>
      <c r="D2954" s="1">
        <f t="shared" si="46"/>
        <v>-1787754.1365215247</v>
      </c>
      <c r="E2954" s="1">
        <v>16</v>
      </c>
      <c r="F2954" s="1">
        <v>14</v>
      </c>
      <c r="G2954" s="1">
        <v>5</v>
      </c>
      <c r="H2954" s="1">
        <v>2</v>
      </c>
      <c r="I2954" s="1">
        <v>0</v>
      </c>
      <c r="J2954" s="1">
        <v>0</v>
      </c>
      <c r="K2954" s="1">
        <v>0</v>
      </c>
      <c r="L2954" s="1">
        <v>0</v>
      </c>
      <c r="M2954" s="1">
        <v>0</v>
      </c>
    </row>
    <row r="2955" spans="1:13">
      <c r="A2955" s="1">
        <v>2954</v>
      </c>
      <c r="B2955" s="1">
        <v>1054444.1513</v>
      </c>
      <c r="C2955" s="1">
        <v>1138003.0608499278</v>
      </c>
      <c r="D2955" s="1">
        <f t="shared" si="46"/>
        <v>-83558.909549927805</v>
      </c>
      <c r="E2955" s="1">
        <v>15</v>
      </c>
      <c r="F2955" s="1">
        <v>15</v>
      </c>
      <c r="G2955" s="1">
        <v>5</v>
      </c>
      <c r="H2955" s="1">
        <v>2</v>
      </c>
      <c r="I2955" s="1">
        <v>0</v>
      </c>
      <c r="J2955" s="1">
        <v>1</v>
      </c>
      <c r="K2955" s="1">
        <v>1</v>
      </c>
      <c r="L2955" s="1">
        <v>0</v>
      </c>
      <c r="M2955" s="1">
        <v>1</v>
      </c>
    </row>
    <row r="2956" spans="1:13">
      <c r="A2956" s="1">
        <v>2955</v>
      </c>
      <c r="B2956" s="1">
        <v>972486.68960000004</v>
      </c>
      <c r="C2956" s="1">
        <v>799384.29989961791</v>
      </c>
      <c r="D2956" s="1">
        <f t="shared" si="46"/>
        <v>173102.38970038213</v>
      </c>
      <c r="E2956" s="1">
        <v>14</v>
      </c>
      <c r="F2956" s="1">
        <v>17</v>
      </c>
      <c r="G2956" s="1">
        <v>4</v>
      </c>
      <c r="H2956" s="1">
        <v>1</v>
      </c>
      <c r="I2956" s="1">
        <v>0</v>
      </c>
      <c r="J2956" s="1">
        <v>0</v>
      </c>
      <c r="K2956" s="1">
        <v>2</v>
      </c>
      <c r="L2956" s="1">
        <v>0</v>
      </c>
      <c r="M2956" s="1">
        <v>0</v>
      </c>
    </row>
    <row r="2957" spans="1:13">
      <c r="A2957" s="1">
        <v>2956</v>
      </c>
      <c r="B2957" s="1">
        <v>890508.80420000001</v>
      </c>
      <c r="C2957" s="1">
        <v>1129418.1567523042</v>
      </c>
      <c r="D2957" s="1">
        <f t="shared" si="46"/>
        <v>-238909.35255230416</v>
      </c>
      <c r="E2957" s="1">
        <v>9</v>
      </c>
      <c r="F2957" s="1">
        <v>19</v>
      </c>
      <c r="G2957" s="1">
        <v>7</v>
      </c>
      <c r="H2957" s="1">
        <v>2</v>
      </c>
      <c r="I2957" s="1">
        <v>0</v>
      </c>
      <c r="J2957" s="1">
        <v>1</v>
      </c>
      <c r="K2957" s="1">
        <v>0</v>
      </c>
      <c r="L2957" s="1">
        <v>0</v>
      </c>
      <c r="M2957" s="1">
        <v>0</v>
      </c>
    </row>
    <row r="2958" spans="1:13">
      <c r="A2958" s="1">
        <v>2957</v>
      </c>
      <c r="B2958" s="1">
        <v>1071884.3223999999</v>
      </c>
      <c r="C2958" s="1">
        <v>756390.92643366836</v>
      </c>
      <c r="D2958" s="1">
        <f t="shared" si="46"/>
        <v>315493.39596633159</v>
      </c>
      <c r="E2958" s="1">
        <v>4</v>
      </c>
      <c r="F2958" s="1">
        <v>26</v>
      </c>
      <c r="G2958" s="1">
        <v>5</v>
      </c>
      <c r="H2958" s="1">
        <v>0</v>
      </c>
      <c r="I2958" s="1">
        <v>0</v>
      </c>
      <c r="J2958" s="1">
        <v>0</v>
      </c>
      <c r="K2958" s="1">
        <v>0</v>
      </c>
      <c r="L2958" s="1">
        <v>0</v>
      </c>
      <c r="M2958" s="1">
        <v>1</v>
      </c>
    </row>
    <row r="2959" spans="1:13">
      <c r="A2959" s="1">
        <v>2958</v>
      </c>
      <c r="B2959" s="1">
        <v>889821.15659999999</v>
      </c>
      <c r="C2959" s="1">
        <v>1089972.4120253439</v>
      </c>
      <c r="D2959" s="1">
        <f t="shared" si="46"/>
        <v>-200151.25542534387</v>
      </c>
      <c r="E2959" s="1">
        <v>16</v>
      </c>
      <c r="F2959" s="1">
        <v>14</v>
      </c>
      <c r="G2959" s="1">
        <v>5</v>
      </c>
      <c r="H2959" s="1">
        <v>1</v>
      </c>
      <c r="I2959" s="1">
        <v>0</v>
      </c>
      <c r="J2959" s="1">
        <v>0</v>
      </c>
      <c r="K2959" s="1">
        <v>1</v>
      </c>
      <c r="L2959" s="1">
        <v>0</v>
      </c>
      <c r="M2959" s="1">
        <v>0</v>
      </c>
    </row>
    <row r="2960" spans="1:13">
      <c r="A2960" s="1">
        <v>2959</v>
      </c>
      <c r="B2960" s="1">
        <v>903497.18610000005</v>
      </c>
      <c r="C2960" s="1">
        <v>435032.56810686842</v>
      </c>
      <c r="D2960" s="1">
        <f t="shared" si="46"/>
        <v>468464.61799313163</v>
      </c>
      <c r="E2960" s="1">
        <v>13</v>
      </c>
      <c r="F2960" s="1">
        <v>16</v>
      </c>
      <c r="G2960" s="1">
        <v>6</v>
      </c>
      <c r="H2960" s="1">
        <v>0</v>
      </c>
      <c r="I2960" s="1">
        <v>1</v>
      </c>
      <c r="J2960" s="1">
        <v>1</v>
      </c>
      <c r="K2960" s="1">
        <v>1</v>
      </c>
      <c r="L2960" s="1">
        <v>0</v>
      </c>
      <c r="M2960" s="1">
        <v>1</v>
      </c>
    </row>
    <row r="2961" spans="1:13">
      <c r="A2961" s="1">
        <v>2960</v>
      </c>
      <c r="B2961" s="1">
        <v>1149103.05</v>
      </c>
      <c r="C2961" s="1">
        <v>1156821.7929609104</v>
      </c>
      <c r="D2961" s="1">
        <f t="shared" si="46"/>
        <v>-7718.7429609103128</v>
      </c>
      <c r="E2961" s="1">
        <v>8</v>
      </c>
      <c r="F2961" s="1">
        <v>19</v>
      </c>
      <c r="G2961" s="1">
        <v>8</v>
      </c>
      <c r="H2961" s="1">
        <v>0</v>
      </c>
      <c r="I2961" s="1">
        <v>1</v>
      </c>
      <c r="J2961" s="1">
        <v>0</v>
      </c>
      <c r="K2961" s="1">
        <v>1</v>
      </c>
      <c r="L2961" s="1">
        <v>0</v>
      </c>
      <c r="M2961" s="1">
        <v>1</v>
      </c>
    </row>
    <row r="2962" spans="1:13">
      <c r="A2962" s="1">
        <v>2961</v>
      </c>
      <c r="B2962" s="1">
        <v>931303.15500000003</v>
      </c>
      <c r="C2962" s="1">
        <v>825128.08070071822</v>
      </c>
      <c r="D2962" s="1">
        <f t="shared" si="46"/>
        <v>106175.07429928181</v>
      </c>
      <c r="E2962" s="1">
        <v>17</v>
      </c>
      <c r="F2962" s="1">
        <v>15</v>
      </c>
      <c r="G2962" s="1">
        <v>3</v>
      </c>
      <c r="H2962" s="1">
        <v>2</v>
      </c>
      <c r="I2962" s="1">
        <v>0</v>
      </c>
      <c r="J2962" s="1">
        <v>0</v>
      </c>
      <c r="K2962" s="1">
        <v>0</v>
      </c>
      <c r="L2962" s="1">
        <v>0</v>
      </c>
      <c r="M2962" s="1">
        <v>0</v>
      </c>
    </row>
    <row r="2963" spans="1:13">
      <c r="A2963" s="1">
        <v>2962</v>
      </c>
      <c r="B2963" s="1">
        <v>942298.70640000002</v>
      </c>
      <c r="C2963" s="1">
        <v>459112.19489965704</v>
      </c>
      <c r="D2963" s="1">
        <f t="shared" si="46"/>
        <v>483186.51150034298</v>
      </c>
      <c r="E2963" s="1">
        <v>17</v>
      </c>
      <c r="F2963" s="1">
        <v>16</v>
      </c>
      <c r="G2963" s="1">
        <v>2</v>
      </c>
      <c r="H2963" s="1">
        <v>0</v>
      </c>
      <c r="I2963" s="1">
        <v>0</v>
      </c>
      <c r="J2963" s="1">
        <v>0</v>
      </c>
      <c r="K2963" s="1">
        <v>2</v>
      </c>
      <c r="L2963" s="1">
        <v>0</v>
      </c>
      <c r="M2963" s="1">
        <v>0</v>
      </c>
    </row>
    <row r="2964" spans="1:13">
      <c r="A2964" s="1">
        <v>2963</v>
      </c>
      <c r="B2964" s="1">
        <v>950024.69409999996</v>
      </c>
      <c r="C2964" s="1">
        <v>821880.78555786412</v>
      </c>
      <c r="D2964" s="1">
        <f t="shared" si="46"/>
        <v>128143.90854213585</v>
      </c>
      <c r="E2964" s="1">
        <v>8</v>
      </c>
      <c r="F2964" s="1">
        <v>22</v>
      </c>
      <c r="G2964" s="1">
        <v>5</v>
      </c>
      <c r="H2964" s="1">
        <v>2</v>
      </c>
      <c r="I2964" s="1">
        <v>0</v>
      </c>
      <c r="J2964" s="1">
        <v>0</v>
      </c>
      <c r="K2964" s="1">
        <v>1</v>
      </c>
      <c r="L2964" s="1">
        <v>0</v>
      </c>
      <c r="M2964" s="1">
        <v>0</v>
      </c>
    </row>
    <row r="2965" spans="1:13">
      <c r="A2965" s="1">
        <v>2964</v>
      </c>
      <c r="B2965" s="1">
        <v>906987.65009999997</v>
      </c>
      <c r="C2965" s="1">
        <v>813387.78549491509</v>
      </c>
      <c r="D2965" s="1">
        <f t="shared" si="46"/>
        <v>93599.864605084877</v>
      </c>
      <c r="E2965" s="1">
        <v>15</v>
      </c>
      <c r="F2965" s="1">
        <v>16</v>
      </c>
      <c r="G2965" s="1">
        <v>4</v>
      </c>
      <c r="H2965" s="1">
        <v>1</v>
      </c>
      <c r="I2965" s="1">
        <v>0</v>
      </c>
      <c r="J2965" s="1">
        <v>0</v>
      </c>
      <c r="K2965" s="1">
        <v>1</v>
      </c>
      <c r="L2965" s="1">
        <v>0</v>
      </c>
      <c r="M2965" s="1">
        <v>0</v>
      </c>
    </row>
    <row r="2966" spans="1:13">
      <c r="A2966" s="1">
        <v>2965</v>
      </c>
      <c r="B2966" s="1">
        <v>1069779.8395</v>
      </c>
      <c r="C2966" s="1">
        <v>863901.8414199847</v>
      </c>
      <c r="D2966" s="1">
        <f t="shared" si="46"/>
        <v>205877.9980800153</v>
      </c>
      <c r="E2966" s="1">
        <v>10</v>
      </c>
      <c r="F2966" s="1">
        <v>20</v>
      </c>
      <c r="G2966" s="1">
        <v>5</v>
      </c>
      <c r="H2966" s="1">
        <v>2</v>
      </c>
      <c r="I2966" s="1">
        <v>0</v>
      </c>
      <c r="J2966" s="1">
        <v>2</v>
      </c>
      <c r="K2966" s="1">
        <v>0</v>
      </c>
      <c r="L2966" s="1">
        <v>0</v>
      </c>
      <c r="M2966" s="1">
        <v>0</v>
      </c>
    </row>
    <row r="2967" spans="1:13">
      <c r="A2967" s="1">
        <v>2966</v>
      </c>
      <c r="B2967" s="1">
        <v>930473.62840000005</v>
      </c>
      <c r="C2967" s="1">
        <v>652734.39937903103</v>
      </c>
      <c r="D2967" s="1">
        <f t="shared" si="46"/>
        <v>277739.22902096901</v>
      </c>
      <c r="E2967" s="1">
        <v>14</v>
      </c>
      <c r="F2967" s="1">
        <v>18</v>
      </c>
      <c r="G2967" s="1">
        <v>3</v>
      </c>
      <c r="H2967" s="1">
        <v>1</v>
      </c>
      <c r="I2967" s="1">
        <v>0</v>
      </c>
      <c r="J2967" s="1">
        <v>0</v>
      </c>
      <c r="K2967" s="1">
        <v>0</v>
      </c>
      <c r="L2967" s="1">
        <v>0</v>
      </c>
      <c r="M2967" s="1">
        <v>0</v>
      </c>
    </row>
    <row r="2968" spans="1:13">
      <c r="A2968" s="1">
        <v>2967</v>
      </c>
      <c r="B2968" s="1">
        <v>981196.3737</v>
      </c>
      <c r="C2968" s="1">
        <v>738609.4554772483</v>
      </c>
      <c r="D2968" s="1">
        <f t="shared" si="46"/>
        <v>242586.9182227517</v>
      </c>
      <c r="E2968" s="1">
        <v>14</v>
      </c>
      <c r="F2968" s="1">
        <v>18</v>
      </c>
      <c r="G2968" s="1">
        <v>3</v>
      </c>
      <c r="H2968" s="1">
        <v>1</v>
      </c>
      <c r="I2968" s="1">
        <v>0</v>
      </c>
      <c r="J2968" s="1">
        <v>1</v>
      </c>
      <c r="K2968" s="1">
        <v>0</v>
      </c>
      <c r="L2968" s="1">
        <v>0</v>
      </c>
      <c r="M2968" s="1">
        <v>0</v>
      </c>
    </row>
    <row r="2969" spans="1:13">
      <c r="A2969" s="1">
        <v>2968</v>
      </c>
      <c r="B2969" s="1">
        <v>887682.53960000002</v>
      </c>
      <c r="C2969" s="1">
        <v>642046.96126387327</v>
      </c>
      <c r="D2969" s="1">
        <f t="shared" si="46"/>
        <v>245635.57833612675</v>
      </c>
      <c r="E2969" s="1">
        <v>9</v>
      </c>
      <c r="F2969" s="1">
        <v>20</v>
      </c>
      <c r="G2969" s="1">
        <v>6</v>
      </c>
      <c r="H2969" s="1">
        <v>0</v>
      </c>
      <c r="I2969" s="1">
        <v>1</v>
      </c>
      <c r="J2969" s="1">
        <v>1</v>
      </c>
      <c r="K2969" s="1">
        <v>0</v>
      </c>
      <c r="L2969" s="1">
        <v>0</v>
      </c>
      <c r="M2969" s="1">
        <v>0</v>
      </c>
    </row>
    <row r="2970" spans="1:13">
      <c r="A2970" s="1">
        <v>2969</v>
      </c>
      <c r="B2970" s="1">
        <v>891223.55390000006</v>
      </c>
      <c r="C2970" s="1">
        <v>876746.58080364182</v>
      </c>
      <c r="D2970" s="1">
        <f t="shared" si="46"/>
        <v>14476.973096358241</v>
      </c>
      <c r="E2970" s="1">
        <v>19</v>
      </c>
      <c r="F2970" s="1">
        <v>11</v>
      </c>
      <c r="G2970" s="1">
        <v>5</v>
      </c>
      <c r="H2970" s="1">
        <v>2</v>
      </c>
      <c r="I2970" s="1">
        <v>0</v>
      </c>
      <c r="J2970" s="1">
        <v>1</v>
      </c>
      <c r="K2970" s="1">
        <v>0</v>
      </c>
      <c r="L2970" s="1">
        <v>0</v>
      </c>
      <c r="M2970" s="1">
        <v>1</v>
      </c>
    </row>
    <row r="2971" spans="1:13">
      <c r="A2971" s="1">
        <v>2970</v>
      </c>
      <c r="B2971" s="1">
        <v>841107.79379999998</v>
      </c>
      <c r="C2971" s="1">
        <v>973023.83070131904</v>
      </c>
      <c r="D2971" s="1">
        <f t="shared" si="46"/>
        <v>-131916.03690131905</v>
      </c>
      <c r="E2971" s="1">
        <v>21</v>
      </c>
      <c r="F2971" s="1">
        <v>12</v>
      </c>
      <c r="G2971" s="1">
        <v>2</v>
      </c>
      <c r="H2971" s="1">
        <v>2</v>
      </c>
      <c r="I2971" s="1">
        <v>0</v>
      </c>
      <c r="J2971" s="1">
        <v>1</v>
      </c>
      <c r="K2971" s="1">
        <v>1</v>
      </c>
      <c r="L2971" s="1">
        <v>0</v>
      </c>
      <c r="M2971" s="1">
        <v>1</v>
      </c>
    </row>
    <row r="2972" spans="1:13">
      <c r="A2972" s="1">
        <v>2971</v>
      </c>
      <c r="B2972" s="1">
        <v>989205.8077</v>
      </c>
      <c r="C2972" s="1">
        <v>1034867.0535550899</v>
      </c>
      <c r="D2972" s="1">
        <f t="shared" si="46"/>
        <v>-45661.245855089859</v>
      </c>
      <c r="E2972" s="1">
        <v>12</v>
      </c>
      <c r="F2972" s="1">
        <v>19</v>
      </c>
      <c r="G2972" s="1">
        <v>4</v>
      </c>
      <c r="H2972" s="1">
        <v>1</v>
      </c>
      <c r="I2972" s="1">
        <v>1</v>
      </c>
      <c r="J2972" s="1">
        <v>0</v>
      </c>
      <c r="K2972" s="1">
        <v>0</v>
      </c>
      <c r="L2972" s="1">
        <v>0</v>
      </c>
      <c r="M2972" s="1">
        <v>1</v>
      </c>
    </row>
    <row r="2973" spans="1:13">
      <c r="A2973" s="1">
        <v>2972</v>
      </c>
      <c r="B2973" s="1">
        <v>945774.60809999995</v>
      </c>
      <c r="C2973" s="1">
        <v>722088.2680434495</v>
      </c>
      <c r="D2973" s="1">
        <f t="shared" si="46"/>
        <v>223686.34005655046</v>
      </c>
      <c r="E2973" s="1">
        <v>16</v>
      </c>
      <c r="F2973" s="1">
        <v>14</v>
      </c>
      <c r="G2973" s="1">
        <v>5</v>
      </c>
      <c r="H2973" s="1">
        <v>1</v>
      </c>
      <c r="I2973" s="1">
        <v>1</v>
      </c>
      <c r="J2973" s="1">
        <v>1</v>
      </c>
      <c r="K2973" s="1">
        <v>0</v>
      </c>
      <c r="L2973" s="1">
        <v>0</v>
      </c>
      <c r="M2973" s="1">
        <v>0</v>
      </c>
    </row>
    <row r="2974" spans="1:13">
      <c r="A2974" s="1">
        <v>2973</v>
      </c>
      <c r="B2974" s="1">
        <v>943661.56209999998</v>
      </c>
      <c r="C2974" s="1">
        <v>723926.930998747</v>
      </c>
      <c r="D2974" s="1">
        <f t="shared" si="46"/>
        <v>219734.63110125298</v>
      </c>
      <c r="E2974" s="1">
        <v>11</v>
      </c>
      <c r="F2974" s="1">
        <v>18</v>
      </c>
      <c r="G2974" s="1">
        <v>6</v>
      </c>
      <c r="H2974" s="1">
        <v>2</v>
      </c>
      <c r="I2974" s="1">
        <v>0</v>
      </c>
      <c r="J2974" s="1">
        <v>1</v>
      </c>
      <c r="K2974" s="1">
        <v>0</v>
      </c>
      <c r="L2974" s="1">
        <v>0</v>
      </c>
      <c r="M2974" s="1">
        <v>0</v>
      </c>
    </row>
    <row r="2975" spans="1:13">
      <c r="A2975" s="1">
        <v>2974</v>
      </c>
      <c r="B2975" s="1">
        <v>1020971.1068</v>
      </c>
      <c r="C2975" s="1">
        <v>853260.85730562452</v>
      </c>
      <c r="D2975" s="1">
        <f t="shared" si="46"/>
        <v>167710.24949437543</v>
      </c>
      <c r="E2975" s="1">
        <v>7</v>
      </c>
      <c r="F2975" s="1">
        <v>22</v>
      </c>
      <c r="G2975" s="1">
        <v>6</v>
      </c>
      <c r="H2975" s="1">
        <v>1</v>
      </c>
      <c r="I2975" s="1">
        <v>1</v>
      </c>
      <c r="J2975" s="1">
        <v>0</v>
      </c>
      <c r="K2975" s="1">
        <v>0</v>
      </c>
      <c r="L2975" s="1">
        <v>0</v>
      </c>
      <c r="M2975" s="1">
        <v>1</v>
      </c>
    </row>
    <row r="2976" spans="1:13">
      <c r="A2976" s="1">
        <v>2975</v>
      </c>
      <c r="B2976" s="1">
        <v>1057849.2267</v>
      </c>
      <c r="C2976" s="1">
        <v>702307.52252548758</v>
      </c>
      <c r="D2976" s="1">
        <f t="shared" si="46"/>
        <v>355541.70417451242</v>
      </c>
      <c r="E2976" s="1">
        <v>8</v>
      </c>
      <c r="F2976" s="1">
        <v>20</v>
      </c>
      <c r="G2976" s="1">
        <v>7</v>
      </c>
      <c r="H2976" s="1">
        <v>0</v>
      </c>
      <c r="I2976" s="1">
        <v>0</v>
      </c>
      <c r="J2976" s="1">
        <v>1</v>
      </c>
      <c r="K2976" s="1">
        <v>1</v>
      </c>
      <c r="L2976" s="1">
        <v>0</v>
      </c>
      <c r="M2976" s="1">
        <v>0</v>
      </c>
    </row>
    <row r="2977" spans="1:13">
      <c r="A2977" s="1">
        <v>2976</v>
      </c>
      <c r="B2977" s="1">
        <v>928388.81259999995</v>
      </c>
      <c r="C2977" s="1">
        <v>838423.49897816952</v>
      </c>
      <c r="D2977" s="1">
        <f t="shared" si="46"/>
        <v>89965.313621830428</v>
      </c>
      <c r="E2977" s="1">
        <v>14</v>
      </c>
      <c r="F2977" s="1">
        <v>16</v>
      </c>
      <c r="G2977" s="1">
        <v>5</v>
      </c>
      <c r="H2977" s="1">
        <v>1</v>
      </c>
      <c r="I2977" s="1">
        <v>0</v>
      </c>
      <c r="J2977" s="1">
        <v>2</v>
      </c>
      <c r="K2977" s="1">
        <v>0</v>
      </c>
      <c r="L2977" s="1">
        <v>0</v>
      </c>
      <c r="M2977" s="1">
        <v>0</v>
      </c>
    </row>
    <row r="2978" spans="1:13">
      <c r="A2978" s="1">
        <v>2977</v>
      </c>
      <c r="B2978" s="1">
        <v>908708.07940000005</v>
      </c>
      <c r="C2978" s="1">
        <v>873453.1932125208</v>
      </c>
      <c r="D2978" s="1">
        <f t="shared" si="46"/>
        <v>35254.886187479249</v>
      </c>
      <c r="E2978" s="1">
        <v>15</v>
      </c>
      <c r="F2978" s="1">
        <v>15</v>
      </c>
      <c r="G2978" s="1">
        <v>5</v>
      </c>
      <c r="H2978" s="1">
        <v>1</v>
      </c>
      <c r="I2978" s="1">
        <v>0</v>
      </c>
      <c r="J2978" s="1">
        <v>0</v>
      </c>
      <c r="K2978" s="1">
        <v>1</v>
      </c>
      <c r="L2978" s="1">
        <v>0</v>
      </c>
      <c r="M2978" s="1">
        <v>0</v>
      </c>
    </row>
    <row r="2979" spans="1:13">
      <c r="A2979" s="1">
        <v>2978</v>
      </c>
      <c r="B2979" s="1">
        <v>933544.30420000001</v>
      </c>
      <c r="C2979" s="1">
        <v>754467.45634708914</v>
      </c>
      <c r="D2979" s="1">
        <f t="shared" si="46"/>
        <v>179076.84785291087</v>
      </c>
      <c r="E2979" s="1">
        <v>16</v>
      </c>
      <c r="F2979" s="1">
        <v>15</v>
      </c>
      <c r="G2979" s="1">
        <v>4</v>
      </c>
      <c r="H2979" s="1">
        <v>1</v>
      </c>
      <c r="I2979" s="1">
        <v>1</v>
      </c>
      <c r="J2979" s="1">
        <v>0</v>
      </c>
      <c r="K2979" s="1">
        <v>1</v>
      </c>
      <c r="L2979" s="1">
        <v>1</v>
      </c>
      <c r="M2979" s="1">
        <v>0</v>
      </c>
    </row>
    <row r="2980" spans="1:13">
      <c r="A2980" s="1">
        <v>2979</v>
      </c>
      <c r="B2980" s="1">
        <v>1047131.0427</v>
      </c>
      <c r="C2980" s="1">
        <v>772144.54926272936</v>
      </c>
      <c r="D2980" s="1">
        <f t="shared" si="46"/>
        <v>274986.49343727063</v>
      </c>
      <c r="E2980" s="1">
        <v>7</v>
      </c>
      <c r="F2980" s="1">
        <v>23</v>
      </c>
      <c r="G2980" s="1">
        <v>5</v>
      </c>
      <c r="H2980" s="1">
        <v>2</v>
      </c>
      <c r="I2980" s="1">
        <v>0</v>
      </c>
      <c r="J2980" s="1">
        <v>0</v>
      </c>
      <c r="K2980" s="1">
        <v>0</v>
      </c>
      <c r="L2980" s="1">
        <v>0</v>
      </c>
      <c r="M2980" s="1">
        <v>0</v>
      </c>
    </row>
    <row r="2981" spans="1:13">
      <c r="A2981" s="1">
        <v>2980</v>
      </c>
      <c r="B2981" s="1">
        <v>868437.10239999997</v>
      </c>
      <c r="C2981" s="1">
        <v>1738970.6819765489</v>
      </c>
      <c r="D2981" s="1">
        <f t="shared" si="46"/>
        <v>-870533.57957654889</v>
      </c>
      <c r="E2981" s="1">
        <v>20</v>
      </c>
      <c r="F2981" s="1">
        <v>10</v>
      </c>
      <c r="G2981" s="1">
        <v>5</v>
      </c>
      <c r="H2981" s="1">
        <v>0</v>
      </c>
      <c r="I2981" s="1">
        <v>0</v>
      </c>
      <c r="J2981" s="1">
        <v>0</v>
      </c>
      <c r="K2981" s="1">
        <v>0</v>
      </c>
      <c r="L2981" s="1">
        <v>0</v>
      </c>
      <c r="M2981" s="1">
        <v>0</v>
      </c>
    </row>
    <row r="2982" spans="1:13">
      <c r="A2982" s="1">
        <v>2981</v>
      </c>
      <c r="B2982" s="1">
        <v>886282.68090000004</v>
      </c>
      <c r="C2982" s="1">
        <v>775262.27045304095</v>
      </c>
      <c r="D2982" s="1">
        <f t="shared" si="46"/>
        <v>111020.41044695908</v>
      </c>
      <c r="E2982" s="1">
        <v>15</v>
      </c>
      <c r="F2982" s="1">
        <v>13</v>
      </c>
      <c r="G2982" s="1">
        <v>7</v>
      </c>
      <c r="H2982" s="1">
        <v>1</v>
      </c>
      <c r="I2982" s="1">
        <v>1</v>
      </c>
      <c r="J2982" s="1">
        <v>0</v>
      </c>
      <c r="K2982" s="1">
        <v>1</v>
      </c>
      <c r="L2982" s="1">
        <v>1</v>
      </c>
      <c r="M2982" s="1">
        <v>0</v>
      </c>
    </row>
    <row r="2983" spans="1:13">
      <c r="A2983" s="1">
        <v>2982</v>
      </c>
      <c r="B2983" s="1">
        <v>998291.91630000004</v>
      </c>
      <c r="C2983" s="1">
        <v>1348284.4350662497</v>
      </c>
      <c r="D2983" s="1">
        <f t="shared" si="46"/>
        <v>-349992.51876624965</v>
      </c>
      <c r="E2983" s="1">
        <v>7</v>
      </c>
      <c r="F2983" s="1">
        <v>24</v>
      </c>
      <c r="G2983" s="1">
        <v>4</v>
      </c>
      <c r="H2983" s="1">
        <v>2</v>
      </c>
      <c r="I2983" s="1">
        <v>0</v>
      </c>
      <c r="J2983" s="1">
        <v>1</v>
      </c>
      <c r="K2983" s="1">
        <v>0</v>
      </c>
      <c r="L2983" s="1">
        <v>0</v>
      </c>
      <c r="M2983" s="1">
        <v>1</v>
      </c>
    </row>
    <row r="2984" spans="1:13">
      <c r="A2984" s="1">
        <v>2983</v>
      </c>
      <c r="B2984" s="1">
        <v>900810.96909999999</v>
      </c>
      <c r="C2984" s="1">
        <v>557360.14203240152</v>
      </c>
      <c r="D2984" s="1">
        <f t="shared" si="46"/>
        <v>343450.82706759847</v>
      </c>
      <c r="E2984" s="1">
        <v>21</v>
      </c>
      <c r="F2984" s="1">
        <v>7</v>
      </c>
      <c r="G2984" s="1">
        <v>7</v>
      </c>
      <c r="H2984" s="1">
        <v>0</v>
      </c>
      <c r="I2984" s="1">
        <v>0</v>
      </c>
      <c r="J2984" s="1">
        <v>1</v>
      </c>
      <c r="K2984" s="1">
        <v>0</v>
      </c>
      <c r="L2984" s="1">
        <v>0</v>
      </c>
      <c r="M2984" s="1">
        <v>0</v>
      </c>
    </row>
    <row r="2985" spans="1:13">
      <c r="A2985" s="1">
        <v>2984</v>
      </c>
      <c r="B2985" s="1">
        <v>900040.44330000004</v>
      </c>
      <c r="C2985" s="1">
        <v>842153.63178406772</v>
      </c>
      <c r="D2985" s="1">
        <f t="shared" si="46"/>
        <v>57886.811515932321</v>
      </c>
      <c r="E2985" s="1">
        <v>13</v>
      </c>
      <c r="F2985" s="1">
        <v>20</v>
      </c>
      <c r="G2985" s="1">
        <v>2</v>
      </c>
      <c r="H2985" s="1">
        <v>2</v>
      </c>
      <c r="I2985" s="1">
        <v>0</v>
      </c>
      <c r="J2985" s="1">
        <v>0</v>
      </c>
      <c r="K2985" s="1">
        <v>0</v>
      </c>
      <c r="L2985" s="1">
        <v>0</v>
      </c>
      <c r="M2985" s="1">
        <v>1</v>
      </c>
    </row>
    <row r="2986" spans="1:13">
      <c r="A2986" s="1">
        <v>2985</v>
      </c>
      <c r="B2986" s="1">
        <v>870390.11089999997</v>
      </c>
      <c r="C2986" s="1">
        <v>1111191.3651604941</v>
      </c>
      <c r="D2986" s="1">
        <f t="shared" si="46"/>
        <v>-240801.25426049414</v>
      </c>
      <c r="E2986" s="1">
        <v>12</v>
      </c>
      <c r="F2986" s="1">
        <v>17</v>
      </c>
      <c r="G2986" s="1">
        <v>6</v>
      </c>
      <c r="H2986" s="1">
        <v>0</v>
      </c>
      <c r="I2986" s="1">
        <v>1</v>
      </c>
      <c r="J2986" s="1">
        <v>1</v>
      </c>
      <c r="K2986" s="1">
        <v>1</v>
      </c>
      <c r="L2986" s="1">
        <v>0</v>
      </c>
      <c r="M2986" s="1">
        <v>1</v>
      </c>
    </row>
    <row r="2987" spans="1:13">
      <c r="A2987" s="1">
        <v>2986</v>
      </c>
      <c r="B2987" s="1">
        <v>920657.97039999999</v>
      </c>
      <c r="C2987" s="1">
        <v>1405296.4098589609</v>
      </c>
      <c r="D2987" s="1">
        <f t="shared" si="46"/>
        <v>-484638.4394589609</v>
      </c>
      <c r="E2987" s="1">
        <v>7</v>
      </c>
      <c r="F2987" s="1">
        <v>21</v>
      </c>
      <c r="G2987" s="1">
        <v>7</v>
      </c>
      <c r="H2987" s="1">
        <v>0</v>
      </c>
      <c r="I2987" s="1">
        <v>2</v>
      </c>
      <c r="J2987" s="1">
        <v>1</v>
      </c>
      <c r="K2987" s="1">
        <v>1</v>
      </c>
      <c r="L2987" s="1">
        <v>0</v>
      </c>
      <c r="M2987" s="1">
        <v>0</v>
      </c>
    </row>
    <row r="2988" spans="1:13">
      <c r="A2988" s="1">
        <v>2987</v>
      </c>
      <c r="B2988" s="1">
        <v>1063817.5285</v>
      </c>
      <c r="C2988" s="1">
        <v>612876.58270463697</v>
      </c>
      <c r="D2988" s="1">
        <f t="shared" si="46"/>
        <v>450940.94579536305</v>
      </c>
      <c r="E2988" s="1">
        <v>6</v>
      </c>
      <c r="F2988" s="1">
        <v>22</v>
      </c>
      <c r="G2988" s="1">
        <v>7</v>
      </c>
      <c r="H2988" s="1">
        <v>2</v>
      </c>
      <c r="I2988" s="1">
        <v>0</v>
      </c>
      <c r="J2988" s="1">
        <v>0</v>
      </c>
      <c r="K2988" s="1">
        <v>1</v>
      </c>
      <c r="L2988" s="1">
        <v>0</v>
      </c>
      <c r="M2988" s="1">
        <v>1</v>
      </c>
    </row>
    <row r="2989" spans="1:13">
      <c r="A2989" s="1">
        <v>2988</v>
      </c>
      <c r="B2989" s="1">
        <v>943110.23049999995</v>
      </c>
      <c r="C2989" s="1">
        <v>716259.59819698019</v>
      </c>
      <c r="D2989" s="1">
        <f t="shared" si="46"/>
        <v>226850.63230301975</v>
      </c>
      <c r="E2989" s="1">
        <v>8</v>
      </c>
      <c r="F2989" s="1">
        <v>22</v>
      </c>
      <c r="G2989" s="1">
        <v>5</v>
      </c>
      <c r="H2989" s="1">
        <v>2</v>
      </c>
      <c r="I2989" s="1">
        <v>0</v>
      </c>
      <c r="J2989" s="1">
        <v>0</v>
      </c>
      <c r="K2989" s="1">
        <v>0</v>
      </c>
      <c r="L2989" s="1">
        <v>0</v>
      </c>
      <c r="M2989" s="1">
        <v>1</v>
      </c>
    </row>
    <row r="2990" spans="1:13">
      <c r="A2990" s="1">
        <v>2989</v>
      </c>
      <c r="B2990" s="1">
        <v>978404.63020000001</v>
      </c>
      <c r="C2990" s="1">
        <v>681472.58904730971</v>
      </c>
      <c r="D2990" s="1">
        <f t="shared" si="46"/>
        <v>296932.0411526903</v>
      </c>
      <c r="E2990" s="1">
        <v>14</v>
      </c>
      <c r="F2990" s="1">
        <v>16</v>
      </c>
      <c r="G2990" s="1">
        <v>5</v>
      </c>
      <c r="H2990" s="1">
        <v>2</v>
      </c>
      <c r="I2990" s="1">
        <v>0</v>
      </c>
      <c r="J2990" s="1">
        <v>0</v>
      </c>
      <c r="K2990" s="1">
        <v>0</v>
      </c>
      <c r="L2990" s="1">
        <v>0</v>
      </c>
      <c r="M2990" s="1">
        <v>0</v>
      </c>
    </row>
    <row r="2991" spans="1:13">
      <c r="A2991" s="1">
        <v>2990</v>
      </c>
      <c r="B2991" s="1">
        <v>1055517.8898</v>
      </c>
      <c r="C2991" s="1">
        <v>686165.29209057707</v>
      </c>
      <c r="D2991" s="1">
        <f t="shared" si="46"/>
        <v>369352.59770942293</v>
      </c>
      <c r="E2991" s="1">
        <v>8</v>
      </c>
      <c r="F2991" s="1">
        <v>21</v>
      </c>
      <c r="G2991" s="1">
        <v>6</v>
      </c>
      <c r="H2991" s="1">
        <v>1</v>
      </c>
      <c r="I2991" s="1">
        <v>0</v>
      </c>
      <c r="J2991" s="1">
        <v>0</v>
      </c>
      <c r="K2991" s="1">
        <v>0</v>
      </c>
      <c r="L2991" s="1">
        <v>0</v>
      </c>
      <c r="M2991" s="1">
        <v>0</v>
      </c>
    </row>
    <row r="2992" spans="1:13">
      <c r="A2992" s="1">
        <v>2991</v>
      </c>
      <c r="B2992" s="1">
        <v>1045127.5839</v>
      </c>
      <c r="C2992" s="1">
        <v>1138465.7531542508</v>
      </c>
      <c r="D2992" s="1">
        <f t="shared" si="46"/>
        <v>-93338.169254250824</v>
      </c>
      <c r="E2992" s="1">
        <v>6</v>
      </c>
      <c r="F2992" s="1">
        <v>25</v>
      </c>
      <c r="G2992" s="1">
        <v>4</v>
      </c>
      <c r="H2992" s="1">
        <v>1</v>
      </c>
      <c r="I2992" s="1">
        <v>0</v>
      </c>
      <c r="J2992" s="1">
        <v>1</v>
      </c>
      <c r="K2992" s="1">
        <v>1</v>
      </c>
      <c r="L2992" s="1">
        <v>0</v>
      </c>
      <c r="M2992" s="1">
        <v>0</v>
      </c>
    </row>
    <row r="2993" spans="1:13">
      <c r="A2993" s="1">
        <v>2992</v>
      </c>
      <c r="B2993" s="1">
        <v>892919.27949999995</v>
      </c>
      <c r="C2993" s="1">
        <v>867268.61660808651</v>
      </c>
      <c r="D2993" s="1">
        <f t="shared" si="46"/>
        <v>25650.662891913438</v>
      </c>
      <c r="E2993" s="1">
        <v>19</v>
      </c>
      <c r="F2993" s="1">
        <v>11</v>
      </c>
      <c r="G2993" s="1">
        <v>5</v>
      </c>
      <c r="H2993" s="1">
        <v>2</v>
      </c>
      <c r="I2993" s="1">
        <v>0</v>
      </c>
      <c r="J2993" s="1">
        <v>2</v>
      </c>
      <c r="K2993" s="1">
        <v>0</v>
      </c>
      <c r="L2993" s="1">
        <v>0</v>
      </c>
      <c r="M2993" s="1">
        <v>0</v>
      </c>
    </row>
    <row r="2994" spans="1:13">
      <c r="A2994" s="1">
        <v>2993</v>
      </c>
      <c r="B2994" s="1">
        <v>828013.82369999995</v>
      </c>
      <c r="C2994" s="1">
        <v>632492.35698050656</v>
      </c>
      <c r="D2994" s="1">
        <f t="shared" si="46"/>
        <v>195521.46671949339</v>
      </c>
      <c r="E2994" s="1">
        <v>19</v>
      </c>
      <c r="F2994" s="1">
        <v>14</v>
      </c>
      <c r="G2994" s="1">
        <v>2</v>
      </c>
      <c r="H2994" s="1">
        <v>1</v>
      </c>
      <c r="I2994" s="1">
        <v>0</v>
      </c>
      <c r="J2994" s="1">
        <v>0</v>
      </c>
      <c r="K2994" s="1">
        <v>1</v>
      </c>
      <c r="L2994" s="1">
        <v>0</v>
      </c>
      <c r="M2994" s="1">
        <v>0</v>
      </c>
    </row>
    <row r="2995" spans="1:13">
      <c r="A2995" s="1">
        <v>2994</v>
      </c>
      <c r="B2995" s="1">
        <v>973565.15410000004</v>
      </c>
      <c r="C2995" s="1">
        <v>1078342.3890546546</v>
      </c>
      <c r="D2995" s="1">
        <f t="shared" si="46"/>
        <v>-104777.23495465459</v>
      </c>
      <c r="E2995" s="1">
        <v>9</v>
      </c>
      <c r="F2995" s="1">
        <v>21</v>
      </c>
      <c r="G2995" s="1">
        <v>5</v>
      </c>
      <c r="H2995" s="1">
        <v>2</v>
      </c>
      <c r="I2995" s="1">
        <v>0</v>
      </c>
      <c r="J2995" s="1">
        <v>1</v>
      </c>
      <c r="K2995" s="1">
        <v>1</v>
      </c>
      <c r="L2995" s="1">
        <v>0</v>
      </c>
      <c r="M2995" s="1">
        <v>0</v>
      </c>
    </row>
    <row r="2996" spans="1:13">
      <c r="A2996" s="1">
        <v>2995</v>
      </c>
      <c r="B2996" s="1">
        <v>1007477.2397</v>
      </c>
      <c r="C2996" s="1">
        <v>1085347.0700675305</v>
      </c>
      <c r="D2996" s="1">
        <f t="shared" si="46"/>
        <v>-77869.830367530463</v>
      </c>
      <c r="E2996" s="1">
        <v>12</v>
      </c>
      <c r="F2996" s="1">
        <v>16</v>
      </c>
      <c r="G2996" s="1">
        <v>7</v>
      </c>
      <c r="H2996" s="1">
        <v>0</v>
      </c>
      <c r="I2996" s="1">
        <v>1</v>
      </c>
      <c r="J2996" s="1">
        <v>0</v>
      </c>
      <c r="K2996" s="1">
        <v>2</v>
      </c>
      <c r="L2996" s="1">
        <v>0</v>
      </c>
      <c r="M2996" s="1">
        <v>0</v>
      </c>
    </row>
    <row r="2997" spans="1:13">
      <c r="A2997" s="1">
        <v>2996</v>
      </c>
      <c r="B2997" s="1">
        <v>893339.24970000004</v>
      </c>
      <c r="C2997" s="1">
        <v>641355.28874664707</v>
      </c>
      <c r="D2997" s="1">
        <f t="shared" si="46"/>
        <v>251983.96095335297</v>
      </c>
      <c r="E2997" s="1">
        <v>17</v>
      </c>
      <c r="F2997" s="1">
        <v>16</v>
      </c>
      <c r="G2997" s="1">
        <v>2</v>
      </c>
      <c r="H2997" s="1">
        <v>2</v>
      </c>
      <c r="I2997" s="1">
        <v>0</v>
      </c>
      <c r="J2997" s="1">
        <v>2</v>
      </c>
      <c r="K2997" s="1">
        <v>0</v>
      </c>
      <c r="L2997" s="1">
        <v>0</v>
      </c>
      <c r="M2997" s="1">
        <v>0</v>
      </c>
    </row>
    <row r="2998" spans="1:13">
      <c r="A2998" s="1">
        <v>2997</v>
      </c>
      <c r="B2998" s="1">
        <v>1072681.8951000001</v>
      </c>
      <c r="C2998" s="1">
        <v>534260.57511299383</v>
      </c>
      <c r="D2998" s="1">
        <f t="shared" si="46"/>
        <v>538421.31998700625</v>
      </c>
      <c r="E2998" s="1">
        <v>11</v>
      </c>
      <c r="F2998" s="1">
        <v>18</v>
      </c>
      <c r="G2998" s="1">
        <v>6</v>
      </c>
      <c r="H2998" s="1">
        <v>0</v>
      </c>
      <c r="I2998" s="1">
        <v>0</v>
      </c>
      <c r="J2998" s="1">
        <v>0</v>
      </c>
      <c r="K2998" s="1">
        <v>1</v>
      </c>
      <c r="L2998" s="1">
        <v>0</v>
      </c>
      <c r="M2998" s="1">
        <v>0</v>
      </c>
    </row>
    <row r="2999" spans="1:13">
      <c r="A2999" s="1">
        <v>2998</v>
      </c>
      <c r="B2999" s="1">
        <v>922470.7219</v>
      </c>
      <c r="C2999" s="1">
        <v>1150503.3867224881</v>
      </c>
      <c r="D2999" s="1">
        <f t="shared" si="46"/>
        <v>-228032.66482248809</v>
      </c>
      <c r="E2999" s="1">
        <v>12</v>
      </c>
      <c r="F2999" s="1">
        <v>20</v>
      </c>
      <c r="G2999" s="1">
        <v>3</v>
      </c>
      <c r="H2999" s="1">
        <v>2</v>
      </c>
      <c r="I2999" s="1">
        <v>0</v>
      </c>
      <c r="J2999" s="1">
        <v>0</v>
      </c>
      <c r="K2999" s="1">
        <v>1</v>
      </c>
      <c r="L2999" s="1">
        <v>0</v>
      </c>
      <c r="M2999" s="1">
        <v>0</v>
      </c>
    </row>
    <row r="3000" spans="1:13">
      <c r="A3000" s="1">
        <v>2999</v>
      </c>
      <c r="B3000" s="1">
        <v>975003.60530000005</v>
      </c>
      <c r="C3000" s="1">
        <v>1205763.1974946172</v>
      </c>
      <c r="D3000" s="1">
        <f t="shared" si="46"/>
        <v>-230759.59219461714</v>
      </c>
      <c r="E3000" s="1">
        <v>16</v>
      </c>
      <c r="F3000" s="1">
        <v>16</v>
      </c>
      <c r="G3000" s="1">
        <v>3</v>
      </c>
      <c r="H3000" s="1">
        <v>1</v>
      </c>
      <c r="I3000" s="1">
        <v>1</v>
      </c>
      <c r="J3000" s="1">
        <v>1</v>
      </c>
      <c r="K3000" s="1">
        <v>0</v>
      </c>
      <c r="L3000" s="1">
        <v>0</v>
      </c>
      <c r="M3000" s="1">
        <v>1</v>
      </c>
    </row>
    <row r="3001" spans="1:13">
      <c r="A3001" s="1">
        <v>3000</v>
      </c>
      <c r="B3001" s="1">
        <v>1052064.7075</v>
      </c>
      <c r="C3001" s="1">
        <v>692198.34686238226</v>
      </c>
      <c r="D3001" s="1">
        <f t="shared" si="46"/>
        <v>359866.36063761776</v>
      </c>
      <c r="E3001" s="1">
        <v>16</v>
      </c>
      <c r="F3001" s="1">
        <v>14</v>
      </c>
      <c r="G3001" s="1">
        <v>5</v>
      </c>
      <c r="H3001" s="1">
        <v>0</v>
      </c>
      <c r="I3001" s="1">
        <v>0</v>
      </c>
      <c r="J3001" s="1">
        <v>1</v>
      </c>
      <c r="K3001" s="1">
        <v>1</v>
      </c>
      <c r="L3001" s="1">
        <v>0</v>
      </c>
      <c r="M3001" s="1">
        <v>1</v>
      </c>
    </row>
    <row r="3002" spans="1:13">
      <c r="A3002" s="1">
        <v>3001</v>
      </c>
      <c r="B3002" s="1">
        <v>926796.79480000003</v>
      </c>
      <c r="C3002" s="1">
        <v>778577.58990499738</v>
      </c>
      <c r="D3002" s="1">
        <f t="shared" si="46"/>
        <v>148219.20489500265</v>
      </c>
      <c r="E3002" s="1">
        <v>11</v>
      </c>
      <c r="F3002" s="1">
        <v>17</v>
      </c>
      <c r="G3002" s="1">
        <v>7</v>
      </c>
      <c r="H3002" s="1">
        <v>2</v>
      </c>
      <c r="I3002" s="1">
        <v>0</v>
      </c>
      <c r="J3002" s="1">
        <v>2</v>
      </c>
      <c r="K3002" s="1">
        <v>0</v>
      </c>
      <c r="L3002" s="1">
        <v>0</v>
      </c>
      <c r="M3002" s="1">
        <v>0</v>
      </c>
    </row>
    <row r="3003" spans="1:13">
      <c r="A3003" s="1">
        <v>3002</v>
      </c>
      <c r="B3003" s="1">
        <v>1070997.8089999999</v>
      </c>
      <c r="C3003" s="1">
        <v>803497.15064163681</v>
      </c>
      <c r="D3003" s="1">
        <f t="shared" si="46"/>
        <v>267500.65835836309</v>
      </c>
      <c r="E3003" s="1">
        <v>7</v>
      </c>
      <c r="F3003" s="1">
        <v>24</v>
      </c>
      <c r="G3003" s="1">
        <v>4</v>
      </c>
      <c r="H3003" s="1">
        <v>0</v>
      </c>
      <c r="I3003" s="1">
        <v>0</v>
      </c>
      <c r="J3003" s="1">
        <v>1</v>
      </c>
      <c r="K3003" s="1">
        <v>0</v>
      </c>
      <c r="L3003" s="1">
        <v>0</v>
      </c>
      <c r="M3003" s="1">
        <v>1</v>
      </c>
    </row>
    <row r="3004" spans="1:13">
      <c r="A3004" s="1">
        <v>3003</v>
      </c>
      <c r="B3004" s="1">
        <v>892418.85080000001</v>
      </c>
      <c r="C3004" s="1">
        <v>557520.78473747685</v>
      </c>
      <c r="D3004" s="1">
        <f t="shared" si="46"/>
        <v>334898.06606252317</v>
      </c>
      <c r="E3004" s="1">
        <v>17</v>
      </c>
      <c r="F3004" s="1">
        <v>12</v>
      </c>
      <c r="G3004" s="1">
        <v>6</v>
      </c>
      <c r="H3004" s="1">
        <v>2</v>
      </c>
      <c r="I3004" s="1">
        <v>0</v>
      </c>
      <c r="J3004" s="1">
        <v>0</v>
      </c>
      <c r="K3004" s="1">
        <v>1</v>
      </c>
      <c r="L3004" s="1">
        <v>0</v>
      </c>
      <c r="M3004" s="1">
        <v>0</v>
      </c>
    </row>
    <row r="3005" spans="1:13">
      <c r="A3005" s="1">
        <v>3004</v>
      </c>
      <c r="B3005" s="1">
        <v>937139.48540000001</v>
      </c>
      <c r="C3005" s="1">
        <v>587766.90169586567</v>
      </c>
      <c r="D3005" s="1">
        <f t="shared" si="46"/>
        <v>349372.58370413433</v>
      </c>
      <c r="E3005" s="1">
        <v>13</v>
      </c>
      <c r="F3005" s="1">
        <v>16</v>
      </c>
      <c r="G3005" s="1">
        <v>6</v>
      </c>
      <c r="H3005" s="1">
        <v>1</v>
      </c>
      <c r="I3005" s="1">
        <v>0</v>
      </c>
      <c r="J3005" s="1">
        <v>0</v>
      </c>
      <c r="K3005" s="1">
        <v>1</v>
      </c>
      <c r="L3005" s="1">
        <v>0</v>
      </c>
      <c r="M3005" s="1">
        <v>0</v>
      </c>
    </row>
    <row r="3006" spans="1:13">
      <c r="A3006" s="1">
        <v>3005</v>
      </c>
      <c r="B3006" s="1">
        <v>873125.05539999995</v>
      </c>
      <c r="C3006" s="1">
        <v>951373.21521447727</v>
      </c>
      <c r="D3006" s="1">
        <f t="shared" si="46"/>
        <v>-78248.159814477316</v>
      </c>
      <c r="E3006" s="1">
        <v>13</v>
      </c>
      <c r="F3006" s="1">
        <v>16</v>
      </c>
      <c r="G3006" s="1">
        <v>6</v>
      </c>
      <c r="H3006" s="1">
        <v>1</v>
      </c>
      <c r="I3006" s="1">
        <v>0</v>
      </c>
      <c r="J3006" s="1">
        <v>0</v>
      </c>
      <c r="K3006" s="1">
        <v>1</v>
      </c>
      <c r="L3006" s="1">
        <v>0</v>
      </c>
      <c r="M3006" s="1">
        <v>0</v>
      </c>
    </row>
    <row r="3007" spans="1:13">
      <c r="A3007" s="1">
        <v>3006</v>
      </c>
      <c r="B3007" s="1">
        <v>929703.86679999996</v>
      </c>
      <c r="C3007" s="1">
        <v>2094544.9927895055</v>
      </c>
      <c r="D3007" s="1">
        <f t="shared" si="46"/>
        <v>-1164841.1259895056</v>
      </c>
      <c r="E3007" s="1">
        <v>11</v>
      </c>
      <c r="F3007" s="1">
        <v>19</v>
      </c>
      <c r="G3007" s="1">
        <v>5</v>
      </c>
      <c r="H3007" s="1">
        <v>2</v>
      </c>
      <c r="I3007" s="1">
        <v>0</v>
      </c>
      <c r="J3007" s="1">
        <v>0</v>
      </c>
      <c r="K3007" s="1">
        <v>0</v>
      </c>
      <c r="L3007" s="1">
        <v>0</v>
      </c>
      <c r="M3007" s="1">
        <v>1</v>
      </c>
    </row>
    <row r="3008" spans="1:13">
      <c r="A3008" s="1">
        <v>3007</v>
      </c>
      <c r="B3008" s="1">
        <v>876922.07429999998</v>
      </c>
      <c r="C3008" s="1">
        <v>900869.55815676553</v>
      </c>
      <c r="D3008" s="1">
        <f t="shared" si="46"/>
        <v>-23947.483856765553</v>
      </c>
      <c r="E3008" s="1">
        <v>23</v>
      </c>
      <c r="F3008" s="1">
        <v>9</v>
      </c>
      <c r="G3008" s="1">
        <v>3</v>
      </c>
      <c r="H3008" s="1">
        <v>0</v>
      </c>
      <c r="I3008" s="1">
        <v>0</v>
      </c>
      <c r="J3008" s="1">
        <v>0</v>
      </c>
      <c r="K3008" s="1">
        <v>1</v>
      </c>
      <c r="L3008" s="1">
        <v>0</v>
      </c>
      <c r="M3008" s="1">
        <v>0</v>
      </c>
    </row>
    <row r="3009" spans="1:13">
      <c r="A3009" s="1">
        <v>3008</v>
      </c>
      <c r="B3009" s="1">
        <v>1003959.8586</v>
      </c>
      <c r="C3009" s="1">
        <v>1075348.5177828609</v>
      </c>
      <c r="D3009" s="1">
        <f t="shared" si="46"/>
        <v>-71388.659182860865</v>
      </c>
      <c r="E3009" s="1">
        <v>10</v>
      </c>
      <c r="F3009" s="1">
        <v>18</v>
      </c>
      <c r="G3009" s="1">
        <v>7</v>
      </c>
      <c r="H3009" s="1">
        <v>0</v>
      </c>
      <c r="I3009" s="1">
        <v>0</v>
      </c>
      <c r="J3009" s="1">
        <v>0</v>
      </c>
      <c r="K3009" s="1">
        <v>1</v>
      </c>
      <c r="L3009" s="1">
        <v>1</v>
      </c>
      <c r="M3009" s="1">
        <v>1</v>
      </c>
    </row>
    <row r="3010" spans="1:13">
      <c r="A3010" s="1">
        <v>3009</v>
      </c>
      <c r="B3010" s="1">
        <v>933518.77789999999</v>
      </c>
      <c r="C3010" s="1">
        <v>849620.1894642699</v>
      </c>
      <c r="D3010" s="1">
        <f t="shared" ref="D3010:D3073" si="47">B3010-C3010</f>
        <v>83898.588435730082</v>
      </c>
      <c r="E3010" s="1">
        <v>22</v>
      </c>
      <c r="F3010" s="1">
        <v>8</v>
      </c>
      <c r="G3010" s="1">
        <v>5</v>
      </c>
      <c r="H3010" s="1">
        <v>0</v>
      </c>
      <c r="I3010" s="1">
        <v>0</v>
      </c>
      <c r="J3010" s="1">
        <v>1</v>
      </c>
      <c r="K3010" s="1">
        <v>1</v>
      </c>
      <c r="L3010" s="1">
        <v>0</v>
      </c>
      <c r="M3010" s="1">
        <v>0</v>
      </c>
    </row>
    <row r="3011" spans="1:13">
      <c r="A3011" s="1">
        <v>3010</v>
      </c>
      <c r="B3011" s="1">
        <v>999946.50659999996</v>
      </c>
      <c r="C3011" s="1">
        <v>1133169.2345090706</v>
      </c>
      <c r="D3011" s="1">
        <f t="shared" si="47"/>
        <v>-133222.72790907067</v>
      </c>
      <c r="E3011" s="1">
        <v>11</v>
      </c>
      <c r="F3011" s="1">
        <v>19</v>
      </c>
      <c r="G3011" s="1">
        <v>5</v>
      </c>
      <c r="H3011" s="1">
        <v>1</v>
      </c>
      <c r="I3011" s="1">
        <v>0</v>
      </c>
      <c r="J3011" s="1">
        <v>0</v>
      </c>
      <c r="K3011" s="1">
        <v>1</v>
      </c>
      <c r="L3011" s="1">
        <v>0</v>
      </c>
      <c r="M3011" s="1">
        <v>0</v>
      </c>
    </row>
    <row r="3012" spans="1:13">
      <c r="A3012" s="1">
        <v>3011</v>
      </c>
      <c r="B3012" s="1">
        <v>1020979.1753</v>
      </c>
      <c r="C3012" s="1">
        <v>518773.38587082247</v>
      </c>
      <c r="D3012" s="1">
        <f t="shared" si="47"/>
        <v>502205.78942917753</v>
      </c>
      <c r="E3012" s="1">
        <v>8</v>
      </c>
      <c r="F3012" s="1">
        <v>20</v>
      </c>
      <c r="G3012" s="1">
        <v>7</v>
      </c>
      <c r="H3012" s="1">
        <v>2</v>
      </c>
      <c r="I3012" s="1">
        <v>0</v>
      </c>
      <c r="J3012" s="1">
        <v>1</v>
      </c>
      <c r="K3012" s="1">
        <v>1</v>
      </c>
      <c r="L3012" s="1">
        <v>0</v>
      </c>
      <c r="M3012" s="1">
        <v>0</v>
      </c>
    </row>
    <row r="3013" spans="1:13">
      <c r="A3013" s="1">
        <v>3012</v>
      </c>
      <c r="B3013" s="1">
        <v>1075987.3481000001</v>
      </c>
      <c r="C3013" s="1">
        <v>1331990.8460180371</v>
      </c>
      <c r="D3013" s="1">
        <f t="shared" si="47"/>
        <v>-256003.497918037</v>
      </c>
      <c r="E3013" s="1">
        <v>5</v>
      </c>
      <c r="F3013" s="1">
        <v>26</v>
      </c>
      <c r="G3013" s="1">
        <v>4</v>
      </c>
      <c r="H3013" s="1">
        <v>0</v>
      </c>
      <c r="I3013" s="1">
        <v>0</v>
      </c>
      <c r="J3013" s="1">
        <v>0</v>
      </c>
      <c r="K3013" s="1">
        <v>0</v>
      </c>
      <c r="L3013" s="1">
        <v>0</v>
      </c>
      <c r="M3013" s="1">
        <v>1</v>
      </c>
    </row>
    <row r="3014" spans="1:13">
      <c r="A3014" s="1">
        <v>3013</v>
      </c>
      <c r="B3014" s="1">
        <v>874079.78</v>
      </c>
      <c r="C3014" s="1">
        <v>400898.43536922033</v>
      </c>
      <c r="D3014" s="1">
        <f t="shared" si="47"/>
        <v>473181.3446307797</v>
      </c>
      <c r="E3014" s="1">
        <v>15</v>
      </c>
      <c r="F3014" s="1">
        <v>18</v>
      </c>
      <c r="G3014" s="1">
        <v>2</v>
      </c>
      <c r="H3014" s="1">
        <v>1</v>
      </c>
      <c r="I3014" s="1">
        <v>0</v>
      </c>
      <c r="J3014" s="1">
        <v>1</v>
      </c>
      <c r="K3014" s="1">
        <v>1</v>
      </c>
      <c r="L3014" s="1">
        <v>0</v>
      </c>
      <c r="M3014" s="1">
        <v>0</v>
      </c>
    </row>
    <row r="3015" spans="1:13">
      <c r="A3015" s="1">
        <v>3014</v>
      </c>
      <c r="B3015" s="1">
        <v>880393.64040000003</v>
      </c>
      <c r="C3015" s="1">
        <v>739260.31900328619</v>
      </c>
      <c r="D3015" s="1">
        <f t="shared" si="47"/>
        <v>141133.32139671384</v>
      </c>
      <c r="E3015" s="1">
        <v>17</v>
      </c>
      <c r="F3015" s="1">
        <v>12</v>
      </c>
      <c r="G3015" s="1">
        <v>6</v>
      </c>
      <c r="H3015" s="1">
        <v>2</v>
      </c>
      <c r="I3015" s="1">
        <v>0</v>
      </c>
      <c r="J3015" s="1">
        <v>2</v>
      </c>
      <c r="K3015" s="1">
        <v>0</v>
      </c>
      <c r="L3015" s="1">
        <v>0</v>
      </c>
      <c r="M3015" s="1">
        <v>0</v>
      </c>
    </row>
    <row r="3016" spans="1:13">
      <c r="A3016" s="1">
        <v>3015</v>
      </c>
      <c r="B3016" s="1">
        <v>958773.03760000004</v>
      </c>
      <c r="C3016" s="1">
        <v>872767.91296173155</v>
      </c>
      <c r="D3016" s="1">
        <f t="shared" si="47"/>
        <v>86005.124638268491</v>
      </c>
      <c r="E3016" s="1">
        <v>9</v>
      </c>
      <c r="F3016" s="1">
        <v>23</v>
      </c>
      <c r="G3016" s="1">
        <v>3</v>
      </c>
      <c r="H3016" s="1">
        <v>1</v>
      </c>
      <c r="I3016" s="1">
        <v>0</v>
      </c>
      <c r="J3016" s="1">
        <v>0</v>
      </c>
      <c r="K3016" s="1">
        <v>0</v>
      </c>
      <c r="L3016" s="1">
        <v>0</v>
      </c>
      <c r="M3016" s="1">
        <v>0</v>
      </c>
    </row>
    <row r="3017" spans="1:13">
      <c r="A3017" s="1">
        <v>3016</v>
      </c>
      <c r="B3017" s="1">
        <v>1031391.4804</v>
      </c>
      <c r="C3017" s="1">
        <v>1060821.4580772237</v>
      </c>
      <c r="D3017" s="1">
        <f t="shared" si="47"/>
        <v>-29429.977677223738</v>
      </c>
      <c r="E3017" s="1">
        <v>15</v>
      </c>
      <c r="F3017" s="1">
        <v>17</v>
      </c>
      <c r="G3017" s="1">
        <v>3</v>
      </c>
      <c r="H3017" s="1">
        <v>0</v>
      </c>
      <c r="I3017" s="1">
        <v>1</v>
      </c>
      <c r="J3017" s="1">
        <v>1</v>
      </c>
      <c r="K3017" s="1">
        <v>0</v>
      </c>
      <c r="L3017" s="1">
        <v>0</v>
      </c>
      <c r="M3017" s="1">
        <v>0</v>
      </c>
    </row>
    <row r="3018" spans="1:13">
      <c r="A3018" s="1">
        <v>3017</v>
      </c>
      <c r="B3018" s="1">
        <v>940519.24950000003</v>
      </c>
      <c r="C3018" s="1">
        <v>1177403.913991821</v>
      </c>
      <c r="D3018" s="1">
        <f t="shared" si="47"/>
        <v>-236884.66449182096</v>
      </c>
      <c r="E3018" s="1">
        <v>4</v>
      </c>
      <c r="F3018" s="1">
        <v>25</v>
      </c>
      <c r="G3018" s="1">
        <v>6</v>
      </c>
      <c r="H3018" s="1">
        <v>1</v>
      </c>
      <c r="I3018" s="1">
        <v>1</v>
      </c>
      <c r="J3018" s="1">
        <v>0</v>
      </c>
      <c r="K3018" s="1">
        <v>1</v>
      </c>
      <c r="L3018" s="1">
        <v>0</v>
      </c>
      <c r="M3018" s="1">
        <v>0</v>
      </c>
    </row>
    <row r="3019" spans="1:13">
      <c r="A3019" s="1">
        <v>3018</v>
      </c>
      <c r="B3019" s="1">
        <v>888153.42379999999</v>
      </c>
      <c r="C3019" s="1">
        <v>2079730.1290492029</v>
      </c>
      <c r="D3019" s="1">
        <f t="shared" si="47"/>
        <v>-1191576.7052492029</v>
      </c>
      <c r="E3019" s="1">
        <v>16</v>
      </c>
      <c r="F3019" s="1">
        <v>16</v>
      </c>
      <c r="G3019" s="1">
        <v>3</v>
      </c>
      <c r="H3019" s="1">
        <v>1</v>
      </c>
      <c r="I3019" s="1">
        <v>1</v>
      </c>
      <c r="J3019" s="1">
        <v>0</v>
      </c>
      <c r="K3019" s="1">
        <v>2</v>
      </c>
      <c r="L3019" s="1">
        <v>0</v>
      </c>
      <c r="M3019" s="1">
        <v>1</v>
      </c>
    </row>
    <row r="3020" spans="1:13">
      <c r="A3020" s="1">
        <v>3019</v>
      </c>
      <c r="B3020" s="1">
        <v>854665.1875</v>
      </c>
      <c r="C3020" s="1">
        <v>868427.71575712459</v>
      </c>
      <c r="D3020" s="1">
        <f t="shared" si="47"/>
        <v>-13762.528257124592</v>
      </c>
      <c r="E3020" s="1">
        <v>18</v>
      </c>
      <c r="F3020" s="1">
        <v>13</v>
      </c>
      <c r="G3020" s="1">
        <v>4</v>
      </c>
      <c r="H3020" s="1">
        <v>1</v>
      </c>
      <c r="I3020" s="1">
        <v>0</v>
      </c>
      <c r="J3020" s="1">
        <v>2</v>
      </c>
      <c r="K3020" s="1">
        <v>0</v>
      </c>
      <c r="L3020" s="1">
        <v>0</v>
      </c>
      <c r="M3020" s="1">
        <v>1</v>
      </c>
    </row>
    <row r="3021" spans="1:13">
      <c r="A3021" s="1">
        <v>3020</v>
      </c>
      <c r="B3021" s="1">
        <v>1063792.5869</v>
      </c>
      <c r="C3021" s="1">
        <v>1016434.9976331046</v>
      </c>
      <c r="D3021" s="1">
        <f t="shared" si="47"/>
        <v>47357.589266895433</v>
      </c>
      <c r="E3021" s="1">
        <v>10</v>
      </c>
      <c r="F3021" s="1">
        <v>20</v>
      </c>
      <c r="G3021" s="1">
        <v>5</v>
      </c>
      <c r="H3021" s="1">
        <v>0</v>
      </c>
      <c r="I3021" s="1">
        <v>2</v>
      </c>
      <c r="J3021" s="1">
        <v>1</v>
      </c>
      <c r="K3021" s="1">
        <v>0</v>
      </c>
      <c r="L3021" s="1">
        <v>0</v>
      </c>
      <c r="M3021" s="1">
        <v>1</v>
      </c>
    </row>
    <row r="3022" spans="1:13">
      <c r="A3022" s="1">
        <v>3021</v>
      </c>
      <c r="B3022" s="1">
        <v>821568.92720000003</v>
      </c>
      <c r="C3022" s="1">
        <v>669404.46091368503</v>
      </c>
      <c r="D3022" s="1">
        <f t="shared" si="47"/>
        <v>152164.466286315</v>
      </c>
      <c r="E3022" s="1">
        <v>23</v>
      </c>
      <c r="F3022" s="1">
        <v>9</v>
      </c>
      <c r="G3022" s="1">
        <v>3</v>
      </c>
      <c r="H3022" s="1">
        <v>2</v>
      </c>
      <c r="I3022" s="1">
        <v>0</v>
      </c>
      <c r="J3022" s="1">
        <v>0</v>
      </c>
      <c r="K3022" s="1">
        <v>1</v>
      </c>
      <c r="L3022" s="1">
        <v>0</v>
      </c>
      <c r="M3022" s="1">
        <v>0</v>
      </c>
    </row>
    <row r="3023" spans="1:13">
      <c r="A3023" s="1">
        <v>3022</v>
      </c>
      <c r="B3023" s="1">
        <v>945754.94889999996</v>
      </c>
      <c r="C3023" s="1">
        <v>1155499.7435627168</v>
      </c>
      <c r="D3023" s="1">
        <f t="shared" si="47"/>
        <v>-209744.7946627168</v>
      </c>
      <c r="E3023" s="1">
        <v>14</v>
      </c>
      <c r="F3023" s="1">
        <v>17</v>
      </c>
      <c r="G3023" s="1">
        <v>4</v>
      </c>
      <c r="H3023" s="1">
        <v>0</v>
      </c>
      <c r="I3023" s="1">
        <v>0</v>
      </c>
      <c r="J3023" s="1">
        <v>0</v>
      </c>
      <c r="K3023" s="1">
        <v>2</v>
      </c>
      <c r="L3023" s="1">
        <v>0</v>
      </c>
      <c r="M3023" s="1">
        <v>0</v>
      </c>
    </row>
    <row r="3024" spans="1:13">
      <c r="A3024" s="1">
        <v>3023</v>
      </c>
      <c r="B3024" s="1">
        <v>777513.70149999997</v>
      </c>
      <c r="C3024" s="1">
        <v>838255.96889724256</v>
      </c>
      <c r="D3024" s="1">
        <f t="shared" si="47"/>
        <v>-60742.267397242598</v>
      </c>
      <c r="E3024" s="1">
        <v>19</v>
      </c>
      <c r="F3024" s="1">
        <v>12</v>
      </c>
      <c r="G3024" s="1">
        <v>4</v>
      </c>
      <c r="H3024" s="1">
        <v>2</v>
      </c>
      <c r="I3024" s="1">
        <v>0</v>
      </c>
      <c r="J3024" s="1">
        <v>0</v>
      </c>
      <c r="K3024" s="1">
        <v>0</v>
      </c>
      <c r="L3024" s="1">
        <v>1</v>
      </c>
      <c r="M3024" s="1">
        <v>0</v>
      </c>
    </row>
    <row r="3025" spans="1:13">
      <c r="A3025" s="1">
        <v>3024</v>
      </c>
      <c r="B3025" s="1">
        <v>939526.45620000002</v>
      </c>
      <c r="C3025" s="1">
        <v>1238455.842326663</v>
      </c>
      <c r="D3025" s="1">
        <f t="shared" si="47"/>
        <v>-298929.38612666295</v>
      </c>
      <c r="E3025" s="1">
        <v>17</v>
      </c>
      <c r="F3025" s="1">
        <v>12</v>
      </c>
      <c r="G3025" s="1">
        <v>6</v>
      </c>
      <c r="H3025" s="1">
        <v>1</v>
      </c>
      <c r="I3025" s="1">
        <v>0</v>
      </c>
      <c r="J3025" s="1">
        <v>0</v>
      </c>
      <c r="K3025" s="1">
        <v>0</v>
      </c>
      <c r="L3025" s="1">
        <v>0</v>
      </c>
      <c r="M3025" s="1">
        <v>1</v>
      </c>
    </row>
    <row r="3026" spans="1:13">
      <c r="A3026" s="1">
        <v>3025</v>
      </c>
      <c r="B3026" s="1">
        <v>991522.68709999998</v>
      </c>
      <c r="C3026" s="1">
        <v>689060.48576679756</v>
      </c>
      <c r="D3026" s="1">
        <f t="shared" si="47"/>
        <v>302462.20133320242</v>
      </c>
      <c r="E3026" s="1">
        <v>13</v>
      </c>
      <c r="F3026" s="1">
        <v>17</v>
      </c>
      <c r="G3026" s="1">
        <v>5</v>
      </c>
      <c r="H3026" s="1">
        <v>0</v>
      </c>
      <c r="I3026" s="1">
        <v>0</v>
      </c>
      <c r="J3026" s="1">
        <v>0</v>
      </c>
      <c r="K3026" s="1">
        <v>2</v>
      </c>
      <c r="L3026" s="1">
        <v>0</v>
      </c>
      <c r="M3026" s="1">
        <v>0</v>
      </c>
    </row>
    <row r="3027" spans="1:13">
      <c r="A3027" s="1">
        <v>3026</v>
      </c>
      <c r="B3027" s="1">
        <v>832118.40179999999</v>
      </c>
      <c r="C3027" s="1">
        <v>399386.12920123199</v>
      </c>
      <c r="D3027" s="1">
        <f t="shared" si="47"/>
        <v>432732.272598768</v>
      </c>
      <c r="E3027" s="1">
        <v>16</v>
      </c>
      <c r="F3027" s="1">
        <v>15</v>
      </c>
      <c r="G3027" s="1">
        <v>4</v>
      </c>
      <c r="H3027" s="1">
        <v>1</v>
      </c>
      <c r="I3027" s="1">
        <v>0</v>
      </c>
      <c r="J3027" s="1">
        <v>2</v>
      </c>
      <c r="K3027" s="1">
        <v>0</v>
      </c>
      <c r="L3027" s="1">
        <v>0</v>
      </c>
      <c r="M3027" s="1">
        <v>0</v>
      </c>
    </row>
    <row r="3028" spans="1:13">
      <c r="A3028" s="1">
        <v>3027</v>
      </c>
      <c r="B3028" s="1">
        <v>992980.47290000005</v>
      </c>
      <c r="C3028" s="1">
        <v>836040.75301634625</v>
      </c>
      <c r="D3028" s="1">
        <f t="shared" si="47"/>
        <v>156939.7198836538</v>
      </c>
      <c r="E3028" s="1">
        <v>12</v>
      </c>
      <c r="F3028" s="1">
        <v>17</v>
      </c>
      <c r="G3028" s="1">
        <v>6</v>
      </c>
      <c r="H3028" s="1">
        <v>1</v>
      </c>
      <c r="I3028" s="1">
        <v>0</v>
      </c>
      <c r="J3028" s="1">
        <v>2</v>
      </c>
      <c r="K3028" s="1">
        <v>0</v>
      </c>
      <c r="L3028" s="1">
        <v>0</v>
      </c>
      <c r="M3028" s="1">
        <v>1</v>
      </c>
    </row>
    <row r="3029" spans="1:13">
      <c r="A3029" s="1">
        <v>3028</v>
      </c>
      <c r="B3029" s="1">
        <v>860844.86490000004</v>
      </c>
      <c r="C3029" s="1">
        <v>860228.26245883876</v>
      </c>
      <c r="D3029" s="1">
        <f t="shared" si="47"/>
        <v>616.60244116128888</v>
      </c>
      <c r="E3029" s="1">
        <v>11</v>
      </c>
      <c r="F3029" s="1">
        <v>18</v>
      </c>
      <c r="G3029" s="1">
        <v>6</v>
      </c>
      <c r="H3029" s="1">
        <v>0</v>
      </c>
      <c r="I3029" s="1">
        <v>0</v>
      </c>
      <c r="J3029" s="1">
        <v>0</v>
      </c>
      <c r="K3029" s="1">
        <v>2</v>
      </c>
      <c r="L3029" s="1">
        <v>0</v>
      </c>
      <c r="M3029" s="1">
        <v>0</v>
      </c>
    </row>
    <row r="3030" spans="1:13">
      <c r="A3030" s="1">
        <v>3029</v>
      </c>
      <c r="B3030" s="1">
        <v>901188.3737</v>
      </c>
      <c r="C3030" s="1">
        <v>825602.90429217706</v>
      </c>
      <c r="D3030" s="1">
        <f t="shared" si="47"/>
        <v>75585.469407822937</v>
      </c>
      <c r="E3030" s="1">
        <v>16</v>
      </c>
      <c r="F3030" s="1">
        <v>12</v>
      </c>
      <c r="G3030" s="1">
        <v>7</v>
      </c>
      <c r="H3030" s="1">
        <v>0</v>
      </c>
      <c r="I3030" s="1">
        <v>0</v>
      </c>
      <c r="J3030" s="1">
        <v>0</v>
      </c>
      <c r="K3030" s="1">
        <v>1</v>
      </c>
      <c r="L3030" s="1">
        <v>0</v>
      </c>
      <c r="M3030" s="1">
        <v>0</v>
      </c>
    </row>
    <row r="3031" spans="1:13">
      <c r="A3031" s="1">
        <v>3030</v>
      </c>
      <c r="B3031" s="1">
        <v>904264.95279999997</v>
      </c>
      <c r="C3031" s="1">
        <v>598395.2727574734</v>
      </c>
      <c r="D3031" s="1">
        <f t="shared" si="47"/>
        <v>305869.68004252657</v>
      </c>
      <c r="E3031" s="1">
        <v>12</v>
      </c>
      <c r="F3031" s="1">
        <v>18</v>
      </c>
      <c r="G3031" s="1">
        <v>5</v>
      </c>
      <c r="H3031" s="1">
        <v>0</v>
      </c>
      <c r="I3031" s="1">
        <v>0</v>
      </c>
      <c r="J3031" s="1">
        <v>0</v>
      </c>
      <c r="K3031" s="1">
        <v>0</v>
      </c>
      <c r="L3031" s="1">
        <v>0</v>
      </c>
      <c r="M3031" s="1">
        <v>0</v>
      </c>
    </row>
    <row r="3032" spans="1:13">
      <c r="A3032" s="1">
        <v>3031</v>
      </c>
      <c r="B3032" s="1">
        <v>886545.53590000002</v>
      </c>
      <c r="C3032" s="1">
        <v>809576.96326701599</v>
      </c>
      <c r="D3032" s="1">
        <f t="shared" si="47"/>
        <v>76968.572632984025</v>
      </c>
      <c r="E3032" s="1">
        <v>11</v>
      </c>
      <c r="F3032" s="1">
        <v>19</v>
      </c>
      <c r="G3032" s="1">
        <v>5</v>
      </c>
      <c r="H3032" s="1">
        <v>2</v>
      </c>
      <c r="I3032" s="1">
        <v>0</v>
      </c>
      <c r="J3032" s="1">
        <v>0</v>
      </c>
      <c r="K3032" s="1">
        <v>0</v>
      </c>
      <c r="L3032" s="1">
        <v>0</v>
      </c>
      <c r="M3032" s="1">
        <v>0</v>
      </c>
    </row>
    <row r="3033" spans="1:13">
      <c r="A3033" s="1">
        <v>3032</v>
      </c>
      <c r="B3033" s="1">
        <v>961344.48770000006</v>
      </c>
      <c r="C3033" s="1">
        <v>902162.59924774244</v>
      </c>
      <c r="D3033" s="1">
        <f t="shared" si="47"/>
        <v>59181.888452257612</v>
      </c>
      <c r="E3033" s="1">
        <v>17</v>
      </c>
      <c r="F3033" s="1">
        <v>14</v>
      </c>
      <c r="G3033" s="1">
        <v>4</v>
      </c>
      <c r="H3033" s="1">
        <v>1</v>
      </c>
      <c r="I3033" s="1">
        <v>0</v>
      </c>
      <c r="J3033" s="1">
        <v>1</v>
      </c>
      <c r="K3033" s="1">
        <v>1</v>
      </c>
      <c r="L3033" s="1">
        <v>0</v>
      </c>
      <c r="M3033" s="1">
        <v>0</v>
      </c>
    </row>
    <row r="3034" spans="1:13">
      <c r="A3034" s="1">
        <v>3033</v>
      </c>
      <c r="B3034" s="1">
        <v>879861.8358</v>
      </c>
      <c r="C3034" s="1">
        <v>733440.78350726096</v>
      </c>
      <c r="D3034" s="1">
        <f t="shared" si="47"/>
        <v>146421.05229273904</v>
      </c>
      <c r="E3034" s="1">
        <v>12</v>
      </c>
      <c r="F3034" s="1">
        <v>16</v>
      </c>
      <c r="G3034" s="1">
        <v>7</v>
      </c>
      <c r="H3034" s="1">
        <v>0</v>
      </c>
      <c r="I3034" s="1">
        <v>1</v>
      </c>
      <c r="J3034" s="1">
        <v>1</v>
      </c>
      <c r="K3034" s="1">
        <v>0</v>
      </c>
      <c r="L3034" s="1">
        <v>0</v>
      </c>
      <c r="M3034" s="1">
        <v>0</v>
      </c>
    </row>
    <row r="3035" spans="1:13">
      <c r="A3035" s="1">
        <v>3034</v>
      </c>
      <c r="B3035" s="1">
        <v>992849.26950000005</v>
      </c>
      <c r="C3035" s="1">
        <v>826175.62480183865</v>
      </c>
      <c r="D3035" s="1">
        <f t="shared" si="47"/>
        <v>166673.6446981614</v>
      </c>
      <c r="E3035" s="1">
        <v>13</v>
      </c>
      <c r="F3035" s="1">
        <v>13</v>
      </c>
      <c r="G3035" s="1">
        <v>9</v>
      </c>
      <c r="H3035" s="1">
        <v>2</v>
      </c>
      <c r="I3035" s="1">
        <v>0</v>
      </c>
      <c r="J3035" s="1">
        <v>0</v>
      </c>
      <c r="K3035" s="1">
        <v>0</v>
      </c>
      <c r="L3035" s="1">
        <v>0</v>
      </c>
      <c r="M3035" s="1">
        <v>1</v>
      </c>
    </row>
    <row r="3036" spans="1:13">
      <c r="A3036" s="1">
        <v>3035</v>
      </c>
      <c r="B3036" s="1">
        <v>932861.00009999995</v>
      </c>
      <c r="C3036" s="1">
        <v>680199.75649644772</v>
      </c>
      <c r="D3036" s="1">
        <f t="shared" si="47"/>
        <v>252661.24360355223</v>
      </c>
      <c r="E3036" s="1">
        <v>9</v>
      </c>
      <c r="F3036" s="1">
        <v>20</v>
      </c>
      <c r="G3036" s="1">
        <v>6</v>
      </c>
      <c r="H3036" s="1">
        <v>2</v>
      </c>
      <c r="I3036" s="1">
        <v>0</v>
      </c>
      <c r="J3036" s="1">
        <v>0</v>
      </c>
      <c r="K3036" s="1">
        <v>2</v>
      </c>
      <c r="L3036" s="1">
        <v>0</v>
      </c>
      <c r="M3036" s="1">
        <v>0</v>
      </c>
    </row>
    <row r="3037" spans="1:13">
      <c r="A3037" s="1">
        <v>3036</v>
      </c>
      <c r="B3037" s="1">
        <v>926271.55119999999</v>
      </c>
      <c r="C3037" s="1">
        <v>964189.37572052376</v>
      </c>
      <c r="D3037" s="1">
        <f t="shared" si="47"/>
        <v>-37917.824520523776</v>
      </c>
      <c r="E3037" s="1">
        <v>26</v>
      </c>
      <c r="F3037" s="1">
        <v>4</v>
      </c>
      <c r="G3037" s="1">
        <v>5</v>
      </c>
      <c r="H3037" s="1">
        <v>1</v>
      </c>
      <c r="I3037" s="1">
        <v>0</v>
      </c>
      <c r="J3037" s="1">
        <v>0</v>
      </c>
      <c r="K3037" s="1">
        <v>0</v>
      </c>
      <c r="L3037" s="1">
        <v>0</v>
      </c>
      <c r="M3037" s="1">
        <v>1</v>
      </c>
    </row>
    <row r="3038" spans="1:13">
      <c r="A3038" s="1">
        <v>3037</v>
      </c>
      <c r="B3038" s="1">
        <v>998051.80799999996</v>
      </c>
      <c r="C3038" s="1">
        <v>1105001.5377349488</v>
      </c>
      <c r="D3038" s="1">
        <f t="shared" si="47"/>
        <v>-106949.72973494884</v>
      </c>
      <c r="E3038" s="1">
        <v>11</v>
      </c>
      <c r="F3038" s="1">
        <v>19</v>
      </c>
      <c r="G3038" s="1">
        <v>5</v>
      </c>
      <c r="H3038" s="1">
        <v>0</v>
      </c>
      <c r="I3038" s="1">
        <v>0</v>
      </c>
      <c r="J3038" s="1">
        <v>2</v>
      </c>
      <c r="K3038" s="1">
        <v>0</v>
      </c>
      <c r="L3038" s="1">
        <v>0</v>
      </c>
      <c r="M3038" s="1">
        <v>1</v>
      </c>
    </row>
    <row r="3039" spans="1:13">
      <c r="A3039" s="1">
        <v>3038</v>
      </c>
      <c r="B3039" s="1">
        <v>1046759.2642</v>
      </c>
      <c r="C3039" s="1">
        <v>1354519.0685995405</v>
      </c>
      <c r="D3039" s="1">
        <f t="shared" si="47"/>
        <v>-307759.80439954053</v>
      </c>
      <c r="E3039" s="1">
        <v>3</v>
      </c>
      <c r="F3039" s="1">
        <v>28</v>
      </c>
      <c r="G3039" s="1">
        <v>4</v>
      </c>
      <c r="H3039" s="1">
        <v>1</v>
      </c>
      <c r="I3039" s="1">
        <v>0</v>
      </c>
      <c r="J3039" s="1">
        <v>0</v>
      </c>
      <c r="K3039" s="1">
        <v>2</v>
      </c>
      <c r="L3039" s="1">
        <v>0</v>
      </c>
      <c r="M3039" s="1">
        <v>0</v>
      </c>
    </row>
    <row r="3040" spans="1:13">
      <c r="A3040" s="1">
        <v>3039</v>
      </c>
      <c r="B3040" s="1">
        <v>952827.89</v>
      </c>
      <c r="C3040" s="1">
        <v>851661.52244557382</v>
      </c>
      <c r="D3040" s="1">
        <f t="shared" si="47"/>
        <v>101166.36755442619</v>
      </c>
      <c r="E3040" s="1">
        <v>11</v>
      </c>
      <c r="F3040" s="1">
        <v>17</v>
      </c>
      <c r="G3040" s="1">
        <v>7</v>
      </c>
      <c r="H3040" s="1">
        <v>2</v>
      </c>
      <c r="I3040" s="1">
        <v>0</v>
      </c>
      <c r="J3040" s="1">
        <v>1</v>
      </c>
      <c r="K3040" s="1">
        <v>0</v>
      </c>
      <c r="L3040" s="1">
        <v>0</v>
      </c>
      <c r="M3040" s="1">
        <v>0</v>
      </c>
    </row>
    <row r="3041" spans="1:13">
      <c r="A3041" s="1">
        <v>3040</v>
      </c>
      <c r="B3041" s="1">
        <v>1111984.1838</v>
      </c>
      <c r="C3041" s="1">
        <v>1345120.0143076857</v>
      </c>
      <c r="D3041" s="1">
        <f t="shared" si="47"/>
        <v>-233135.83050768566</v>
      </c>
      <c r="E3041" s="1">
        <v>5</v>
      </c>
      <c r="F3041" s="1">
        <v>25</v>
      </c>
      <c r="G3041" s="1">
        <v>5</v>
      </c>
      <c r="H3041" s="1">
        <v>0</v>
      </c>
      <c r="I3041" s="1">
        <v>0</v>
      </c>
      <c r="J3041" s="1">
        <v>0</v>
      </c>
      <c r="K3041" s="1">
        <v>0</v>
      </c>
      <c r="L3041" s="1">
        <v>0</v>
      </c>
      <c r="M3041" s="1">
        <v>0</v>
      </c>
    </row>
    <row r="3042" spans="1:13">
      <c r="A3042" s="1">
        <v>3041</v>
      </c>
      <c r="B3042" s="1">
        <v>915603.39170000004</v>
      </c>
      <c r="C3042" s="1">
        <v>659499.59857247351</v>
      </c>
      <c r="D3042" s="1">
        <f t="shared" si="47"/>
        <v>256103.79312752653</v>
      </c>
      <c r="E3042" s="1">
        <v>12</v>
      </c>
      <c r="F3042" s="1">
        <v>18</v>
      </c>
      <c r="G3042" s="1">
        <v>5</v>
      </c>
      <c r="H3042" s="1">
        <v>1</v>
      </c>
      <c r="I3042" s="1">
        <v>0</v>
      </c>
      <c r="J3042" s="1">
        <v>0</v>
      </c>
      <c r="K3042" s="1">
        <v>2</v>
      </c>
      <c r="L3042" s="1">
        <v>0</v>
      </c>
      <c r="M3042" s="1">
        <v>0</v>
      </c>
    </row>
    <row r="3043" spans="1:13">
      <c r="A3043" s="1">
        <v>3042</v>
      </c>
      <c r="B3043" s="1">
        <v>939181.73430000001</v>
      </c>
      <c r="C3043" s="1">
        <v>598212.88652456668</v>
      </c>
      <c r="D3043" s="1">
        <f t="shared" si="47"/>
        <v>340968.84777543333</v>
      </c>
      <c r="E3043" s="1">
        <v>16</v>
      </c>
      <c r="F3043" s="1">
        <v>13</v>
      </c>
      <c r="G3043" s="1">
        <v>6</v>
      </c>
      <c r="H3043" s="1">
        <v>0</v>
      </c>
      <c r="I3043" s="1">
        <v>2</v>
      </c>
      <c r="J3043" s="1">
        <v>2</v>
      </c>
      <c r="K3043" s="1">
        <v>0</v>
      </c>
      <c r="L3043" s="1">
        <v>0</v>
      </c>
      <c r="M3043" s="1">
        <v>0</v>
      </c>
    </row>
    <row r="3044" spans="1:13">
      <c r="A3044" s="1">
        <v>3043</v>
      </c>
      <c r="B3044" s="1">
        <v>840773.95259999996</v>
      </c>
      <c r="C3044" s="1">
        <v>643782.41287371551</v>
      </c>
      <c r="D3044" s="1">
        <f t="shared" si="47"/>
        <v>196991.53972628445</v>
      </c>
      <c r="E3044" s="1">
        <v>10</v>
      </c>
      <c r="F3044" s="1">
        <v>17</v>
      </c>
      <c r="G3044" s="1">
        <v>8</v>
      </c>
      <c r="H3044" s="1">
        <v>0</v>
      </c>
      <c r="I3044" s="1">
        <v>0</v>
      </c>
      <c r="J3044" s="1">
        <v>2</v>
      </c>
      <c r="K3044" s="1">
        <v>0</v>
      </c>
      <c r="L3044" s="1">
        <v>0</v>
      </c>
      <c r="M3044" s="1">
        <v>0</v>
      </c>
    </row>
    <row r="3045" spans="1:13">
      <c r="A3045" s="1">
        <v>3044</v>
      </c>
      <c r="B3045" s="1">
        <v>904154.92660000001</v>
      </c>
      <c r="C3045" s="1">
        <v>809171.11344184936</v>
      </c>
      <c r="D3045" s="1">
        <f t="shared" si="47"/>
        <v>94983.813158150646</v>
      </c>
      <c r="E3045" s="1">
        <v>14</v>
      </c>
      <c r="F3045" s="1">
        <v>18</v>
      </c>
      <c r="G3045" s="1">
        <v>3</v>
      </c>
      <c r="H3045" s="1">
        <v>1</v>
      </c>
      <c r="I3045" s="1">
        <v>1</v>
      </c>
      <c r="J3045" s="1">
        <v>1</v>
      </c>
      <c r="K3045" s="1">
        <v>0</v>
      </c>
      <c r="L3045" s="1">
        <v>0</v>
      </c>
      <c r="M3045" s="1">
        <v>0</v>
      </c>
    </row>
    <row r="3046" spans="1:13">
      <c r="A3046" s="1">
        <v>3045</v>
      </c>
      <c r="B3046" s="1">
        <v>979720.55390000006</v>
      </c>
      <c r="C3046" s="1">
        <v>1105586.4241280335</v>
      </c>
      <c r="D3046" s="1">
        <f t="shared" si="47"/>
        <v>-125865.8702280334</v>
      </c>
      <c r="E3046" s="1">
        <v>9</v>
      </c>
      <c r="F3046" s="1">
        <v>20</v>
      </c>
      <c r="G3046" s="1">
        <v>6</v>
      </c>
      <c r="H3046" s="1">
        <v>2</v>
      </c>
      <c r="I3046" s="1">
        <v>0</v>
      </c>
      <c r="J3046" s="1">
        <v>0</v>
      </c>
      <c r="K3046" s="1">
        <v>1</v>
      </c>
      <c r="L3046" s="1">
        <v>0</v>
      </c>
      <c r="M3046" s="1">
        <v>1</v>
      </c>
    </row>
    <row r="3047" spans="1:13">
      <c r="A3047" s="1">
        <v>3046</v>
      </c>
      <c r="B3047" s="1">
        <v>919240.66130000004</v>
      </c>
      <c r="C3047" s="1">
        <v>920569.9443275457</v>
      </c>
      <c r="D3047" s="1">
        <f t="shared" si="47"/>
        <v>-1329.2830275456654</v>
      </c>
      <c r="E3047" s="1">
        <v>21</v>
      </c>
      <c r="F3047" s="1">
        <v>10</v>
      </c>
      <c r="G3047" s="1">
        <v>4</v>
      </c>
      <c r="H3047" s="1">
        <v>0</v>
      </c>
      <c r="I3047" s="1">
        <v>0</v>
      </c>
      <c r="J3047" s="1">
        <v>0</v>
      </c>
      <c r="K3047" s="1">
        <v>1</v>
      </c>
      <c r="L3047" s="1">
        <v>0</v>
      </c>
      <c r="M3047" s="1">
        <v>0</v>
      </c>
    </row>
    <row r="3048" spans="1:13">
      <c r="A3048" s="1">
        <v>3047</v>
      </c>
      <c r="B3048" s="1">
        <v>878065.76989999996</v>
      </c>
      <c r="C3048" s="1">
        <v>1259958.9303106929</v>
      </c>
      <c r="D3048" s="1">
        <f t="shared" si="47"/>
        <v>-381893.16041069292</v>
      </c>
      <c r="E3048" s="1">
        <v>15</v>
      </c>
      <c r="F3048" s="1">
        <v>15</v>
      </c>
      <c r="G3048" s="1">
        <v>5</v>
      </c>
      <c r="H3048" s="1">
        <v>2</v>
      </c>
      <c r="I3048" s="1">
        <v>0</v>
      </c>
      <c r="J3048" s="1">
        <v>1</v>
      </c>
      <c r="K3048" s="1">
        <v>1</v>
      </c>
      <c r="L3048" s="1">
        <v>0</v>
      </c>
      <c r="M3048" s="1">
        <v>0</v>
      </c>
    </row>
    <row r="3049" spans="1:13">
      <c r="A3049" s="1">
        <v>3048</v>
      </c>
      <c r="B3049" s="1">
        <v>951306.64300000004</v>
      </c>
      <c r="C3049" s="1">
        <v>873040.38329456898</v>
      </c>
      <c r="D3049" s="1">
        <f t="shared" si="47"/>
        <v>78266.259705431061</v>
      </c>
      <c r="E3049" s="1">
        <v>18</v>
      </c>
      <c r="F3049" s="1">
        <v>13</v>
      </c>
      <c r="G3049" s="1">
        <v>4</v>
      </c>
      <c r="H3049" s="1">
        <v>1</v>
      </c>
      <c r="I3049" s="1">
        <v>0</v>
      </c>
      <c r="J3049" s="1">
        <v>2</v>
      </c>
      <c r="K3049" s="1">
        <v>0</v>
      </c>
      <c r="L3049" s="1">
        <v>0</v>
      </c>
      <c r="M3049" s="1">
        <v>0</v>
      </c>
    </row>
    <row r="3050" spans="1:13">
      <c r="A3050" s="1">
        <v>3049</v>
      </c>
      <c r="B3050" s="1">
        <v>934662.94039999996</v>
      </c>
      <c r="C3050" s="1">
        <v>617978.03725376597</v>
      </c>
      <c r="D3050" s="1">
        <f t="shared" si="47"/>
        <v>316684.90314623399</v>
      </c>
      <c r="E3050" s="1">
        <v>11</v>
      </c>
      <c r="F3050" s="1">
        <v>19</v>
      </c>
      <c r="G3050" s="1">
        <v>5</v>
      </c>
      <c r="H3050" s="1">
        <v>2</v>
      </c>
      <c r="I3050" s="1">
        <v>0</v>
      </c>
      <c r="J3050" s="1">
        <v>1</v>
      </c>
      <c r="K3050" s="1">
        <v>1</v>
      </c>
      <c r="L3050" s="1">
        <v>0</v>
      </c>
      <c r="M3050" s="1">
        <v>1</v>
      </c>
    </row>
    <row r="3051" spans="1:13">
      <c r="A3051" s="1">
        <v>3050</v>
      </c>
      <c r="B3051" s="1">
        <v>900134.86789999995</v>
      </c>
      <c r="C3051" s="1">
        <v>454616.51726205938</v>
      </c>
      <c r="D3051" s="1">
        <f t="shared" si="47"/>
        <v>445518.35063794057</v>
      </c>
      <c r="E3051" s="1">
        <v>8</v>
      </c>
      <c r="F3051" s="1">
        <v>20</v>
      </c>
      <c r="G3051" s="1">
        <v>7</v>
      </c>
      <c r="H3051" s="1">
        <v>1</v>
      </c>
      <c r="I3051" s="1">
        <v>0</v>
      </c>
      <c r="J3051" s="1">
        <v>0</v>
      </c>
      <c r="K3051" s="1">
        <v>2</v>
      </c>
      <c r="L3051" s="1">
        <v>0</v>
      </c>
      <c r="M3051" s="1">
        <v>0</v>
      </c>
    </row>
    <row r="3052" spans="1:13">
      <c r="A3052" s="1">
        <v>3051</v>
      </c>
      <c r="B3052" s="1">
        <v>921914.40489999996</v>
      </c>
      <c r="C3052" s="1">
        <v>670283.67644551792</v>
      </c>
      <c r="D3052" s="1">
        <f t="shared" si="47"/>
        <v>251630.72845448204</v>
      </c>
      <c r="E3052" s="1">
        <v>8</v>
      </c>
      <c r="F3052" s="1">
        <v>19</v>
      </c>
      <c r="G3052" s="1">
        <v>8</v>
      </c>
      <c r="H3052" s="1">
        <v>1</v>
      </c>
      <c r="I3052" s="1">
        <v>0</v>
      </c>
      <c r="J3052" s="1">
        <v>0</v>
      </c>
      <c r="K3052" s="1">
        <v>1</v>
      </c>
      <c r="L3052" s="1">
        <v>0</v>
      </c>
      <c r="M3052" s="1">
        <v>0</v>
      </c>
    </row>
    <row r="3053" spans="1:13">
      <c r="A3053" s="1">
        <v>3052</v>
      </c>
      <c r="B3053" s="1">
        <v>961704.08259999997</v>
      </c>
      <c r="C3053" s="1">
        <v>838672.56150189193</v>
      </c>
      <c r="D3053" s="1">
        <f t="shared" si="47"/>
        <v>123031.52109810803</v>
      </c>
      <c r="E3053" s="1">
        <v>15</v>
      </c>
      <c r="F3053" s="1">
        <v>14</v>
      </c>
      <c r="G3053" s="1">
        <v>6</v>
      </c>
      <c r="H3053" s="1">
        <v>0</v>
      </c>
      <c r="I3053" s="1">
        <v>0</v>
      </c>
      <c r="J3053" s="1">
        <v>0</v>
      </c>
      <c r="K3053" s="1">
        <v>1</v>
      </c>
      <c r="L3053" s="1">
        <v>0</v>
      </c>
      <c r="M3053" s="1">
        <v>1</v>
      </c>
    </row>
    <row r="3054" spans="1:13">
      <c r="A3054" s="1">
        <v>3053</v>
      </c>
      <c r="B3054" s="1">
        <v>870232.9325</v>
      </c>
      <c r="C3054" s="1">
        <v>655684.4981984318</v>
      </c>
      <c r="D3054" s="1">
        <f t="shared" si="47"/>
        <v>214548.4343015682</v>
      </c>
      <c r="E3054" s="1">
        <v>15</v>
      </c>
      <c r="F3054" s="1">
        <v>16</v>
      </c>
      <c r="G3054" s="1">
        <v>4</v>
      </c>
      <c r="H3054" s="1">
        <v>0</v>
      </c>
      <c r="I3054" s="1">
        <v>1</v>
      </c>
      <c r="J3054" s="1">
        <v>1</v>
      </c>
      <c r="K3054" s="1">
        <v>1</v>
      </c>
      <c r="L3054" s="1">
        <v>0</v>
      </c>
      <c r="M3054" s="1">
        <v>0</v>
      </c>
    </row>
    <row r="3055" spans="1:13">
      <c r="A3055" s="1">
        <v>3054</v>
      </c>
      <c r="B3055" s="1">
        <v>851221.84920000006</v>
      </c>
      <c r="C3055" s="1">
        <v>906329.01408044877</v>
      </c>
      <c r="D3055" s="1">
        <f t="shared" si="47"/>
        <v>-55107.164880448719</v>
      </c>
      <c r="E3055" s="1">
        <v>14</v>
      </c>
      <c r="F3055" s="1">
        <v>16</v>
      </c>
      <c r="G3055" s="1">
        <v>5</v>
      </c>
      <c r="H3055" s="1">
        <v>0</v>
      </c>
      <c r="I3055" s="1">
        <v>2</v>
      </c>
      <c r="J3055" s="1">
        <v>1</v>
      </c>
      <c r="K3055" s="1">
        <v>1</v>
      </c>
      <c r="L3055" s="1">
        <v>0</v>
      </c>
      <c r="M3055" s="1">
        <v>1</v>
      </c>
    </row>
    <row r="3056" spans="1:13">
      <c r="A3056" s="1">
        <v>3055</v>
      </c>
      <c r="B3056" s="1">
        <v>904531.77910000004</v>
      </c>
      <c r="C3056" s="1">
        <v>695887.26491504395</v>
      </c>
      <c r="D3056" s="1">
        <f t="shared" si="47"/>
        <v>208644.51418495609</v>
      </c>
      <c r="E3056" s="1">
        <v>17</v>
      </c>
      <c r="F3056" s="1">
        <v>12</v>
      </c>
      <c r="G3056" s="1">
        <v>6</v>
      </c>
      <c r="H3056" s="1">
        <v>1</v>
      </c>
      <c r="I3056" s="1">
        <v>0</v>
      </c>
      <c r="J3056" s="1">
        <v>2</v>
      </c>
      <c r="K3056" s="1">
        <v>0</v>
      </c>
      <c r="L3056" s="1">
        <v>0</v>
      </c>
      <c r="M3056" s="1">
        <v>0</v>
      </c>
    </row>
    <row r="3057" spans="1:13">
      <c r="A3057" s="1">
        <v>3056</v>
      </c>
      <c r="B3057" s="1">
        <v>999024.6629</v>
      </c>
      <c r="C3057" s="1">
        <v>1150192.1484001083</v>
      </c>
      <c r="D3057" s="1">
        <f t="shared" si="47"/>
        <v>-151167.48550010833</v>
      </c>
      <c r="E3057" s="1">
        <v>10</v>
      </c>
      <c r="F3057" s="1">
        <v>17</v>
      </c>
      <c r="G3057" s="1">
        <v>8</v>
      </c>
      <c r="H3057" s="1">
        <v>2</v>
      </c>
      <c r="I3057" s="1">
        <v>0</v>
      </c>
      <c r="J3057" s="1">
        <v>0</v>
      </c>
      <c r="K3057" s="1">
        <v>2</v>
      </c>
      <c r="L3057" s="1">
        <v>0</v>
      </c>
      <c r="M3057" s="1">
        <v>0</v>
      </c>
    </row>
    <row r="3058" spans="1:13">
      <c r="A3058" s="1">
        <v>3057</v>
      </c>
      <c r="B3058" s="1">
        <v>924390.70889999997</v>
      </c>
      <c r="C3058" s="1">
        <v>801659.73009952984</v>
      </c>
      <c r="D3058" s="1">
        <f t="shared" si="47"/>
        <v>122730.97880047013</v>
      </c>
      <c r="E3058" s="1">
        <v>16</v>
      </c>
      <c r="F3058" s="1">
        <v>15</v>
      </c>
      <c r="G3058" s="1">
        <v>4</v>
      </c>
      <c r="H3058" s="1">
        <v>0</v>
      </c>
      <c r="I3058" s="1">
        <v>0</v>
      </c>
      <c r="J3058" s="1">
        <v>1</v>
      </c>
      <c r="K3058" s="1">
        <v>0</v>
      </c>
      <c r="L3058" s="1">
        <v>0</v>
      </c>
      <c r="M3058" s="1">
        <v>0</v>
      </c>
    </row>
    <row r="3059" spans="1:13">
      <c r="A3059" s="1">
        <v>3058</v>
      </c>
      <c r="B3059" s="1">
        <v>831208.56559999997</v>
      </c>
      <c r="C3059" s="1">
        <v>780256.31757781887</v>
      </c>
      <c r="D3059" s="1">
        <f t="shared" si="47"/>
        <v>50952.248022181098</v>
      </c>
      <c r="E3059" s="1">
        <v>17</v>
      </c>
      <c r="F3059" s="1">
        <v>15</v>
      </c>
      <c r="G3059" s="1">
        <v>3</v>
      </c>
      <c r="H3059" s="1">
        <v>2</v>
      </c>
      <c r="I3059" s="1">
        <v>0</v>
      </c>
      <c r="J3059" s="1">
        <v>0</v>
      </c>
      <c r="K3059" s="1">
        <v>2</v>
      </c>
      <c r="L3059" s="1">
        <v>0</v>
      </c>
      <c r="M3059" s="1">
        <v>0</v>
      </c>
    </row>
    <row r="3060" spans="1:13">
      <c r="A3060" s="1">
        <v>3059</v>
      </c>
      <c r="B3060" s="1">
        <v>973812.76930000004</v>
      </c>
      <c r="C3060" s="1">
        <v>432861.46294395381</v>
      </c>
      <c r="D3060" s="1">
        <f t="shared" si="47"/>
        <v>540951.30635604623</v>
      </c>
      <c r="E3060" s="1">
        <v>6</v>
      </c>
      <c r="F3060" s="1">
        <v>24</v>
      </c>
      <c r="G3060" s="1">
        <v>5</v>
      </c>
      <c r="H3060" s="1">
        <v>1</v>
      </c>
      <c r="I3060" s="1">
        <v>0</v>
      </c>
      <c r="J3060" s="1">
        <v>0</v>
      </c>
      <c r="K3060" s="1">
        <v>1</v>
      </c>
      <c r="L3060" s="1">
        <v>0</v>
      </c>
      <c r="M3060" s="1">
        <v>0</v>
      </c>
    </row>
    <row r="3061" spans="1:13">
      <c r="A3061" s="1">
        <v>3060</v>
      </c>
      <c r="B3061" s="1">
        <v>878481.97499999998</v>
      </c>
      <c r="C3061" s="1">
        <v>812576.0818326294</v>
      </c>
      <c r="D3061" s="1">
        <f t="shared" si="47"/>
        <v>65905.893167370581</v>
      </c>
      <c r="E3061" s="1">
        <v>10</v>
      </c>
      <c r="F3061" s="1">
        <v>21</v>
      </c>
      <c r="G3061" s="1">
        <v>4</v>
      </c>
      <c r="H3061" s="1">
        <v>1</v>
      </c>
      <c r="I3061" s="1">
        <v>0</v>
      </c>
      <c r="J3061" s="1">
        <v>0</v>
      </c>
      <c r="K3061" s="1">
        <v>1</v>
      </c>
      <c r="L3061" s="1">
        <v>0</v>
      </c>
      <c r="M3061" s="1">
        <v>0</v>
      </c>
    </row>
    <row r="3062" spans="1:13">
      <c r="A3062" s="1">
        <v>3061</v>
      </c>
      <c r="B3062" s="1">
        <v>1006130.7889</v>
      </c>
      <c r="C3062" s="1">
        <v>807508.58606635255</v>
      </c>
      <c r="D3062" s="1">
        <f t="shared" si="47"/>
        <v>198622.20283364749</v>
      </c>
      <c r="E3062" s="1">
        <v>18</v>
      </c>
      <c r="F3062" s="1">
        <v>15</v>
      </c>
      <c r="G3062" s="1">
        <v>2</v>
      </c>
      <c r="H3062" s="1">
        <v>1</v>
      </c>
      <c r="I3062" s="1">
        <v>0</v>
      </c>
      <c r="J3062" s="1">
        <v>0</v>
      </c>
      <c r="K3062" s="1">
        <v>1</v>
      </c>
      <c r="L3062" s="1">
        <v>0</v>
      </c>
      <c r="M3062" s="1">
        <v>0</v>
      </c>
    </row>
    <row r="3063" spans="1:13">
      <c r="A3063" s="1">
        <v>3062</v>
      </c>
      <c r="B3063" s="1">
        <v>956922.95239999995</v>
      </c>
      <c r="C3063" s="1">
        <v>1120544.5277617914</v>
      </c>
      <c r="D3063" s="1">
        <f t="shared" si="47"/>
        <v>-163621.57536179142</v>
      </c>
      <c r="E3063" s="1">
        <v>14</v>
      </c>
      <c r="F3063" s="1">
        <v>15</v>
      </c>
      <c r="G3063" s="1">
        <v>6</v>
      </c>
      <c r="H3063" s="1">
        <v>1</v>
      </c>
      <c r="I3063" s="1">
        <v>0</v>
      </c>
      <c r="J3063" s="1">
        <v>1</v>
      </c>
      <c r="K3063" s="1">
        <v>1</v>
      </c>
      <c r="L3063" s="1">
        <v>0</v>
      </c>
      <c r="M3063" s="1">
        <v>0</v>
      </c>
    </row>
    <row r="3064" spans="1:13">
      <c r="A3064" s="1">
        <v>3063</v>
      </c>
      <c r="B3064" s="1">
        <v>917751.66339999996</v>
      </c>
      <c r="C3064" s="1">
        <v>723230.04483091726</v>
      </c>
      <c r="D3064" s="1">
        <f t="shared" si="47"/>
        <v>194521.6185690827</v>
      </c>
      <c r="E3064" s="1">
        <v>9</v>
      </c>
      <c r="F3064" s="1">
        <v>22</v>
      </c>
      <c r="G3064" s="1">
        <v>4</v>
      </c>
      <c r="H3064" s="1">
        <v>1</v>
      </c>
      <c r="I3064" s="1">
        <v>0</v>
      </c>
      <c r="J3064" s="1">
        <v>1</v>
      </c>
      <c r="K3064" s="1">
        <v>1</v>
      </c>
      <c r="L3064" s="1">
        <v>0</v>
      </c>
      <c r="M3064" s="1">
        <v>1</v>
      </c>
    </row>
    <row r="3065" spans="1:13">
      <c r="A3065" s="1">
        <v>3064</v>
      </c>
      <c r="B3065" s="1">
        <v>974948.8861</v>
      </c>
      <c r="C3065" s="1">
        <v>1256391.4810581491</v>
      </c>
      <c r="D3065" s="1">
        <f t="shared" si="47"/>
        <v>-281442.59495814913</v>
      </c>
      <c r="E3065" s="1">
        <v>15</v>
      </c>
      <c r="F3065" s="1">
        <v>16</v>
      </c>
      <c r="G3065" s="1">
        <v>4</v>
      </c>
      <c r="H3065" s="1">
        <v>0</v>
      </c>
      <c r="I3065" s="1">
        <v>0</v>
      </c>
      <c r="J3065" s="1">
        <v>1</v>
      </c>
      <c r="K3065" s="1">
        <v>1</v>
      </c>
      <c r="L3065" s="1">
        <v>0</v>
      </c>
      <c r="M3065" s="1">
        <v>0</v>
      </c>
    </row>
    <row r="3066" spans="1:13">
      <c r="A3066" s="1">
        <v>3065</v>
      </c>
      <c r="B3066" s="1">
        <v>868522.79799999995</v>
      </c>
      <c r="C3066" s="1">
        <v>962897.10818364052</v>
      </c>
      <c r="D3066" s="1">
        <f t="shared" si="47"/>
        <v>-94374.310183640569</v>
      </c>
      <c r="E3066" s="1">
        <v>12</v>
      </c>
      <c r="F3066" s="1">
        <v>16</v>
      </c>
      <c r="G3066" s="1">
        <v>7</v>
      </c>
      <c r="H3066" s="1">
        <v>2</v>
      </c>
      <c r="I3066" s="1">
        <v>0</v>
      </c>
      <c r="J3066" s="1">
        <v>0</v>
      </c>
      <c r="K3066" s="1">
        <v>1</v>
      </c>
      <c r="L3066" s="1">
        <v>0</v>
      </c>
      <c r="M3066" s="1">
        <v>0</v>
      </c>
    </row>
    <row r="3067" spans="1:13">
      <c r="A3067" s="1">
        <v>3066</v>
      </c>
      <c r="B3067" s="1">
        <v>1105380.6302</v>
      </c>
      <c r="C3067" s="1">
        <v>1630393.6104138412</v>
      </c>
      <c r="D3067" s="1">
        <f t="shared" si="47"/>
        <v>-525012.98021384119</v>
      </c>
      <c r="E3067" s="1">
        <v>12</v>
      </c>
      <c r="F3067" s="1">
        <v>14</v>
      </c>
      <c r="G3067" s="1">
        <v>9</v>
      </c>
      <c r="H3067" s="1">
        <v>1</v>
      </c>
      <c r="I3067" s="1">
        <v>0</v>
      </c>
      <c r="J3067" s="1">
        <v>0</v>
      </c>
      <c r="K3067" s="1">
        <v>1</v>
      </c>
      <c r="L3067" s="1">
        <v>0</v>
      </c>
      <c r="M3067" s="1">
        <v>0</v>
      </c>
    </row>
    <row r="3068" spans="1:13">
      <c r="A3068" s="1">
        <v>3067</v>
      </c>
      <c r="B3068" s="1">
        <v>970130.47710000002</v>
      </c>
      <c r="C3068" s="1">
        <v>662132.74945039477</v>
      </c>
      <c r="D3068" s="1">
        <f t="shared" si="47"/>
        <v>307997.72764960525</v>
      </c>
      <c r="E3068" s="1">
        <v>7</v>
      </c>
      <c r="F3068" s="1">
        <v>23</v>
      </c>
      <c r="G3068" s="1">
        <v>5</v>
      </c>
      <c r="H3068" s="1">
        <v>1</v>
      </c>
      <c r="I3068" s="1">
        <v>0</v>
      </c>
      <c r="J3068" s="1">
        <v>0</v>
      </c>
      <c r="K3068" s="1">
        <v>1</v>
      </c>
      <c r="L3068" s="1">
        <v>0</v>
      </c>
      <c r="M3068" s="1">
        <v>0</v>
      </c>
    </row>
    <row r="3069" spans="1:13">
      <c r="A3069" s="1">
        <v>3068</v>
      </c>
      <c r="B3069" s="1">
        <v>936547.20539999998</v>
      </c>
      <c r="C3069" s="1">
        <v>1452328.2367235767</v>
      </c>
      <c r="D3069" s="1">
        <f t="shared" si="47"/>
        <v>-515781.0313235767</v>
      </c>
      <c r="E3069" s="1">
        <v>17</v>
      </c>
      <c r="F3069" s="1">
        <v>13</v>
      </c>
      <c r="G3069" s="1">
        <v>5</v>
      </c>
      <c r="H3069" s="1">
        <v>0</v>
      </c>
      <c r="I3069" s="1">
        <v>0</v>
      </c>
      <c r="J3069" s="1">
        <v>0</v>
      </c>
      <c r="K3069" s="1">
        <v>0</v>
      </c>
      <c r="L3069" s="1">
        <v>0</v>
      </c>
      <c r="M3069" s="1">
        <v>1</v>
      </c>
    </row>
    <row r="3070" spans="1:13">
      <c r="A3070" s="1">
        <v>3069</v>
      </c>
      <c r="B3070" s="1">
        <v>910331.8162</v>
      </c>
      <c r="C3070" s="1">
        <v>571483.60362782248</v>
      </c>
      <c r="D3070" s="1">
        <f t="shared" si="47"/>
        <v>338848.21257217752</v>
      </c>
      <c r="E3070" s="1">
        <v>17</v>
      </c>
      <c r="F3070" s="1">
        <v>12</v>
      </c>
      <c r="G3070" s="1">
        <v>6</v>
      </c>
      <c r="H3070" s="1">
        <v>2</v>
      </c>
      <c r="I3070" s="1">
        <v>0</v>
      </c>
      <c r="J3070" s="1">
        <v>0</v>
      </c>
      <c r="K3070" s="1">
        <v>1</v>
      </c>
      <c r="L3070" s="1">
        <v>1</v>
      </c>
      <c r="M3070" s="1">
        <v>0</v>
      </c>
    </row>
    <row r="3071" spans="1:13">
      <c r="A3071" s="1">
        <v>3070</v>
      </c>
      <c r="B3071" s="1">
        <v>879605.19660000002</v>
      </c>
      <c r="C3071" s="1">
        <v>1002953.2582402466</v>
      </c>
      <c r="D3071" s="1">
        <f t="shared" si="47"/>
        <v>-123348.06164024654</v>
      </c>
      <c r="E3071" s="1">
        <v>14</v>
      </c>
      <c r="F3071" s="1">
        <v>16</v>
      </c>
      <c r="G3071" s="1">
        <v>5</v>
      </c>
      <c r="H3071" s="1">
        <v>2</v>
      </c>
      <c r="I3071" s="1">
        <v>0</v>
      </c>
      <c r="J3071" s="1">
        <v>0</v>
      </c>
      <c r="K3071" s="1">
        <v>2</v>
      </c>
      <c r="L3071" s="1">
        <v>0</v>
      </c>
      <c r="M3071" s="1">
        <v>1</v>
      </c>
    </row>
    <row r="3072" spans="1:13">
      <c r="A3072" s="1">
        <v>3071</v>
      </c>
      <c r="B3072" s="1">
        <v>971708.55469999998</v>
      </c>
      <c r="C3072" s="1">
        <v>485784.42401744274</v>
      </c>
      <c r="D3072" s="1">
        <f t="shared" si="47"/>
        <v>485924.13068255724</v>
      </c>
      <c r="E3072" s="1">
        <v>12</v>
      </c>
      <c r="F3072" s="1">
        <v>18</v>
      </c>
      <c r="G3072" s="1">
        <v>5</v>
      </c>
      <c r="H3072" s="1">
        <v>1</v>
      </c>
      <c r="I3072" s="1">
        <v>0</v>
      </c>
      <c r="J3072" s="1">
        <v>1</v>
      </c>
      <c r="K3072" s="1">
        <v>1</v>
      </c>
      <c r="L3072" s="1">
        <v>0</v>
      </c>
      <c r="M3072" s="1">
        <v>0</v>
      </c>
    </row>
    <row r="3073" spans="1:13">
      <c r="A3073" s="1">
        <v>3072</v>
      </c>
      <c r="B3073" s="1">
        <v>812837.22699999996</v>
      </c>
      <c r="C3073" s="1">
        <v>1174924.4005009551</v>
      </c>
      <c r="D3073" s="1">
        <f t="shared" si="47"/>
        <v>-362087.1735009551</v>
      </c>
      <c r="E3073" s="1">
        <v>12</v>
      </c>
      <c r="F3073" s="1">
        <v>20</v>
      </c>
      <c r="G3073" s="1">
        <v>3</v>
      </c>
      <c r="H3073" s="1">
        <v>1</v>
      </c>
      <c r="I3073" s="1">
        <v>0</v>
      </c>
      <c r="J3073" s="1">
        <v>2</v>
      </c>
      <c r="K3073" s="1">
        <v>0</v>
      </c>
      <c r="L3073" s="1">
        <v>0</v>
      </c>
      <c r="M3073" s="1">
        <v>0</v>
      </c>
    </row>
    <row r="3074" spans="1:13">
      <c r="A3074" s="1">
        <v>3073</v>
      </c>
      <c r="B3074" s="1">
        <v>1029581.2225</v>
      </c>
      <c r="C3074" s="1">
        <v>1122444.245227464</v>
      </c>
      <c r="D3074" s="1">
        <f t="shared" ref="D3074:D3137" si="48">B3074-C3074</f>
        <v>-92863.022727463976</v>
      </c>
      <c r="E3074" s="1">
        <v>11</v>
      </c>
      <c r="F3074" s="1">
        <v>22</v>
      </c>
      <c r="G3074" s="1">
        <v>2</v>
      </c>
      <c r="H3074" s="1">
        <v>0</v>
      </c>
      <c r="I3074" s="1">
        <v>0</v>
      </c>
      <c r="J3074" s="1">
        <v>0</v>
      </c>
      <c r="K3074" s="1">
        <v>0</v>
      </c>
      <c r="L3074" s="1">
        <v>1</v>
      </c>
      <c r="M3074" s="1">
        <v>0</v>
      </c>
    </row>
    <row r="3075" spans="1:13">
      <c r="A3075" s="1">
        <v>3074</v>
      </c>
      <c r="B3075" s="1">
        <v>1028605.1833</v>
      </c>
      <c r="C3075" s="1">
        <v>1095927.0277838325</v>
      </c>
      <c r="D3075" s="1">
        <f t="shared" si="48"/>
        <v>-67321.844483832479</v>
      </c>
      <c r="E3075" s="1">
        <v>21</v>
      </c>
      <c r="F3075" s="1">
        <v>7</v>
      </c>
      <c r="G3075" s="1">
        <v>7</v>
      </c>
      <c r="H3075" s="1">
        <v>0</v>
      </c>
      <c r="I3075" s="1">
        <v>0</v>
      </c>
      <c r="J3075" s="1">
        <v>0</v>
      </c>
      <c r="K3075" s="1">
        <v>2</v>
      </c>
      <c r="L3075" s="1">
        <v>0</v>
      </c>
      <c r="M3075" s="1">
        <v>0</v>
      </c>
    </row>
    <row r="3076" spans="1:13">
      <c r="A3076" s="1">
        <v>3075</v>
      </c>
      <c r="B3076" s="1">
        <v>912066.26240000001</v>
      </c>
      <c r="C3076" s="1">
        <v>850089.87263162585</v>
      </c>
      <c r="D3076" s="1">
        <f t="shared" si="48"/>
        <v>61976.389768374152</v>
      </c>
      <c r="E3076" s="1">
        <v>12</v>
      </c>
      <c r="F3076" s="1">
        <v>19</v>
      </c>
      <c r="G3076" s="1">
        <v>4</v>
      </c>
      <c r="H3076" s="1">
        <v>0</v>
      </c>
      <c r="I3076" s="1">
        <v>0</v>
      </c>
      <c r="J3076" s="1">
        <v>0</v>
      </c>
      <c r="K3076" s="1">
        <v>0</v>
      </c>
      <c r="L3076" s="1">
        <v>0</v>
      </c>
      <c r="M3076" s="1">
        <v>0</v>
      </c>
    </row>
    <row r="3077" spans="1:13">
      <c r="A3077" s="1">
        <v>3076</v>
      </c>
      <c r="B3077" s="1">
        <v>914161.69539999997</v>
      </c>
      <c r="C3077" s="1">
        <v>768211.83170002804</v>
      </c>
      <c r="D3077" s="1">
        <f t="shared" si="48"/>
        <v>145949.86369997193</v>
      </c>
      <c r="E3077" s="1">
        <v>12</v>
      </c>
      <c r="F3077" s="1">
        <v>19</v>
      </c>
      <c r="G3077" s="1">
        <v>4</v>
      </c>
      <c r="H3077" s="1">
        <v>1</v>
      </c>
      <c r="I3077" s="1">
        <v>0</v>
      </c>
      <c r="J3077" s="1">
        <v>1</v>
      </c>
      <c r="K3077" s="1">
        <v>1</v>
      </c>
      <c r="L3077" s="1">
        <v>0</v>
      </c>
      <c r="M3077" s="1">
        <v>0</v>
      </c>
    </row>
    <row r="3078" spans="1:13">
      <c r="A3078" s="1">
        <v>3077</v>
      </c>
      <c r="B3078" s="1">
        <v>988377.95819999999</v>
      </c>
      <c r="C3078" s="1">
        <v>951811.38887546363</v>
      </c>
      <c r="D3078" s="1">
        <f t="shared" si="48"/>
        <v>36566.569324536365</v>
      </c>
      <c r="E3078" s="1">
        <v>16</v>
      </c>
      <c r="F3078" s="1">
        <v>15</v>
      </c>
      <c r="G3078" s="1">
        <v>4</v>
      </c>
      <c r="H3078" s="1">
        <v>0</v>
      </c>
      <c r="I3078" s="1">
        <v>1</v>
      </c>
      <c r="J3078" s="1">
        <v>0</v>
      </c>
      <c r="K3078" s="1">
        <v>1</v>
      </c>
      <c r="L3078" s="1">
        <v>0</v>
      </c>
      <c r="M3078" s="1">
        <v>0</v>
      </c>
    </row>
    <row r="3079" spans="1:13">
      <c r="A3079" s="1">
        <v>3078</v>
      </c>
      <c r="B3079" s="1">
        <v>1020204.0093</v>
      </c>
      <c r="C3079" s="1">
        <v>698760.47363791242</v>
      </c>
      <c r="D3079" s="1">
        <f t="shared" si="48"/>
        <v>321443.53566208761</v>
      </c>
      <c r="E3079" s="1">
        <v>8</v>
      </c>
      <c r="F3079" s="1">
        <v>22</v>
      </c>
      <c r="G3079" s="1">
        <v>5</v>
      </c>
      <c r="H3079" s="1">
        <v>1</v>
      </c>
      <c r="I3079" s="1">
        <v>1</v>
      </c>
      <c r="J3079" s="1">
        <v>1</v>
      </c>
      <c r="K3079" s="1">
        <v>0</v>
      </c>
      <c r="L3079" s="1">
        <v>0</v>
      </c>
      <c r="M3079" s="1">
        <v>1</v>
      </c>
    </row>
    <row r="3080" spans="1:13">
      <c r="A3080" s="1">
        <v>3079</v>
      </c>
      <c r="B3080" s="1">
        <v>910209.50659999996</v>
      </c>
      <c r="C3080" s="1">
        <v>852892.87177042128</v>
      </c>
      <c r="D3080" s="1">
        <f t="shared" si="48"/>
        <v>57316.634829578688</v>
      </c>
      <c r="E3080" s="1">
        <v>11</v>
      </c>
      <c r="F3080" s="1">
        <v>20</v>
      </c>
      <c r="G3080" s="1">
        <v>4</v>
      </c>
      <c r="H3080" s="1">
        <v>2</v>
      </c>
      <c r="I3080" s="1">
        <v>0</v>
      </c>
      <c r="J3080" s="1">
        <v>1</v>
      </c>
      <c r="K3080" s="1">
        <v>0</v>
      </c>
      <c r="L3080" s="1">
        <v>0</v>
      </c>
      <c r="M3080" s="1">
        <v>0</v>
      </c>
    </row>
    <row r="3081" spans="1:13">
      <c r="A3081" s="1">
        <v>3080</v>
      </c>
      <c r="B3081" s="1">
        <v>1085757.2612000001</v>
      </c>
      <c r="C3081" s="1">
        <v>1008907.0180812319</v>
      </c>
      <c r="D3081" s="1">
        <f t="shared" si="48"/>
        <v>76850.243118768209</v>
      </c>
      <c r="E3081" s="1">
        <v>9</v>
      </c>
      <c r="F3081" s="1">
        <v>18</v>
      </c>
      <c r="G3081" s="1">
        <v>8</v>
      </c>
      <c r="H3081" s="1">
        <v>0</v>
      </c>
      <c r="I3081" s="1">
        <v>0</v>
      </c>
      <c r="J3081" s="1">
        <v>0</v>
      </c>
      <c r="K3081" s="1">
        <v>1</v>
      </c>
      <c r="L3081" s="1">
        <v>0</v>
      </c>
      <c r="M3081" s="1">
        <v>0</v>
      </c>
    </row>
    <row r="3082" spans="1:13">
      <c r="A3082" s="1">
        <v>3081</v>
      </c>
      <c r="B3082" s="1">
        <v>932968.20389999996</v>
      </c>
      <c r="C3082" s="1">
        <v>796410.14756730851</v>
      </c>
      <c r="D3082" s="1">
        <f t="shared" si="48"/>
        <v>136558.05633269146</v>
      </c>
      <c r="E3082" s="1">
        <v>11</v>
      </c>
      <c r="F3082" s="1">
        <v>17</v>
      </c>
      <c r="G3082" s="1">
        <v>7</v>
      </c>
      <c r="H3082" s="1">
        <v>0</v>
      </c>
      <c r="I3082" s="1">
        <v>0</v>
      </c>
      <c r="J3082" s="1">
        <v>2</v>
      </c>
      <c r="K3082" s="1">
        <v>0</v>
      </c>
      <c r="L3082" s="1">
        <v>0</v>
      </c>
      <c r="M3082" s="1">
        <v>1</v>
      </c>
    </row>
    <row r="3083" spans="1:13">
      <c r="A3083" s="1">
        <v>3082</v>
      </c>
      <c r="B3083" s="1">
        <v>940185.64240000001</v>
      </c>
      <c r="C3083" s="1">
        <v>910254.27852118073</v>
      </c>
      <c r="D3083" s="1">
        <f t="shared" si="48"/>
        <v>29931.363878819277</v>
      </c>
      <c r="E3083" s="1">
        <v>10</v>
      </c>
      <c r="F3083" s="1">
        <v>20</v>
      </c>
      <c r="G3083" s="1">
        <v>5</v>
      </c>
      <c r="H3083" s="1">
        <v>0</v>
      </c>
      <c r="I3083" s="1">
        <v>1</v>
      </c>
      <c r="J3083" s="1">
        <v>0</v>
      </c>
      <c r="K3083" s="1">
        <v>2</v>
      </c>
      <c r="L3083" s="1">
        <v>0</v>
      </c>
      <c r="M3083" s="1">
        <v>0</v>
      </c>
    </row>
    <row r="3084" spans="1:13">
      <c r="A3084" s="1">
        <v>3083</v>
      </c>
      <c r="B3084" s="1">
        <v>896966.79790000001</v>
      </c>
      <c r="C3084" s="1">
        <v>974636.46781014372</v>
      </c>
      <c r="D3084" s="1">
        <f t="shared" si="48"/>
        <v>-77669.669910143712</v>
      </c>
      <c r="E3084" s="1">
        <v>6</v>
      </c>
      <c r="F3084" s="1">
        <v>23</v>
      </c>
      <c r="G3084" s="1">
        <v>6</v>
      </c>
      <c r="H3084" s="1">
        <v>0</v>
      </c>
      <c r="I3084" s="1">
        <v>0</v>
      </c>
      <c r="J3084" s="1">
        <v>2</v>
      </c>
      <c r="K3084" s="1">
        <v>0</v>
      </c>
      <c r="L3084" s="1">
        <v>0</v>
      </c>
      <c r="M3084" s="1">
        <v>1</v>
      </c>
    </row>
    <row r="3085" spans="1:13">
      <c r="A3085" s="1">
        <v>3084</v>
      </c>
      <c r="B3085" s="1">
        <v>999306.47210000001</v>
      </c>
      <c r="C3085" s="1">
        <v>855320.59827185981</v>
      </c>
      <c r="D3085" s="1">
        <f t="shared" si="48"/>
        <v>143985.8738281402</v>
      </c>
      <c r="E3085" s="1">
        <v>17</v>
      </c>
      <c r="F3085" s="1">
        <v>14</v>
      </c>
      <c r="G3085" s="1">
        <v>4</v>
      </c>
      <c r="H3085" s="1">
        <v>0</v>
      </c>
      <c r="I3085" s="1">
        <v>0</v>
      </c>
      <c r="J3085" s="1">
        <v>1</v>
      </c>
      <c r="K3085" s="1">
        <v>0</v>
      </c>
      <c r="L3085" s="1">
        <v>0</v>
      </c>
      <c r="M3085" s="1">
        <v>1</v>
      </c>
    </row>
    <row r="3086" spans="1:13">
      <c r="A3086" s="1">
        <v>3085</v>
      </c>
      <c r="B3086" s="1">
        <v>834739.05689999997</v>
      </c>
      <c r="C3086" s="1">
        <v>891870.47322719335</v>
      </c>
      <c r="D3086" s="1">
        <f t="shared" si="48"/>
        <v>-57131.416327193379</v>
      </c>
      <c r="E3086" s="1">
        <v>9</v>
      </c>
      <c r="F3086" s="1">
        <v>24</v>
      </c>
      <c r="G3086" s="1">
        <v>2</v>
      </c>
      <c r="H3086" s="1">
        <v>2</v>
      </c>
      <c r="I3086" s="1">
        <v>0</v>
      </c>
      <c r="J3086" s="1">
        <v>1</v>
      </c>
      <c r="K3086" s="1">
        <v>1</v>
      </c>
      <c r="L3086" s="1">
        <v>0</v>
      </c>
      <c r="M3086" s="1">
        <v>0</v>
      </c>
    </row>
    <row r="3087" spans="1:13">
      <c r="A3087" s="1">
        <v>3086</v>
      </c>
      <c r="B3087" s="1">
        <v>833476.12919999997</v>
      </c>
      <c r="C3087" s="1">
        <v>723820.3191905322</v>
      </c>
      <c r="D3087" s="1">
        <f t="shared" si="48"/>
        <v>109655.81000946776</v>
      </c>
      <c r="E3087" s="1">
        <v>29</v>
      </c>
      <c r="F3087" s="1">
        <v>4</v>
      </c>
      <c r="G3087" s="1">
        <v>2</v>
      </c>
      <c r="H3087" s="1">
        <v>2</v>
      </c>
      <c r="I3087" s="1">
        <v>0</v>
      </c>
      <c r="J3087" s="1">
        <v>0</v>
      </c>
      <c r="K3087" s="1">
        <v>2</v>
      </c>
      <c r="L3087" s="1">
        <v>0</v>
      </c>
      <c r="M3087" s="1">
        <v>0</v>
      </c>
    </row>
    <row r="3088" spans="1:13">
      <c r="A3088" s="1">
        <v>3087</v>
      </c>
      <c r="B3088" s="1">
        <v>849580.49329999997</v>
      </c>
      <c r="C3088" s="1">
        <v>891446.21508733893</v>
      </c>
      <c r="D3088" s="1">
        <f t="shared" si="48"/>
        <v>-41865.72178733896</v>
      </c>
      <c r="E3088" s="1">
        <v>15</v>
      </c>
      <c r="F3088" s="1">
        <v>15</v>
      </c>
      <c r="G3088" s="1">
        <v>5</v>
      </c>
      <c r="H3088" s="1">
        <v>2</v>
      </c>
      <c r="I3088" s="1">
        <v>0</v>
      </c>
      <c r="J3088" s="1">
        <v>1</v>
      </c>
      <c r="K3088" s="1">
        <v>0</v>
      </c>
      <c r="L3088" s="1">
        <v>0</v>
      </c>
      <c r="M3088" s="1">
        <v>0</v>
      </c>
    </row>
    <row r="3089" spans="1:13">
      <c r="A3089" s="1">
        <v>3088</v>
      </c>
      <c r="B3089" s="1">
        <v>1042671.3345999999</v>
      </c>
      <c r="C3089" s="1">
        <v>587301.85929046478</v>
      </c>
      <c r="D3089" s="1">
        <f t="shared" si="48"/>
        <v>455369.47530953516</v>
      </c>
      <c r="E3089" s="1">
        <v>13</v>
      </c>
      <c r="F3089" s="1">
        <v>16</v>
      </c>
      <c r="G3089" s="1">
        <v>6</v>
      </c>
      <c r="H3089" s="1">
        <v>2</v>
      </c>
      <c r="I3089" s="1">
        <v>0</v>
      </c>
      <c r="J3089" s="1">
        <v>2</v>
      </c>
      <c r="K3089" s="1">
        <v>0</v>
      </c>
      <c r="L3089" s="1">
        <v>0</v>
      </c>
      <c r="M3089" s="1">
        <v>1</v>
      </c>
    </row>
    <row r="3090" spans="1:13">
      <c r="A3090" s="1">
        <v>3089</v>
      </c>
      <c r="B3090" s="1">
        <v>846849.78650000005</v>
      </c>
      <c r="C3090" s="1">
        <v>1237140.786261816</v>
      </c>
      <c r="D3090" s="1">
        <f t="shared" si="48"/>
        <v>-390290.999761816</v>
      </c>
      <c r="E3090" s="1">
        <v>13</v>
      </c>
      <c r="F3090" s="1">
        <v>19</v>
      </c>
      <c r="G3090" s="1">
        <v>3</v>
      </c>
      <c r="H3090" s="1">
        <v>1</v>
      </c>
      <c r="I3090" s="1">
        <v>0</v>
      </c>
      <c r="J3090" s="1">
        <v>0</v>
      </c>
      <c r="K3090" s="1">
        <v>0</v>
      </c>
      <c r="L3090" s="1">
        <v>0</v>
      </c>
      <c r="M3090" s="1">
        <v>0</v>
      </c>
    </row>
    <row r="3091" spans="1:13">
      <c r="A3091" s="1">
        <v>3090</v>
      </c>
      <c r="B3091" s="1">
        <v>870783.12890000001</v>
      </c>
      <c r="C3091" s="1">
        <v>725417.60015825031</v>
      </c>
      <c r="D3091" s="1">
        <f t="shared" si="48"/>
        <v>145365.5287417497</v>
      </c>
      <c r="E3091" s="1">
        <v>18</v>
      </c>
      <c r="F3091" s="1">
        <v>14</v>
      </c>
      <c r="G3091" s="1">
        <v>3</v>
      </c>
      <c r="H3091" s="1">
        <v>0</v>
      </c>
      <c r="I3091" s="1">
        <v>0</v>
      </c>
      <c r="J3091" s="1">
        <v>1</v>
      </c>
      <c r="K3091" s="1">
        <v>0</v>
      </c>
      <c r="L3091" s="1">
        <v>0</v>
      </c>
      <c r="M3091" s="1">
        <v>0</v>
      </c>
    </row>
    <row r="3092" spans="1:13">
      <c r="A3092" s="1">
        <v>3091</v>
      </c>
      <c r="B3092" s="1">
        <v>960578.33310000005</v>
      </c>
      <c r="C3092" s="1">
        <v>1217389.5964952908</v>
      </c>
      <c r="D3092" s="1">
        <f t="shared" si="48"/>
        <v>-256811.26339529071</v>
      </c>
      <c r="E3092" s="1">
        <v>15</v>
      </c>
      <c r="F3092" s="1">
        <v>11</v>
      </c>
      <c r="G3092" s="1">
        <v>9</v>
      </c>
      <c r="H3092" s="1">
        <v>2</v>
      </c>
      <c r="I3092" s="1">
        <v>0</v>
      </c>
      <c r="J3092" s="1">
        <v>0</v>
      </c>
      <c r="K3092" s="1">
        <v>0</v>
      </c>
      <c r="L3092" s="1">
        <v>0</v>
      </c>
      <c r="M3092" s="1">
        <v>1</v>
      </c>
    </row>
    <row r="3093" spans="1:13">
      <c r="A3093" s="1">
        <v>3092</v>
      </c>
      <c r="B3093" s="1">
        <v>918881.00760000001</v>
      </c>
      <c r="C3093" s="1">
        <v>447458.541527236</v>
      </c>
      <c r="D3093" s="1">
        <f t="shared" si="48"/>
        <v>471422.46607276401</v>
      </c>
      <c r="E3093" s="1">
        <v>12</v>
      </c>
      <c r="F3093" s="1">
        <v>20</v>
      </c>
      <c r="G3093" s="1">
        <v>3</v>
      </c>
      <c r="H3093" s="1">
        <v>0</v>
      </c>
      <c r="I3093" s="1">
        <v>0</v>
      </c>
      <c r="J3093" s="1">
        <v>0</v>
      </c>
      <c r="K3093" s="1">
        <v>1</v>
      </c>
      <c r="L3093" s="1">
        <v>0</v>
      </c>
      <c r="M3093" s="1">
        <v>0</v>
      </c>
    </row>
    <row r="3094" spans="1:13">
      <c r="A3094" s="1">
        <v>3093</v>
      </c>
      <c r="B3094" s="1">
        <v>891734.1666</v>
      </c>
      <c r="C3094" s="1">
        <v>959777.81778517715</v>
      </c>
      <c r="D3094" s="1">
        <f t="shared" si="48"/>
        <v>-68043.65118517715</v>
      </c>
      <c r="E3094" s="1">
        <v>12</v>
      </c>
      <c r="F3094" s="1">
        <v>19</v>
      </c>
      <c r="G3094" s="1">
        <v>4</v>
      </c>
      <c r="H3094" s="1">
        <v>2</v>
      </c>
      <c r="I3094" s="1">
        <v>0</v>
      </c>
      <c r="J3094" s="1">
        <v>0</v>
      </c>
      <c r="K3094" s="1">
        <v>1</v>
      </c>
      <c r="L3094" s="1">
        <v>0</v>
      </c>
      <c r="M3094" s="1">
        <v>1</v>
      </c>
    </row>
    <row r="3095" spans="1:13">
      <c r="A3095" s="1">
        <v>3094</v>
      </c>
      <c r="B3095" s="1">
        <v>887804.72770000005</v>
      </c>
      <c r="C3095" s="1">
        <v>872172.10368436656</v>
      </c>
      <c r="D3095" s="1">
        <f t="shared" si="48"/>
        <v>15632.624015633482</v>
      </c>
      <c r="E3095" s="1">
        <v>13</v>
      </c>
      <c r="F3095" s="1">
        <v>18</v>
      </c>
      <c r="G3095" s="1">
        <v>4</v>
      </c>
      <c r="H3095" s="1">
        <v>0</v>
      </c>
      <c r="I3095" s="1">
        <v>0</v>
      </c>
      <c r="J3095" s="1">
        <v>0</v>
      </c>
      <c r="K3095" s="1">
        <v>1</v>
      </c>
      <c r="L3095" s="1">
        <v>0</v>
      </c>
      <c r="M3095" s="1">
        <v>0</v>
      </c>
    </row>
    <row r="3096" spans="1:13">
      <c r="A3096" s="1">
        <v>3095</v>
      </c>
      <c r="B3096" s="1">
        <v>925586.99</v>
      </c>
      <c r="C3096" s="1">
        <v>603488.74012743949</v>
      </c>
      <c r="D3096" s="1">
        <f t="shared" si="48"/>
        <v>322098.2498725605</v>
      </c>
      <c r="E3096" s="1">
        <v>15</v>
      </c>
      <c r="F3096" s="1">
        <v>14</v>
      </c>
      <c r="G3096" s="1">
        <v>6</v>
      </c>
      <c r="H3096" s="1">
        <v>2</v>
      </c>
      <c r="I3096" s="1">
        <v>0</v>
      </c>
      <c r="J3096" s="1">
        <v>0</v>
      </c>
      <c r="K3096" s="1">
        <v>0</v>
      </c>
      <c r="L3096" s="1">
        <v>0</v>
      </c>
      <c r="M3096" s="1">
        <v>0</v>
      </c>
    </row>
    <row r="3097" spans="1:13">
      <c r="A3097" s="1">
        <v>3096</v>
      </c>
      <c r="B3097" s="1">
        <v>962820.33700000006</v>
      </c>
      <c r="C3097" s="1">
        <v>1025985.3990484835</v>
      </c>
      <c r="D3097" s="1">
        <f t="shared" si="48"/>
        <v>-63165.062048483407</v>
      </c>
      <c r="E3097" s="1">
        <v>18</v>
      </c>
      <c r="F3097" s="1">
        <v>12</v>
      </c>
      <c r="G3097" s="1">
        <v>5</v>
      </c>
      <c r="H3097" s="1">
        <v>1</v>
      </c>
      <c r="I3097" s="1">
        <v>0</v>
      </c>
      <c r="J3097" s="1">
        <v>1</v>
      </c>
      <c r="K3097" s="1">
        <v>0</v>
      </c>
      <c r="L3097" s="1">
        <v>0</v>
      </c>
      <c r="M3097" s="1">
        <v>0</v>
      </c>
    </row>
    <row r="3098" spans="1:13">
      <c r="A3098" s="1">
        <v>3097</v>
      </c>
      <c r="B3098" s="1">
        <v>902146.64520000003</v>
      </c>
      <c r="C3098" s="1">
        <v>800298.3693535435</v>
      </c>
      <c r="D3098" s="1">
        <f t="shared" si="48"/>
        <v>101848.27584645653</v>
      </c>
      <c r="E3098" s="1">
        <v>18</v>
      </c>
      <c r="F3098" s="1">
        <v>14</v>
      </c>
      <c r="G3098" s="1">
        <v>3</v>
      </c>
      <c r="H3098" s="1">
        <v>1</v>
      </c>
      <c r="I3098" s="1">
        <v>1</v>
      </c>
      <c r="J3098" s="1">
        <v>0</v>
      </c>
      <c r="K3098" s="1">
        <v>0</v>
      </c>
      <c r="L3098" s="1">
        <v>0</v>
      </c>
      <c r="M3098" s="1">
        <v>1</v>
      </c>
    </row>
    <row r="3099" spans="1:13">
      <c r="A3099" s="1">
        <v>3098</v>
      </c>
      <c r="B3099" s="1">
        <v>955463.82160000002</v>
      </c>
      <c r="C3099" s="1">
        <v>729248.5158224206</v>
      </c>
      <c r="D3099" s="1">
        <f t="shared" si="48"/>
        <v>226215.30577757943</v>
      </c>
      <c r="E3099" s="1">
        <v>10</v>
      </c>
      <c r="F3099" s="1">
        <v>19</v>
      </c>
      <c r="G3099" s="1">
        <v>6</v>
      </c>
      <c r="H3099" s="1">
        <v>2</v>
      </c>
      <c r="I3099" s="1">
        <v>0</v>
      </c>
      <c r="J3099" s="1">
        <v>0</v>
      </c>
      <c r="K3099" s="1">
        <v>0</v>
      </c>
      <c r="L3099" s="1">
        <v>0</v>
      </c>
      <c r="M3099" s="1">
        <v>0</v>
      </c>
    </row>
    <row r="3100" spans="1:13">
      <c r="A3100" s="1">
        <v>3099</v>
      </c>
      <c r="B3100" s="1">
        <v>993397.20460000006</v>
      </c>
      <c r="C3100" s="1">
        <v>673018.1515683179</v>
      </c>
      <c r="D3100" s="1">
        <f t="shared" si="48"/>
        <v>320379.05303168215</v>
      </c>
      <c r="E3100" s="1">
        <v>6</v>
      </c>
      <c r="F3100" s="1">
        <v>23</v>
      </c>
      <c r="G3100" s="1">
        <v>6</v>
      </c>
      <c r="H3100" s="1">
        <v>1</v>
      </c>
      <c r="I3100" s="1">
        <v>0</v>
      </c>
      <c r="J3100" s="1">
        <v>0</v>
      </c>
      <c r="K3100" s="1">
        <v>0</v>
      </c>
      <c r="L3100" s="1">
        <v>0</v>
      </c>
      <c r="M3100" s="1">
        <v>0</v>
      </c>
    </row>
    <row r="3101" spans="1:13">
      <c r="A3101" s="1">
        <v>3100</v>
      </c>
      <c r="B3101" s="1">
        <v>922238.12439999997</v>
      </c>
      <c r="C3101" s="1">
        <v>584093.80821748846</v>
      </c>
      <c r="D3101" s="1">
        <f t="shared" si="48"/>
        <v>338144.31618251151</v>
      </c>
      <c r="E3101" s="1">
        <v>15</v>
      </c>
      <c r="F3101" s="1">
        <v>14</v>
      </c>
      <c r="G3101" s="1">
        <v>6</v>
      </c>
      <c r="H3101" s="1">
        <v>0</v>
      </c>
      <c r="I3101" s="1">
        <v>0</v>
      </c>
      <c r="J3101" s="1">
        <v>1</v>
      </c>
      <c r="K3101" s="1">
        <v>1</v>
      </c>
      <c r="L3101" s="1">
        <v>0</v>
      </c>
      <c r="M3101" s="1">
        <v>1</v>
      </c>
    </row>
    <row r="3102" spans="1:13">
      <c r="A3102" s="1">
        <v>3101</v>
      </c>
      <c r="B3102" s="1">
        <v>882242.23560000001</v>
      </c>
      <c r="C3102" s="1">
        <v>695656.35797558061</v>
      </c>
      <c r="D3102" s="1">
        <f t="shared" si="48"/>
        <v>186585.8776244194</v>
      </c>
      <c r="E3102" s="1">
        <v>13</v>
      </c>
      <c r="F3102" s="1">
        <v>18</v>
      </c>
      <c r="G3102" s="1">
        <v>4</v>
      </c>
      <c r="H3102" s="1">
        <v>1</v>
      </c>
      <c r="I3102" s="1">
        <v>0</v>
      </c>
      <c r="J3102" s="1">
        <v>0</v>
      </c>
      <c r="K3102" s="1">
        <v>1</v>
      </c>
      <c r="L3102" s="1">
        <v>0</v>
      </c>
      <c r="M3102" s="1">
        <v>1</v>
      </c>
    </row>
    <row r="3103" spans="1:13">
      <c r="A3103" s="1">
        <v>3102</v>
      </c>
      <c r="B3103" s="1">
        <v>950320.86069999996</v>
      </c>
      <c r="C3103" s="1">
        <v>628672.13180478394</v>
      </c>
      <c r="D3103" s="1">
        <f t="shared" si="48"/>
        <v>321648.72889521602</v>
      </c>
      <c r="E3103" s="1">
        <v>16</v>
      </c>
      <c r="F3103" s="1">
        <v>14</v>
      </c>
      <c r="G3103" s="1">
        <v>5</v>
      </c>
      <c r="H3103" s="1">
        <v>1</v>
      </c>
      <c r="I3103" s="1">
        <v>1</v>
      </c>
      <c r="J3103" s="1">
        <v>0</v>
      </c>
      <c r="K3103" s="1">
        <v>0</v>
      </c>
      <c r="L3103" s="1">
        <v>0</v>
      </c>
      <c r="M3103" s="1">
        <v>0</v>
      </c>
    </row>
    <row r="3104" spans="1:13">
      <c r="A3104" s="1">
        <v>3103</v>
      </c>
      <c r="B3104" s="1">
        <v>1092845.9358999999</v>
      </c>
      <c r="C3104" s="1">
        <v>1164029.9897119175</v>
      </c>
      <c r="D3104" s="1">
        <f t="shared" si="48"/>
        <v>-71184.053811917547</v>
      </c>
      <c r="E3104" s="1">
        <v>9</v>
      </c>
      <c r="F3104" s="1">
        <v>22</v>
      </c>
      <c r="G3104" s="1">
        <v>4</v>
      </c>
      <c r="H3104" s="1">
        <v>1</v>
      </c>
      <c r="I3104" s="1">
        <v>0</v>
      </c>
      <c r="J3104" s="1">
        <v>0</v>
      </c>
      <c r="K3104" s="1">
        <v>0</v>
      </c>
      <c r="L3104" s="1">
        <v>0</v>
      </c>
      <c r="M3104" s="1">
        <v>0</v>
      </c>
    </row>
    <row r="3105" spans="1:13">
      <c r="A3105" s="1">
        <v>3104</v>
      </c>
      <c r="B3105" s="1">
        <v>1001306.0993</v>
      </c>
      <c r="C3105" s="1">
        <v>645531.22550381836</v>
      </c>
      <c r="D3105" s="1">
        <f t="shared" si="48"/>
        <v>355774.87379618164</v>
      </c>
      <c r="E3105" s="1">
        <v>13</v>
      </c>
      <c r="F3105" s="1">
        <v>15</v>
      </c>
      <c r="G3105" s="1">
        <v>7</v>
      </c>
      <c r="H3105" s="1">
        <v>0</v>
      </c>
      <c r="I3105" s="1">
        <v>0</v>
      </c>
      <c r="J3105" s="1">
        <v>0</v>
      </c>
      <c r="K3105" s="1">
        <v>1</v>
      </c>
      <c r="L3105" s="1">
        <v>0</v>
      </c>
      <c r="M3105" s="1">
        <v>0</v>
      </c>
    </row>
    <row r="3106" spans="1:13">
      <c r="A3106" s="1">
        <v>3105</v>
      </c>
      <c r="B3106" s="1">
        <v>982216.62199999997</v>
      </c>
      <c r="C3106" s="1">
        <v>1103909.4236503737</v>
      </c>
      <c r="D3106" s="1">
        <f t="shared" si="48"/>
        <v>-121692.80165037373</v>
      </c>
      <c r="E3106" s="1">
        <v>11</v>
      </c>
      <c r="F3106" s="1">
        <v>20</v>
      </c>
      <c r="G3106" s="1">
        <v>4</v>
      </c>
      <c r="H3106" s="1">
        <v>0</v>
      </c>
      <c r="I3106" s="1">
        <v>1</v>
      </c>
      <c r="J3106" s="1">
        <v>1</v>
      </c>
      <c r="K3106" s="1">
        <v>0</v>
      </c>
      <c r="L3106" s="1">
        <v>0</v>
      </c>
      <c r="M3106" s="1">
        <v>0</v>
      </c>
    </row>
    <row r="3107" spans="1:13">
      <c r="A3107" s="1">
        <v>3106</v>
      </c>
      <c r="B3107" s="1">
        <v>901021.83219999995</v>
      </c>
      <c r="C3107" s="1">
        <v>687533.12581971509</v>
      </c>
      <c r="D3107" s="1">
        <f t="shared" si="48"/>
        <v>213488.70638028486</v>
      </c>
      <c r="E3107" s="1">
        <v>16</v>
      </c>
      <c r="F3107" s="1">
        <v>13</v>
      </c>
      <c r="G3107" s="1">
        <v>6</v>
      </c>
      <c r="H3107" s="1">
        <v>1</v>
      </c>
      <c r="I3107" s="1">
        <v>0</v>
      </c>
      <c r="J3107" s="1">
        <v>0</v>
      </c>
      <c r="K3107" s="1">
        <v>1</v>
      </c>
      <c r="L3107" s="1">
        <v>0</v>
      </c>
      <c r="M3107" s="1">
        <v>1</v>
      </c>
    </row>
    <row r="3108" spans="1:13">
      <c r="A3108" s="1">
        <v>3107</v>
      </c>
      <c r="B3108" s="1">
        <v>954724.99100000004</v>
      </c>
      <c r="C3108" s="1">
        <v>656382.25196031295</v>
      </c>
      <c r="D3108" s="1">
        <f t="shared" si="48"/>
        <v>298342.73903968709</v>
      </c>
      <c r="E3108" s="1">
        <v>9</v>
      </c>
      <c r="F3108" s="1">
        <v>19</v>
      </c>
      <c r="G3108" s="1">
        <v>7</v>
      </c>
      <c r="H3108" s="1">
        <v>1</v>
      </c>
      <c r="I3108" s="1">
        <v>0</v>
      </c>
      <c r="J3108" s="1">
        <v>0</v>
      </c>
      <c r="K3108" s="1">
        <v>1</v>
      </c>
      <c r="L3108" s="1">
        <v>0</v>
      </c>
      <c r="M3108" s="1">
        <v>0</v>
      </c>
    </row>
    <row r="3109" spans="1:13">
      <c r="A3109" s="1">
        <v>3108</v>
      </c>
      <c r="B3109" s="1">
        <v>914312.10900000005</v>
      </c>
      <c r="C3109" s="1">
        <v>819079.10859933984</v>
      </c>
      <c r="D3109" s="1">
        <f t="shared" si="48"/>
        <v>95233.00040066021</v>
      </c>
      <c r="E3109" s="1">
        <v>15</v>
      </c>
      <c r="F3109" s="1">
        <v>10</v>
      </c>
      <c r="G3109" s="1">
        <v>10</v>
      </c>
      <c r="H3109" s="1">
        <v>0</v>
      </c>
      <c r="I3109" s="1">
        <v>1</v>
      </c>
      <c r="J3109" s="1">
        <v>0</v>
      </c>
      <c r="K3109" s="1">
        <v>1</v>
      </c>
      <c r="L3109" s="1">
        <v>0</v>
      </c>
      <c r="M3109" s="1">
        <v>0</v>
      </c>
    </row>
    <row r="3110" spans="1:13">
      <c r="A3110" s="1">
        <v>3109</v>
      </c>
      <c r="B3110" s="1">
        <v>887632.64080000005</v>
      </c>
      <c r="C3110" s="1">
        <v>619659.59946093382</v>
      </c>
      <c r="D3110" s="1">
        <f t="shared" si="48"/>
        <v>267973.04133906623</v>
      </c>
      <c r="E3110" s="1">
        <v>15</v>
      </c>
      <c r="F3110" s="1">
        <v>15</v>
      </c>
      <c r="G3110" s="1">
        <v>5</v>
      </c>
      <c r="H3110" s="1">
        <v>2</v>
      </c>
      <c r="I3110" s="1">
        <v>0</v>
      </c>
      <c r="J3110" s="1">
        <v>1</v>
      </c>
      <c r="K3110" s="1">
        <v>1</v>
      </c>
      <c r="L3110" s="1">
        <v>0</v>
      </c>
      <c r="M3110" s="1">
        <v>0</v>
      </c>
    </row>
    <row r="3111" spans="1:13">
      <c r="A3111" s="1">
        <v>3110</v>
      </c>
      <c r="B3111" s="1">
        <v>960589.2807</v>
      </c>
      <c r="C3111" s="1">
        <v>727338.66754006816</v>
      </c>
      <c r="D3111" s="1">
        <f t="shared" si="48"/>
        <v>233250.61315993185</v>
      </c>
      <c r="E3111" s="1">
        <v>17</v>
      </c>
      <c r="F3111" s="1">
        <v>14</v>
      </c>
      <c r="G3111" s="1">
        <v>4</v>
      </c>
      <c r="H3111" s="1">
        <v>0</v>
      </c>
      <c r="I3111" s="1">
        <v>1</v>
      </c>
      <c r="J3111" s="1">
        <v>1</v>
      </c>
      <c r="K3111" s="1">
        <v>1</v>
      </c>
      <c r="L3111" s="1">
        <v>0</v>
      </c>
      <c r="M3111" s="1">
        <v>0</v>
      </c>
    </row>
    <row r="3112" spans="1:13">
      <c r="A3112" s="1">
        <v>3111</v>
      </c>
      <c r="B3112" s="1">
        <v>914068.54550000001</v>
      </c>
      <c r="C3112" s="1">
        <v>721830.3847419034</v>
      </c>
      <c r="D3112" s="1">
        <f t="shared" si="48"/>
        <v>192238.16075809661</v>
      </c>
      <c r="E3112" s="1">
        <v>8</v>
      </c>
      <c r="F3112" s="1">
        <v>19</v>
      </c>
      <c r="G3112" s="1">
        <v>8</v>
      </c>
      <c r="H3112" s="1">
        <v>1</v>
      </c>
      <c r="I3112" s="1">
        <v>0</v>
      </c>
      <c r="J3112" s="1">
        <v>0</v>
      </c>
      <c r="K3112" s="1">
        <v>2</v>
      </c>
      <c r="L3112" s="1">
        <v>0</v>
      </c>
      <c r="M3112" s="1">
        <v>0</v>
      </c>
    </row>
    <row r="3113" spans="1:13">
      <c r="A3113" s="1">
        <v>3112</v>
      </c>
      <c r="B3113" s="1">
        <v>919600.89359999995</v>
      </c>
      <c r="C3113" s="1">
        <v>1168449.9284691482</v>
      </c>
      <c r="D3113" s="1">
        <f t="shared" si="48"/>
        <v>-248849.03486914828</v>
      </c>
      <c r="E3113" s="1">
        <v>11</v>
      </c>
      <c r="F3113" s="1">
        <v>21</v>
      </c>
      <c r="G3113" s="1">
        <v>3</v>
      </c>
      <c r="H3113" s="1">
        <v>2</v>
      </c>
      <c r="I3113" s="1">
        <v>0</v>
      </c>
      <c r="J3113" s="1">
        <v>0</v>
      </c>
      <c r="K3113" s="1">
        <v>0</v>
      </c>
      <c r="L3113" s="1">
        <v>0</v>
      </c>
      <c r="M3113" s="1">
        <v>1</v>
      </c>
    </row>
    <row r="3114" spans="1:13">
      <c r="A3114" s="1">
        <v>3113</v>
      </c>
      <c r="B3114" s="1">
        <v>929775.6</v>
      </c>
      <c r="C3114" s="1">
        <v>1011270.5840988889</v>
      </c>
      <c r="D3114" s="1">
        <f t="shared" si="48"/>
        <v>-81494.984098888934</v>
      </c>
      <c r="E3114" s="1">
        <v>18</v>
      </c>
      <c r="F3114" s="1">
        <v>15</v>
      </c>
      <c r="G3114" s="1">
        <v>2</v>
      </c>
      <c r="H3114" s="1">
        <v>0</v>
      </c>
      <c r="I3114" s="1">
        <v>1</v>
      </c>
      <c r="J3114" s="1">
        <v>1</v>
      </c>
      <c r="K3114" s="1">
        <v>0</v>
      </c>
      <c r="L3114" s="1">
        <v>0</v>
      </c>
      <c r="M3114" s="1">
        <v>0</v>
      </c>
    </row>
    <row r="3115" spans="1:13">
      <c r="A3115" s="1">
        <v>3114</v>
      </c>
      <c r="B3115" s="1">
        <v>971346.2254</v>
      </c>
      <c r="C3115" s="1">
        <v>925645.90637381887</v>
      </c>
      <c r="D3115" s="1">
        <f t="shared" si="48"/>
        <v>45700.319026181125</v>
      </c>
      <c r="E3115" s="1">
        <v>9</v>
      </c>
      <c r="F3115" s="1">
        <v>20</v>
      </c>
      <c r="G3115" s="1">
        <v>6</v>
      </c>
      <c r="H3115" s="1">
        <v>1</v>
      </c>
      <c r="I3115" s="1">
        <v>0</v>
      </c>
      <c r="J3115" s="1">
        <v>1</v>
      </c>
      <c r="K3115" s="1">
        <v>1</v>
      </c>
      <c r="L3115" s="1">
        <v>0</v>
      </c>
      <c r="M3115" s="1">
        <v>0</v>
      </c>
    </row>
    <row r="3116" spans="1:13">
      <c r="A3116" s="1">
        <v>3115</v>
      </c>
      <c r="B3116" s="1">
        <v>849264.46299999999</v>
      </c>
      <c r="C3116" s="1">
        <v>1147362.4674708238</v>
      </c>
      <c r="D3116" s="1">
        <f t="shared" si="48"/>
        <v>-298098.0044708238</v>
      </c>
      <c r="E3116" s="1">
        <v>20</v>
      </c>
      <c r="F3116" s="1">
        <v>9</v>
      </c>
      <c r="G3116" s="1">
        <v>6</v>
      </c>
      <c r="H3116" s="1">
        <v>1</v>
      </c>
      <c r="I3116" s="1">
        <v>0</v>
      </c>
      <c r="J3116" s="1">
        <v>1</v>
      </c>
      <c r="K3116" s="1">
        <v>0</v>
      </c>
      <c r="L3116" s="1">
        <v>0</v>
      </c>
      <c r="M3116" s="1">
        <v>0</v>
      </c>
    </row>
    <row r="3117" spans="1:13">
      <c r="A3117" s="1">
        <v>3116</v>
      </c>
      <c r="B3117" s="1">
        <v>1001725.0736</v>
      </c>
      <c r="C3117" s="1">
        <v>1037128.3189872062</v>
      </c>
      <c r="D3117" s="1">
        <f t="shared" si="48"/>
        <v>-35403.245387206203</v>
      </c>
      <c r="E3117" s="1">
        <v>13</v>
      </c>
      <c r="F3117" s="1">
        <v>15</v>
      </c>
      <c r="G3117" s="1">
        <v>7</v>
      </c>
      <c r="H3117" s="1">
        <v>0</v>
      </c>
      <c r="I3117" s="1">
        <v>0</v>
      </c>
      <c r="J3117" s="1">
        <v>0</v>
      </c>
      <c r="K3117" s="1">
        <v>0</v>
      </c>
      <c r="L3117" s="1">
        <v>0</v>
      </c>
      <c r="M3117" s="1">
        <v>0</v>
      </c>
    </row>
    <row r="3118" spans="1:13">
      <c r="A3118" s="1">
        <v>3117</v>
      </c>
      <c r="B3118" s="1">
        <v>1004519.1519000001</v>
      </c>
      <c r="C3118" s="1">
        <v>1215638.8183284043</v>
      </c>
      <c r="D3118" s="1">
        <f t="shared" si="48"/>
        <v>-211119.66642840428</v>
      </c>
      <c r="E3118" s="1">
        <v>5</v>
      </c>
      <c r="F3118" s="1">
        <v>26</v>
      </c>
      <c r="G3118" s="1">
        <v>4</v>
      </c>
      <c r="H3118" s="1">
        <v>0</v>
      </c>
      <c r="I3118" s="1">
        <v>0</v>
      </c>
      <c r="J3118" s="1">
        <v>0</v>
      </c>
      <c r="K3118" s="1">
        <v>1</v>
      </c>
      <c r="L3118" s="1">
        <v>0</v>
      </c>
      <c r="M3118" s="1">
        <v>0</v>
      </c>
    </row>
    <row r="3119" spans="1:13">
      <c r="A3119" s="1">
        <v>3118</v>
      </c>
      <c r="B3119" s="1">
        <v>924712.58730000001</v>
      </c>
      <c r="C3119" s="1">
        <v>1087649.0691691688</v>
      </c>
      <c r="D3119" s="1">
        <f t="shared" si="48"/>
        <v>-162936.48186916881</v>
      </c>
      <c r="E3119" s="1">
        <v>13</v>
      </c>
      <c r="F3119" s="1">
        <v>18</v>
      </c>
      <c r="G3119" s="1">
        <v>4</v>
      </c>
      <c r="H3119" s="1">
        <v>0</v>
      </c>
      <c r="I3119" s="1">
        <v>1</v>
      </c>
      <c r="J3119" s="1">
        <v>1</v>
      </c>
      <c r="K3119" s="1">
        <v>1</v>
      </c>
      <c r="L3119" s="1">
        <v>0</v>
      </c>
      <c r="M3119" s="1">
        <v>1</v>
      </c>
    </row>
    <row r="3120" spans="1:13">
      <c r="A3120" s="1">
        <v>3119</v>
      </c>
      <c r="B3120" s="1">
        <v>901804.51419999998</v>
      </c>
      <c r="C3120" s="1">
        <v>782081.71700829535</v>
      </c>
      <c r="D3120" s="1">
        <f t="shared" si="48"/>
        <v>119722.79719170462</v>
      </c>
      <c r="E3120" s="1">
        <v>7</v>
      </c>
      <c r="F3120" s="1">
        <v>21</v>
      </c>
      <c r="G3120" s="1">
        <v>7</v>
      </c>
      <c r="H3120" s="1">
        <v>1</v>
      </c>
      <c r="I3120" s="1">
        <v>1</v>
      </c>
      <c r="J3120" s="1">
        <v>0</v>
      </c>
      <c r="K3120" s="1">
        <v>1</v>
      </c>
      <c r="L3120" s="1">
        <v>0</v>
      </c>
      <c r="M3120" s="1">
        <v>0</v>
      </c>
    </row>
    <row r="3121" spans="1:13">
      <c r="A3121" s="1">
        <v>3120</v>
      </c>
      <c r="B3121" s="1">
        <v>928136.60080000001</v>
      </c>
      <c r="C3121" s="1">
        <v>979745.46185413201</v>
      </c>
      <c r="D3121" s="1">
        <f t="shared" si="48"/>
        <v>-51608.861054131994</v>
      </c>
      <c r="E3121" s="1">
        <v>19</v>
      </c>
      <c r="F3121" s="1">
        <v>13</v>
      </c>
      <c r="G3121" s="1">
        <v>3</v>
      </c>
      <c r="H3121" s="1">
        <v>1</v>
      </c>
      <c r="I3121" s="1">
        <v>0</v>
      </c>
      <c r="J3121" s="1">
        <v>2</v>
      </c>
      <c r="K3121" s="1">
        <v>0</v>
      </c>
      <c r="L3121" s="1">
        <v>0</v>
      </c>
      <c r="M3121" s="1">
        <v>0</v>
      </c>
    </row>
    <row r="3122" spans="1:13">
      <c r="A3122" s="1">
        <v>3121</v>
      </c>
      <c r="B3122" s="1">
        <v>965878.31350000005</v>
      </c>
      <c r="C3122" s="1">
        <v>742046.76798496919</v>
      </c>
      <c r="D3122" s="1">
        <f t="shared" si="48"/>
        <v>223831.54551503086</v>
      </c>
      <c r="E3122" s="1">
        <v>13</v>
      </c>
      <c r="F3122" s="1">
        <v>15</v>
      </c>
      <c r="G3122" s="1">
        <v>7</v>
      </c>
      <c r="H3122" s="1">
        <v>1</v>
      </c>
      <c r="I3122" s="1">
        <v>0</v>
      </c>
      <c r="J3122" s="1">
        <v>0</v>
      </c>
      <c r="K3122" s="1">
        <v>1</v>
      </c>
      <c r="L3122" s="1">
        <v>0</v>
      </c>
      <c r="M3122" s="1">
        <v>1</v>
      </c>
    </row>
    <row r="3123" spans="1:13">
      <c r="A3123" s="1">
        <v>3122</v>
      </c>
      <c r="B3123" s="1">
        <v>913825.11910000001</v>
      </c>
      <c r="C3123" s="1">
        <v>1140069.0095989997</v>
      </c>
      <c r="D3123" s="1">
        <f t="shared" si="48"/>
        <v>-226243.89049899974</v>
      </c>
      <c r="E3123" s="1">
        <v>12</v>
      </c>
      <c r="F3123" s="1">
        <v>16</v>
      </c>
      <c r="G3123" s="1">
        <v>7</v>
      </c>
      <c r="H3123" s="1">
        <v>2</v>
      </c>
      <c r="I3123" s="1">
        <v>0</v>
      </c>
      <c r="J3123" s="1">
        <v>1</v>
      </c>
      <c r="K3123" s="1">
        <v>0</v>
      </c>
      <c r="L3123" s="1">
        <v>0</v>
      </c>
      <c r="M3123" s="1">
        <v>0</v>
      </c>
    </row>
    <row r="3124" spans="1:13">
      <c r="A3124" s="1">
        <v>3123</v>
      </c>
      <c r="B3124" s="1">
        <v>863898.15449999995</v>
      </c>
      <c r="C3124" s="1">
        <v>1206901.0464935773</v>
      </c>
      <c r="D3124" s="1">
        <f t="shared" si="48"/>
        <v>-343002.89199357736</v>
      </c>
      <c r="E3124" s="1">
        <v>7</v>
      </c>
      <c r="F3124" s="1">
        <v>22</v>
      </c>
      <c r="G3124" s="1">
        <v>6</v>
      </c>
      <c r="H3124" s="1">
        <v>2</v>
      </c>
      <c r="I3124" s="1">
        <v>0</v>
      </c>
      <c r="J3124" s="1">
        <v>0</v>
      </c>
      <c r="K3124" s="1">
        <v>0</v>
      </c>
      <c r="L3124" s="1">
        <v>0</v>
      </c>
      <c r="M3124" s="1">
        <v>0</v>
      </c>
    </row>
    <row r="3125" spans="1:13">
      <c r="A3125" s="1">
        <v>3124</v>
      </c>
      <c r="B3125" s="1">
        <v>910452.4277</v>
      </c>
      <c r="C3125" s="1">
        <v>688093.19463335874</v>
      </c>
      <c r="D3125" s="1">
        <f t="shared" si="48"/>
        <v>222359.23306664126</v>
      </c>
      <c r="E3125" s="1">
        <v>16</v>
      </c>
      <c r="F3125" s="1">
        <v>16</v>
      </c>
      <c r="G3125" s="1">
        <v>3</v>
      </c>
      <c r="H3125" s="1">
        <v>0</v>
      </c>
      <c r="I3125" s="1">
        <v>0</v>
      </c>
      <c r="J3125" s="1">
        <v>2</v>
      </c>
      <c r="K3125" s="1">
        <v>0</v>
      </c>
      <c r="L3125" s="1">
        <v>0</v>
      </c>
      <c r="M3125" s="1">
        <v>0</v>
      </c>
    </row>
    <row r="3126" spans="1:13">
      <c r="A3126" s="1">
        <v>3125</v>
      </c>
      <c r="B3126" s="1">
        <v>897714.20600000001</v>
      </c>
      <c r="C3126" s="1">
        <v>576992.37966856186</v>
      </c>
      <c r="D3126" s="1">
        <f t="shared" si="48"/>
        <v>320721.82633143815</v>
      </c>
      <c r="E3126" s="1">
        <v>3</v>
      </c>
      <c r="F3126" s="1">
        <v>26</v>
      </c>
      <c r="G3126" s="1">
        <v>6</v>
      </c>
      <c r="H3126" s="1">
        <v>1</v>
      </c>
      <c r="I3126" s="1">
        <v>0</v>
      </c>
      <c r="J3126" s="1">
        <v>0</v>
      </c>
      <c r="K3126" s="1">
        <v>0</v>
      </c>
      <c r="L3126" s="1">
        <v>1</v>
      </c>
      <c r="M3126" s="1">
        <v>0</v>
      </c>
    </row>
    <row r="3127" spans="1:13">
      <c r="A3127" s="1">
        <v>3126</v>
      </c>
      <c r="B3127" s="1">
        <v>912452.77630000003</v>
      </c>
      <c r="C3127" s="1">
        <v>1127543.41448934</v>
      </c>
      <c r="D3127" s="1">
        <f t="shared" si="48"/>
        <v>-215090.63818934001</v>
      </c>
      <c r="E3127" s="1">
        <v>8</v>
      </c>
      <c r="F3127" s="1">
        <v>23</v>
      </c>
      <c r="G3127" s="1">
        <v>4</v>
      </c>
      <c r="H3127" s="1">
        <v>2</v>
      </c>
      <c r="I3127" s="1">
        <v>0</v>
      </c>
      <c r="J3127" s="1">
        <v>0</v>
      </c>
      <c r="K3127" s="1">
        <v>0</v>
      </c>
      <c r="L3127" s="1">
        <v>0</v>
      </c>
      <c r="M3127" s="1">
        <v>0</v>
      </c>
    </row>
    <row r="3128" spans="1:13">
      <c r="A3128" s="1">
        <v>3127</v>
      </c>
      <c r="B3128" s="1">
        <v>912362.93870000006</v>
      </c>
      <c r="C3128" s="1">
        <v>824222.38048888545</v>
      </c>
      <c r="D3128" s="1">
        <f t="shared" si="48"/>
        <v>88140.558211114607</v>
      </c>
      <c r="E3128" s="1">
        <v>16</v>
      </c>
      <c r="F3128" s="1">
        <v>12</v>
      </c>
      <c r="G3128" s="1">
        <v>7</v>
      </c>
      <c r="H3128" s="1">
        <v>1</v>
      </c>
      <c r="I3128" s="1">
        <v>0</v>
      </c>
      <c r="J3128" s="1">
        <v>0</v>
      </c>
      <c r="K3128" s="1">
        <v>1</v>
      </c>
      <c r="L3128" s="1">
        <v>0</v>
      </c>
      <c r="M3128" s="1">
        <v>0</v>
      </c>
    </row>
    <row r="3129" spans="1:13">
      <c r="A3129" s="1">
        <v>3128</v>
      </c>
      <c r="B3129" s="1">
        <v>973969.35210000002</v>
      </c>
      <c r="C3129" s="1">
        <v>901620.88132656168</v>
      </c>
      <c r="D3129" s="1">
        <f t="shared" si="48"/>
        <v>72348.470773438341</v>
      </c>
      <c r="E3129" s="1">
        <v>12</v>
      </c>
      <c r="F3129" s="1">
        <v>18</v>
      </c>
      <c r="G3129" s="1">
        <v>5</v>
      </c>
      <c r="H3129" s="1">
        <v>0</v>
      </c>
      <c r="I3129" s="1">
        <v>1</v>
      </c>
      <c r="J3129" s="1">
        <v>0</v>
      </c>
      <c r="K3129" s="1">
        <v>2</v>
      </c>
      <c r="L3129" s="1">
        <v>0</v>
      </c>
      <c r="M3129" s="1">
        <v>0</v>
      </c>
    </row>
    <row r="3130" spans="1:13">
      <c r="A3130" s="1">
        <v>3129</v>
      </c>
      <c r="B3130" s="1">
        <v>866067.84840000002</v>
      </c>
      <c r="C3130" s="1">
        <v>1026716.3189708976</v>
      </c>
      <c r="D3130" s="1">
        <f t="shared" si="48"/>
        <v>-160648.47057089757</v>
      </c>
      <c r="E3130" s="1">
        <v>15</v>
      </c>
      <c r="F3130" s="1">
        <v>16</v>
      </c>
      <c r="G3130" s="1">
        <v>4</v>
      </c>
      <c r="H3130" s="1">
        <v>1</v>
      </c>
      <c r="I3130" s="1">
        <v>0</v>
      </c>
      <c r="J3130" s="1">
        <v>0</v>
      </c>
      <c r="K3130" s="1">
        <v>2</v>
      </c>
      <c r="L3130" s="1">
        <v>0</v>
      </c>
      <c r="M3130" s="1">
        <v>0</v>
      </c>
    </row>
    <row r="3131" spans="1:13">
      <c r="A3131" s="1">
        <v>3130</v>
      </c>
      <c r="B3131" s="1">
        <v>867077.50199999998</v>
      </c>
      <c r="C3131" s="1">
        <v>546026.14690880675</v>
      </c>
      <c r="D3131" s="1">
        <f t="shared" si="48"/>
        <v>321051.35509119323</v>
      </c>
      <c r="E3131" s="1">
        <v>18</v>
      </c>
      <c r="F3131" s="1">
        <v>13</v>
      </c>
      <c r="G3131" s="1">
        <v>4</v>
      </c>
      <c r="H3131" s="1">
        <v>1</v>
      </c>
      <c r="I3131" s="1">
        <v>0</v>
      </c>
      <c r="J3131" s="1">
        <v>0</v>
      </c>
      <c r="K3131" s="1">
        <v>0</v>
      </c>
      <c r="L3131" s="1">
        <v>0</v>
      </c>
      <c r="M3131" s="1">
        <v>0</v>
      </c>
    </row>
    <row r="3132" spans="1:13">
      <c r="A3132" s="1">
        <v>3131</v>
      </c>
      <c r="B3132" s="1">
        <v>1010876.2682</v>
      </c>
      <c r="C3132" s="1">
        <v>862423.12933384418</v>
      </c>
      <c r="D3132" s="1">
        <f t="shared" si="48"/>
        <v>148453.13886615587</v>
      </c>
      <c r="E3132" s="1">
        <v>12</v>
      </c>
      <c r="F3132" s="1">
        <v>18</v>
      </c>
      <c r="G3132" s="1">
        <v>5</v>
      </c>
      <c r="H3132" s="1">
        <v>1</v>
      </c>
      <c r="I3132" s="1">
        <v>1</v>
      </c>
      <c r="J3132" s="1">
        <v>1</v>
      </c>
      <c r="K3132" s="1">
        <v>1</v>
      </c>
      <c r="L3132" s="1">
        <v>0</v>
      </c>
      <c r="M3132" s="1">
        <v>1</v>
      </c>
    </row>
    <row r="3133" spans="1:13">
      <c r="A3133" s="1">
        <v>3132</v>
      </c>
      <c r="B3133" s="1">
        <v>947595.2341</v>
      </c>
      <c r="C3133" s="1">
        <v>886251.85872788227</v>
      </c>
      <c r="D3133" s="1">
        <f t="shared" si="48"/>
        <v>61343.375372117735</v>
      </c>
      <c r="E3133" s="1">
        <v>15</v>
      </c>
      <c r="F3133" s="1">
        <v>10</v>
      </c>
      <c r="G3133" s="1">
        <v>10</v>
      </c>
      <c r="H3133" s="1">
        <v>0</v>
      </c>
      <c r="I3133" s="1">
        <v>0</v>
      </c>
      <c r="J3133" s="1">
        <v>0</v>
      </c>
      <c r="K3133" s="1">
        <v>0</v>
      </c>
      <c r="L3133" s="1">
        <v>0</v>
      </c>
      <c r="M3133" s="1">
        <v>0</v>
      </c>
    </row>
    <row r="3134" spans="1:13">
      <c r="A3134" s="1">
        <v>3133</v>
      </c>
      <c r="B3134" s="1">
        <v>977133.02350000001</v>
      </c>
      <c r="C3134" s="1">
        <v>1232945.3524744881</v>
      </c>
      <c r="D3134" s="1">
        <f t="shared" si="48"/>
        <v>-255812.32897448807</v>
      </c>
      <c r="E3134" s="1">
        <v>13</v>
      </c>
      <c r="F3134" s="1">
        <v>18</v>
      </c>
      <c r="G3134" s="1">
        <v>4</v>
      </c>
      <c r="H3134" s="1">
        <v>1</v>
      </c>
      <c r="I3134" s="1">
        <v>0</v>
      </c>
      <c r="J3134" s="1">
        <v>0</v>
      </c>
      <c r="K3134" s="1">
        <v>1</v>
      </c>
      <c r="L3134" s="1">
        <v>1</v>
      </c>
      <c r="M3134" s="1">
        <v>0</v>
      </c>
    </row>
    <row r="3135" spans="1:13">
      <c r="A3135" s="1">
        <v>3134</v>
      </c>
      <c r="B3135" s="1">
        <v>998562.06200000003</v>
      </c>
      <c r="C3135" s="1">
        <v>653557.10980611399</v>
      </c>
      <c r="D3135" s="1">
        <f t="shared" si="48"/>
        <v>345004.95219388604</v>
      </c>
      <c r="E3135" s="1">
        <v>6</v>
      </c>
      <c r="F3135" s="1">
        <v>27</v>
      </c>
      <c r="G3135" s="1">
        <v>2</v>
      </c>
      <c r="H3135" s="1">
        <v>0</v>
      </c>
      <c r="I3135" s="1">
        <v>0</v>
      </c>
      <c r="J3135" s="1">
        <v>2</v>
      </c>
      <c r="K3135" s="1">
        <v>0</v>
      </c>
      <c r="L3135" s="1">
        <v>0</v>
      </c>
      <c r="M3135" s="1">
        <v>0</v>
      </c>
    </row>
    <row r="3136" spans="1:13">
      <c r="A3136" s="1">
        <v>3135</v>
      </c>
      <c r="B3136" s="1">
        <v>896097.71380000003</v>
      </c>
      <c r="C3136" s="1">
        <v>980739.15396600682</v>
      </c>
      <c r="D3136" s="1">
        <f t="shared" si="48"/>
        <v>-84641.440166006796</v>
      </c>
      <c r="E3136" s="1">
        <v>14</v>
      </c>
      <c r="F3136" s="1">
        <v>16</v>
      </c>
      <c r="G3136" s="1">
        <v>5</v>
      </c>
      <c r="H3136" s="1">
        <v>2</v>
      </c>
      <c r="I3136" s="1">
        <v>0</v>
      </c>
      <c r="J3136" s="1">
        <v>0</v>
      </c>
      <c r="K3136" s="1">
        <v>2</v>
      </c>
      <c r="L3136" s="1">
        <v>0</v>
      </c>
      <c r="M3136" s="1">
        <v>1</v>
      </c>
    </row>
    <row r="3137" spans="1:13">
      <c r="A3137" s="1">
        <v>3136</v>
      </c>
      <c r="B3137" s="1">
        <v>944516.23419999995</v>
      </c>
      <c r="C3137" s="1">
        <v>806155.98421177955</v>
      </c>
      <c r="D3137" s="1">
        <f t="shared" si="48"/>
        <v>138360.2499882204</v>
      </c>
      <c r="E3137" s="1">
        <v>12</v>
      </c>
      <c r="F3137" s="1">
        <v>16</v>
      </c>
      <c r="G3137" s="1">
        <v>7</v>
      </c>
      <c r="H3137" s="1">
        <v>0</v>
      </c>
      <c r="I3137" s="1">
        <v>1</v>
      </c>
      <c r="J3137" s="1">
        <v>1</v>
      </c>
      <c r="K3137" s="1">
        <v>0</v>
      </c>
      <c r="L3137" s="1">
        <v>0</v>
      </c>
      <c r="M3137" s="1">
        <v>1</v>
      </c>
    </row>
    <row r="3138" spans="1:13">
      <c r="A3138" s="1">
        <v>3137</v>
      </c>
      <c r="B3138" s="1">
        <v>984458.72840000002</v>
      </c>
      <c r="C3138" s="1">
        <v>914103.17339919833</v>
      </c>
      <c r="D3138" s="1">
        <f t="shared" ref="D3138:D3201" si="49">B3138-C3138</f>
        <v>70355.555000801687</v>
      </c>
      <c r="E3138" s="1">
        <v>13</v>
      </c>
      <c r="F3138" s="1">
        <v>14</v>
      </c>
      <c r="G3138" s="1">
        <v>8</v>
      </c>
      <c r="H3138" s="1">
        <v>1</v>
      </c>
      <c r="I3138" s="1">
        <v>1</v>
      </c>
      <c r="J3138" s="1">
        <v>1</v>
      </c>
      <c r="K3138" s="1">
        <v>1</v>
      </c>
      <c r="L3138" s="1">
        <v>0</v>
      </c>
      <c r="M3138" s="1">
        <v>0</v>
      </c>
    </row>
    <row r="3139" spans="1:13">
      <c r="A3139" s="1">
        <v>3138</v>
      </c>
      <c r="B3139" s="1">
        <v>869243.1727</v>
      </c>
      <c r="C3139" s="1">
        <v>1034470.0434194867</v>
      </c>
      <c r="D3139" s="1">
        <f t="shared" si="49"/>
        <v>-165226.87071948673</v>
      </c>
      <c r="E3139" s="1">
        <v>11</v>
      </c>
      <c r="F3139" s="1">
        <v>20</v>
      </c>
      <c r="G3139" s="1">
        <v>4</v>
      </c>
      <c r="H3139" s="1">
        <v>0</v>
      </c>
      <c r="I3139" s="1">
        <v>0</v>
      </c>
      <c r="J3139" s="1">
        <v>0</v>
      </c>
      <c r="K3139" s="1">
        <v>0</v>
      </c>
      <c r="L3139" s="1">
        <v>0</v>
      </c>
      <c r="M3139" s="1">
        <v>0</v>
      </c>
    </row>
    <row r="3140" spans="1:13">
      <c r="A3140" s="1">
        <v>3139</v>
      </c>
      <c r="B3140" s="1">
        <v>951535.45250000001</v>
      </c>
      <c r="C3140" s="1">
        <v>802530.1938521252</v>
      </c>
      <c r="D3140" s="1">
        <f t="shared" si="49"/>
        <v>149005.25864787481</v>
      </c>
      <c r="E3140" s="1">
        <v>17</v>
      </c>
      <c r="F3140" s="1">
        <v>14</v>
      </c>
      <c r="G3140" s="1">
        <v>4</v>
      </c>
      <c r="H3140" s="1">
        <v>1</v>
      </c>
      <c r="I3140" s="1">
        <v>0</v>
      </c>
      <c r="J3140" s="1">
        <v>0</v>
      </c>
      <c r="K3140" s="1">
        <v>2</v>
      </c>
      <c r="L3140" s="1">
        <v>0</v>
      </c>
      <c r="M3140" s="1">
        <v>1</v>
      </c>
    </row>
    <row r="3141" spans="1:13">
      <c r="A3141" s="1">
        <v>3140</v>
      </c>
      <c r="B3141" s="1">
        <v>828279.00089999998</v>
      </c>
      <c r="C3141" s="1">
        <v>809190.86577046139</v>
      </c>
      <c r="D3141" s="1">
        <f t="shared" si="49"/>
        <v>19088.135129538598</v>
      </c>
      <c r="E3141" s="1">
        <v>14</v>
      </c>
      <c r="F3141" s="1">
        <v>17</v>
      </c>
      <c r="G3141" s="1">
        <v>4</v>
      </c>
      <c r="H3141" s="1">
        <v>1</v>
      </c>
      <c r="I3141" s="1">
        <v>0</v>
      </c>
      <c r="J3141" s="1">
        <v>0</v>
      </c>
      <c r="K3141" s="1">
        <v>0</v>
      </c>
      <c r="L3141" s="1">
        <v>0</v>
      </c>
      <c r="M3141" s="1">
        <v>1</v>
      </c>
    </row>
    <row r="3142" spans="1:13">
      <c r="A3142" s="1">
        <v>3141</v>
      </c>
      <c r="B3142" s="1">
        <v>960744.6237</v>
      </c>
      <c r="C3142" s="1">
        <v>1066292.4967279071</v>
      </c>
      <c r="D3142" s="1">
        <f t="shared" si="49"/>
        <v>-105547.8730279071</v>
      </c>
      <c r="E3142" s="1">
        <v>16</v>
      </c>
      <c r="F3142" s="1">
        <v>14</v>
      </c>
      <c r="G3142" s="1">
        <v>5</v>
      </c>
      <c r="H3142" s="1">
        <v>1</v>
      </c>
      <c r="I3142" s="1">
        <v>0</v>
      </c>
      <c r="J3142" s="1">
        <v>0</v>
      </c>
      <c r="K3142" s="1">
        <v>0</v>
      </c>
      <c r="L3142" s="1">
        <v>1</v>
      </c>
      <c r="M3142" s="1">
        <v>1</v>
      </c>
    </row>
    <row r="3143" spans="1:13">
      <c r="A3143" s="1">
        <v>3142</v>
      </c>
      <c r="B3143" s="1">
        <v>927900.48230000003</v>
      </c>
      <c r="C3143" s="1">
        <v>697701.24321673682</v>
      </c>
      <c r="D3143" s="1">
        <f t="shared" si="49"/>
        <v>230199.23908326321</v>
      </c>
      <c r="E3143" s="1">
        <v>5</v>
      </c>
      <c r="F3143" s="1">
        <v>23</v>
      </c>
      <c r="G3143" s="1">
        <v>7</v>
      </c>
      <c r="H3143" s="1">
        <v>1</v>
      </c>
      <c r="I3143" s="1">
        <v>0</v>
      </c>
      <c r="J3143" s="1">
        <v>1</v>
      </c>
      <c r="K3143" s="1">
        <v>1</v>
      </c>
      <c r="L3143" s="1">
        <v>0</v>
      </c>
      <c r="M3143" s="1">
        <v>1</v>
      </c>
    </row>
    <row r="3144" spans="1:13">
      <c r="A3144" s="1">
        <v>3143</v>
      </c>
      <c r="B3144" s="1">
        <v>970016.87679999997</v>
      </c>
      <c r="C3144" s="1">
        <v>1109959.7437685914</v>
      </c>
      <c r="D3144" s="1">
        <f t="shared" si="49"/>
        <v>-139942.86696859146</v>
      </c>
      <c r="E3144" s="1">
        <v>8</v>
      </c>
      <c r="F3144" s="1">
        <v>22</v>
      </c>
      <c r="G3144" s="1">
        <v>5</v>
      </c>
      <c r="H3144" s="1">
        <v>0</v>
      </c>
      <c r="I3144" s="1">
        <v>0</v>
      </c>
      <c r="J3144" s="1">
        <v>0</v>
      </c>
      <c r="K3144" s="1">
        <v>1</v>
      </c>
      <c r="L3144" s="1">
        <v>0</v>
      </c>
      <c r="M3144" s="1">
        <v>0</v>
      </c>
    </row>
    <row r="3145" spans="1:13">
      <c r="A3145" s="1">
        <v>3144</v>
      </c>
      <c r="B3145" s="1">
        <v>1069588.4534</v>
      </c>
      <c r="C3145" s="1">
        <v>729444.24014635268</v>
      </c>
      <c r="D3145" s="1">
        <f t="shared" si="49"/>
        <v>340144.21325364732</v>
      </c>
      <c r="E3145" s="1">
        <v>4</v>
      </c>
      <c r="F3145" s="1">
        <v>22</v>
      </c>
      <c r="G3145" s="1">
        <v>9</v>
      </c>
      <c r="H3145" s="1">
        <v>1</v>
      </c>
      <c r="I3145" s="1">
        <v>0</v>
      </c>
      <c r="J3145" s="1">
        <v>0</v>
      </c>
      <c r="K3145" s="1">
        <v>0</v>
      </c>
      <c r="L3145" s="1">
        <v>0</v>
      </c>
      <c r="M3145" s="1">
        <v>0</v>
      </c>
    </row>
    <row r="3146" spans="1:13">
      <c r="A3146" s="1">
        <v>3145</v>
      </c>
      <c r="B3146" s="1">
        <v>920721.22120000003</v>
      </c>
      <c r="C3146" s="1">
        <v>765912.50736431591</v>
      </c>
      <c r="D3146" s="1">
        <f t="shared" si="49"/>
        <v>154808.71383568412</v>
      </c>
      <c r="E3146" s="1">
        <v>13</v>
      </c>
      <c r="F3146" s="1">
        <v>16</v>
      </c>
      <c r="G3146" s="1">
        <v>6</v>
      </c>
      <c r="H3146" s="1">
        <v>0</v>
      </c>
      <c r="I3146" s="1">
        <v>0</v>
      </c>
      <c r="J3146" s="1">
        <v>0</v>
      </c>
      <c r="K3146" s="1">
        <v>1</v>
      </c>
      <c r="L3146" s="1">
        <v>0</v>
      </c>
      <c r="M3146" s="1">
        <v>0</v>
      </c>
    </row>
    <row r="3147" spans="1:13">
      <c r="A3147" s="1">
        <v>3146</v>
      </c>
      <c r="B3147" s="1">
        <v>980912.91940000001</v>
      </c>
      <c r="C3147" s="1">
        <v>622434.247847458</v>
      </c>
      <c r="D3147" s="1">
        <f t="shared" si="49"/>
        <v>358478.67155254201</v>
      </c>
      <c r="E3147" s="1">
        <v>13</v>
      </c>
      <c r="F3147" s="1">
        <v>16</v>
      </c>
      <c r="G3147" s="1">
        <v>6</v>
      </c>
      <c r="H3147" s="1">
        <v>2</v>
      </c>
      <c r="I3147" s="1">
        <v>0</v>
      </c>
      <c r="J3147" s="1">
        <v>2</v>
      </c>
      <c r="K3147" s="1">
        <v>0</v>
      </c>
      <c r="L3147" s="1">
        <v>0</v>
      </c>
      <c r="M3147" s="1">
        <v>0</v>
      </c>
    </row>
    <row r="3148" spans="1:13">
      <c r="A3148" s="1">
        <v>3147</v>
      </c>
      <c r="B3148" s="1">
        <v>913647.20970000001</v>
      </c>
      <c r="C3148" s="1">
        <v>983259.76321725827</v>
      </c>
      <c r="D3148" s="1">
        <f t="shared" si="49"/>
        <v>-69612.55351725826</v>
      </c>
      <c r="E3148" s="1">
        <v>8</v>
      </c>
      <c r="F3148" s="1">
        <v>19</v>
      </c>
      <c r="G3148" s="1">
        <v>8</v>
      </c>
      <c r="H3148" s="1">
        <v>1</v>
      </c>
      <c r="I3148" s="1">
        <v>0</v>
      </c>
      <c r="J3148" s="1">
        <v>0</v>
      </c>
      <c r="K3148" s="1">
        <v>0</v>
      </c>
      <c r="L3148" s="1">
        <v>0</v>
      </c>
      <c r="M3148" s="1">
        <v>1</v>
      </c>
    </row>
    <row r="3149" spans="1:13">
      <c r="A3149" s="1">
        <v>3148</v>
      </c>
      <c r="B3149" s="1">
        <v>849787.82530000003</v>
      </c>
      <c r="C3149" s="1">
        <v>761745.06452022668</v>
      </c>
      <c r="D3149" s="1">
        <f t="shared" si="49"/>
        <v>88042.760779773351</v>
      </c>
      <c r="E3149" s="1">
        <v>12</v>
      </c>
      <c r="F3149" s="1">
        <v>18</v>
      </c>
      <c r="G3149" s="1">
        <v>5</v>
      </c>
      <c r="H3149" s="1">
        <v>2</v>
      </c>
      <c r="I3149" s="1">
        <v>0</v>
      </c>
      <c r="J3149" s="1">
        <v>0</v>
      </c>
      <c r="K3149" s="1">
        <v>0</v>
      </c>
      <c r="L3149" s="1">
        <v>0</v>
      </c>
      <c r="M3149" s="1">
        <v>0</v>
      </c>
    </row>
    <row r="3150" spans="1:13">
      <c r="A3150" s="1">
        <v>3149</v>
      </c>
      <c r="B3150" s="1">
        <v>821183.09019999998</v>
      </c>
      <c r="C3150" s="1">
        <v>1226375.1495988574</v>
      </c>
      <c r="D3150" s="1">
        <f t="shared" si="49"/>
        <v>-405192.05939885741</v>
      </c>
      <c r="E3150" s="1">
        <v>22</v>
      </c>
      <c r="F3150" s="1">
        <v>9</v>
      </c>
      <c r="G3150" s="1">
        <v>4</v>
      </c>
      <c r="H3150" s="1">
        <v>0</v>
      </c>
      <c r="I3150" s="1">
        <v>0</v>
      </c>
      <c r="J3150" s="1">
        <v>1</v>
      </c>
      <c r="K3150" s="1">
        <v>0</v>
      </c>
      <c r="L3150" s="1">
        <v>0</v>
      </c>
      <c r="M3150" s="1">
        <v>0</v>
      </c>
    </row>
    <row r="3151" spans="1:13">
      <c r="A3151" s="1">
        <v>3150</v>
      </c>
      <c r="B3151" s="1">
        <v>916858.38580000005</v>
      </c>
      <c r="C3151" s="1">
        <v>858035.91553867201</v>
      </c>
      <c r="D3151" s="1">
        <f t="shared" si="49"/>
        <v>58822.470261328039</v>
      </c>
      <c r="E3151" s="1">
        <v>16</v>
      </c>
      <c r="F3151" s="1">
        <v>15</v>
      </c>
      <c r="G3151" s="1">
        <v>4</v>
      </c>
      <c r="H3151" s="1">
        <v>1</v>
      </c>
      <c r="I3151" s="1">
        <v>0</v>
      </c>
      <c r="J3151" s="1">
        <v>2</v>
      </c>
      <c r="K3151" s="1">
        <v>0</v>
      </c>
      <c r="L3151" s="1">
        <v>0</v>
      </c>
      <c r="M3151" s="1">
        <v>0</v>
      </c>
    </row>
    <row r="3152" spans="1:13">
      <c r="A3152" s="1">
        <v>3151</v>
      </c>
      <c r="B3152" s="1">
        <v>937634.73640000005</v>
      </c>
      <c r="C3152" s="1">
        <v>834957.94673385273</v>
      </c>
      <c r="D3152" s="1">
        <f t="shared" si="49"/>
        <v>102676.78966614732</v>
      </c>
      <c r="E3152" s="1">
        <v>16</v>
      </c>
      <c r="F3152" s="1">
        <v>13</v>
      </c>
      <c r="G3152" s="1">
        <v>6</v>
      </c>
      <c r="H3152" s="1">
        <v>2</v>
      </c>
      <c r="I3152" s="1">
        <v>0</v>
      </c>
      <c r="J3152" s="1">
        <v>0</v>
      </c>
      <c r="K3152" s="1">
        <v>0</v>
      </c>
      <c r="L3152" s="1">
        <v>0</v>
      </c>
      <c r="M3152" s="1">
        <v>1</v>
      </c>
    </row>
    <row r="3153" spans="1:13">
      <c r="A3153" s="1">
        <v>3152</v>
      </c>
      <c r="B3153" s="1">
        <v>917332.76789999998</v>
      </c>
      <c r="C3153" s="1">
        <v>1375636.6400225598</v>
      </c>
      <c r="D3153" s="1">
        <f t="shared" si="49"/>
        <v>-458303.87212255981</v>
      </c>
      <c r="E3153" s="1">
        <v>11</v>
      </c>
      <c r="F3153" s="1">
        <v>17</v>
      </c>
      <c r="G3153" s="1">
        <v>7</v>
      </c>
      <c r="H3153" s="1">
        <v>1</v>
      </c>
      <c r="I3153" s="1">
        <v>0</v>
      </c>
      <c r="J3153" s="1">
        <v>0</v>
      </c>
      <c r="K3153" s="1">
        <v>2</v>
      </c>
      <c r="L3153" s="1">
        <v>0</v>
      </c>
      <c r="M3153" s="1">
        <v>1</v>
      </c>
    </row>
    <row r="3154" spans="1:13">
      <c r="A3154" s="1">
        <v>3153</v>
      </c>
      <c r="B3154" s="1">
        <v>930405.02780000004</v>
      </c>
      <c r="C3154" s="1">
        <v>554027.41128190199</v>
      </c>
      <c r="D3154" s="1">
        <f t="shared" si="49"/>
        <v>376377.61651809805</v>
      </c>
      <c r="E3154" s="1">
        <v>9</v>
      </c>
      <c r="F3154" s="1">
        <v>23</v>
      </c>
      <c r="G3154" s="1">
        <v>3</v>
      </c>
      <c r="H3154" s="1">
        <v>0</v>
      </c>
      <c r="I3154" s="1">
        <v>0</v>
      </c>
      <c r="J3154" s="1">
        <v>0</v>
      </c>
      <c r="K3154" s="1">
        <v>1</v>
      </c>
      <c r="L3154" s="1">
        <v>0</v>
      </c>
      <c r="M3154" s="1">
        <v>0</v>
      </c>
    </row>
    <row r="3155" spans="1:13">
      <c r="A3155" s="1">
        <v>3154</v>
      </c>
      <c r="B3155" s="1">
        <v>1027004.0085</v>
      </c>
      <c r="C3155" s="1">
        <v>1712015.4945302771</v>
      </c>
      <c r="D3155" s="1">
        <f t="shared" si="49"/>
        <v>-685011.4860302771</v>
      </c>
      <c r="E3155" s="1">
        <v>7</v>
      </c>
      <c r="F3155" s="1">
        <v>22</v>
      </c>
      <c r="G3155" s="1">
        <v>6</v>
      </c>
      <c r="H3155" s="1">
        <v>1</v>
      </c>
      <c r="I3155" s="1">
        <v>1</v>
      </c>
      <c r="J3155" s="1">
        <v>1</v>
      </c>
      <c r="K3155" s="1">
        <v>1</v>
      </c>
      <c r="L3155" s="1">
        <v>0</v>
      </c>
      <c r="M3155" s="1">
        <v>1</v>
      </c>
    </row>
    <row r="3156" spans="1:13">
      <c r="A3156" s="1">
        <v>3155</v>
      </c>
      <c r="B3156" s="1">
        <v>898517.1422</v>
      </c>
      <c r="C3156" s="1">
        <v>1152540.4607947613</v>
      </c>
      <c r="D3156" s="1">
        <f t="shared" si="49"/>
        <v>-254023.31859476131</v>
      </c>
      <c r="E3156" s="1">
        <v>15</v>
      </c>
      <c r="F3156" s="1">
        <v>16</v>
      </c>
      <c r="G3156" s="1">
        <v>4</v>
      </c>
      <c r="H3156" s="1">
        <v>0</v>
      </c>
      <c r="I3156" s="1">
        <v>1</v>
      </c>
      <c r="J3156" s="1">
        <v>0</v>
      </c>
      <c r="K3156" s="1">
        <v>2</v>
      </c>
      <c r="L3156" s="1">
        <v>0</v>
      </c>
      <c r="M3156" s="1">
        <v>0</v>
      </c>
    </row>
    <row r="3157" spans="1:13">
      <c r="A3157" s="1">
        <v>3156</v>
      </c>
      <c r="B3157" s="1">
        <v>1029886.2891000001</v>
      </c>
      <c r="C3157" s="1">
        <v>1265403.5049328702</v>
      </c>
      <c r="D3157" s="1">
        <f t="shared" si="49"/>
        <v>-235517.2158328701</v>
      </c>
      <c r="E3157" s="1">
        <v>12</v>
      </c>
      <c r="F3157" s="1">
        <v>17</v>
      </c>
      <c r="G3157" s="1">
        <v>6</v>
      </c>
      <c r="H3157" s="1">
        <v>1</v>
      </c>
      <c r="I3157" s="1">
        <v>0</v>
      </c>
      <c r="J3157" s="1">
        <v>0</v>
      </c>
      <c r="K3157" s="1">
        <v>1</v>
      </c>
      <c r="L3157" s="1">
        <v>1</v>
      </c>
      <c r="M3157" s="1">
        <v>1</v>
      </c>
    </row>
    <row r="3158" spans="1:13">
      <c r="A3158" s="1">
        <v>3157</v>
      </c>
      <c r="B3158" s="1">
        <v>963277.02390000003</v>
      </c>
      <c r="C3158" s="1">
        <v>946466.34309430385</v>
      </c>
      <c r="D3158" s="1">
        <f t="shared" si="49"/>
        <v>16810.680805696175</v>
      </c>
      <c r="E3158" s="1">
        <v>7</v>
      </c>
      <c r="F3158" s="1">
        <v>22</v>
      </c>
      <c r="G3158" s="1">
        <v>6</v>
      </c>
      <c r="H3158" s="1">
        <v>0</v>
      </c>
      <c r="I3158" s="1">
        <v>0</v>
      </c>
      <c r="J3158" s="1">
        <v>1</v>
      </c>
      <c r="K3158" s="1">
        <v>0</v>
      </c>
      <c r="L3158" s="1">
        <v>0</v>
      </c>
      <c r="M3158" s="1">
        <v>0</v>
      </c>
    </row>
    <row r="3159" spans="1:13">
      <c r="A3159" s="1">
        <v>3158</v>
      </c>
      <c r="B3159" s="1">
        <v>915940.80480000004</v>
      </c>
      <c r="C3159" s="1">
        <v>727500.95443377597</v>
      </c>
      <c r="D3159" s="1">
        <f t="shared" si="49"/>
        <v>188439.85036622407</v>
      </c>
      <c r="E3159" s="1">
        <v>10</v>
      </c>
      <c r="F3159" s="1">
        <v>21</v>
      </c>
      <c r="G3159" s="1">
        <v>4</v>
      </c>
      <c r="H3159" s="1">
        <v>1</v>
      </c>
      <c r="I3159" s="1">
        <v>0</v>
      </c>
      <c r="J3159" s="1">
        <v>0</v>
      </c>
      <c r="K3159" s="1">
        <v>1</v>
      </c>
      <c r="L3159" s="1">
        <v>0</v>
      </c>
      <c r="M3159" s="1">
        <v>0</v>
      </c>
    </row>
    <row r="3160" spans="1:13">
      <c r="A3160" s="1">
        <v>3159</v>
      </c>
      <c r="B3160" s="1">
        <v>966375.64619999996</v>
      </c>
      <c r="C3160" s="1">
        <v>578499.1252456439</v>
      </c>
      <c r="D3160" s="1">
        <f t="shared" si="49"/>
        <v>387876.52095435606</v>
      </c>
      <c r="E3160" s="1">
        <v>12</v>
      </c>
      <c r="F3160" s="1">
        <v>18</v>
      </c>
      <c r="G3160" s="1">
        <v>5</v>
      </c>
      <c r="H3160" s="1">
        <v>0</v>
      </c>
      <c r="I3160" s="1">
        <v>1</v>
      </c>
      <c r="J3160" s="1">
        <v>2</v>
      </c>
      <c r="K3160" s="1">
        <v>0</v>
      </c>
      <c r="L3160" s="1">
        <v>0</v>
      </c>
      <c r="M3160" s="1">
        <v>0</v>
      </c>
    </row>
    <row r="3161" spans="1:13">
      <c r="A3161" s="1">
        <v>3160</v>
      </c>
      <c r="B3161" s="1">
        <v>823758.78700000001</v>
      </c>
      <c r="C3161" s="1">
        <v>835390.58100830682</v>
      </c>
      <c r="D3161" s="1">
        <f t="shared" si="49"/>
        <v>-11631.79400830681</v>
      </c>
      <c r="E3161" s="1">
        <v>9</v>
      </c>
      <c r="F3161" s="1">
        <v>21</v>
      </c>
      <c r="G3161" s="1">
        <v>5</v>
      </c>
      <c r="H3161" s="1">
        <v>0</v>
      </c>
      <c r="I3161" s="1">
        <v>0</v>
      </c>
      <c r="J3161" s="1">
        <v>1</v>
      </c>
      <c r="K3161" s="1">
        <v>1</v>
      </c>
      <c r="L3161" s="1">
        <v>0</v>
      </c>
      <c r="M3161" s="1">
        <v>0</v>
      </c>
    </row>
    <row r="3162" spans="1:13">
      <c r="A3162" s="1">
        <v>3161</v>
      </c>
      <c r="B3162" s="1">
        <v>1029652.3884000001</v>
      </c>
      <c r="C3162" s="1">
        <v>1368668.6838985186</v>
      </c>
      <c r="D3162" s="1">
        <f t="shared" si="49"/>
        <v>-339016.29549851851</v>
      </c>
      <c r="E3162" s="1">
        <v>11</v>
      </c>
      <c r="F3162" s="1">
        <v>17</v>
      </c>
      <c r="G3162" s="1">
        <v>7</v>
      </c>
      <c r="H3162" s="1">
        <v>1</v>
      </c>
      <c r="I3162" s="1">
        <v>0</v>
      </c>
      <c r="J3162" s="1">
        <v>0</v>
      </c>
      <c r="K3162" s="1">
        <v>0</v>
      </c>
      <c r="L3162" s="1">
        <v>0</v>
      </c>
      <c r="M3162" s="1">
        <v>0</v>
      </c>
    </row>
    <row r="3163" spans="1:13">
      <c r="A3163" s="1">
        <v>3162</v>
      </c>
      <c r="B3163" s="1">
        <v>988973.34609999997</v>
      </c>
      <c r="C3163" s="1">
        <v>1195056.2280446184</v>
      </c>
      <c r="D3163" s="1">
        <f t="shared" si="49"/>
        <v>-206082.88194461842</v>
      </c>
      <c r="E3163" s="1">
        <v>13</v>
      </c>
      <c r="F3163" s="1">
        <v>17</v>
      </c>
      <c r="G3163" s="1">
        <v>5</v>
      </c>
      <c r="H3163" s="1">
        <v>1</v>
      </c>
      <c r="I3163" s="1">
        <v>0</v>
      </c>
      <c r="J3163" s="1">
        <v>1</v>
      </c>
      <c r="K3163" s="1">
        <v>1</v>
      </c>
      <c r="L3163" s="1">
        <v>0</v>
      </c>
      <c r="M3163" s="1">
        <v>0</v>
      </c>
    </row>
    <row r="3164" spans="1:13">
      <c r="A3164" s="1">
        <v>3163</v>
      </c>
      <c r="B3164" s="1">
        <v>933371.6875</v>
      </c>
      <c r="C3164" s="1">
        <v>1033516.660428904</v>
      </c>
      <c r="D3164" s="1">
        <f t="shared" si="49"/>
        <v>-100144.972928904</v>
      </c>
      <c r="E3164" s="1">
        <v>14</v>
      </c>
      <c r="F3164" s="1">
        <v>16</v>
      </c>
      <c r="G3164" s="1">
        <v>5</v>
      </c>
      <c r="H3164" s="1">
        <v>1</v>
      </c>
      <c r="I3164" s="1">
        <v>0</v>
      </c>
      <c r="J3164" s="1">
        <v>1</v>
      </c>
      <c r="K3164" s="1">
        <v>1</v>
      </c>
      <c r="L3164" s="1">
        <v>0</v>
      </c>
      <c r="M3164" s="1">
        <v>1</v>
      </c>
    </row>
    <row r="3165" spans="1:13">
      <c r="A3165" s="1">
        <v>3164</v>
      </c>
      <c r="B3165" s="1">
        <v>897184.38029999996</v>
      </c>
      <c r="C3165" s="1">
        <v>859021.19623808376</v>
      </c>
      <c r="D3165" s="1">
        <f t="shared" si="49"/>
        <v>38163.184061916196</v>
      </c>
      <c r="E3165" s="1">
        <v>12</v>
      </c>
      <c r="F3165" s="1">
        <v>17</v>
      </c>
      <c r="G3165" s="1">
        <v>6</v>
      </c>
      <c r="H3165" s="1">
        <v>1</v>
      </c>
      <c r="I3165" s="1">
        <v>0</v>
      </c>
      <c r="J3165" s="1">
        <v>0</v>
      </c>
      <c r="K3165" s="1">
        <v>0</v>
      </c>
      <c r="L3165" s="1">
        <v>0</v>
      </c>
      <c r="M3165" s="1">
        <v>0</v>
      </c>
    </row>
    <row r="3166" spans="1:13">
      <c r="A3166" s="1">
        <v>3165</v>
      </c>
      <c r="B3166" s="1">
        <v>860724.46799999999</v>
      </c>
      <c r="C3166" s="1">
        <v>1015424.8722170774</v>
      </c>
      <c r="D3166" s="1">
        <f t="shared" si="49"/>
        <v>-154700.40421707742</v>
      </c>
      <c r="E3166" s="1">
        <v>12</v>
      </c>
      <c r="F3166" s="1">
        <v>19</v>
      </c>
      <c r="G3166" s="1">
        <v>4</v>
      </c>
      <c r="H3166" s="1">
        <v>0</v>
      </c>
      <c r="I3166" s="1">
        <v>1</v>
      </c>
      <c r="J3166" s="1">
        <v>0</v>
      </c>
      <c r="K3166" s="1">
        <v>1</v>
      </c>
      <c r="L3166" s="1">
        <v>0</v>
      </c>
      <c r="M3166" s="1">
        <v>0</v>
      </c>
    </row>
    <row r="3167" spans="1:13">
      <c r="A3167" s="1">
        <v>3166</v>
      </c>
      <c r="B3167" s="1">
        <v>895542.79469999997</v>
      </c>
      <c r="C3167" s="1">
        <v>1239787.1107566794</v>
      </c>
      <c r="D3167" s="1">
        <f t="shared" si="49"/>
        <v>-344244.31605667947</v>
      </c>
      <c r="E3167" s="1">
        <v>17</v>
      </c>
      <c r="F3167" s="1">
        <v>15</v>
      </c>
      <c r="G3167" s="1">
        <v>3</v>
      </c>
      <c r="H3167" s="1">
        <v>2</v>
      </c>
      <c r="I3167" s="1">
        <v>0</v>
      </c>
      <c r="J3167" s="1">
        <v>2</v>
      </c>
      <c r="K3167" s="1">
        <v>0</v>
      </c>
      <c r="L3167" s="1">
        <v>0</v>
      </c>
      <c r="M3167" s="1">
        <v>1</v>
      </c>
    </row>
    <row r="3168" spans="1:13">
      <c r="A3168" s="1">
        <v>3167</v>
      </c>
      <c r="B3168" s="1">
        <v>893517.95129999996</v>
      </c>
      <c r="C3168" s="1">
        <v>777351.37638304313</v>
      </c>
      <c r="D3168" s="1">
        <f t="shared" si="49"/>
        <v>116166.57491695683</v>
      </c>
      <c r="E3168" s="1">
        <v>17</v>
      </c>
      <c r="F3168" s="1">
        <v>14</v>
      </c>
      <c r="G3168" s="1">
        <v>4</v>
      </c>
      <c r="H3168" s="1">
        <v>2</v>
      </c>
      <c r="I3168" s="1">
        <v>0</v>
      </c>
      <c r="J3168" s="1">
        <v>1</v>
      </c>
      <c r="K3168" s="1">
        <v>1</v>
      </c>
      <c r="L3168" s="1">
        <v>0</v>
      </c>
      <c r="M3168" s="1">
        <v>0</v>
      </c>
    </row>
    <row r="3169" spans="1:13">
      <c r="A3169" s="1">
        <v>3168</v>
      </c>
      <c r="B3169" s="1">
        <v>843800.35279999999</v>
      </c>
      <c r="C3169" s="1">
        <v>1090510.1463279973</v>
      </c>
      <c r="D3169" s="1">
        <f t="shared" si="49"/>
        <v>-246709.79352799733</v>
      </c>
      <c r="E3169" s="1">
        <v>12</v>
      </c>
      <c r="F3169" s="1">
        <v>20</v>
      </c>
      <c r="G3169" s="1">
        <v>3</v>
      </c>
      <c r="H3169" s="1">
        <v>1</v>
      </c>
      <c r="I3169" s="1">
        <v>0</v>
      </c>
      <c r="J3169" s="1">
        <v>1</v>
      </c>
      <c r="K3169" s="1">
        <v>0</v>
      </c>
      <c r="L3169" s="1">
        <v>0</v>
      </c>
      <c r="M3169" s="1">
        <v>0</v>
      </c>
    </row>
    <row r="3170" spans="1:13">
      <c r="A3170" s="1">
        <v>3169</v>
      </c>
      <c r="B3170" s="1">
        <v>848939.41440000001</v>
      </c>
      <c r="C3170" s="1">
        <v>570916.26682784129</v>
      </c>
      <c r="D3170" s="1">
        <f t="shared" si="49"/>
        <v>278023.14757215872</v>
      </c>
      <c r="E3170" s="1">
        <v>15</v>
      </c>
      <c r="F3170" s="1">
        <v>13</v>
      </c>
      <c r="G3170" s="1">
        <v>7</v>
      </c>
      <c r="H3170" s="1">
        <v>2</v>
      </c>
      <c r="I3170" s="1">
        <v>0</v>
      </c>
      <c r="J3170" s="1">
        <v>1</v>
      </c>
      <c r="K3170" s="1">
        <v>0</v>
      </c>
      <c r="L3170" s="1">
        <v>0</v>
      </c>
      <c r="M3170" s="1">
        <v>0</v>
      </c>
    </row>
    <row r="3171" spans="1:13">
      <c r="A3171" s="1">
        <v>3170</v>
      </c>
      <c r="B3171" s="1">
        <v>904532.75009999995</v>
      </c>
      <c r="C3171" s="1">
        <v>802687.12001886358</v>
      </c>
      <c r="D3171" s="1">
        <f t="shared" si="49"/>
        <v>101845.63008113636</v>
      </c>
      <c r="E3171" s="1">
        <v>12</v>
      </c>
      <c r="F3171" s="1">
        <v>19</v>
      </c>
      <c r="G3171" s="1">
        <v>4</v>
      </c>
      <c r="H3171" s="1">
        <v>1</v>
      </c>
      <c r="I3171" s="1">
        <v>0</v>
      </c>
      <c r="J3171" s="1">
        <v>1</v>
      </c>
      <c r="K3171" s="1">
        <v>1</v>
      </c>
      <c r="L3171" s="1">
        <v>0</v>
      </c>
      <c r="M3171" s="1">
        <v>1</v>
      </c>
    </row>
    <row r="3172" spans="1:13">
      <c r="A3172" s="1">
        <v>3171</v>
      </c>
      <c r="B3172" s="1">
        <v>821551.92539999995</v>
      </c>
      <c r="C3172" s="1">
        <v>918094.44247650728</v>
      </c>
      <c r="D3172" s="1">
        <f t="shared" si="49"/>
        <v>-96542.517076507327</v>
      </c>
      <c r="E3172" s="1">
        <v>20</v>
      </c>
      <c r="F3172" s="1">
        <v>11</v>
      </c>
      <c r="G3172" s="1">
        <v>4</v>
      </c>
      <c r="H3172" s="1">
        <v>1</v>
      </c>
      <c r="I3172" s="1">
        <v>0</v>
      </c>
      <c r="J3172" s="1">
        <v>2</v>
      </c>
      <c r="K3172" s="1">
        <v>0</v>
      </c>
      <c r="L3172" s="1">
        <v>0</v>
      </c>
      <c r="M3172" s="1">
        <v>0</v>
      </c>
    </row>
    <row r="3173" spans="1:13">
      <c r="A3173" s="1">
        <v>3172</v>
      </c>
      <c r="B3173" s="1">
        <v>894293.26450000005</v>
      </c>
      <c r="C3173" s="1">
        <v>851710.79892289743</v>
      </c>
      <c r="D3173" s="1">
        <f t="shared" si="49"/>
        <v>42582.465577102615</v>
      </c>
      <c r="E3173" s="1">
        <v>18</v>
      </c>
      <c r="F3173" s="1">
        <v>13</v>
      </c>
      <c r="G3173" s="1">
        <v>4</v>
      </c>
      <c r="H3173" s="1">
        <v>0</v>
      </c>
      <c r="I3173" s="1">
        <v>0</v>
      </c>
      <c r="J3173" s="1">
        <v>0</v>
      </c>
      <c r="K3173" s="1">
        <v>0</v>
      </c>
      <c r="L3173" s="1">
        <v>0</v>
      </c>
      <c r="M3173" s="1">
        <v>1</v>
      </c>
    </row>
    <row r="3174" spans="1:13">
      <c r="A3174" s="1">
        <v>3173</v>
      </c>
      <c r="B3174" s="1">
        <v>983913.01089999999</v>
      </c>
      <c r="C3174" s="1">
        <v>868428.43186003261</v>
      </c>
      <c r="D3174" s="1">
        <f t="shared" si="49"/>
        <v>115484.57903996739</v>
      </c>
      <c r="E3174" s="1">
        <v>12</v>
      </c>
      <c r="F3174" s="1">
        <v>18</v>
      </c>
      <c r="G3174" s="1">
        <v>5</v>
      </c>
      <c r="H3174" s="1">
        <v>1</v>
      </c>
      <c r="I3174" s="1">
        <v>0</v>
      </c>
      <c r="J3174" s="1">
        <v>2</v>
      </c>
      <c r="K3174" s="1">
        <v>0</v>
      </c>
      <c r="L3174" s="1">
        <v>0</v>
      </c>
      <c r="M3174" s="1">
        <v>0</v>
      </c>
    </row>
    <row r="3175" spans="1:13">
      <c r="A3175" s="1">
        <v>3174</v>
      </c>
      <c r="B3175" s="1">
        <v>861089.17689999996</v>
      </c>
      <c r="C3175" s="1">
        <v>694910.40683116147</v>
      </c>
      <c r="D3175" s="1">
        <f t="shared" si="49"/>
        <v>166178.77006883849</v>
      </c>
      <c r="E3175" s="1">
        <v>24</v>
      </c>
      <c r="F3175" s="1">
        <v>7</v>
      </c>
      <c r="G3175" s="1">
        <v>4</v>
      </c>
      <c r="H3175" s="1">
        <v>1</v>
      </c>
      <c r="I3175" s="1">
        <v>1</v>
      </c>
      <c r="J3175" s="1">
        <v>0</v>
      </c>
      <c r="K3175" s="1">
        <v>0</v>
      </c>
      <c r="L3175" s="1">
        <v>1</v>
      </c>
      <c r="M3175" s="1">
        <v>0</v>
      </c>
    </row>
    <row r="3176" spans="1:13">
      <c r="A3176" s="1">
        <v>3175</v>
      </c>
      <c r="B3176" s="1">
        <v>1033348.0852</v>
      </c>
      <c r="C3176" s="1">
        <v>766755.79326720245</v>
      </c>
      <c r="D3176" s="1">
        <f t="shared" si="49"/>
        <v>266592.29193279753</v>
      </c>
      <c r="E3176" s="1">
        <v>9</v>
      </c>
      <c r="F3176" s="1">
        <v>20</v>
      </c>
      <c r="G3176" s="1">
        <v>6</v>
      </c>
      <c r="H3176" s="1">
        <v>1</v>
      </c>
      <c r="I3176" s="1">
        <v>0</v>
      </c>
      <c r="J3176" s="1">
        <v>0</v>
      </c>
      <c r="K3176" s="1">
        <v>2</v>
      </c>
      <c r="L3176" s="1">
        <v>0</v>
      </c>
      <c r="M3176" s="1">
        <v>0</v>
      </c>
    </row>
    <row r="3177" spans="1:13">
      <c r="A3177" s="1">
        <v>3176</v>
      </c>
      <c r="B3177" s="1">
        <v>921998.85360000003</v>
      </c>
      <c r="C3177" s="1">
        <v>964008.40647466551</v>
      </c>
      <c r="D3177" s="1">
        <f t="shared" si="49"/>
        <v>-42009.552874665475</v>
      </c>
      <c r="E3177" s="1">
        <v>4</v>
      </c>
      <c r="F3177" s="1">
        <v>26</v>
      </c>
      <c r="G3177" s="1">
        <v>5</v>
      </c>
      <c r="H3177" s="1">
        <v>1</v>
      </c>
      <c r="I3177" s="1">
        <v>0</v>
      </c>
      <c r="J3177" s="1">
        <v>0</v>
      </c>
      <c r="K3177" s="1">
        <v>0</v>
      </c>
      <c r="L3177" s="1">
        <v>0</v>
      </c>
      <c r="M3177" s="1">
        <v>0</v>
      </c>
    </row>
    <row r="3178" spans="1:13">
      <c r="A3178" s="1">
        <v>3177</v>
      </c>
      <c r="B3178" s="1">
        <v>926560.75820000004</v>
      </c>
      <c r="C3178" s="1">
        <v>507628.80668822723</v>
      </c>
      <c r="D3178" s="1">
        <f t="shared" si="49"/>
        <v>418931.95151177282</v>
      </c>
      <c r="E3178" s="1">
        <v>15</v>
      </c>
      <c r="F3178" s="1">
        <v>17</v>
      </c>
      <c r="G3178" s="1">
        <v>3</v>
      </c>
      <c r="H3178" s="1">
        <v>0</v>
      </c>
      <c r="I3178" s="1">
        <v>2</v>
      </c>
      <c r="J3178" s="1">
        <v>2</v>
      </c>
      <c r="K3178" s="1">
        <v>0</v>
      </c>
      <c r="L3178" s="1">
        <v>0</v>
      </c>
      <c r="M3178" s="1">
        <v>1</v>
      </c>
    </row>
    <row r="3179" spans="1:13">
      <c r="A3179" s="1">
        <v>3178</v>
      </c>
      <c r="B3179" s="1">
        <v>886650.28650000005</v>
      </c>
      <c r="C3179" s="1">
        <v>2753837.0658748145</v>
      </c>
      <c r="D3179" s="1">
        <f t="shared" si="49"/>
        <v>-1867186.7793748146</v>
      </c>
      <c r="E3179" s="1">
        <v>17</v>
      </c>
      <c r="F3179" s="1">
        <v>13</v>
      </c>
      <c r="G3179" s="1">
        <v>5</v>
      </c>
      <c r="H3179" s="1">
        <v>0</v>
      </c>
      <c r="I3179" s="1">
        <v>0</v>
      </c>
      <c r="J3179" s="1">
        <v>1</v>
      </c>
      <c r="K3179" s="1">
        <v>0</v>
      </c>
      <c r="L3179" s="1">
        <v>0</v>
      </c>
      <c r="M3179" s="1">
        <v>0</v>
      </c>
    </row>
    <row r="3180" spans="1:13">
      <c r="A3180" s="1">
        <v>3179</v>
      </c>
      <c r="B3180" s="1">
        <v>958256.99950000003</v>
      </c>
      <c r="C3180" s="1">
        <v>983826.11747918173</v>
      </c>
      <c r="D3180" s="1">
        <f t="shared" si="49"/>
        <v>-25569.117979181698</v>
      </c>
      <c r="E3180" s="1">
        <v>10</v>
      </c>
      <c r="F3180" s="1">
        <v>16</v>
      </c>
      <c r="G3180" s="1">
        <v>9</v>
      </c>
      <c r="H3180" s="1">
        <v>2</v>
      </c>
      <c r="I3180" s="1">
        <v>0</v>
      </c>
      <c r="J3180" s="1">
        <v>0</v>
      </c>
      <c r="K3180" s="1">
        <v>1</v>
      </c>
      <c r="L3180" s="1">
        <v>1</v>
      </c>
      <c r="M3180" s="1">
        <v>1</v>
      </c>
    </row>
    <row r="3181" spans="1:13">
      <c r="A3181" s="1">
        <v>3180</v>
      </c>
      <c r="B3181" s="1">
        <v>989757.97580000001</v>
      </c>
      <c r="C3181" s="1">
        <v>1615475.4928793858</v>
      </c>
      <c r="D3181" s="1">
        <f t="shared" si="49"/>
        <v>-625717.51707938581</v>
      </c>
      <c r="E3181" s="1">
        <v>17</v>
      </c>
      <c r="F3181" s="1">
        <v>13</v>
      </c>
      <c r="G3181" s="1">
        <v>5</v>
      </c>
      <c r="H3181" s="1">
        <v>2</v>
      </c>
      <c r="I3181" s="1">
        <v>0</v>
      </c>
      <c r="J3181" s="1">
        <v>2</v>
      </c>
      <c r="K3181" s="1">
        <v>0</v>
      </c>
      <c r="L3181" s="1">
        <v>0</v>
      </c>
      <c r="M3181" s="1">
        <v>0</v>
      </c>
    </row>
    <row r="3182" spans="1:13">
      <c r="A3182" s="1">
        <v>3181</v>
      </c>
      <c r="B3182" s="1">
        <v>832250.16489999997</v>
      </c>
      <c r="C3182" s="1">
        <v>665552.18534506485</v>
      </c>
      <c r="D3182" s="1">
        <f t="shared" si="49"/>
        <v>166697.97955493513</v>
      </c>
      <c r="E3182" s="1">
        <v>15</v>
      </c>
      <c r="F3182" s="1">
        <v>16</v>
      </c>
      <c r="G3182" s="1">
        <v>4</v>
      </c>
      <c r="H3182" s="1">
        <v>0</v>
      </c>
      <c r="I3182" s="1">
        <v>0</v>
      </c>
      <c r="J3182" s="1">
        <v>0</v>
      </c>
      <c r="K3182" s="1">
        <v>1</v>
      </c>
      <c r="L3182" s="1">
        <v>0</v>
      </c>
      <c r="M3182" s="1">
        <v>0</v>
      </c>
    </row>
    <row r="3183" spans="1:13">
      <c r="A3183" s="1">
        <v>3182</v>
      </c>
      <c r="B3183" s="1">
        <v>858889.07290000003</v>
      </c>
      <c r="C3183" s="1">
        <v>927472.03166451061</v>
      </c>
      <c r="D3183" s="1">
        <f t="shared" si="49"/>
        <v>-68582.958764510578</v>
      </c>
      <c r="E3183" s="1">
        <v>14</v>
      </c>
      <c r="F3183" s="1">
        <v>17</v>
      </c>
      <c r="G3183" s="1">
        <v>4</v>
      </c>
      <c r="H3183" s="1">
        <v>1</v>
      </c>
      <c r="I3183" s="1">
        <v>1</v>
      </c>
      <c r="J3183" s="1">
        <v>1</v>
      </c>
      <c r="K3183" s="1">
        <v>0</v>
      </c>
      <c r="L3183" s="1">
        <v>0</v>
      </c>
      <c r="M3183" s="1">
        <v>0</v>
      </c>
    </row>
    <row r="3184" spans="1:13">
      <c r="A3184" s="1">
        <v>3183</v>
      </c>
      <c r="B3184" s="1">
        <v>959778.31389999995</v>
      </c>
      <c r="C3184" s="1">
        <v>1478170.0080016179</v>
      </c>
      <c r="D3184" s="1">
        <f t="shared" si="49"/>
        <v>-518391.6941016179</v>
      </c>
      <c r="E3184" s="1">
        <v>9</v>
      </c>
      <c r="F3184" s="1">
        <v>22</v>
      </c>
      <c r="G3184" s="1">
        <v>4</v>
      </c>
      <c r="H3184" s="1">
        <v>0</v>
      </c>
      <c r="I3184" s="1">
        <v>0</v>
      </c>
      <c r="J3184" s="1">
        <v>0</v>
      </c>
      <c r="K3184" s="1">
        <v>1</v>
      </c>
      <c r="L3184" s="1">
        <v>0</v>
      </c>
      <c r="M3184" s="1">
        <v>1</v>
      </c>
    </row>
    <row r="3185" spans="1:13">
      <c r="A3185" s="1">
        <v>3184</v>
      </c>
      <c r="B3185" s="1">
        <v>911506.27980000002</v>
      </c>
      <c r="C3185" s="1">
        <v>704358.37961617694</v>
      </c>
      <c r="D3185" s="1">
        <f t="shared" si="49"/>
        <v>207147.90018382308</v>
      </c>
      <c r="E3185" s="1">
        <v>14</v>
      </c>
      <c r="F3185" s="1">
        <v>14</v>
      </c>
      <c r="G3185" s="1">
        <v>7</v>
      </c>
      <c r="H3185" s="1">
        <v>0</v>
      </c>
      <c r="I3185" s="1">
        <v>1</v>
      </c>
      <c r="J3185" s="1">
        <v>1</v>
      </c>
      <c r="K3185" s="1">
        <v>1</v>
      </c>
      <c r="L3185" s="1">
        <v>0</v>
      </c>
      <c r="M3185" s="1">
        <v>0</v>
      </c>
    </row>
    <row r="3186" spans="1:13">
      <c r="A3186" s="1">
        <v>3185</v>
      </c>
      <c r="B3186" s="1">
        <v>949812.85930000001</v>
      </c>
      <c r="C3186" s="1">
        <v>559734.17142507771</v>
      </c>
      <c r="D3186" s="1">
        <f t="shared" si="49"/>
        <v>390078.6878749223</v>
      </c>
      <c r="E3186" s="1">
        <v>10</v>
      </c>
      <c r="F3186" s="1">
        <v>21</v>
      </c>
      <c r="G3186" s="1">
        <v>4</v>
      </c>
      <c r="H3186" s="1">
        <v>1</v>
      </c>
      <c r="I3186" s="1">
        <v>0</v>
      </c>
      <c r="J3186" s="1">
        <v>0</v>
      </c>
      <c r="K3186" s="1">
        <v>2</v>
      </c>
      <c r="L3186" s="1">
        <v>0</v>
      </c>
      <c r="M3186" s="1">
        <v>0</v>
      </c>
    </row>
    <row r="3187" spans="1:13">
      <c r="A3187" s="1">
        <v>3186</v>
      </c>
      <c r="B3187" s="1">
        <v>1066734.6963</v>
      </c>
      <c r="C3187" s="1">
        <v>639650.43360330723</v>
      </c>
      <c r="D3187" s="1">
        <f t="shared" si="49"/>
        <v>427084.26269669272</v>
      </c>
      <c r="E3187" s="1">
        <v>9</v>
      </c>
      <c r="F3187" s="1">
        <v>21</v>
      </c>
      <c r="G3187" s="1">
        <v>5</v>
      </c>
      <c r="H3187" s="1">
        <v>0</v>
      </c>
      <c r="I3187" s="1">
        <v>0</v>
      </c>
      <c r="J3187" s="1">
        <v>0</v>
      </c>
      <c r="K3187" s="1">
        <v>1</v>
      </c>
      <c r="L3187" s="1">
        <v>0</v>
      </c>
      <c r="M3187" s="1">
        <v>1</v>
      </c>
    </row>
    <row r="3188" spans="1:13">
      <c r="A3188" s="1">
        <v>3187</v>
      </c>
      <c r="B3188" s="1">
        <v>1033898.4571999999</v>
      </c>
      <c r="C3188" s="1">
        <v>1077512.3801901026</v>
      </c>
      <c r="D3188" s="1">
        <f t="shared" si="49"/>
        <v>-43613.92299010267</v>
      </c>
      <c r="E3188" s="1">
        <v>10</v>
      </c>
      <c r="F3188" s="1">
        <v>18</v>
      </c>
      <c r="G3188" s="1">
        <v>7</v>
      </c>
      <c r="H3188" s="1">
        <v>2</v>
      </c>
      <c r="I3188" s="1">
        <v>0</v>
      </c>
      <c r="J3188" s="1">
        <v>2</v>
      </c>
      <c r="K3188" s="1">
        <v>0</v>
      </c>
      <c r="L3188" s="1">
        <v>0</v>
      </c>
      <c r="M3188" s="1">
        <v>1</v>
      </c>
    </row>
    <row r="3189" spans="1:13">
      <c r="A3189" s="1">
        <v>3188</v>
      </c>
      <c r="B3189" s="1">
        <v>903613.94790000003</v>
      </c>
      <c r="C3189" s="1">
        <v>795519.63356915955</v>
      </c>
      <c r="D3189" s="1">
        <f t="shared" si="49"/>
        <v>108094.31433084048</v>
      </c>
      <c r="E3189" s="1">
        <v>21</v>
      </c>
      <c r="F3189" s="1">
        <v>7</v>
      </c>
      <c r="G3189" s="1">
        <v>7</v>
      </c>
      <c r="H3189" s="1">
        <v>0</v>
      </c>
      <c r="I3189" s="1">
        <v>0</v>
      </c>
      <c r="J3189" s="1">
        <v>0</v>
      </c>
      <c r="K3189" s="1">
        <v>2</v>
      </c>
      <c r="L3189" s="1">
        <v>0</v>
      </c>
      <c r="M3189" s="1">
        <v>0</v>
      </c>
    </row>
    <row r="3190" spans="1:13">
      <c r="A3190" s="1">
        <v>3189</v>
      </c>
      <c r="B3190" s="1">
        <v>915879.78700000001</v>
      </c>
      <c r="C3190" s="1">
        <v>806106.99562923529</v>
      </c>
      <c r="D3190" s="1">
        <f t="shared" si="49"/>
        <v>109772.79137076472</v>
      </c>
      <c r="E3190" s="1">
        <v>13</v>
      </c>
      <c r="F3190" s="1">
        <v>14</v>
      </c>
      <c r="G3190" s="1">
        <v>8</v>
      </c>
      <c r="H3190" s="1">
        <v>0</v>
      </c>
      <c r="I3190" s="1">
        <v>0</v>
      </c>
      <c r="J3190" s="1">
        <v>0</v>
      </c>
      <c r="K3190" s="1">
        <v>1</v>
      </c>
      <c r="L3190" s="1">
        <v>1</v>
      </c>
      <c r="M3190" s="1">
        <v>0</v>
      </c>
    </row>
    <row r="3191" spans="1:13">
      <c r="A3191" s="1">
        <v>3190</v>
      </c>
      <c r="B3191" s="1">
        <v>1050026.8296999999</v>
      </c>
      <c r="C3191" s="1">
        <v>835799.33310964552</v>
      </c>
      <c r="D3191" s="1">
        <f t="shared" si="49"/>
        <v>214227.49659035436</v>
      </c>
      <c r="E3191" s="1">
        <v>3</v>
      </c>
      <c r="F3191" s="1">
        <v>26</v>
      </c>
      <c r="G3191" s="1">
        <v>6</v>
      </c>
      <c r="H3191" s="1">
        <v>1</v>
      </c>
      <c r="I3191" s="1">
        <v>0</v>
      </c>
      <c r="J3191" s="1">
        <v>2</v>
      </c>
      <c r="K3191" s="1">
        <v>0</v>
      </c>
      <c r="L3191" s="1">
        <v>0</v>
      </c>
      <c r="M3191" s="1">
        <v>0</v>
      </c>
    </row>
    <row r="3192" spans="1:13">
      <c r="A3192" s="1">
        <v>3191</v>
      </c>
      <c r="B3192" s="1">
        <v>885553.55949999997</v>
      </c>
      <c r="C3192" s="1">
        <v>1795612.8433054443</v>
      </c>
      <c r="D3192" s="1">
        <f t="shared" si="49"/>
        <v>-910059.28380544437</v>
      </c>
      <c r="E3192" s="1">
        <v>18</v>
      </c>
      <c r="F3192" s="1">
        <v>11</v>
      </c>
      <c r="G3192" s="1">
        <v>6</v>
      </c>
      <c r="H3192" s="1">
        <v>1</v>
      </c>
      <c r="I3192" s="1">
        <v>1</v>
      </c>
      <c r="J3192" s="1">
        <v>2</v>
      </c>
      <c r="K3192" s="1">
        <v>0</v>
      </c>
      <c r="L3192" s="1">
        <v>0</v>
      </c>
      <c r="M3192" s="1">
        <v>0</v>
      </c>
    </row>
    <row r="3193" spans="1:13">
      <c r="A3193" s="1">
        <v>3192</v>
      </c>
      <c r="B3193" s="1">
        <v>1000397.3841</v>
      </c>
      <c r="C3193" s="1">
        <v>2113565.3824386252</v>
      </c>
      <c r="D3193" s="1">
        <f t="shared" si="49"/>
        <v>-1113167.9983386253</v>
      </c>
      <c r="E3193" s="1">
        <v>10</v>
      </c>
      <c r="F3193" s="1">
        <v>21</v>
      </c>
      <c r="G3193" s="1">
        <v>4</v>
      </c>
      <c r="H3193" s="1">
        <v>0</v>
      </c>
      <c r="I3193" s="1">
        <v>0</v>
      </c>
      <c r="J3193" s="1">
        <v>0</v>
      </c>
      <c r="K3193" s="1">
        <v>1</v>
      </c>
      <c r="L3193" s="1">
        <v>0</v>
      </c>
      <c r="M3193" s="1">
        <v>1</v>
      </c>
    </row>
    <row r="3194" spans="1:13">
      <c r="A3194" s="1">
        <v>3193</v>
      </c>
      <c r="B3194" s="1">
        <v>925977.52179999999</v>
      </c>
      <c r="C3194" s="1">
        <v>1121860.0005469946</v>
      </c>
      <c r="D3194" s="1">
        <f t="shared" si="49"/>
        <v>-195882.47874699463</v>
      </c>
      <c r="E3194" s="1">
        <v>16</v>
      </c>
      <c r="F3194" s="1">
        <v>13</v>
      </c>
      <c r="G3194" s="1">
        <v>6</v>
      </c>
      <c r="H3194" s="1">
        <v>0</v>
      </c>
      <c r="I3194" s="1">
        <v>1</v>
      </c>
      <c r="J3194" s="1">
        <v>1</v>
      </c>
      <c r="K3194" s="1">
        <v>1</v>
      </c>
      <c r="L3194" s="1">
        <v>0</v>
      </c>
      <c r="M3194" s="1">
        <v>0</v>
      </c>
    </row>
    <row r="3195" spans="1:13">
      <c r="A3195" s="1">
        <v>3194</v>
      </c>
      <c r="B3195" s="1">
        <v>993297.35979999998</v>
      </c>
      <c r="C3195" s="1">
        <v>1375066.1696009575</v>
      </c>
      <c r="D3195" s="1">
        <f t="shared" si="49"/>
        <v>-381768.80980095756</v>
      </c>
      <c r="E3195" s="1">
        <v>7</v>
      </c>
      <c r="F3195" s="1">
        <v>25</v>
      </c>
      <c r="G3195" s="1">
        <v>3</v>
      </c>
      <c r="H3195" s="1">
        <v>1</v>
      </c>
      <c r="I3195" s="1">
        <v>0</v>
      </c>
      <c r="J3195" s="1">
        <v>1</v>
      </c>
      <c r="K3195" s="1">
        <v>1</v>
      </c>
      <c r="L3195" s="1">
        <v>0</v>
      </c>
      <c r="M3195" s="1">
        <v>0</v>
      </c>
    </row>
    <row r="3196" spans="1:13">
      <c r="A3196" s="1">
        <v>3195</v>
      </c>
      <c r="B3196" s="1">
        <v>1041277.5306000001</v>
      </c>
      <c r="C3196" s="1">
        <v>744576.14810048428</v>
      </c>
      <c r="D3196" s="1">
        <f t="shared" si="49"/>
        <v>296701.38249951578</v>
      </c>
      <c r="E3196" s="1">
        <v>10</v>
      </c>
      <c r="F3196" s="1">
        <v>17</v>
      </c>
      <c r="G3196" s="1">
        <v>8</v>
      </c>
      <c r="H3196" s="1">
        <v>0</v>
      </c>
      <c r="I3196" s="1">
        <v>0</v>
      </c>
      <c r="J3196" s="1">
        <v>0</v>
      </c>
      <c r="K3196" s="1">
        <v>0</v>
      </c>
      <c r="L3196" s="1">
        <v>0</v>
      </c>
      <c r="M3196" s="1">
        <v>1</v>
      </c>
    </row>
    <row r="3197" spans="1:13">
      <c r="A3197" s="1">
        <v>3196</v>
      </c>
      <c r="B3197" s="1">
        <v>903079.52130000002</v>
      </c>
      <c r="C3197" s="1">
        <v>790829.43916611257</v>
      </c>
      <c r="D3197" s="1">
        <f t="shared" si="49"/>
        <v>112250.08213388745</v>
      </c>
      <c r="E3197" s="1">
        <v>15</v>
      </c>
      <c r="F3197" s="1">
        <v>16</v>
      </c>
      <c r="G3197" s="1">
        <v>4</v>
      </c>
      <c r="H3197" s="1">
        <v>0</v>
      </c>
      <c r="I3197" s="1">
        <v>0</v>
      </c>
      <c r="J3197" s="1">
        <v>0</v>
      </c>
      <c r="K3197" s="1">
        <v>0</v>
      </c>
      <c r="L3197" s="1">
        <v>0</v>
      </c>
      <c r="M3197" s="1">
        <v>0</v>
      </c>
    </row>
    <row r="3198" spans="1:13">
      <c r="A3198" s="1">
        <v>3197</v>
      </c>
      <c r="B3198" s="1">
        <v>954569.7487</v>
      </c>
      <c r="C3198" s="1">
        <v>443540.70973847189</v>
      </c>
      <c r="D3198" s="1">
        <f t="shared" si="49"/>
        <v>511029.0389615281</v>
      </c>
      <c r="E3198" s="1">
        <v>14</v>
      </c>
      <c r="F3198" s="1">
        <v>19</v>
      </c>
      <c r="G3198" s="1">
        <v>2</v>
      </c>
      <c r="H3198" s="1">
        <v>2</v>
      </c>
      <c r="I3198" s="1">
        <v>0</v>
      </c>
      <c r="J3198" s="1">
        <v>0</v>
      </c>
      <c r="K3198" s="1">
        <v>0</v>
      </c>
      <c r="L3198" s="1">
        <v>0</v>
      </c>
      <c r="M3198" s="1">
        <v>1</v>
      </c>
    </row>
    <row r="3199" spans="1:13">
      <c r="A3199" s="1">
        <v>3198</v>
      </c>
      <c r="B3199" s="1">
        <v>930210.04260000004</v>
      </c>
      <c r="C3199" s="1">
        <v>497266.46597841207</v>
      </c>
      <c r="D3199" s="1">
        <f t="shared" si="49"/>
        <v>432943.57662158797</v>
      </c>
      <c r="E3199" s="1">
        <v>10</v>
      </c>
      <c r="F3199" s="1">
        <v>19</v>
      </c>
      <c r="G3199" s="1">
        <v>6</v>
      </c>
      <c r="H3199" s="1">
        <v>2</v>
      </c>
      <c r="I3199" s="1">
        <v>0</v>
      </c>
      <c r="J3199" s="1">
        <v>1</v>
      </c>
      <c r="K3199" s="1">
        <v>1</v>
      </c>
      <c r="L3199" s="1">
        <v>0</v>
      </c>
      <c r="M3199" s="1">
        <v>0</v>
      </c>
    </row>
    <row r="3200" spans="1:13">
      <c r="A3200" s="1">
        <v>3199</v>
      </c>
      <c r="B3200" s="1">
        <v>902773.37560000003</v>
      </c>
      <c r="C3200" s="1">
        <v>988567.60378753021</v>
      </c>
      <c r="D3200" s="1">
        <f t="shared" si="49"/>
        <v>-85794.228187530185</v>
      </c>
      <c r="E3200" s="1">
        <v>12</v>
      </c>
      <c r="F3200" s="1">
        <v>17</v>
      </c>
      <c r="G3200" s="1">
        <v>6</v>
      </c>
      <c r="H3200" s="1">
        <v>0</v>
      </c>
      <c r="I3200" s="1">
        <v>0</v>
      </c>
      <c r="J3200" s="1">
        <v>0</v>
      </c>
      <c r="K3200" s="1">
        <v>1</v>
      </c>
      <c r="L3200" s="1">
        <v>1</v>
      </c>
      <c r="M3200" s="1">
        <v>0</v>
      </c>
    </row>
    <row r="3201" spans="1:13">
      <c r="A3201" s="1">
        <v>3200</v>
      </c>
      <c r="B3201" s="1">
        <v>808501.79539999994</v>
      </c>
      <c r="C3201" s="1">
        <v>694937.05841367412</v>
      </c>
      <c r="D3201" s="1">
        <f t="shared" si="49"/>
        <v>113564.73698632582</v>
      </c>
      <c r="E3201" s="1">
        <v>18</v>
      </c>
      <c r="F3201" s="1">
        <v>12</v>
      </c>
      <c r="G3201" s="1">
        <v>5</v>
      </c>
      <c r="H3201" s="1">
        <v>0</v>
      </c>
      <c r="I3201" s="1">
        <v>0</v>
      </c>
      <c r="J3201" s="1">
        <v>1</v>
      </c>
      <c r="K3201" s="1">
        <v>1</v>
      </c>
      <c r="L3201" s="1">
        <v>0</v>
      </c>
      <c r="M3201" s="1">
        <v>0</v>
      </c>
    </row>
    <row r="3202" spans="1:13">
      <c r="A3202" s="1">
        <v>3201</v>
      </c>
      <c r="B3202" s="1">
        <v>1082093.2995</v>
      </c>
      <c r="C3202" s="1">
        <v>843828.98307489033</v>
      </c>
      <c r="D3202" s="1">
        <f t="shared" ref="D3202:D3265" si="50">B3202-C3202</f>
        <v>238264.31642510963</v>
      </c>
      <c r="E3202" s="1">
        <v>3</v>
      </c>
      <c r="F3202" s="1">
        <v>25</v>
      </c>
      <c r="G3202" s="1">
        <v>7</v>
      </c>
      <c r="H3202" s="1">
        <v>1</v>
      </c>
      <c r="I3202" s="1">
        <v>1</v>
      </c>
      <c r="J3202" s="1">
        <v>1</v>
      </c>
      <c r="K3202" s="1">
        <v>0</v>
      </c>
      <c r="L3202" s="1">
        <v>0</v>
      </c>
      <c r="M3202" s="1">
        <v>0</v>
      </c>
    </row>
    <row r="3203" spans="1:13">
      <c r="A3203" s="1">
        <v>3202</v>
      </c>
      <c r="B3203" s="1">
        <v>835035.5969</v>
      </c>
      <c r="C3203" s="1">
        <v>946865.02399086754</v>
      </c>
      <c r="D3203" s="1">
        <f t="shared" si="50"/>
        <v>-111829.42709086754</v>
      </c>
      <c r="E3203" s="1">
        <v>24</v>
      </c>
      <c r="F3203" s="1">
        <v>8</v>
      </c>
      <c r="G3203" s="1">
        <v>3</v>
      </c>
      <c r="H3203" s="1">
        <v>1</v>
      </c>
      <c r="I3203" s="1">
        <v>0</v>
      </c>
      <c r="J3203" s="1">
        <v>0</v>
      </c>
      <c r="K3203" s="1">
        <v>1</v>
      </c>
      <c r="L3203" s="1">
        <v>0</v>
      </c>
      <c r="M3203" s="1">
        <v>0</v>
      </c>
    </row>
    <row r="3204" spans="1:13">
      <c r="A3204" s="1">
        <v>3203</v>
      </c>
      <c r="B3204" s="1">
        <v>918118.5969</v>
      </c>
      <c r="C3204" s="1">
        <v>805379.2388022379</v>
      </c>
      <c r="D3204" s="1">
        <f t="shared" si="50"/>
        <v>112739.3580977621</v>
      </c>
      <c r="E3204" s="1">
        <v>15</v>
      </c>
      <c r="F3204" s="1">
        <v>16</v>
      </c>
      <c r="G3204" s="1">
        <v>4</v>
      </c>
      <c r="H3204" s="1">
        <v>1</v>
      </c>
      <c r="I3204" s="1">
        <v>0</v>
      </c>
      <c r="J3204" s="1">
        <v>2</v>
      </c>
      <c r="K3204" s="1">
        <v>0</v>
      </c>
      <c r="L3204" s="1">
        <v>0</v>
      </c>
      <c r="M3204" s="1">
        <v>0</v>
      </c>
    </row>
    <row r="3205" spans="1:13">
      <c r="A3205" s="1">
        <v>3204</v>
      </c>
      <c r="B3205" s="1">
        <v>964398.46059999999</v>
      </c>
      <c r="C3205" s="1">
        <v>817423.61518154875</v>
      </c>
      <c r="D3205" s="1">
        <f t="shared" si="50"/>
        <v>146974.84541845124</v>
      </c>
      <c r="E3205" s="1">
        <v>18</v>
      </c>
      <c r="F3205" s="1">
        <v>11</v>
      </c>
      <c r="G3205" s="1">
        <v>6</v>
      </c>
      <c r="H3205" s="1">
        <v>1</v>
      </c>
      <c r="I3205" s="1">
        <v>1</v>
      </c>
      <c r="J3205" s="1">
        <v>1</v>
      </c>
      <c r="K3205" s="1">
        <v>1</v>
      </c>
      <c r="L3205" s="1">
        <v>0</v>
      </c>
      <c r="M3205" s="1">
        <v>1</v>
      </c>
    </row>
    <row r="3206" spans="1:13">
      <c r="A3206" s="1">
        <v>3205</v>
      </c>
      <c r="B3206" s="1">
        <v>926385.57209999999</v>
      </c>
      <c r="C3206" s="1">
        <v>882602.4703098624</v>
      </c>
      <c r="D3206" s="1">
        <f t="shared" si="50"/>
        <v>43783.101790137589</v>
      </c>
      <c r="E3206" s="1">
        <v>22</v>
      </c>
      <c r="F3206" s="1">
        <v>7</v>
      </c>
      <c r="G3206" s="1">
        <v>6</v>
      </c>
      <c r="H3206" s="1">
        <v>2</v>
      </c>
      <c r="I3206" s="1">
        <v>0</v>
      </c>
      <c r="J3206" s="1">
        <v>0</v>
      </c>
      <c r="K3206" s="1">
        <v>2</v>
      </c>
      <c r="L3206" s="1">
        <v>0</v>
      </c>
      <c r="M3206" s="1">
        <v>0</v>
      </c>
    </row>
    <row r="3207" spans="1:13">
      <c r="A3207" s="1">
        <v>3206</v>
      </c>
      <c r="B3207" s="1">
        <v>976648.56819999998</v>
      </c>
      <c r="C3207" s="1">
        <v>730728.68526315386</v>
      </c>
      <c r="D3207" s="1">
        <f t="shared" si="50"/>
        <v>245919.88293684612</v>
      </c>
      <c r="E3207" s="1">
        <v>10</v>
      </c>
      <c r="F3207" s="1">
        <v>22</v>
      </c>
      <c r="G3207" s="1">
        <v>3</v>
      </c>
      <c r="H3207" s="1">
        <v>1</v>
      </c>
      <c r="I3207" s="1">
        <v>1</v>
      </c>
      <c r="J3207" s="1">
        <v>0</v>
      </c>
      <c r="K3207" s="1">
        <v>0</v>
      </c>
      <c r="L3207" s="1">
        <v>0</v>
      </c>
      <c r="M3207" s="1">
        <v>0</v>
      </c>
    </row>
    <row r="3208" spans="1:13">
      <c r="A3208" s="1">
        <v>3207</v>
      </c>
      <c r="B3208" s="1">
        <v>937175.52130000002</v>
      </c>
      <c r="C3208" s="1">
        <v>703635.4364769652</v>
      </c>
      <c r="D3208" s="1">
        <f t="shared" si="50"/>
        <v>233540.08482303482</v>
      </c>
      <c r="E3208" s="1">
        <v>17</v>
      </c>
      <c r="F3208" s="1">
        <v>15</v>
      </c>
      <c r="G3208" s="1">
        <v>3</v>
      </c>
      <c r="H3208" s="1">
        <v>1</v>
      </c>
      <c r="I3208" s="1">
        <v>0</v>
      </c>
      <c r="J3208" s="1">
        <v>0</v>
      </c>
      <c r="K3208" s="1">
        <v>0</v>
      </c>
      <c r="L3208" s="1">
        <v>0</v>
      </c>
      <c r="M3208" s="1">
        <v>1</v>
      </c>
    </row>
    <row r="3209" spans="1:13">
      <c r="A3209" s="1">
        <v>3208</v>
      </c>
      <c r="B3209" s="1">
        <v>960398.1091</v>
      </c>
      <c r="C3209" s="1">
        <v>931169.15868699423</v>
      </c>
      <c r="D3209" s="1">
        <f t="shared" si="50"/>
        <v>29228.950413005776</v>
      </c>
      <c r="E3209" s="1">
        <v>20</v>
      </c>
      <c r="F3209" s="1">
        <v>10</v>
      </c>
      <c r="G3209" s="1">
        <v>5</v>
      </c>
      <c r="H3209" s="1">
        <v>0</v>
      </c>
      <c r="I3209" s="1">
        <v>1</v>
      </c>
      <c r="J3209" s="1">
        <v>0</v>
      </c>
      <c r="K3209" s="1">
        <v>0</v>
      </c>
      <c r="L3209" s="1">
        <v>0</v>
      </c>
      <c r="M3209" s="1">
        <v>1</v>
      </c>
    </row>
    <row r="3210" spans="1:13">
      <c r="A3210" s="1">
        <v>3209</v>
      </c>
      <c r="B3210" s="1">
        <v>915117.28390000004</v>
      </c>
      <c r="C3210" s="1">
        <v>730310.40884722071</v>
      </c>
      <c r="D3210" s="1">
        <f t="shared" si="50"/>
        <v>184806.87505277933</v>
      </c>
      <c r="E3210" s="1">
        <v>14</v>
      </c>
      <c r="F3210" s="1">
        <v>13</v>
      </c>
      <c r="G3210" s="1">
        <v>8</v>
      </c>
      <c r="H3210" s="1">
        <v>0</v>
      </c>
      <c r="I3210" s="1">
        <v>0</v>
      </c>
      <c r="J3210" s="1">
        <v>1</v>
      </c>
      <c r="K3210" s="1">
        <v>1</v>
      </c>
      <c r="L3210" s="1">
        <v>0</v>
      </c>
      <c r="M3210" s="1">
        <v>0</v>
      </c>
    </row>
    <row r="3211" spans="1:13">
      <c r="A3211" s="1">
        <v>3210</v>
      </c>
      <c r="B3211" s="1">
        <v>1006852.476</v>
      </c>
      <c r="C3211" s="1">
        <v>509294.71395750472</v>
      </c>
      <c r="D3211" s="1">
        <f t="shared" si="50"/>
        <v>497557.76204249531</v>
      </c>
      <c r="E3211" s="1">
        <v>3</v>
      </c>
      <c r="F3211" s="1">
        <v>25</v>
      </c>
      <c r="G3211" s="1">
        <v>7</v>
      </c>
      <c r="H3211" s="1">
        <v>1</v>
      </c>
      <c r="I3211" s="1">
        <v>0</v>
      </c>
      <c r="J3211" s="1">
        <v>1</v>
      </c>
      <c r="K3211" s="1">
        <v>0</v>
      </c>
      <c r="L3211" s="1">
        <v>0</v>
      </c>
      <c r="M3211" s="1">
        <v>0</v>
      </c>
    </row>
    <row r="3212" spans="1:13">
      <c r="A3212" s="1">
        <v>3211</v>
      </c>
      <c r="B3212" s="1">
        <v>946603.91460000002</v>
      </c>
      <c r="C3212" s="1">
        <v>935200.50557955226</v>
      </c>
      <c r="D3212" s="1">
        <f t="shared" si="50"/>
        <v>11403.409020447754</v>
      </c>
      <c r="E3212" s="1">
        <v>11</v>
      </c>
      <c r="F3212" s="1">
        <v>18</v>
      </c>
      <c r="G3212" s="1">
        <v>6</v>
      </c>
      <c r="H3212" s="1">
        <v>1</v>
      </c>
      <c r="I3212" s="1">
        <v>0</v>
      </c>
      <c r="J3212" s="1">
        <v>0</v>
      </c>
      <c r="K3212" s="1">
        <v>0</v>
      </c>
      <c r="L3212" s="1">
        <v>0</v>
      </c>
      <c r="M3212" s="1">
        <v>1</v>
      </c>
    </row>
    <row r="3213" spans="1:13">
      <c r="A3213" s="1">
        <v>3212</v>
      </c>
      <c r="B3213" s="1">
        <v>820385.21580000001</v>
      </c>
      <c r="C3213" s="1">
        <v>1086143.4309567735</v>
      </c>
      <c r="D3213" s="1">
        <f t="shared" si="50"/>
        <v>-265758.21515677345</v>
      </c>
      <c r="E3213" s="1">
        <v>14</v>
      </c>
      <c r="F3213" s="1">
        <v>19</v>
      </c>
      <c r="G3213" s="1">
        <v>2</v>
      </c>
      <c r="H3213" s="1">
        <v>0</v>
      </c>
      <c r="I3213" s="1">
        <v>0</v>
      </c>
      <c r="J3213" s="1">
        <v>1</v>
      </c>
      <c r="K3213" s="1">
        <v>1</v>
      </c>
      <c r="L3213" s="1">
        <v>0</v>
      </c>
      <c r="M3213" s="1">
        <v>0</v>
      </c>
    </row>
    <row r="3214" spans="1:13">
      <c r="A3214" s="1">
        <v>3213</v>
      </c>
      <c r="B3214" s="1">
        <v>1040076.7649</v>
      </c>
      <c r="C3214" s="1">
        <v>942621.49083709007</v>
      </c>
      <c r="D3214" s="1">
        <f t="shared" si="50"/>
        <v>97455.274062909884</v>
      </c>
      <c r="E3214" s="1">
        <v>9</v>
      </c>
      <c r="F3214" s="1">
        <v>20</v>
      </c>
      <c r="G3214" s="1">
        <v>6</v>
      </c>
      <c r="H3214" s="1">
        <v>1</v>
      </c>
      <c r="I3214" s="1">
        <v>0</v>
      </c>
      <c r="J3214" s="1">
        <v>0</v>
      </c>
      <c r="K3214" s="1">
        <v>1</v>
      </c>
      <c r="L3214" s="1">
        <v>1</v>
      </c>
      <c r="M3214" s="1">
        <v>1</v>
      </c>
    </row>
    <row r="3215" spans="1:13">
      <c r="A3215" s="1">
        <v>3214</v>
      </c>
      <c r="B3215" s="1">
        <v>1011539.1834</v>
      </c>
      <c r="C3215" s="1">
        <v>1172818.8599914333</v>
      </c>
      <c r="D3215" s="1">
        <f t="shared" si="50"/>
        <v>-161279.67659143335</v>
      </c>
      <c r="E3215" s="1">
        <v>12</v>
      </c>
      <c r="F3215" s="1">
        <v>17</v>
      </c>
      <c r="G3215" s="1">
        <v>6</v>
      </c>
      <c r="H3215" s="1">
        <v>1</v>
      </c>
      <c r="I3215" s="1">
        <v>0</v>
      </c>
      <c r="J3215" s="1">
        <v>0</v>
      </c>
      <c r="K3215" s="1">
        <v>0</v>
      </c>
      <c r="L3215" s="1">
        <v>0</v>
      </c>
      <c r="M3215" s="1">
        <v>0</v>
      </c>
    </row>
    <row r="3216" spans="1:13">
      <c r="A3216" s="1">
        <v>3215</v>
      </c>
      <c r="B3216" s="1">
        <v>1005804.7228</v>
      </c>
      <c r="C3216" s="1">
        <v>406618.62184962677</v>
      </c>
      <c r="D3216" s="1">
        <f t="shared" si="50"/>
        <v>599186.10095037322</v>
      </c>
      <c r="E3216" s="1">
        <v>9</v>
      </c>
      <c r="F3216" s="1">
        <v>17</v>
      </c>
      <c r="G3216" s="1">
        <v>9</v>
      </c>
      <c r="H3216" s="1">
        <v>1</v>
      </c>
      <c r="I3216" s="1">
        <v>0</v>
      </c>
      <c r="J3216" s="1">
        <v>0</v>
      </c>
      <c r="K3216" s="1">
        <v>1</v>
      </c>
      <c r="L3216" s="1">
        <v>0</v>
      </c>
      <c r="M3216" s="1">
        <v>0</v>
      </c>
    </row>
    <row r="3217" spans="1:13">
      <c r="A3217" s="1">
        <v>3216</v>
      </c>
      <c r="B3217" s="1">
        <v>859783.66540000006</v>
      </c>
      <c r="C3217" s="1">
        <v>477294.60936278407</v>
      </c>
      <c r="D3217" s="1">
        <f t="shared" si="50"/>
        <v>382489.05603721598</v>
      </c>
      <c r="E3217" s="1">
        <v>15</v>
      </c>
      <c r="F3217" s="1">
        <v>14</v>
      </c>
      <c r="G3217" s="1">
        <v>6</v>
      </c>
      <c r="H3217" s="1">
        <v>1</v>
      </c>
      <c r="I3217" s="1">
        <v>0</v>
      </c>
      <c r="J3217" s="1">
        <v>0</v>
      </c>
      <c r="K3217" s="1">
        <v>0</v>
      </c>
      <c r="L3217" s="1">
        <v>0</v>
      </c>
      <c r="M3217" s="1">
        <v>0</v>
      </c>
    </row>
    <row r="3218" spans="1:13">
      <c r="A3218" s="1">
        <v>3217</v>
      </c>
      <c r="B3218" s="1">
        <v>860073.31420000002</v>
      </c>
      <c r="C3218" s="1">
        <v>790709.76888556394</v>
      </c>
      <c r="D3218" s="1">
        <f t="shared" si="50"/>
        <v>69363.54531443608</v>
      </c>
      <c r="E3218" s="1">
        <v>19</v>
      </c>
      <c r="F3218" s="1">
        <v>12</v>
      </c>
      <c r="G3218" s="1">
        <v>4</v>
      </c>
      <c r="H3218" s="1">
        <v>1</v>
      </c>
      <c r="I3218" s="1">
        <v>0</v>
      </c>
      <c r="J3218" s="1">
        <v>2</v>
      </c>
      <c r="K3218" s="1">
        <v>0</v>
      </c>
      <c r="L3218" s="1">
        <v>0</v>
      </c>
      <c r="M3218" s="1">
        <v>0</v>
      </c>
    </row>
    <row r="3219" spans="1:13">
      <c r="A3219" s="1">
        <v>3218</v>
      </c>
      <c r="B3219" s="1">
        <v>989637.26150000002</v>
      </c>
      <c r="C3219" s="1">
        <v>777596.06673374458</v>
      </c>
      <c r="D3219" s="1">
        <f t="shared" si="50"/>
        <v>212041.19476625544</v>
      </c>
      <c r="E3219" s="1">
        <v>5</v>
      </c>
      <c r="F3219" s="1">
        <v>25</v>
      </c>
      <c r="G3219" s="1">
        <v>5</v>
      </c>
      <c r="H3219" s="1">
        <v>0</v>
      </c>
      <c r="I3219" s="1">
        <v>0</v>
      </c>
      <c r="J3219" s="1">
        <v>1</v>
      </c>
      <c r="K3219" s="1">
        <v>0</v>
      </c>
      <c r="L3219" s="1">
        <v>0</v>
      </c>
      <c r="M3219" s="1">
        <v>0</v>
      </c>
    </row>
    <row r="3220" spans="1:13">
      <c r="A3220" s="1">
        <v>3219</v>
      </c>
      <c r="B3220" s="1">
        <v>981832.91249999998</v>
      </c>
      <c r="C3220" s="1">
        <v>1119707.6634869291</v>
      </c>
      <c r="D3220" s="1">
        <f t="shared" si="50"/>
        <v>-137874.75098692917</v>
      </c>
      <c r="E3220" s="1">
        <v>14</v>
      </c>
      <c r="F3220" s="1">
        <v>16</v>
      </c>
      <c r="G3220" s="1">
        <v>5</v>
      </c>
      <c r="H3220" s="1">
        <v>2</v>
      </c>
      <c r="I3220" s="1">
        <v>0</v>
      </c>
      <c r="J3220" s="1">
        <v>0</v>
      </c>
      <c r="K3220" s="1">
        <v>1</v>
      </c>
      <c r="L3220" s="1">
        <v>0</v>
      </c>
      <c r="M3220" s="1">
        <v>0</v>
      </c>
    </row>
    <row r="3221" spans="1:13">
      <c r="A3221" s="1">
        <v>3220</v>
      </c>
      <c r="B3221" s="1">
        <v>841161.09279999998</v>
      </c>
      <c r="C3221" s="1">
        <v>1093325.7927381492</v>
      </c>
      <c r="D3221" s="1">
        <f t="shared" si="50"/>
        <v>-252164.69993814919</v>
      </c>
      <c r="E3221" s="1">
        <v>20</v>
      </c>
      <c r="F3221" s="1">
        <v>12</v>
      </c>
      <c r="G3221" s="1">
        <v>3</v>
      </c>
      <c r="H3221" s="1">
        <v>0</v>
      </c>
      <c r="I3221" s="1">
        <v>1</v>
      </c>
      <c r="J3221" s="1">
        <v>0</v>
      </c>
      <c r="K3221" s="1">
        <v>0</v>
      </c>
      <c r="L3221" s="1">
        <v>0</v>
      </c>
      <c r="M3221" s="1">
        <v>0</v>
      </c>
    </row>
    <row r="3222" spans="1:13">
      <c r="A3222" s="1">
        <v>3221</v>
      </c>
      <c r="B3222" s="1">
        <v>842147.51410000003</v>
      </c>
      <c r="C3222" s="1">
        <v>1027528.641688164</v>
      </c>
      <c r="D3222" s="1">
        <f t="shared" si="50"/>
        <v>-185381.12758816394</v>
      </c>
      <c r="E3222" s="1">
        <v>17</v>
      </c>
      <c r="F3222" s="1">
        <v>14</v>
      </c>
      <c r="G3222" s="1">
        <v>4</v>
      </c>
      <c r="H3222" s="1">
        <v>0</v>
      </c>
      <c r="I3222" s="1">
        <v>0</v>
      </c>
      <c r="J3222" s="1">
        <v>0</v>
      </c>
      <c r="K3222" s="1">
        <v>0</v>
      </c>
      <c r="L3222" s="1">
        <v>0</v>
      </c>
      <c r="M3222" s="1">
        <v>0</v>
      </c>
    </row>
    <row r="3223" spans="1:13">
      <c r="A3223" s="1">
        <v>3222</v>
      </c>
      <c r="B3223" s="1">
        <v>871817.23250000004</v>
      </c>
      <c r="C3223" s="1">
        <v>908262.16107555293</v>
      </c>
      <c r="D3223" s="1">
        <f t="shared" si="50"/>
        <v>-36444.928575552884</v>
      </c>
      <c r="E3223" s="1">
        <v>20</v>
      </c>
      <c r="F3223" s="1">
        <v>11</v>
      </c>
      <c r="G3223" s="1">
        <v>4</v>
      </c>
      <c r="H3223" s="1">
        <v>2</v>
      </c>
      <c r="I3223" s="1">
        <v>0</v>
      </c>
      <c r="J3223" s="1">
        <v>0</v>
      </c>
      <c r="K3223" s="1">
        <v>0</v>
      </c>
      <c r="L3223" s="1">
        <v>0</v>
      </c>
      <c r="M3223" s="1">
        <v>0</v>
      </c>
    </row>
    <row r="3224" spans="1:13">
      <c r="A3224" s="1">
        <v>3223</v>
      </c>
      <c r="B3224" s="1">
        <v>878989.55020000006</v>
      </c>
      <c r="C3224" s="1">
        <v>545997.74543277791</v>
      </c>
      <c r="D3224" s="1">
        <f t="shared" si="50"/>
        <v>332991.80476722214</v>
      </c>
      <c r="E3224" s="1">
        <v>10</v>
      </c>
      <c r="F3224" s="1">
        <v>17</v>
      </c>
      <c r="G3224" s="1">
        <v>8</v>
      </c>
      <c r="H3224" s="1">
        <v>2</v>
      </c>
      <c r="I3224" s="1">
        <v>0</v>
      </c>
      <c r="J3224" s="1">
        <v>1</v>
      </c>
      <c r="K3224" s="1">
        <v>1</v>
      </c>
      <c r="L3224" s="1">
        <v>0</v>
      </c>
      <c r="M3224" s="1">
        <v>0</v>
      </c>
    </row>
    <row r="3225" spans="1:13">
      <c r="A3225" s="1">
        <v>3224</v>
      </c>
      <c r="B3225" s="1">
        <v>859203.75080000004</v>
      </c>
      <c r="C3225" s="1">
        <v>950288.91015701438</v>
      </c>
      <c r="D3225" s="1">
        <f t="shared" si="50"/>
        <v>-91085.159357014345</v>
      </c>
      <c r="E3225" s="1">
        <v>12</v>
      </c>
      <c r="F3225" s="1">
        <v>20</v>
      </c>
      <c r="G3225" s="1">
        <v>3</v>
      </c>
      <c r="H3225" s="1">
        <v>1</v>
      </c>
      <c r="I3225" s="1">
        <v>0</v>
      </c>
      <c r="J3225" s="1">
        <v>0</v>
      </c>
      <c r="K3225" s="1">
        <v>2</v>
      </c>
      <c r="L3225" s="1">
        <v>0</v>
      </c>
      <c r="M3225" s="1">
        <v>0</v>
      </c>
    </row>
    <row r="3226" spans="1:13">
      <c r="A3226" s="1">
        <v>3225</v>
      </c>
      <c r="B3226" s="1">
        <v>990600.82830000005</v>
      </c>
      <c r="C3226" s="1">
        <v>638425.5019316104</v>
      </c>
      <c r="D3226" s="1">
        <f t="shared" si="50"/>
        <v>352175.32636838965</v>
      </c>
      <c r="E3226" s="1">
        <v>12</v>
      </c>
      <c r="F3226" s="1">
        <v>20</v>
      </c>
      <c r="G3226" s="1">
        <v>3</v>
      </c>
      <c r="H3226" s="1">
        <v>2</v>
      </c>
      <c r="I3226" s="1">
        <v>0</v>
      </c>
      <c r="J3226" s="1">
        <v>2</v>
      </c>
      <c r="K3226" s="1">
        <v>0</v>
      </c>
      <c r="L3226" s="1">
        <v>0</v>
      </c>
      <c r="M3226" s="1">
        <v>0</v>
      </c>
    </row>
    <row r="3227" spans="1:13">
      <c r="A3227" s="1">
        <v>3226</v>
      </c>
      <c r="B3227" s="1">
        <v>993761.42920000001</v>
      </c>
      <c r="C3227" s="1">
        <v>1142731.234578135</v>
      </c>
      <c r="D3227" s="1">
        <f t="shared" si="50"/>
        <v>-148969.80537813494</v>
      </c>
      <c r="E3227" s="1">
        <v>10</v>
      </c>
      <c r="F3227" s="1">
        <v>19</v>
      </c>
      <c r="G3227" s="1">
        <v>6</v>
      </c>
      <c r="H3227" s="1">
        <v>1</v>
      </c>
      <c r="I3227" s="1">
        <v>0</v>
      </c>
      <c r="J3227" s="1">
        <v>1</v>
      </c>
      <c r="K3227" s="1">
        <v>1</v>
      </c>
      <c r="L3227" s="1">
        <v>0</v>
      </c>
      <c r="M3227" s="1">
        <v>0</v>
      </c>
    </row>
    <row r="3228" spans="1:13">
      <c r="A3228" s="1">
        <v>3227</v>
      </c>
      <c r="B3228" s="1">
        <v>858335.32409999997</v>
      </c>
      <c r="C3228" s="1">
        <v>917325.83784996474</v>
      </c>
      <c r="D3228" s="1">
        <f t="shared" si="50"/>
        <v>-58990.513749964768</v>
      </c>
      <c r="E3228" s="1">
        <v>18</v>
      </c>
      <c r="F3228" s="1">
        <v>12</v>
      </c>
      <c r="G3228" s="1">
        <v>5</v>
      </c>
      <c r="H3228" s="1">
        <v>1</v>
      </c>
      <c r="I3228" s="1">
        <v>0</v>
      </c>
      <c r="J3228" s="1">
        <v>1</v>
      </c>
      <c r="K3228" s="1">
        <v>0</v>
      </c>
      <c r="L3228" s="1">
        <v>0</v>
      </c>
      <c r="M3228" s="1">
        <v>0</v>
      </c>
    </row>
    <row r="3229" spans="1:13">
      <c r="A3229" s="1">
        <v>3228</v>
      </c>
      <c r="B3229" s="1">
        <v>937575.89670000004</v>
      </c>
      <c r="C3229" s="1">
        <v>779004.33194508054</v>
      </c>
      <c r="D3229" s="1">
        <f t="shared" si="50"/>
        <v>158571.5647549195</v>
      </c>
      <c r="E3229" s="1">
        <v>12</v>
      </c>
      <c r="F3229" s="1">
        <v>15</v>
      </c>
      <c r="G3229" s="1">
        <v>8</v>
      </c>
      <c r="H3229" s="1">
        <v>2</v>
      </c>
      <c r="I3229" s="1">
        <v>0</v>
      </c>
      <c r="J3229" s="1">
        <v>1</v>
      </c>
      <c r="K3229" s="1">
        <v>0</v>
      </c>
      <c r="L3229" s="1">
        <v>0</v>
      </c>
      <c r="M3229" s="1">
        <v>1</v>
      </c>
    </row>
    <row r="3230" spans="1:13">
      <c r="A3230" s="1">
        <v>3229</v>
      </c>
      <c r="B3230" s="1">
        <v>846781.32479999994</v>
      </c>
      <c r="C3230" s="1">
        <v>1115178.2178484371</v>
      </c>
      <c r="D3230" s="1">
        <f t="shared" si="50"/>
        <v>-268396.8930484372</v>
      </c>
      <c r="E3230" s="1">
        <v>15</v>
      </c>
      <c r="F3230" s="1">
        <v>15</v>
      </c>
      <c r="G3230" s="1">
        <v>5</v>
      </c>
      <c r="H3230" s="1">
        <v>2</v>
      </c>
      <c r="I3230" s="1">
        <v>0</v>
      </c>
      <c r="J3230" s="1">
        <v>0</v>
      </c>
      <c r="K3230" s="1">
        <v>2</v>
      </c>
      <c r="L3230" s="1">
        <v>0</v>
      </c>
      <c r="M3230" s="1">
        <v>1</v>
      </c>
    </row>
    <row r="3231" spans="1:13">
      <c r="A3231" s="1">
        <v>3230</v>
      </c>
      <c r="B3231" s="1">
        <v>985280.90630000003</v>
      </c>
      <c r="C3231" s="1">
        <v>858095.89421325969</v>
      </c>
      <c r="D3231" s="1">
        <f t="shared" si="50"/>
        <v>127185.01208674035</v>
      </c>
      <c r="E3231" s="1">
        <v>5</v>
      </c>
      <c r="F3231" s="1">
        <v>24</v>
      </c>
      <c r="G3231" s="1">
        <v>6</v>
      </c>
      <c r="H3231" s="1">
        <v>0</v>
      </c>
      <c r="I3231" s="1">
        <v>0</v>
      </c>
      <c r="J3231" s="1">
        <v>0</v>
      </c>
      <c r="K3231" s="1">
        <v>0</v>
      </c>
      <c r="L3231" s="1">
        <v>0</v>
      </c>
      <c r="M3231" s="1">
        <v>1</v>
      </c>
    </row>
    <row r="3232" spans="1:13">
      <c r="A3232" s="1">
        <v>3231</v>
      </c>
      <c r="B3232" s="1">
        <v>832140.35730000003</v>
      </c>
      <c r="C3232" s="1">
        <v>1085657.7335377978</v>
      </c>
      <c r="D3232" s="1">
        <f t="shared" si="50"/>
        <v>-253517.37623779778</v>
      </c>
      <c r="E3232" s="1">
        <v>8</v>
      </c>
      <c r="F3232" s="1">
        <v>23</v>
      </c>
      <c r="G3232" s="1">
        <v>4</v>
      </c>
      <c r="H3232" s="1">
        <v>0</v>
      </c>
      <c r="I3232" s="1">
        <v>0</v>
      </c>
      <c r="J3232" s="1">
        <v>0</v>
      </c>
      <c r="K3232" s="1">
        <v>1</v>
      </c>
      <c r="L3232" s="1">
        <v>0</v>
      </c>
      <c r="M3232" s="1">
        <v>0</v>
      </c>
    </row>
    <row r="3233" spans="1:13">
      <c r="A3233" s="1">
        <v>3232</v>
      </c>
      <c r="B3233" s="1">
        <v>974991.01249999995</v>
      </c>
      <c r="C3233" s="1">
        <v>508154.76584622695</v>
      </c>
      <c r="D3233" s="1">
        <f t="shared" si="50"/>
        <v>466836.24665377301</v>
      </c>
      <c r="E3233" s="1">
        <v>11</v>
      </c>
      <c r="F3233" s="1">
        <v>19</v>
      </c>
      <c r="G3233" s="1">
        <v>5</v>
      </c>
      <c r="H3233" s="1">
        <v>2</v>
      </c>
      <c r="I3233" s="1">
        <v>0</v>
      </c>
      <c r="J3233" s="1">
        <v>1</v>
      </c>
      <c r="K3233" s="1">
        <v>0</v>
      </c>
      <c r="L3233" s="1">
        <v>0</v>
      </c>
      <c r="M3233" s="1">
        <v>0</v>
      </c>
    </row>
    <row r="3234" spans="1:13">
      <c r="A3234" s="1">
        <v>3233</v>
      </c>
      <c r="B3234" s="1">
        <v>938119.04650000005</v>
      </c>
      <c r="C3234" s="1">
        <v>1133810.0886608707</v>
      </c>
      <c r="D3234" s="1">
        <f t="shared" si="50"/>
        <v>-195691.04216087062</v>
      </c>
      <c r="E3234" s="1">
        <v>8</v>
      </c>
      <c r="F3234" s="1">
        <v>21</v>
      </c>
      <c r="G3234" s="1">
        <v>6</v>
      </c>
      <c r="H3234" s="1">
        <v>2</v>
      </c>
      <c r="I3234" s="1">
        <v>0</v>
      </c>
      <c r="J3234" s="1">
        <v>2</v>
      </c>
      <c r="K3234" s="1">
        <v>0</v>
      </c>
      <c r="L3234" s="1">
        <v>0</v>
      </c>
      <c r="M3234" s="1">
        <v>1</v>
      </c>
    </row>
    <row r="3235" spans="1:13">
      <c r="A3235" s="1">
        <v>3234</v>
      </c>
      <c r="B3235" s="1">
        <v>988955.96219999995</v>
      </c>
      <c r="C3235" s="1">
        <v>787294.48908476369</v>
      </c>
      <c r="D3235" s="1">
        <f t="shared" si="50"/>
        <v>201661.47311523627</v>
      </c>
      <c r="E3235" s="1">
        <v>8</v>
      </c>
      <c r="F3235" s="1">
        <v>22</v>
      </c>
      <c r="G3235" s="1">
        <v>5</v>
      </c>
      <c r="H3235" s="1">
        <v>2</v>
      </c>
      <c r="I3235" s="1">
        <v>0</v>
      </c>
      <c r="J3235" s="1">
        <v>1</v>
      </c>
      <c r="K3235" s="1">
        <v>1</v>
      </c>
      <c r="L3235" s="1">
        <v>0</v>
      </c>
      <c r="M3235" s="1">
        <v>0</v>
      </c>
    </row>
    <row r="3236" spans="1:13">
      <c r="A3236" s="1">
        <v>3235</v>
      </c>
      <c r="B3236" s="1">
        <v>995840.14850000001</v>
      </c>
      <c r="C3236" s="1">
        <v>713411.35432173021</v>
      </c>
      <c r="D3236" s="1">
        <f t="shared" si="50"/>
        <v>282428.7941782698</v>
      </c>
      <c r="E3236" s="1">
        <v>5</v>
      </c>
      <c r="F3236" s="1">
        <v>24</v>
      </c>
      <c r="G3236" s="1">
        <v>6</v>
      </c>
      <c r="H3236" s="1">
        <v>2</v>
      </c>
      <c r="I3236" s="1">
        <v>0</v>
      </c>
      <c r="J3236" s="1">
        <v>0</v>
      </c>
      <c r="K3236" s="1">
        <v>2</v>
      </c>
      <c r="L3236" s="1">
        <v>0</v>
      </c>
      <c r="M3236" s="1">
        <v>1</v>
      </c>
    </row>
    <row r="3237" spans="1:13">
      <c r="A3237" s="1">
        <v>3236</v>
      </c>
      <c r="B3237" s="1">
        <v>904285.95299999998</v>
      </c>
      <c r="C3237" s="1">
        <v>1234316.3318482875</v>
      </c>
      <c r="D3237" s="1">
        <f t="shared" si="50"/>
        <v>-330030.37884828751</v>
      </c>
      <c r="E3237" s="1">
        <v>16</v>
      </c>
      <c r="F3237" s="1">
        <v>15</v>
      </c>
      <c r="G3237" s="1">
        <v>4</v>
      </c>
      <c r="H3237" s="1">
        <v>2</v>
      </c>
      <c r="I3237" s="1">
        <v>0</v>
      </c>
      <c r="J3237" s="1">
        <v>1</v>
      </c>
      <c r="K3237" s="1">
        <v>0</v>
      </c>
      <c r="L3237" s="1">
        <v>0</v>
      </c>
      <c r="M3237" s="1">
        <v>0</v>
      </c>
    </row>
    <row r="3238" spans="1:13">
      <c r="A3238" s="1">
        <v>3237</v>
      </c>
      <c r="B3238" s="1">
        <v>1019726.0767</v>
      </c>
      <c r="C3238" s="1">
        <v>799463.74733459216</v>
      </c>
      <c r="D3238" s="1">
        <f t="shared" si="50"/>
        <v>220262.32936540782</v>
      </c>
      <c r="E3238" s="1">
        <v>10</v>
      </c>
      <c r="F3238" s="1">
        <v>21</v>
      </c>
      <c r="G3238" s="1">
        <v>4</v>
      </c>
      <c r="H3238" s="1">
        <v>2</v>
      </c>
      <c r="I3238" s="1">
        <v>0</v>
      </c>
      <c r="J3238" s="1">
        <v>1</v>
      </c>
      <c r="K3238" s="1">
        <v>1</v>
      </c>
      <c r="L3238" s="1">
        <v>0</v>
      </c>
      <c r="M3238" s="1">
        <v>1</v>
      </c>
    </row>
    <row r="3239" spans="1:13">
      <c r="A3239" s="1">
        <v>3238</v>
      </c>
      <c r="B3239" s="1">
        <v>907207.15419999999</v>
      </c>
      <c r="C3239" s="1">
        <v>1474826.465136335</v>
      </c>
      <c r="D3239" s="1">
        <f t="shared" si="50"/>
        <v>-567619.31093633501</v>
      </c>
      <c r="E3239" s="1">
        <v>14</v>
      </c>
      <c r="F3239" s="1">
        <v>13</v>
      </c>
      <c r="G3239" s="1">
        <v>8</v>
      </c>
      <c r="H3239" s="1">
        <v>2</v>
      </c>
      <c r="I3239" s="1">
        <v>0</v>
      </c>
      <c r="J3239" s="1">
        <v>0</v>
      </c>
      <c r="K3239" s="1">
        <v>1</v>
      </c>
      <c r="L3239" s="1">
        <v>0</v>
      </c>
      <c r="M3239" s="1">
        <v>1</v>
      </c>
    </row>
    <row r="3240" spans="1:13">
      <c r="A3240" s="1">
        <v>3239</v>
      </c>
      <c r="B3240" s="1">
        <v>931255.13870000001</v>
      </c>
      <c r="C3240" s="1">
        <v>723542.60761810397</v>
      </c>
      <c r="D3240" s="1">
        <f t="shared" si="50"/>
        <v>207712.53108189604</v>
      </c>
      <c r="E3240" s="1">
        <v>9</v>
      </c>
      <c r="F3240" s="1">
        <v>22</v>
      </c>
      <c r="G3240" s="1">
        <v>4</v>
      </c>
      <c r="H3240" s="1">
        <v>0</v>
      </c>
      <c r="I3240" s="1">
        <v>0</v>
      </c>
      <c r="J3240" s="1">
        <v>0</v>
      </c>
      <c r="K3240" s="1">
        <v>0</v>
      </c>
      <c r="L3240" s="1">
        <v>0</v>
      </c>
      <c r="M3240" s="1">
        <v>0</v>
      </c>
    </row>
    <row r="3241" spans="1:13">
      <c r="A3241" s="1">
        <v>3240</v>
      </c>
      <c r="B3241" s="1">
        <v>903677.9656</v>
      </c>
      <c r="C3241" s="1">
        <v>1053551.5629884987</v>
      </c>
      <c r="D3241" s="1">
        <f t="shared" si="50"/>
        <v>-149873.59738849872</v>
      </c>
      <c r="E3241" s="1">
        <v>15</v>
      </c>
      <c r="F3241" s="1">
        <v>15</v>
      </c>
      <c r="G3241" s="1">
        <v>5</v>
      </c>
      <c r="H3241" s="1">
        <v>2</v>
      </c>
      <c r="I3241" s="1">
        <v>0</v>
      </c>
      <c r="J3241" s="1">
        <v>1</v>
      </c>
      <c r="K3241" s="1">
        <v>0</v>
      </c>
      <c r="L3241" s="1">
        <v>0</v>
      </c>
      <c r="M3241" s="1">
        <v>0</v>
      </c>
    </row>
    <row r="3242" spans="1:13">
      <c r="A3242" s="1">
        <v>3241</v>
      </c>
      <c r="B3242" s="1">
        <v>1071515.3811999999</v>
      </c>
      <c r="C3242" s="1">
        <v>1066433.8993252814</v>
      </c>
      <c r="D3242" s="1">
        <f t="shared" si="50"/>
        <v>5081.4818747185636</v>
      </c>
      <c r="E3242" s="1">
        <v>10</v>
      </c>
      <c r="F3242" s="1">
        <v>18</v>
      </c>
      <c r="G3242" s="1">
        <v>7</v>
      </c>
      <c r="H3242" s="1">
        <v>2</v>
      </c>
      <c r="I3242" s="1">
        <v>0</v>
      </c>
      <c r="J3242" s="1">
        <v>0</v>
      </c>
      <c r="K3242" s="1">
        <v>2</v>
      </c>
      <c r="L3242" s="1">
        <v>0</v>
      </c>
      <c r="M3242" s="1">
        <v>1</v>
      </c>
    </row>
    <row r="3243" spans="1:13">
      <c r="A3243" s="1">
        <v>3242</v>
      </c>
      <c r="B3243" s="1">
        <v>987754.57449999999</v>
      </c>
      <c r="C3243" s="1">
        <v>850403.28821811383</v>
      </c>
      <c r="D3243" s="1">
        <f t="shared" si="50"/>
        <v>137351.28628188616</v>
      </c>
      <c r="E3243" s="1">
        <v>10</v>
      </c>
      <c r="F3243" s="1">
        <v>21</v>
      </c>
      <c r="G3243" s="1">
        <v>4</v>
      </c>
      <c r="H3243" s="1">
        <v>1</v>
      </c>
      <c r="I3243" s="1">
        <v>0</v>
      </c>
      <c r="J3243" s="1">
        <v>2</v>
      </c>
      <c r="K3243" s="1">
        <v>0</v>
      </c>
      <c r="L3243" s="1">
        <v>0</v>
      </c>
      <c r="M3243" s="1">
        <v>0</v>
      </c>
    </row>
    <row r="3244" spans="1:13">
      <c r="A3244" s="1">
        <v>3243</v>
      </c>
      <c r="B3244" s="1">
        <v>867052.40139999997</v>
      </c>
      <c r="C3244" s="1">
        <v>1173599.7803393016</v>
      </c>
      <c r="D3244" s="1">
        <f t="shared" si="50"/>
        <v>-306547.37893930159</v>
      </c>
      <c r="E3244" s="1">
        <v>17</v>
      </c>
      <c r="F3244" s="1">
        <v>12</v>
      </c>
      <c r="G3244" s="1">
        <v>6</v>
      </c>
      <c r="H3244" s="1">
        <v>2</v>
      </c>
      <c r="I3244" s="1">
        <v>0</v>
      </c>
      <c r="J3244" s="1">
        <v>1</v>
      </c>
      <c r="K3244" s="1">
        <v>1</v>
      </c>
      <c r="L3244" s="1">
        <v>0</v>
      </c>
      <c r="M3244" s="1">
        <v>0</v>
      </c>
    </row>
    <row r="3245" spans="1:13">
      <c r="A3245" s="1">
        <v>3244</v>
      </c>
      <c r="B3245" s="1">
        <v>983218.62329999998</v>
      </c>
      <c r="C3245" s="1">
        <v>673813.29868698458</v>
      </c>
      <c r="D3245" s="1">
        <f t="shared" si="50"/>
        <v>309405.3246130154</v>
      </c>
      <c r="E3245" s="1">
        <v>19</v>
      </c>
      <c r="F3245" s="1">
        <v>10</v>
      </c>
      <c r="G3245" s="1">
        <v>6</v>
      </c>
      <c r="H3245" s="1">
        <v>0</v>
      </c>
      <c r="I3245" s="1">
        <v>0</v>
      </c>
      <c r="J3245" s="1">
        <v>0</v>
      </c>
      <c r="K3245" s="1">
        <v>1</v>
      </c>
      <c r="L3245" s="1">
        <v>0</v>
      </c>
      <c r="M3245" s="1">
        <v>0</v>
      </c>
    </row>
    <row r="3246" spans="1:13">
      <c r="A3246" s="1">
        <v>3245</v>
      </c>
      <c r="B3246" s="1">
        <v>926240.97510000004</v>
      </c>
      <c r="C3246" s="1">
        <v>647883.39781564067</v>
      </c>
      <c r="D3246" s="1">
        <f t="shared" si="50"/>
        <v>278357.57728435937</v>
      </c>
      <c r="E3246" s="1">
        <v>14</v>
      </c>
      <c r="F3246" s="1">
        <v>17</v>
      </c>
      <c r="G3246" s="1">
        <v>4</v>
      </c>
      <c r="H3246" s="1">
        <v>1</v>
      </c>
      <c r="I3246" s="1">
        <v>0</v>
      </c>
      <c r="J3246" s="1">
        <v>0</v>
      </c>
      <c r="K3246" s="1">
        <v>1</v>
      </c>
      <c r="L3246" s="1">
        <v>1</v>
      </c>
      <c r="M3246" s="1">
        <v>0</v>
      </c>
    </row>
    <row r="3247" spans="1:13">
      <c r="A3247" s="1">
        <v>3246</v>
      </c>
      <c r="B3247" s="1">
        <v>977257.5784</v>
      </c>
      <c r="C3247" s="1">
        <v>683041.98577219539</v>
      </c>
      <c r="D3247" s="1">
        <f t="shared" si="50"/>
        <v>294215.59262780461</v>
      </c>
      <c r="E3247" s="1">
        <v>10</v>
      </c>
      <c r="F3247" s="1">
        <v>18</v>
      </c>
      <c r="G3247" s="1">
        <v>7</v>
      </c>
      <c r="H3247" s="1">
        <v>1</v>
      </c>
      <c r="I3247" s="1">
        <v>0</v>
      </c>
      <c r="J3247" s="1">
        <v>0</v>
      </c>
      <c r="K3247" s="1">
        <v>2</v>
      </c>
      <c r="L3247" s="1">
        <v>0</v>
      </c>
      <c r="M3247" s="1">
        <v>0</v>
      </c>
    </row>
    <row r="3248" spans="1:13">
      <c r="A3248" s="1">
        <v>3247</v>
      </c>
      <c r="B3248" s="1">
        <v>914188.44499999995</v>
      </c>
      <c r="C3248" s="1">
        <v>928869.35750940302</v>
      </c>
      <c r="D3248" s="1">
        <f t="shared" si="50"/>
        <v>-14680.912509403075</v>
      </c>
      <c r="E3248" s="1">
        <v>13</v>
      </c>
      <c r="F3248" s="1">
        <v>19</v>
      </c>
      <c r="G3248" s="1">
        <v>3</v>
      </c>
      <c r="H3248" s="1">
        <v>0</v>
      </c>
      <c r="I3248" s="1">
        <v>1</v>
      </c>
      <c r="J3248" s="1">
        <v>2</v>
      </c>
      <c r="K3248" s="1">
        <v>0</v>
      </c>
      <c r="L3248" s="1">
        <v>0</v>
      </c>
      <c r="M3248" s="1">
        <v>0</v>
      </c>
    </row>
    <row r="3249" spans="1:13">
      <c r="A3249" s="1">
        <v>3248</v>
      </c>
      <c r="B3249" s="1">
        <v>870677.04779999994</v>
      </c>
      <c r="C3249" s="1">
        <v>886985.44394755177</v>
      </c>
      <c r="D3249" s="1">
        <f t="shared" si="50"/>
        <v>-16308.39614755183</v>
      </c>
      <c r="E3249" s="1">
        <v>15</v>
      </c>
      <c r="F3249" s="1">
        <v>15</v>
      </c>
      <c r="G3249" s="1">
        <v>5</v>
      </c>
      <c r="H3249" s="1">
        <v>2</v>
      </c>
      <c r="I3249" s="1">
        <v>0</v>
      </c>
      <c r="J3249" s="1">
        <v>1</v>
      </c>
      <c r="K3249" s="1">
        <v>0</v>
      </c>
      <c r="L3249" s="1">
        <v>0</v>
      </c>
      <c r="M3249" s="1">
        <v>0</v>
      </c>
    </row>
    <row r="3250" spans="1:13">
      <c r="A3250" s="1">
        <v>3249</v>
      </c>
      <c r="B3250" s="1">
        <v>858032.00120000006</v>
      </c>
      <c r="C3250" s="1">
        <v>1509454.8751011486</v>
      </c>
      <c r="D3250" s="1">
        <f t="shared" si="50"/>
        <v>-651422.87390114856</v>
      </c>
      <c r="E3250" s="1">
        <v>19</v>
      </c>
      <c r="F3250" s="1">
        <v>11</v>
      </c>
      <c r="G3250" s="1">
        <v>5</v>
      </c>
      <c r="H3250" s="1">
        <v>0</v>
      </c>
      <c r="I3250" s="1">
        <v>1</v>
      </c>
      <c r="J3250" s="1">
        <v>0</v>
      </c>
      <c r="K3250" s="1">
        <v>1</v>
      </c>
      <c r="L3250" s="1">
        <v>0</v>
      </c>
      <c r="M3250" s="1">
        <v>1</v>
      </c>
    </row>
    <row r="3251" spans="1:13">
      <c r="A3251" s="1">
        <v>3250</v>
      </c>
      <c r="B3251" s="1">
        <v>846633.77260000003</v>
      </c>
      <c r="C3251" s="1">
        <v>841147.49555837235</v>
      </c>
      <c r="D3251" s="1">
        <f t="shared" si="50"/>
        <v>5486.2770416276762</v>
      </c>
      <c r="E3251" s="1">
        <v>14</v>
      </c>
      <c r="F3251" s="1">
        <v>15</v>
      </c>
      <c r="G3251" s="1">
        <v>6</v>
      </c>
      <c r="H3251" s="1">
        <v>2</v>
      </c>
      <c r="I3251" s="1">
        <v>0</v>
      </c>
      <c r="J3251" s="1">
        <v>1</v>
      </c>
      <c r="K3251" s="1">
        <v>0</v>
      </c>
      <c r="L3251" s="1">
        <v>0</v>
      </c>
      <c r="M3251" s="1">
        <v>0</v>
      </c>
    </row>
    <row r="3252" spans="1:13">
      <c r="A3252" s="1">
        <v>3251</v>
      </c>
      <c r="B3252" s="1">
        <v>905643.89130000002</v>
      </c>
      <c r="C3252" s="1">
        <v>1587845.297671976</v>
      </c>
      <c r="D3252" s="1">
        <f t="shared" si="50"/>
        <v>-682201.40637197602</v>
      </c>
      <c r="E3252" s="1">
        <v>9</v>
      </c>
      <c r="F3252" s="1">
        <v>23</v>
      </c>
      <c r="G3252" s="1">
        <v>3</v>
      </c>
      <c r="H3252" s="1">
        <v>2</v>
      </c>
      <c r="I3252" s="1">
        <v>0</v>
      </c>
      <c r="J3252" s="1">
        <v>1</v>
      </c>
      <c r="K3252" s="1">
        <v>1</v>
      </c>
      <c r="L3252" s="1">
        <v>0</v>
      </c>
      <c r="M3252" s="1">
        <v>1</v>
      </c>
    </row>
    <row r="3253" spans="1:13">
      <c r="A3253" s="1">
        <v>3252</v>
      </c>
      <c r="B3253" s="1">
        <v>1073280.4009</v>
      </c>
      <c r="C3253" s="1">
        <v>619978.90770704637</v>
      </c>
      <c r="D3253" s="1">
        <f t="shared" si="50"/>
        <v>453301.49319295364</v>
      </c>
      <c r="E3253" s="1">
        <v>8</v>
      </c>
      <c r="F3253" s="1">
        <v>18</v>
      </c>
      <c r="G3253" s="1">
        <v>9</v>
      </c>
      <c r="H3253" s="1">
        <v>0</v>
      </c>
      <c r="I3253" s="1">
        <v>0</v>
      </c>
      <c r="J3253" s="1">
        <v>2</v>
      </c>
      <c r="K3253" s="1">
        <v>0</v>
      </c>
      <c r="L3253" s="1">
        <v>0</v>
      </c>
      <c r="M3253" s="1">
        <v>1</v>
      </c>
    </row>
    <row r="3254" spans="1:13">
      <c r="A3254" s="1">
        <v>3253</v>
      </c>
      <c r="B3254" s="1">
        <v>766247.40339999995</v>
      </c>
      <c r="C3254" s="1">
        <v>850717.40735083155</v>
      </c>
      <c r="D3254" s="1">
        <f t="shared" si="50"/>
        <v>-84470.003950831597</v>
      </c>
      <c r="E3254" s="1">
        <v>17</v>
      </c>
      <c r="F3254" s="1">
        <v>17</v>
      </c>
      <c r="G3254" s="1">
        <v>1</v>
      </c>
      <c r="H3254" s="1">
        <v>2</v>
      </c>
      <c r="I3254" s="1">
        <v>0</v>
      </c>
      <c r="J3254" s="1">
        <v>0</v>
      </c>
      <c r="K3254" s="1">
        <v>2</v>
      </c>
      <c r="L3254" s="1">
        <v>0</v>
      </c>
      <c r="M3254" s="1">
        <v>0</v>
      </c>
    </row>
    <row r="3255" spans="1:13">
      <c r="A3255" s="1">
        <v>3254</v>
      </c>
      <c r="B3255" s="1">
        <v>1009420.601</v>
      </c>
      <c r="C3255" s="1">
        <v>900248.58261348563</v>
      </c>
      <c r="D3255" s="1">
        <f t="shared" si="50"/>
        <v>109172.01838651439</v>
      </c>
      <c r="E3255" s="1">
        <v>14</v>
      </c>
      <c r="F3255" s="1">
        <v>16</v>
      </c>
      <c r="G3255" s="1">
        <v>5</v>
      </c>
      <c r="H3255" s="1">
        <v>1</v>
      </c>
      <c r="I3255" s="1">
        <v>0</v>
      </c>
      <c r="J3255" s="1">
        <v>0</v>
      </c>
      <c r="K3255" s="1">
        <v>0</v>
      </c>
      <c r="L3255" s="1">
        <v>0</v>
      </c>
      <c r="M3255" s="1">
        <v>0</v>
      </c>
    </row>
    <row r="3256" spans="1:13">
      <c r="A3256" s="1">
        <v>3255</v>
      </c>
      <c r="B3256" s="1">
        <v>982611.34600000002</v>
      </c>
      <c r="C3256" s="1">
        <v>867059.2375969151</v>
      </c>
      <c r="D3256" s="1">
        <f t="shared" si="50"/>
        <v>115552.10840308492</v>
      </c>
      <c r="E3256" s="1">
        <v>11</v>
      </c>
      <c r="F3256" s="1">
        <v>18</v>
      </c>
      <c r="G3256" s="1">
        <v>6</v>
      </c>
      <c r="H3256" s="1">
        <v>0</v>
      </c>
      <c r="I3256" s="1">
        <v>0</v>
      </c>
      <c r="J3256" s="1">
        <v>0</v>
      </c>
      <c r="K3256" s="1">
        <v>0</v>
      </c>
      <c r="L3256" s="1">
        <v>0</v>
      </c>
      <c r="M3256" s="1">
        <v>0</v>
      </c>
    </row>
    <row r="3257" spans="1:13">
      <c r="A3257" s="1">
        <v>3256</v>
      </c>
      <c r="B3257" s="1">
        <v>1026043.8639999999</v>
      </c>
      <c r="C3257" s="1">
        <v>578119.41468645202</v>
      </c>
      <c r="D3257" s="1">
        <f t="shared" si="50"/>
        <v>447924.44931354793</v>
      </c>
      <c r="E3257" s="1">
        <v>6</v>
      </c>
      <c r="F3257" s="1">
        <v>23</v>
      </c>
      <c r="G3257" s="1">
        <v>6</v>
      </c>
      <c r="H3257" s="1">
        <v>1</v>
      </c>
      <c r="I3257" s="1">
        <v>1</v>
      </c>
      <c r="J3257" s="1">
        <v>0</v>
      </c>
      <c r="K3257" s="1">
        <v>1</v>
      </c>
      <c r="L3257" s="1">
        <v>0</v>
      </c>
      <c r="M3257" s="1">
        <v>0</v>
      </c>
    </row>
    <row r="3258" spans="1:13">
      <c r="A3258" s="1">
        <v>3257</v>
      </c>
      <c r="B3258" s="1">
        <v>856796.39720000001</v>
      </c>
      <c r="C3258" s="1">
        <v>539842.46703199367</v>
      </c>
      <c r="D3258" s="1">
        <f t="shared" si="50"/>
        <v>316953.93016800634</v>
      </c>
      <c r="E3258" s="1">
        <v>19</v>
      </c>
      <c r="F3258" s="1">
        <v>9</v>
      </c>
      <c r="G3258" s="1">
        <v>7</v>
      </c>
      <c r="H3258" s="1">
        <v>1</v>
      </c>
      <c r="I3258" s="1">
        <v>0</v>
      </c>
      <c r="J3258" s="1">
        <v>1</v>
      </c>
      <c r="K3258" s="1">
        <v>1</v>
      </c>
      <c r="L3258" s="1">
        <v>0</v>
      </c>
      <c r="M3258" s="1">
        <v>0</v>
      </c>
    </row>
    <row r="3259" spans="1:13">
      <c r="A3259" s="1">
        <v>3258</v>
      </c>
      <c r="B3259" s="1">
        <v>924006.12959999999</v>
      </c>
      <c r="C3259" s="1">
        <v>738998.37161139306</v>
      </c>
      <c r="D3259" s="1">
        <f t="shared" si="50"/>
        <v>185007.75798860693</v>
      </c>
      <c r="E3259" s="1">
        <v>17</v>
      </c>
      <c r="F3259" s="1">
        <v>13</v>
      </c>
      <c r="G3259" s="1">
        <v>5</v>
      </c>
      <c r="H3259" s="1">
        <v>0</v>
      </c>
      <c r="I3259" s="1">
        <v>0</v>
      </c>
      <c r="J3259" s="1">
        <v>1</v>
      </c>
      <c r="K3259" s="1">
        <v>1</v>
      </c>
      <c r="L3259" s="1">
        <v>0</v>
      </c>
      <c r="M3259" s="1">
        <v>0</v>
      </c>
    </row>
    <row r="3260" spans="1:13">
      <c r="A3260" s="1">
        <v>3259</v>
      </c>
      <c r="B3260" s="1">
        <v>871262.67330000002</v>
      </c>
      <c r="C3260" s="1">
        <v>977807.45324051485</v>
      </c>
      <c r="D3260" s="1">
        <f t="shared" si="50"/>
        <v>-106544.77994051483</v>
      </c>
      <c r="E3260" s="1">
        <v>13</v>
      </c>
      <c r="F3260" s="1">
        <v>19</v>
      </c>
      <c r="G3260" s="1">
        <v>3</v>
      </c>
      <c r="H3260" s="1">
        <v>0</v>
      </c>
      <c r="I3260" s="1">
        <v>1</v>
      </c>
      <c r="J3260" s="1">
        <v>1</v>
      </c>
      <c r="K3260" s="1">
        <v>0</v>
      </c>
      <c r="L3260" s="1">
        <v>0</v>
      </c>
      <c r="M3260" s="1">
        <v>1</v>
      </c>
    </row>
    <row r="3261" spans="1:13">
      <c r="A3261" s="1">
        <v>3260</v>
      </c>
      <c r="B3261" s="1">
        <v>912228.30579999997</v>
      </c>
      <c r="C3261" s="1">
        <v>1223138.0134653749</v>
      </c>
      <c r="D3261" s="1">
        <f t="shared" si="50"/>
        <v>-310909.70766537497</v>
      </c>
      <c r="E3261" s="1">
        <v>14</v>
      </c>
      <c r="F3261" s="1">
        <v>14</v>
      </c>
      <c r="G3261" s="1">
        <v>7</v>
      </c>
      <c r="H3261" s="1">
        <v>2</v>
      </c>
      <c r="I3261" s="1">
        <v>0</v>
      </c>
      <c r="J3261" s="1">
        <v>0</v>
      </c>
      <c r="K3261" s="1">
        <v>0</v>
      </c>
      <c r="L3261" s="1">
        <v>0</v>
      </c>
      <c r="M3261" s="1">
        <v>1</v>
      </c>
    </row>
    <row r="3262" spans="1:13">
      <c r="A3262" s="1">
        <v>3261</v>
      </c>
      <c r="B3262" s="1">
        <v>924886.23809999996</v>
      </c>
      <c r="C3262" s="1">
        <v>1066063.6062397521</v>
      </c>
      <c r="D3262" s="1">
        <f t="shared" si="50"/>
        <v>-141177.36813975219</v>
      </c>
      <c r="E3262" s="1">
        <v>16</v>
      </c>
      <c r="F3262" s="1">
        <v>13</v>
      </c>
      <c r="G3262" s="1">
        <v>6</v>
      </c>
      <c r="H3262" s="1">
        <v>0</v>
      </c>
      <c r="I3262" s="1">
        <v>0</v>
      </c>
      <c r="J3262" s="1">
        <v>1</v>
      </c>
      <c r="K3262" s="1">
        <v>1</v>
      </c>
      <c r="L3262" s="1">
        <v>0</v>
      </c>
      <c r="M3262" s="1">
        <v>0</v>
      </c>
    </row>
    <row r="3263" spans="1:13">
      <c r="A3263" s="1">
        <v>3262</v>
      </c>
      <c r="B3263" s="1">
        <v>861247.37520000001</v>
      </c>
      <c r="C3263" s="1">
        <v>1127004.4454312925</v>
      </c>
      <c r="D3263" s="1">
        <f t="shared" si="50"/>
        <v>-265757.07023129251</v>
      </c>
      <c r="E3263" s="1">
        <v>21</v>
      </c>
      <c r="F3263" s="1">
        <v>11</v>
      </c>
      <c r="G3263" s="1">
        <v>3</v>
      </c>
      <c r="H3263" s="1">
        <v>0</v>
      </c>
      <c r="I3263" s="1">
        <v>1</v>
      </c>
      <c r="J3263" s="1">
        <v>0</v>
      </c>
      <c r="K3263" s="1">
        <v>0</v>
      </c>
      <c r="L3263" s="1">
        <v>0</v>
      </c>
      <c r="M3263" s="1">
        <v>0</v>
      </c>
    </row>
    <row r="3264" spans="1:13">
      <c r="A3264" s="1">
        <v>3263</v>
      </c>
      <c r="B3264" s="1">
        <v>994197.2598</v>
      </c>
      <c r="C3264" s="1">
        <v>762046.86010545841</v>
      </c>
      <c r="D3264" s="1">
        <f t="shared" si="50"/>
        <v>232150.39969454159</v>
      </c>
      <c r="E3264" s="1">
        <v>9</v>
      </c>
      <c r="F3264" s="1">
        <v>19</v>
      </c>
      <c r="G3264" s="1">
        <v>7</v>
      </c>
      <c r="H3264" s="1">
        <v>2</v>
      </c>
      <c r="I3264" s="1">
        <v>0</v>
      </c>
      <c r="J3264" s="1">
        <v>1</v>
      </c>
      <c r="K3264" s="1">
        <v>1</v>
      </c>
      <c r="L3264" s="1">
        <v>0</v>
      </c>
      <c r="M3264" s="1">
        <v>0</v>
      </c>
    </row>
    <row r="3265" spans="1:13">
      <c r="A3265" s="1">
        <v>3264</v>
      </c>
      <c r="B3265" s="1">
        <v>946773.77830000001</v>
      </c>
      <c r="C3265" s="1">
        <v>807744.79826953996</v>
      </c>
      <c r="D3265" s="1">
        <f t="shared" si="50"/>
        <v>139028.98003046005</v>
      </c>
      <c r="E3265" s="1">
        <v>8</v>
      </c>
      <c r="F3265" s="1">
        <v>23</v>
      </c>
      <c r="G3265" s="1">
        <v>4</v>
      </c>
      <c r="H3265" s="1">
        <v>0</v>
      </c>
      <c r="I3265" s="1">
        <v>0</v>
      </c>
      <c r="J3265" s="1">
        <v>2</v>
      </c>
      <c r="K3265" s="1">
        <v>0</v>
      </c>
      <c r="L3265" s="1">
        <v>0</v>
      </c>
      <c r="M3265" s="1">
        <v>1</v>
      </c>
    </row>
    <row r="3266" spans="1:13">
      <c r="A3266" s="1">
        <v>3265</v>
      </c>
      <c r="B3266" s="1">
        <v>947696.3297</v>
      </c>
      <c r="C3266" s="1">
        <v>668961.08370471746</v>
      </c>
      <c r="D3266" s="1">
        <f t="shared" ref="D3266:D3329" si="51">B3266-C3266</f>
        <v>278735.24599528254</v>
      </c>
      <c r="E3266" s="1">
        <v>12</v>
      </c>
      <c r="F3266" s="1">
        <v>16</v>
      </c>
      <c r="G3266" s="1">
        <v>7</v>
      </c>
      <c r="H3266" s="1">
        <v>0</v>
      </c>
      <c r="I3266" s="1">
        <v>0</v>
      </c>
      <c r="J3266" s="1">
        <v>0</v>
      </c>
      <c r="K3266" s="1">
        <v>1</v>
      </c>
      <c r="L3266" s="1">
        <v>0</v>
      </c>
      <c r="M3266" s="1">
        <v>1</v>
      </c>
    </row>
    <row r="3267" spans="1:13">
      <c r="A3267" s="1">
        <v>3266</v>
      </c>
      <c r="B3267" s="1">
        <v>869456.84420000005</v>
      </c>
      <c r="C3267" s="1">
        <v>1299325.7205705789</v>
      </c>
      <c r="D3267" s="1">
        <f t="shared" si="51"/>
        <v>-429868.87637057889</v>
      </c>
      <c r="E3267" s="1">
        <v>14</v>
      </c>
      <c r="F3267" s="1">
        <v>17</v>
      </c>
      <c r="G3267" s="1">
        <v>4</v>
      </c>
      <c r="H3267" s="1">
        <v>0</v>
      </c>
      <c r="I3267" s="1">
        <v>0</v>
      </c>
      <c r="J3267" s="1">
        <v>0</v>
      </c>
      <c r="K3267" s="1">
        <v>0</v>
      </c>
      <c r="L3267" s="1">
        <v>0</v>
      </c>
      <c r="M3267" s="1">
        <v>0</v>
      </c>
    </row>
    <row r="3268" spans="1:13">
      <c r="A3268" s="1">
        <v>3267</v>
      </c>
      <c r="B3268" s="1">
        <v>906131.51210000005</v>
      </c>
      <c r="C3268" s="1">
        <v>620996.8773501527</v>
      </c>
      <c r="D3268" s="1">
        <f t="shared" si="51"/>
        <v>285134.63474984735</v>
      </c>
      <c r="E3268" s="1">
        <v>11</v>
      </c>
      <c r="F3268" s="1">
        <v>18</v>
      </c>
      <c r="G3268" s="1">
        <v>6</v>
      </c>
      <c r="H3268" s="1">
        <v>2</v>
      </c>
      <c r="I3268" s="1">
        <v>0</v>
      </c>
      <c r="J3268" s="1">
        <v>0</v>
      </c>
      <c r="K3268" s="1">
        <v>0</v>
      </c>
      <c r="L3268" s="1">
        <v>0</v>
      </c>
      <c r="M3268" s="1">
        <v>0</v>
      </c>
    </row>
    <row r="3269" spans="1:13">
      <c r="A3269" s="1">
        <v>3268</v>
      </c>
      <c r="B3269" s="1">
        <v>913733.46349999995</v>
      </c>
      <c r="C3269" s="1">
        <v>479334.251754064</v>
      </c>
      <c r="D3269" s="1">
        <f t="shared" si="51"/>
        <v>434399.21174593596</v>
      </c>
      <c r="E3269" s="1">
        <v>18</v>
      </c>
      <c r="F3269" s="1">
        <v>12</v>
      </c>
      <c r="G3269" s="1">
        <v>5</v>
      </c>
      <c r="H3269" s="1">
        <v>2</v>
      </c>
      <c r="I3269" s="1">
        <v>0</v>
      </c>
      <c r="J3269" s="1">
        <v>1</v>
      </c>
      <c r="K3269" s="1">
        <v>1</v>
      </c>
      <c r="L3269" s="1">
        <v>0</v>
      </c>
      <c r="M3269" s="1">
        <v>0</v>
      </c>
    </row>
    <row r="3270" spans="1:13">
      <c r="A3270" s="1">
        <v>3269</v>
      </c>
      <c r="B3270" s="1">
        <v>1051365.3492000001</v>
      </c>
      <c r="C3270" s="1">
        <v>816325.02026397153</v>
      </c>
      <c r="D3270" s="1">
        <f t="shared" si="51"/>
        <v>235040.32893602853</v>
      </c>
      <c r="E3270" s="1">
        <v>9</v>
      </c>
      <c r="F3270" s="1">
        <v>21</v>
      </c>
      <c r="G3270" s="1">
        <v>5</v>
      </c>
      <c r="H3270" s="1">
        <v>0</v>
      </c>
      <c r="I3270" s="1">
        <v>0</v>
      </c>
      <c r="J3270" s="1">
        <v>0</v>
      </c>
      <c r="K3270" s="1">
        <v>1</v>
      </c>
      <c r="L3270" s="1">
        <v>0</v>
      </c>
      <c r="M3270" s="1">
        <v>1</v>
      </c>
    </row>
    <row r="3271" spans="1:13">
      <c r="A3271" s="1">
        <v>3270</v>
      </c>
      <c r="B3271" s="1">
        <v>1081556.844</v>
      </c>
      <c r="C3271" s="1">
        <v>828317.84522853489</v>
      </c>
      <c r="D3271" s="1">
        <f t="shared" si="51"/>
        <v>253238.99877146515</v>
      </c>
      <c r="E3271" s="1">
        <v>7</v>
      </c>
      <c r="F3271" s="1">
        <v>22</v>
      </c>
      <c r="G3271" s="1">
        <v>6</v>
      </c>
      <c r="H3271" s="1">
        <v>0</v>
      </c>
      <c r="I3271" s="1">
        <v>0</v>
      </c>
      <c r="J3271" s="1">
        <v>0</v>
      </c>
      <c r="K3271" s="1">
        <v>1</v>
      </c>
      <c r="L3271" s="1">
        <v>0</v>
      </c>
      <c r="M3271" s="1">
        <v>1</v>
      </c>
    </row>
    <row r="3272" spans="1:13">
      <c r="A3272" s="1">
        <v>3271</v>
      </c>
      <c r="B3272" s="1">
        <v>920265.26009999996</v>
      </c>
      <c r="C3272" s="1">
        <v>1162199.48303633</v>
      </c>
      <c r="D3272" s="1">
        <f t="shared" si="51"/>
        <v>-241934.22293633001</v>
      </c>
      <c r="E3272" s="1">
        <v>14</v>
      </c>
      <c r="F3272" s="1">
        <v>16</v>
      </c>
      <c r="G3272" s="1">
        <v>5</v>
      </c>
      <c r="H3272" s="1">
        <v>1</v>
      </c>
      <c r="I3272" s="1">
        <v>0</v>
      </c>
      <c r="J3272" s="1">
        <v>1</v>
      </c>
      <c r="K3272" s="1">
        <v>0</v>
      </c>
      <c r="L3272" s="1">
        <v>0</v>
      </c>
      <c r="M3272" s="1">
        <v>0</v>
      </c>
    </row>
    <row r="3273" spans="1:13">
      <c r="A3273" s="1">
        <v>3272</v>
      </c>
      <c r="B3273" s="1">
        <v>1020511.9346</v>
      </c>
      <c r="C3273" s="1">
        <v>765848.23852549924</v>
      </c>
      <c r="D3273" s="1">
        <f t="shared" si="51"/>
        <v>254663.6960745008</v>
      </c>
      <c r="E3273" s="1">
        <v>7</v>
      </c>
      <c r="F3273" s="1">
        <v>24</v>
      </c>
      <c r="G3273" s="1">
        <v>4</v>
      </c>
      <c r="H3273" s="1">
        <v>0</v>
      </c>
      <c r="I3273" s="1">
        <v>0</v>
      </c>
      <c r="J3273" s="1">
        <v>1</v>
      </c>
      <c r="K3273" s="1">
        <v>1</v>
      </c>
      <c r="L3273" s="1">
        <v>0</v>
      </c>
      <c r="M3273" s="1">
        <v>0</v>
      </c>
    </row>
    <row r="3274" spans="1:13">
      <c r="A3274" s="1">
        <v>3273</v>
      </c>
      <c r="B3274" s="1">
        <v>921889.42220000003</v>
      </c>
      <c r="C3274" s="1">
        <v>1098115.062916914</v>
      </c>
      <c r="D3274" s="1">
        <f t="shared" si="51"/>
        <v>-176225.64071691397</v>
      </c>
      <c r="E3274" s="1">
        <v>19</v>
      </c>
      <c r="F3274" s="1">
        <v>13</v>
      </c>
      <c r="G3274" s="1">
        <v>3</v>
      </c>
      <c r="H3274" s="1">
        <v>1</v>
      </c>
      <c r="I3274" s="1">
        <v>0</v>
      </c>
      <c r="J3274" s="1">
        <v>0</v>
      </c>
      <c r="K3274" s="1">
        <v>1</v>
      </c>
      <c r="L3274" s="1">
        <v>0</v>
      </c>
      <c r="M3274" s="1">
        <v>0</v>
      </c>
    </row>
    <row r="3275" spans="1:13">
      <c r="A3275" s="1">
        <v>3274</v>
      </c>
      <c r="B3275" s="1">
        <v>922942.67509999999</v>
      </c>
      <c r="C3275" s="1">
        <v>1207780.7537328633</v>
      </c>
      <c r="D3275" s="1">
        <f t="shared" si="51"/>
        <v>-284838.07863286335</v>
      </c>
      <c r="E3275" s="1">
        <v>12</v>
      </c>
      <c r="F3275" s="1">
        <v>19</v>
      </c>
      <c r="G3275" s="1">
        <v>4</v>
      </c>
      <c r="H3275" s="1">
        <v>1</v>
      </c>
      <c r="I3275" s="1">
        <v>0</v>
      </c>
      <c r="J3275" s="1">
        <v>0</v>
      </c>
      <c r="K3275" s="1">
        <v>0</v>
      </c>
      <c r="L3275" s="1">
        <v>0</v>
      </c>
      <c r="M3275" s="1">
        <v>0</v>
      </c>
    </row>
    <row r="3276" spans="1:13">
      <c r="A3276" s="1">
        <v>3275</v>
      </c>
      <c r="B3276" s="1">
        <v>876827.98930000002</v>
      </c>
      <c r="C3276" s="1">
        <v>429681.87195143476</v>
      </c>
      <c r="D3276" s="1">
        <f t="shared" si="51"/>
        <v>447146.11734856525</v>
      </c>
      <c r="E3276" s="1">
        <v>19</v>
      </c>
      <c r="F3276" s="1">
        <v>10</v>
      </c>
      <c r="G3276" s="1">
        <v>6</v>
      </c>
      <c r="H3276" s="1">
        <v>1</v>
      </c>
      <c r="I3276" s="1">
        <v>0</v>
      </c>
      <c r="J3276" s="1">
        <v>0</v>
      </c>
      <c r="K3276" s="1">
        <v>1</v>
      </c>
      <c r="L3276" s="1">
        <v>1</v>
      </c>
      <c r="M3276" s="1">
        <v>0</v>
      </c>
    </row>
    <row r="3277" spans="1:13">
      <c r="A3277" s="1">
        <v>3276</v>
      </c>
      <c r="B3277" s="1">
        <v>889385.10589999997</v>
      </c>
      <c r="C3277" s="1">
        <v>914288.5667801135</v>
      </c>
      <c r="D3277" s="1">
        <f t="shared" si="51"/>
        <v>-24903.460880113533</v>
      </c>
      <c r="E3277" s="1">
        <v>18</v>
      </c>
      <c r="F3277" s="1">
        <v>12</v>
      </c>
      <c r="G3277" s="1">
        <v>5</v>
      </c>
      <c r="H3277" s="1">
        <v>1</v>
      </c>
      <c r="I3277" s="1">
        <v>0</v>
      </c>
      <c r="J3277" s="1">
        <v>0</v>
      </c>
      <c r="K3277" s="1">
        <v>0</v>
      </c>
      <c r="L3277" s="1">
        <v>1</v>
      </c>
      <c r="M3277" s="1">
        <v>0</v>
      </c>
    </row>
    <row r="3278" spans="1:13">
      <c r="A3278" s="1">
        <v>3277</v>
      </c>
      <c r="B3278" s="1">
        <v>979769.3493</v>
      </c>
      <c r="C3278" s="1">
        <v>872261.30767563172</v>
      </c>
      <c r="D3278" s="1">
        <f t="shared" si="51"/>
        <v>107508.04162436828</v>
      </c>
      <c r="E3278" s="1">
        <v>13</v>
      </c>
      <c r="F3278" s="1">
        <v>19</v>
      </c>
      <c r="G3278" s="1">
        <v>3</v>
      </c>
      <c r="H3278" s="1">
        <v>1</v>
      </c>
      <c r="I3278" s="1">
        <v>0</v>
      </c>
      <c r="J3278" s="1">
        <v>1</v>
      </c>
      <c r="K3278" s="1">
        <v>1</v>
      </c>
      <c r="L3278" s="1">
        <v>0</v>
      </c>
      <c r="M3278" s="1">
        <v>0</v>
      </c>
    </row>
    <row r="3279" spans="1:13">
      <c r="A3279" s="1">
        <v>3278</v>
      </c>
      <c r="B3279" s="1">
        <v>873473.78879999998</v>
      </c>
      <c r="C3279" s="1">
        <v>1324710.1326000344</v>
      </c>
      <c r="D3279" s="1">
        <f t="shared" si="51"/>
        <v>-451236.34380003437</v>
      </c>
      <c r="E3279" s="1">
        <v>16</v>
      </c>
      <c r="F3279" s="1">
        <v>14</v>
      </c>
      <c r="G3279" s="1">
        <v>5</v>
      </c>
      <c r="H3279" s="1">
        <v>1</v>
      </c>
      <c r="I3279" s="1">
        <v>0</v>
      </c>
      <c r="J3279" s="1">
        <v>1</v>
      </c>
      <c r="K3279" s="1">
        <v>1</v>
      </c>
      <c r="L3279" s="1">
        <v>0</v>
      </c>
      <c r="M3279" s="1">
        <v>1</v>
      </c>
    </row>
    <row r="3280" spans="1:13">
      <c r="A3280" s="1">
        <v>3279</v>
      </c>
      <c r="B3280" s="1">
        <v>917693.52240000002</v>
      </c>
      <c r="C3280" s="1">
        <v>760363.25080555258</v>
      </c>
      <c r="D3280" s="1">
        <f t="shared" si="51"/>
        <v>157330.27159444743</v>
      </c>
      <c r="E3280" s="1">
        <v>12</v>
      </c>
      <c r="F3280" s="1">
        <v>21</v>
      </c>
      <c r="G3280" s="1">
        <v>2</v>
      </c>
      <c r="H3280" s="1">
        <v>1</v>
      </c>
      <c r="I3280" s="1">
        <v>0</v>
      </c>
      <c r="J3280" s="1">
        <v>1</v>
      </c>
      <c r="K3280" s="1">
        <v>0</v>
      </c>
      <c r="L3280" s="1">
        <v>0</v>
      </c>
      <c r="M3280" s="1">
        <v>0</v>
      </c>
    </row>
    <row r="3281" spans="1:13">
      <c r="A3281" s="1">
        <v>3280</v>
      </c>
      <c r="B3281" s="1">
        <v>862302.07030000002</v>
      </c>
      <c r="C3281" s="1">
        <v>877769.2025238215</v>
      </c>
      <c r="D3281" s="1">
        <f t="shared" si="51"/>
        <v>-15467.132223821478</v>
      </c>
      <c r="E3281" s="1">
        <v>18</v>
      </c>
      <c r="F3281" s="1">
        <v>12</v>
      </c>
      <c r="G3281" s="1">
        <v>5</v>
      </c>
      <c r="H3281" s="1">
        <v>1</v>
      </c>
      <c r="I3281" s="1">
        <v>1</v>
      </c>
      <c r="J3281" s="1">
        <v>0</v>
      </c>
      <c r="K3281" s="1">
        <v>0</v>
      </c>
      <c r="L3281" s="1">
        <v>0</v>
      </c>
      <c r="M3281" s="1">
        <v>0</v>
      </c>
    </row>
    <row r="3282" spans="1:13">
      <c r="A3282" s="1">
        <v>3281</v>
      </c>
      <c r="B3282" s="1">
        <v>899923.25349999999</v>
      </c>
      <c r="C3282" s="1">
        <v>1237102.7896481981</v>
      </c>
      <c r="D3282" s="1">
        <f t="shared" si="51"/>
        <v>-337179.53614819807</v>
      </c>
      <c r="E3282" s="1">
        <v>13</v>
      </c>
      <c r="F3282" s="1">
        <v>15</v>
      </c>
      <c r="G3282" s="1">
        <v>7</v>
      </c>
      <c r="H3282" s="1">
        <v>0</v>
      </c>
      <c r="I3282" s="1">
        <v>0</v>
      </c>
      <c r="J3282" s="1">
        <v>0</v>
      </c>
      <c r="K3282" s="1">
        <v>2</v>
      </c>
      <c r="L3282" s="1">
        <v>0</v>
      </c>
      <c r="M3282" s="1">
        <v>1</v>
      </c>
    </row>
    <row r="3283" spans="1:13">
      <c r="A3283" s="1">
        <v>3282</v>
      </c>
      <c r="B3283" s="1">
        <v>894817.82579999999</v>
      </c>
      <c r="C3283" s="1">
        <v>938128.66755264532</v>
      </c>
      <c r="D3283" s="1">
        <f t="shared" si="51"/>
        <v>-43310.841752645327</v>
      </c>
      <c r="E3283" s="1">
        <v>13</v>
      </c>
      <c r="F3283" s="1">
        <v>15</v>
      </c>
      <c r="G3283" s="1">
        <v>7</v>
      </c>
      <c r="H3283" s="1">
        <v>0</v>
      </c>
      <c r="I3283" s="1">
        <v>1</v>
      </c>
      <c r="J3283" s="1">
        <v>0</v>
      </c>
      <c r="K3283" s="1">
        <v>0</v>
      </c>
      <c r="L3283" s="1">
        <v>0</v>
      </c>
      <c r="M3283" s="1">
        <v>0</v>
      </c>
    </row>
    <row r="3284" spans="1:13">
      <c r="A3284" s="1">
        <v>3283</v>
      </c>
      <c r="B3284" s="1">
        <v>964625.75399999996</v>
      </c>
      <c r="C3284" s="1">
        <v>510394.64979722863</v>
      </c>
      <c r="D3284" s="1">
        <f t="shared" si="51"/>
        <v>454231.10420277133</v>
      </c>
      <c r="E3284" s="1">
        <v>8</v>
      </c>
      <c r="F3284" s="1">
        <v>20</v>
      </c>
      <c r="G3284" s="1">
        <v>7</v>
      </c>
      <c r="H3284" s="1">
        <v>0</v>
      </c>
      <c r="I3284" s="1">
        <v>0</v>
      </c>
      <c r="J3284" s="1">
        <v>1</v>
      </c>
      <c r="K3284" s="1">
        <v>1</v>
      </c>
      <c r="L3284" s="1">
        <v>0</v>
      </c>
      <c r="M3284" s="1">
        <v>0</v>
      </c>
    </row>
    <row r="3285" spans="1:13">
      <c r="A3285" s="1">
        <v>3284</v>
      </c>
      <c r="B3285" s="1">
        <v>894010.12899999996</v>
      </c>
      <c r="C3285" s="1">
        <v>1008363.8538475246</v>
      </c>
      <c r="D3285" s="1">
        <f t="shared" si="51"/>
        <v>-114353.72484752466</v>
      </c>
      <c r="E3285" s="1">
        <v>21</v>
      </c>
      <c r="F3285" s="1">
        <v>9</v>
      </c>
      <c r="G3285" s="1">
        <v>5</v>
      </c>
      <c r="H3285" s="1">
        <v>0</v>
      </c>
      <c r="I3285" s="1">
        <v>0</v>
      </c>
      <c r="J3285" s="1">
        <v>0</v>
      </c>
      <c r="K3285" s="1">
        <v>1</v>
      </c>
      <c r="L3285" s="1">
        <v>0</v>
      </c>
      <c r="M3285" s="1">
        <v>1</v>
      </c>
    </row>
    <row r="3286" spans="1:13">
      <c r="A3286" s="1">
        <v>3285</v>
      </c>
      <c r="B3286" s="1">
        <v>827982.8236</v>
      </c>
      <c r="C3286" s="1">
        <v>700273.81320662436</v>
      </c>
      <c r="D3286" s="1">
        <f t="shared" si="51"/>
        <v>127709.01039337565</v>
      </c>
      <c r="E3286" s="1">
        <v>15</v>
      </c>
      <c r="F3286" s="1">
        <v>16</v>
      </c>
      <c r="G3286" s="1">
        <v>4</v>
      </c>
      <c r="H3286" s="1">
        <v>1</v>
      </c>
      <c r="I3286" s="1">
        <v>0</v>
      </c>
      <c r="J3286" s="1">
        <v>0</v>
      </c>
      <c r="K3286" s="1">
        <v>0</v>
      </c>
      <c r="L3286" s="1">
        <v>0</v>
      </c>
      <c r="M3286" s="1">
        <v>0</v>
      </c>
    </row>
    <row r="3287" spans="1:13">
      <c r="A3287" s="1">
        <v>3286</v>
      </c>
      <c r="B3287" s="1">
        <v>876798.92909999995</v>
      </c>
      <c r="C3287" s="1">
        <v>1288689.215731136</v>
      </c>
      <c r="D3287" s="1">
        <f t="shared" si="51"/>
        <v>-411890.28663113608</v>
      </c>
      <c r="E3287" s="1">
        <v>15</v>
      </c>
      <c r="F3287" s="1">
        <v>16</v>
      </c>
      <c r="G3287" s="1">
        <v>4</v>
      </c>
      <c r="H3287" s="1">
        <v>1</v>
      </c>
      <c r="I3287" s="1">
        <v>0</v>
      </c>
      <c r="J3287" s="1">
        <v>0</v>
      </c>
      <c r="K3287" s="1">
        <v>1</v>
      </c>
      <c r="L3287" s="1">
        <v>0</v>
      </c>
      <c r="M3287" s="1">
        <v>1</v>
      </c>
    </row>
    <row r="3288" spans="1:13">
      <c r="A3288" s="1">
        <v>3287</v>
      </c>
      <c r="B3288" s="1">
        <v>1010245.6771</v>
      </c>
      <c r="C3288" s="1">
        <v>659286.03921712155</v>
      </c>
      <c r="D3288" s="1">
        <f t="shared" si="51"/>
        <v>350959.63788287842</v>
      </c>
      <c r="E3288" s="1">
        <v>13</v>
      </c>
      <c r="F3288" s="1">
        <v>16</v>
      </c>
      <c r="G3288" s="1">
        <v>6</v>
      </c>
      <c r="H3288" s="1">
        <v>0</v>
      </c>
      <c r="I3288" s="1">
        <v>0</v>
      </c>
      <c r="J3288" s="1">
        <v>0</v>
      </c>
      <c r="K3288" s="1">
        <v>2</v>
      </c>
      <c r="L3288" s="1">
        <v>0</v>
      </c>
      <c r="M3288" s="1">
        <v>0</v>
      </c>
    </row>
    <row r="3289" spans="1:13">
      <c r="A3289" s="1">
        <v>3288</v>
      </c>
      <c r="B3289" s="1">
        <v>916836.29440000001</v>
      </c>
      <c r="C3289" s="1">
        <v>949354.07509496668</v>
      </c>
      <c r="D3289" s="1">
        <f t="shared" si="51"/>
        <v>-32517.78069496667</v>
      </c>
      <c r="E3289" s="1">
        <v>15</v>
      </c>
      <c r="F3289" s="1">
        <v>15</v>
      </c>
      <c r="G3289" s="1">
        <v>5</v>
      </c>
      <c r="H3289" s="1">
        <v>2</v>
      </c>
      <c r="I3289" s="1">
        <v>0</v>
      </c>
      <c r="J3289" s="1">
        <v>0</v>
      </c>
      <c r="K3289" s="1">
        <v>0</v>
      </c>
      <c r="L3289" s="1">
        <v>0</v>
      </c>
      <c r="M3289" s="1">
        <v>0</v>
      </c>
    </row>
    <row r="3290" spans="1:13">
      <c r="A3290" s="1">
        <v>3289</v>
      </c>
      <c r="B3290" s="1">
        <v>938873.4534</v>
      </c>
      <c r="C3290" s="1">
        <v>1425762.6015277822</v>
      </c>
      <c r="D3290" s="1">
        <f t="shared" si="51"/>
        <v>-486889.14812778216</v>
      </c>
      <c r="E3290" s="1">
        <v>11</v>
      </c>
      <c r="F3290" s="1">
        <v>22</v>
      </c>
      <c r="G3290" s="1">
        <v>2</v>
      </c>
      <c r="H3290" s="1">
        <v>2</v>
      </c>
      <c r="I3290" s="1">
        <v>0</v>
      </c>
      <c r="J3290" s="1">
        <v>2</v>
      </c>
      <c r="K3290" s="1">
        <v>0</v>
      </c>
      <c r="L3290" s="1">
        <v>0</v>
      </c>
      <c r="M3290" s="1">
        <v>1</v>
      </c>
    </row>
    <row r="3291" spans="1:13">
      <c r="A3291" s="1">
        <v>3290</v>
      </c>
      <c r="B3291" s="1">
        <v>869228.3504</v>
      </c>
      <c r="C3291" s="1">
        <v>910046.63649218099</v>
      </c>
      <c r="D3291" s="1">
        <f t="shared" si="51"/>
        <v>-40818.286092180992</v>
      </c>
      <c r="E3291" s="1">
        <v>22</v>
      </c>
      <c r="F3291" s="1">
        <v>10</v>
      </c>
      <c r="G3291" s="1">
        <v>3</v>
      </c>
      <c r="H3291" s="1">
        <v>2</v>
      </c>
      <c r="I3291" s="1">
        <v>0</v>
      </c>
      <c r="J3291" s="1">
        <v>1</v>
      </c>
      <c r="K3291" s="1">
        <v>0</v>
      </c>
      <c r="L3291" s="1">
        <v>0</v>
      </c>
      <c r="M3291" s="1">
        <v>0</v>
      </c>
    </row>
    <row r="3292" spans="1:13">
      <c r="A3292" s="1">
        <v>3291</v>
      </c>
      <c r="B3292" s="1">
        <v>922263.99589999998</v>
      </c>
      <c r="C3292" s="1">
        <v>436213.94025400572</v>
      </c>
      <c r="D3292" s="1">
        <f t="shared" si="51"/>
        <v>486050.05564599426</v>
      </c>
      <c r="E3292" s="1">
        <v>9</v>
      </c>
      <c r="F3292" s="1">
        <v>20</v>
      </c>
      <c r="G3292" s="1">
        <v>6</v>
      </c>
      <c r="H3292" s="1">
        <v>1</v>
      </c>
      <c r="I3292" s="1">
        <v>1</v>
      </c>
      <c r="J3292" s="1">
        <v>1</v>
      </c>
      <c r="K3292" s="1">
        <v>1</v>
      </c>
      <c r="L3292" s="1">
        <v>0</v>
      </c>
      <c r="M3292" s="1">
        <v>0</v>
      </c>
    </row>
    <row r="3293" spans="1:13">
      <c r="A3293" s="1">
        <v>3292</v>
      </c>
      <c r="B3293" s="1">
        <v>919650.0246</v>
      </c>
      <c r="C3293" s="1">
        <v>408923.39283896587</v>
      </c>
      <c r="D3293" s="1">
        <f t="shared" si="51"/>
        <v>510726.63176103414</v>
      </c>
      <c r="E3293" s="1">
        <v>14</v>
      </c>
      <c r="F3293" s="1">
        <v>16</v>
      </c>
      <c r="G3293" s="1">
        <v>5</v>
      </c>
      <c r="H3293" s="1">
        <v>0</v>
      </c>
      <c r="I3293" s="1">
        <v>0</v>
      </c>
      <c r="J3293" s="1">
        <v>2</v>
      </c>
      <c r="K3293" s="1">
        <v>0</v>
      </c>
      <c r="L3293" s="1">
        <v>0</v>
      </c>
      <c r="M3293" s="1">
        <v>0</v>
      </c>
    </row>
    <row r="3294" spans="1:13">
      <c r="A3294" s="1">
        <v>3293</v>
      </c>
      <c r="B3294" s="1">
        <v>1044768.8025</v>
      </c>
      <c r="C3294" s="1">
        <v>1049008.4015964486</v>
      </c>
      <c r="D3294" s="1">
        <f t="shared" si="51"/>
        <v>-4239.5990964486264</v>
      </c>
      <c r="E3294" s="1">
        <v>3</v>
      </c>
      <c r="F3294" s="1">
        <v>23</v>
      </c>
      <c r="G3294" s="1">
        <v>9</v>
      </c>
      <c r="H3294" s="1">
        <v>1</v>
      </c>
      <c r="I3294" s="1">
        <v>0</v>
      </c>
      <c r="J3294" s="1">
        <v>1</v>
      </c>
      <c r="K3294" s="1">
        <v>0</v>
      </c>
      <c r="L3294" s="1">
        <v>0</v>
      </c>
      <c r="M3294" s="1">
        <v>1</v>
      </c>
    </row>
    <row r="3295" spans="1:13">
      <c r="A3295" s="1">
        <v>3294</v>
      </c>
      <c r="B3295" s="1">
        <v>905216.09030000004</v>
      </c>
      <c r="C3295" s="1">
        <v>757791.58664527419</v>
      </c>
      <c r="D3295" s="1">
        <f t="shared" si="51"/>
        <v>147424.50365472585</v>
      </c>
      <c r="E3295" s="1">
        <v>16</v>
      </c>
      <c r="F3295" s="1">
        <v>11</v>
      </c>
      <c r="G3295" s="1">
        <v>8</v>
      </c>
      <c r="H3295" s="1">
        <v>2</v>
      </c>
      <c r="I3295" s="1">
        <v>0</v>
      </c>
      <c r="J3295" s="1">
        <v>1</v>
      </c>
      <c r="K3295" s="1">
        <v>0</v>
      </c>
      <c r="L3295" s="1">
        <v>0</v>
      </c>
      <c r="M3295" s="1">
        <v>1</v>
      </c>
    </row>
    <row r="3296" spans="1:13">
      <c r="A3296" s="1">
        <v>3295</v>
      </c>
      <c r="B3296" s="1">
        <v>944732.0577</v>
      </c>
      <c r="C3296" s="1">
        <v>939356.3507214454</v>
      </c>
      <c r="D3296" s="1">
        <f t="shared" si="51"/>
        <v>5375.7069785546046</v>
      </c>
      <c r="E3296" s="1">
        <v>9</v>
      </c>
      <c r="F3296" s="1">
        <v>18</v>
      </c>
      <c r="G3296" s="1">
        <v>8</v>
      </c>
      <c r="H3296" s="1">
        <v>0</v>
      </c>
      <c r="I3296" s="1">
        <v>0</v>
      </c>
      <c r="J3296" s="1">
        <v>0</v>
      </c>
      <c r="K3296" s="1">
        <v>0</v>
      </c>
      <c r="L3296" s="1">
        <v>0</v>
      </c>
      <c r="M3296" s="1">
        <v>1</v>
      </c>
    </row>
    <row r="3297" spans="1:13">
      <c r="A3297" s="1">
        <v>3296</v>
      </c>
      <c r="B3297" s="1">
        <v>1046699.862</v>
      </c>
      <c r="C3297" s="1">
        <v>732227.91646330245</v>
      </c>
      <c r="D3297" s="1">
        <f t="shared" si="51"/>
        <v>314471.94553669752</v>
      </c>
      <c r="E3297" s="1">
        <v>13</v>
      </c>
      <c r="F3297" s="1">
        <v>14</v>
      </c>
      <c r="G3297" s="1">
        <v>8</v>
      </c>
      <c r="H3297" s="1">
        <v>1</v>
      </c>
      <c r="I3297" s="1">
        <v>0</v>
      </c>
      <c r="J3297" s="1">
        <v>1</v>
      </c>
      <c r="K3297" s="1">
        <v>0</v>
      </c>
      <c r="L3297" s="1">
        <v>0</v>
      </c>
      <c r="M3297" s="1">
        <v>1</v>
      </c>
    </row>
    <row r="3298" spans="1:13">
      <c r="A3298" s="1">
        <v>3297</v>
      </c>
      <c r="B3298" s="1">
        <v>977465.5575</v>
      </c>
      <c r="C3298" s="1">
        <v>991810.06169118069</v>
      </c>
      <c r="D3298" s="1">
        <f t="shared" si="51"/>
        <v>-14344.504191180691</v>
      </c>
      <c r="E3298" s="1">
        <v>6</v>
      </c>
      <c r="F3298" s="1">
        <v>21</v>
      </c>
      <c r="G3298" s="1">
        <v>8</v>
      </c>
      <c r="H3298" s="1">
        <v>0</v>
      </c>
      <c r="I3298" s="1">
        <v>0</v>
      </c>
      <c r="J3298" s="1">
        <v>2</v>
      </c>
      <c r="K3298" s="1">
        <v>0</v>
      </c>
      <c r="L3298" s="1">
        <v>0</v>
      </c>
      <c r="M3298" s="1">
        <v>1</v>
      </c>
    </row>
    <row r="3299" spans="1:13">
      <c r="A3299" s="1">
        <v>3298</v>
      </c>
      <c r="B3299" s="1">
        <v>1010600.7532</v>
      </c>
      <c r="C3299" s="1">
        <v>1638354.3222997733</v>
      </c>
      <c r="D3299" s="1">
        <f t="shared" si="51"/>
        <v>-627753.5690997733</v>
      </c>
      <c r="E3299" s="1">
        <v>9</v>
      </c>
      <c r="F3299" s="1">
        <v>20</v>
      </c>
      <c r="G3299" s="1">
        <v>6</v>
      </c>
      <c r="H3299" s="1">
        <v>0</v>
      </c>
      <c r="I3299" s="1">
        <v>0</v>
      </c>
      <c r="J3299" s="1">
        <v>1</v>
      </c>
      <c r="K3299" s="1">
        <v>1</v>
      </c>
      <c r="L3299" s="1">
        <v>0</v>
      </c>
      <c r="M3299" s="1">
        <v>0</v>
      </c>
    </row>
    <row r="3300" spans="1:13">
      <c r="A3300" s="1">
        <v>3299</v>
      </c>
      <c r="B3300" s="1">
        <v>867258.40489999996</v>
      </c>
      <c r="C3300" s="1">
        <v>654681.85597995447</v>
      </c>
      <c r="D3300" s="1">
        <f t="shared" si="51"/>
        <v>212576.54892004549</v>
      </c>
      <c r="E3300" s="1">
        <v>11</v>
      </c>
      <c r="F3300" s="1">
        <v>20</v>
      </c>
      <c r="G3300" s="1">
        <v>4</v>
      </c>
      <c r="H3300" s="1">
        <v>0</v>
      </c>
      <c r="I3300" s="1">
        <v>0</v>
      </c>
      <c r="J3300" s="1">
        <v>1</v>
      </c>
      <c r="K3300" s="1">
        <v>0</v>
      </c>
      <c r="L3300" s="1">
        <v>0</v>
      </c>
      <c r="M3300" s="1">
        <v>0</v>
      </c>
    </row>
    <row r="3301" spans="1:13">
      <c r="A3301" s="1">
        <v>3300</v>
      </c>
      <c r="B3301" s="1">
        <v>925000.92870000005</v>
      </c>
      <c r="C3301" s="1">
        <v>1068865.5250529293</v>
      </c>
      <c r="D3301" s="1">
        <f t="shared" si="51"/>
        <v>-143864.59635292925</v>
      </c>
      <c r="E3301" s="1">
        <v>9</v>
      </c>
      <c r="F3301" s="1">
        <v>23</v>
      </c>
      <c r="G3301" s="1">
        <v>3</v>
      </c>
      <c r="H3301" s="1">
        <v>0</v>
      </c>
      <c r="I3301" s="1">
        <v>0</v>
      </c>
      <c r="J3301" s="1">
        <v>0</v>
      </c>
      <c r="K3301" s="1">
        <v>2</v>
      </c>
      <c r="L3301" s="1">
        <v>0</v>
      </c>
      <c r="M3301" s="1">
        <v>1</v>
      </c>
    </row>
    <row r="3302" spans="1:13">
      <c r="A3302" s="1">
        <v>3301</v>
      </c>
      <c r="B3302" s="1">
        <v>957671.76930000004</v>
      </c>
      <c r="C3302" s="1">
        <v>1551052.154981297</v>
      </c>
      <c r="D3302" s="1">
        <f t="shared" si="51"/>
        <v>-593380.38568129693</v>
      </c>
      <c r="E3302" s="1">
        <v>11</v>
      </c>
      <c r="F3302" s="1">
        <v>22</v>
      </c>
      <c r="G3302" s="1">
        <v>2</v>
      </c>
      <c r="H3302" s="1">
        <v>0</v>
      </c>
      <c r="I3302" s="1">
        <v>0</v>
      </c>
      <c r="J3302" s="1">
        <v>1</v>
      </c>
      <c r="K3302" s="1">
        <v>1</v>
      </c>
      <c r="L3302" s="1">
        <v>0</v>
      </c>
      <c r="M3302" s="1">
        <v>0</v>
      </c>
    </row>
    <row r="3303" spans="1:13">
      <c r="A3303" s="1">
        <v>3302</v>
      </c>
      <c r="B3303" s="1">
        <v>905806.95160000003</v>
      </c>
      <c r="C3303" s="1">
        <v>1091761.5476806408</v>
      </c>
      <c r="D3303" s="1">
        <f t="shared" si="51"/>
        <v>-185954.5960806408</v>
      </c>
      <c r="E3303" s="1">
        <v>13</v>
      </c>
      <c r="F3303" s="1">
        <v>14</v>
      </c>
      <c r="G3303" s="1">
        <v>8</v>
      </c>
      <c r="H3303" s="1">
        <v>1</v>
      </c>
      <c r="I3303" s="1">
        <v>0</v>
      </c>
      <c r="J3303" s="1">
        <v>0</v>
      </c>
      <c r="K3303" s="1">
        <v>1</v>
      </c>
      <c r="L3303" s="1">
        <v>0</v>
      </c>
      <c r="M3303" s="1">
        <v>0</v>
      </c>
    </row>
    <row r="3304" spans="1:13">
      <c r="A3304" s="1">
        <v>3303</v>
      </c>
      <c r="B3304" s="1">
        <v>822613.62710000004</v>
      </c>
      <c r="C3304" s="1">
        <v>1847477.672330881</v>
      </c>
      <c r="D3304" s="1">
        <f t="shared" si="51"/>
        <v>-1024864.045230881</v>
      </c>
      <c r="E3304" s="1">
        <v>13</v>
      </c>
      <c r="F3304" s="1">
        <v>19</v>
      </c>
      <c r="G3304" s="1">
        <v>3</v>
      </c>
      <c r="H3304" s="1">
        <v>0</v>
      </c>
      <c r="I3304" s="1">
        <v>0</v>
      </c>
      <c r="J3304" s="1">
        <v>0</v>
      </c>
      <c r="K3304" s="1">
        <v>0</v>
      </c>
      <c r="L3304" s="1">
        <v>0</v>
      </c>
      <c r="M3304" s="1">
        <v>0</v>
      </c>
    </row>
    <row r="3305" spans="1:13">
      <c r="A3305" s="1">
        <v>3304</v>
      </c>
      <c r="B3305" s="1">
        <v>868721.66220000002</v>
      </c>
      <c r="C3305" s="1">
        <v>1601031.391754322</v>
      </c>
      <c r="D3305" s="1">
        <f t="shared" si="51"/>
        <v>-732309.72955432197</v>
      </c>
      <c r="E3305" s="1">
        <v>15</v>
      </c>
      <c r="F3305" s="1">
        <v>12</v>
      </c>
      <c r="G3305" s="1">
        <v>8</v>
      </c>
      <c r="H3305" s="1">
        <v>0</v>
      </c>
      <c r="I3305" s="1">
        <v>0</v>
      </c>
      <c r="J3305" s="1">
        <v>0</v>
      </c>
      <c r="K3305" s="1">
        <v>0</v>
      </c>
      <c r="L3305" s="1">
        <v>0</v>
      </c>
      <c r="M3305" s="1">
        <v>0</v>
      </c>
    </row>
    <row r="3306" spans="1:13">
      <c r="A3306" s="1">
        <v>3305</v>
      </c>
      <c r="B3306" s="1">
        <v>978311.60030000005</v>
      </c>
      <c r="C3306" s="1">
        <v>819007.61177292117</v>
      </c>
      <c r="D3306" s="1">
        <f t="shared" si="51"/>
        <v>159303.98852707888</v>
      </c>
      <c r="E3306" s="1">
        <v>13</v>
      </c>
      <c r="F3306" s="1">
        <v>18</v>
      </c>
      <c r="G3306" s="1">
        <v>4</v>
      </c>
      <c r="H3306" s="1">
        <v>2</v>
      </c>
      <c r="I3306" s="1">
        <v>0</v>
      </c>
      <c r="J3306" s="1">
        <v>1</v>
      </c>
      <c r="K3306" s="1">
        <v>1</v>
      </c>
      <c r="L3306" s="1">
        <v>0</v>
      </c>
      <c r="M3306" s="1">
        <v>1</v>
      </c>
    </row>
    <row r="3307" spans="1:13">
      <c r="A3307" s="1">
        <v>3306</v>
      </c>
      <c r="B3307" s="1">
        <v>883476.45129999996</v>
      </c>
      <c r="C3307" s="1">
        <v>2684359.6719203996</v>
      </c>
      <c r="D3307" s="1">
        <f t="shared" si="51"/>
        <v>-1800883.2206203998</v>
      </c>
      <c r="E3307" s="1">
        <v>13</v>
      </c>
      <c r="F3307" s="1">
        <v>17</v>
      </c>
      <c r="G3307" s="1">
        <v>5</v>
      </c>
      <c r="H3307" s="1">
        <v>1</v>
      </c>
      <c r="I3307" s="1">
        <v>1</v>
      </c>
      <c r="J3307" s="1">
        <v>2</v>
      </c>
      <c r="K3307" s="1">
        <v>0</v>
      </c>
      <c r="L3307" s="1">
        <v>0</v>
      </c>
      <c r="M3307" s="1">
        <v>0</v>
      </c>
    </row>
    <row r="3308" spans="1:13">
      <c r="A3308" s="1">
        <v>3307</v>
      </c>
      <c r="B3308" s="1">
        <v>1009025.1221</v>
      </c>
      <c r="C3308" s="1">
        <v>796518.47488475929</v>
      </c>
      <c r="D3308" s="1">
        <f t="shared" si="51"/>
        <v>212506.64721524075</v>
      </c>
      <c r="E3308" s="1">
        <v>21</v>
      </c>
      <c r="F3308" s="1">
        <v>7</v>
      </c>
      <c r="G3308" s="1">
        <v>7</v>
      </c>
      <c r="H3308" s="1">
        <v>0</v>
      </c>
      <c r="I3308" s="1">
        <v>0</v>
      </c>
      <c r="J3308" s="1">
        <v>0</v>
      </c>
      <c r="K3308" s="1">
        <v>1</v>
      </c>
      <c r="L3308" s="1">
        <v>0</v>
      </c>
      <c r="M3308" s="1">
        <v>0</v>
      </c>
    </row>
    <row r="3309" spans="1:13">
      <c r="A3309" s="1">
        <v>3308</v>
      </c>
      <c r="B3309" s="1">
        <v>960673.77769999998</v>
      </c>
      <c r="C3309" s="1">
        <v>2427013.8659676453</v>
      </c>
      <c r="D3309" s="1">
        <f t="shared" si="51"/>
        <v>-1466340.0882676453</v>
      </c>
      <c r="E3309" s="1">
        <v>13</v>
      </c>
      <c r="F3309" s="1">
        <v>18</v>
      </c>
      <c r="G3309" s="1">
        <v>4</v>
      </c>
      <c r="H3309" s="1">
        <v>0</v>
      </c>
      <c r="I3309" s="1">
        <v>0</v>
      </c>
      <c r="J3309" s="1">
        <v>1</v>
      </c>
      <c r="K3309" s="1">
        <v>0</v>
      </c>
      <c r="L3309" s="1">
        <v>0</v>
      </c>
      <c r="M3309" s="1">
        <v>0</v>
      </c>
    </row>
    <row r="3310" spans="1:13">
      <c r="A3310" s="1">
        <v>3309</v>
      </c>
      <c r="B3310" s="1">
        <v>829665.7047</v>
      </c>
      <c r="C3310" s="1">
        <v>899854.42372221372</v>
      </c>
      <c r="D3310" s="1">
        <f t="shared" si="51"/>
        <v>-70188.719022213714</v>
      </c>
      <c r="E3310" s="1">
        <v>26</v>
      </c>
      <c r="F3310" s="1">
        <v>7</v>
      </c>
      <c r="G3310" s="1">
        <v>2</v>
      </c>
      <c r="H3310" s="1">
        <v>1</v>
      </c>
      <c r="I3310" s="1">
        <v>0</v>
      </c>
      <c r="J3310" s="1">
        <v>0</v>
      </c>
      <c r="K3310" s="1">
        <v>1</v>
      </c>
      <c r="L3310" s="1">
        <v>0</v>
      </c>
      <c r="M3310" s="1">
        <v>0</v>
      </c>
    </row>
    <row r="3311" spans="1:13">
      <c r="A3311" s="1">
        <v>3310</v>
      </c>
      <c r="B3311" s="1">
        <v>946373.99</v>
      </c>
      <c r="C3311" s="1">
        <v>884766.94257942692</v>
      </c>
      <c r="D3311" s="1">
        <f t="shared" si="51"/>
        <v>61607.047420573072</v>
      </c>
      <c r="E3311" s="1">
        <v>15</v>
      </c>
      <c r="F3311" s="1">
        <v>15</v>
      </c>
      <c r="G3311" s="1">
        <v>5</v>
      </c>
      <c r="H3311" s="1">
        <v>0</v>
      </c>
      <c r="I3311" s="1">
        <v>1</v>
      </c>
      <c r="J3311" s="1">
        <v>0</v>
      </c>
      <c r="K3311" s="1">
        <v>1</v>
      </c>
      <c r="L3311" s="1">
        <v>0</v>
      </c>
      <c r="M3311" s="1">
        <v>1</v>
      </c>
    </row>
    <row r="3312" spans="1:13">
      <c r="A3312" s="1">
        <v>3311</v>
      </c>
      <c r="B3312" s="1">
        <v>989403.23670000001</v>
      </c>
      <c r="C3312" s="1">
        <v>657793.90745517868</v>
      </c>
      <c r="D3312" s="1">
        <f t="shared" si="51"/>
        <v>331609.32924482133</v>
      </c>
      <c r="E3312" s="1">
        <v>12</v>
      </c>
      <c r="F3312" s="1">
        <v>17</v>
      </c>
      <c r="G3312" s="1">
        <v>6</v>
      </c>
      <c r="H3312" s="1">
        <v>1</v>
      </c>
      <c r="I3312" s="1">
        <v>1</v>
      </c>
      <c r="J3312" s="1">
        <v>0</v>
      </c>
      <c r="K3312" s="1">
        <v>2</v>
      </c>
      <c r="L3312" s="1">
        <v>0</v>
      </c>
      <c r="M3312" s="1">
        <v>1</v>
      </c>
    </row>
    <row r="3313" spans="1:13">
      <c r="A3313" s="1">
        <v>3312</v>
      </c>
      <c r="B3313" s="1">
        <v>878661.70380000002</v>
      </c>
      <c r="C3313" s="1">
        <v>692818.75952330173</v>
      </c>
      <c r="D3313" s="1">
        <f t="shared" si="51"/>
        <v>185842.94427669828</v>
      </c>
      <c r="E3313" s="1">
        <v>9</v>
      </c>
      <c r="F3313" s="1">
        <v>17</v>
      </c>
      <c r="G3313" s="1">
        <v>9</v>
      </c>
      <c r="H3313" s="1">
        <v>1</v>
      </c>
      <c r="I3313" s="1">
        <v>0</v>
      </c>
      <c r="J3313" s="1">
        <v>1</v>
      </c>
      <c r="K3313" s="1">
        <v>0</v>
      </c>
      <c r="L3313" s="1">
        <v>0</v>
      </c>
      <c r="M3313" s="1">
        <v>1</v>
      </c>
    </row>
    <row r="3314" spans="1:13">
      <c r="A3314" s="1">
        <v>3313</v>
      </c>
      <c r="B3314" s="1">
        <v>862087.3469</v>
      </c>
      <c r="C3314" s="1">
        <v>1362959.7075001486</v>
      </c>
      <c r="D3314" s="1">
        <f t="shared" si="51"/>
        <v>-500872.36060014856</v>
      </c>
      <c r="E3314" s="1">
        <v>11</v>
      </c>
      <c r="F3314" s="1">
        <v>19</v>
      </c>
      <c r="G3314" s="1">
        <v>5</v>
      </c>
      <c r="H3314" s="1">
        <v>1</v>
      </c>
      <c r="I3314" s="1">
        <v>0</v>
      </c>
      <c r="J3314" s="1">
        <v>1</v>
      </c>
      <c r="K3314" s="1">
        <v>0</v>
      </c>
      <c r="L3314" s="1">
        <v>0</v>
      </c>
      <c r="M3314" s="1">
        <v>0</v>
      </c>
    </row>
    <row r="3315" spans="1:13">
      <c r="A3315" s="1">
        <v>3314</v>
      </c>
      <c r="B3315" s="1">
        <v>1086797.7681</v>
      </c>
      <c r="C3315" s="1">
        <v>751263.18712861626</v>
      </c>
      <c r="D3315" s="1">
        <f t="shared" si="51"/>
        <v>335534.58097138372</v>
      </c>
      <c r="E3315" s="1">
        <v>9</v>
      </c>
      <c r="F3315" s="1">
        <v>18</v>
      </c>
      <c r="G3315" s="1">
        <v>8</v>
      </c>
      <c r="H3315" s="1">
        <v>0</v>
      </c>
      <c r="I3315" s="1">
        <v>0</v>
      </c>
      <c r="J3315" s="1">
        <v>0</v>
      </c>
      <c r="K3315" s="1">
        <v>1</v>
      </c>
      <c r="L3315" s="1">
        <v>0</v>
      </c>
      <c r="M3315" s="1">
        <v>0</v>
      </c>
    </row>
    <row r="3316" spans="1:13">
      <c r="A3316" s="1">
        <v>3315</v>
      </c>
      <c r="B3316" s="1">
        <v>986214.08689999999</v>
      </c>
      <c r="C3316" s="1">
        <v>950789.74989821482</v>
      </c>
      <c r="D3316" s="1">
        <f t="shared" si="51"/>
        <v>35424.33700178517</v>
      </c>
      <c r="E3316" s="1">
        <v>12</v>
      </c>
      <c r="F3316" s="1">
        <v>18</v>
      </c>
      <c r="G3316" s="1">
        <v>5</v>
      </c>
      <c r="H3316" s="1">
        <v>0</v>
      </c>
      <c r="I3316" s="1">
        <v>0</v>
      </c>
      <c r="J3316" s="1">
        <v>2</v>
      </c>
      <c r="K3316" s="1">
        <v>0</v>
      </c>
      <c r="L3316" s="1">
        <v>0</v>
      </c>
      <c r="M3316" s="1">
        <v>0</v>
      </c>
    </row>
    <row r="3317" spans="1:13">
      <c r="A3317" s="1">
        <v>3316</v>
      </c>
      <c r="B3317" s="1">
        <v>1003475.4237</v>
      </c>
      <c r="C3317" s="1">
        <v>721096.34387573868</v>
      </c>
      <c r="D3317" s="1">
        <f t="shared" si="51"/>
        <v>282379.07982426137</v>
      </c>
      <c r="E3317" s="1">
        <v>10</v>
      </c>
      <c r="F3317" s="1">
        <v>20</v>
      </c>
      <c r="G3317" s="1">
        <v>5</v>
      </c>
      <c r="H3317" s="1">
        <v>1</v>
      </c>
      <c r="I3317" s="1">
        <v>1</v>
      </c>
      <c r="J3317" s="1">
        <v>0</v>
      </c>
      <c r="K3317" s="1">
        <v>0</v>
      </c>
      <c r="L3317" s="1">
        <v>0</v>
      </c>
      <c r="M3317" s="1">
        <v>0</v>
      </c>
    </row>
    <row r="3318" spans="1:13">
      <c r="A3318" s="1">
        <v>3317</v>
      </c>
      <c r="B3318" s="1">
        <v>910949.06030000001</v>
      </c>
      <c r="C3318" s="1">
        <v>1163809.3575178254</v>
      </c>
      <c r="D3318" s="1">
        <f t="shared" si="51"/>
        <v>-252860.29721782543</v>
      </c>
      <c r="E3318" s="1">
        <v>17</v>
      </c>
      <c r="F3318" s="1">
        <v>15</v>
      </c>
      <c r="G3318" s="1">
        <v>3</v>
      </c>
      <c r="H3318" s="1">
        <v>0</v>
      </c>
      <c r="I3318" s="1">
        <v>0</v>
      </c>
      <c r="J3318" s="1">
        <v>2</v>
      </c>
      <c r="K3318" s="1">
        <v>0</v>
      </c>
      <c r="L3318" s="1">
        <v>0</v>
      </c>
      <c r="M3318" s="1">
        <v>0</v>
      </c>
    </row>
    <row r="3319" spans="1:13">
      <c r="A3319" s="1">
        <v>3318</v>
      </c>
      <c r="B3319" s="1">
        <v>1028122.8639999999</v>
      </c>
      <c r="C3319" s="1">
        <v>799036.20876199775</v>
      </c>
      <c r="D3319" s="1">
        <f t="shared" si="51"/>
        <v>229086.65523800219</v>
      </c>
      <c r="E3319" s="1">
        <v>4</v>
      </c>
      <c r="F3319" s="1">
        <v>26</v>
      </c>
      <c r="G3319" s="1">
        <v>5</v>
      </c>
      <c r="H3319" s="1">
        <v>1</v>
      </c>
      <c r="I3319" s="1">
        <v>1</v>
      </c>
      <c r="J3319" s="1">
        <v>1</v>
      </c>
      <c r="K3319" s="1">
        <v>1</v>
      </c>
      <c r="L3319" s="1">
        <v>0</v>
      </c>
      <c r="M3319" s="1">
        <v>1</v>
      </c>
    </row>
    <row r="3320" spans="1:13">
      <c r="A3320" s="1">
        <v>3319</v>
      </c>
      <c r="B3320" s="1">
        <v>954963.53399999999</v>
      </c>
      <c r="C3320" s="1">
        <v>818181.21007935703</v>
      </c>
      <c r="D3320" s="1">
        <f t="shared" si="51"/>
        <v>136782.32392064296</v>
      </c>
      <c r="E3320" s="1">
        <v>10</v>
      </c>
      <c r="F3320" s="1">
        <v>19</v>
      </c>
      <c r="G3320" s="1">
        <v>6</v>
      </c>
      <c r="H3320" s="1">
        <v>1</v>
      </c>
      <c r="I3320" s="1">
        <v>0</v>
      </c>
      <c r="J3320" s="1">
        <v>0</v>
      </c>
      <c r="K3320" s="1">
        <v>0</v>
      </c>
      <c r="L3320" s="1">
        <v>0</v>
      </c>
      <c r="M3320" s="1">
        <v>0</v>
      </c>
    </row>
    <row r="3321" spans="1:13">
      <c r="A3321" s="1">
        <v>3320</v>
      </c>
      <c r="B3321" s="1">
        <v>1083340.7812999999</v>
      </c>
      <c r="C3321" s="1">
        <v>752900.30690720771</v>
      </c>
      <c r="D3321" s="1">
        <f t="shared" si="51"/>
        <v>330440.47439279221</v>
      </c>
      <c r="E3321" s="1">
        <v>13</v>
      </c>
      <c r="F3321" s="1">
        <v>15</v>
      </c>
      <c r="G3321" s="1">
        <v>7</v>
      </c>
      <c r="H3321" s="1">
        <v>1</v>
      </c>
      <c r="I3321" s="1">
        <v>0</v>
      </c>
      <c r="J3321" s="1">
        <v>1</v>
      </c>
      <c r="K3321" s="1">
        <v>1</v>
      </c>
      <c r="L3321" s="1">
        <v>0</v>
      </c>
      <c r="M3321" s="1">
        <v>1</v>
      </c>
    </row>
    <row r="3322" spans="1:13">
      <c r="A3322" s="1">
        <v>3321</v>
      </c>
      <c r="B3322" s="1">
        <v>837685.33360000001</v>
      </c>
      <c r="C3322" s="1">
        <v>991477.51494267001</v>
      </c>
      <c r="D3322" s="1">
        <f t="shared" si="51"/>
        <v>-153792.18134267</v>
      </c>
      <c r="E3322" s="1">
        <v>16</v>
      </c>
      <c r="F3322" s="1">
        <v>15</v>
      </c>
      <c r="G3322" s="1">
        <v>4</v>
      </c>
      <c r="H3322" s="1">
        <v>1</v>
      </c>
      <c r="I3322" s="1">
        <v>0</v>
      </c>
      <c r="J3322" s="1">
        <v>1</v>
      </c>
      <c r="K3322" s="1">
        <v>0</v>
      </c>
      <c r="L3322" s="1">
        <v>0</v>
      </c>
      <c r="M3322" s="1">
        <v>0</v>
      </c>
    </row>
    <row r="3323" spans="1:13">
      <c r="A3323" s="1">
        <v>3322</v>
      </c>
      <c r="B3323" s="1">
        <v>1054578.2794000001</v>
      </c>
      <c r="C3323" s="1">
        <v>626527.66973347031</v>
      </c>
      <c r="D3323" s="1">
        <f t="shared" si="51"/>
        <v>428050.60966652981</v>
      </c>
      <c r="E3323" s="1">
        <v>4</v>
      </c>
      <c r="F3323" s="1">
        <v>26</v>
      </c>
      <c r="G3323" s="1">
        <v>5</v>
      </c>
      <c r="H3323" s="1">
        <v>2</v>
      </c>
      <c r="I3323" s="1">
        <v>0</v>
      </c>
      <c r="J3323" s="1">
        <v>2</v>
      </c>
      <c r="K3323" s="1">
        <v>0</v>
      </c>
      <c r="L3323" s="1">
        <v>0</v>
      </c>
      <c r="M3323" s="1">
        <v>0</v>
      </c>
    </row>
    <row r="3324" spans="1:13">
      <c r="A3324" s="1">
        <v>3323</v>
      </c>
      <c r="B3324" s="1">
        <v>866236.36040000001</v>
      </c>
      <c r="C3324" s="1">
        <v>1016620.6616162683</v>
      </c>
      <c r="D3324" s="1">
        <f t="shared" si="51"/>
        <v>-150384.30121626833</v>
      </c>
      <c r="E3324" s="1">
        <v>14</v>
      </c>
      <c r="F3324" s="1">
        <v>14</v>
      </c>
      <c r="G3324" s="1">
        <v>7</v>
      </c>
      <c r="H3324" s="1">
        <v>0</v>
      </c>
      <c r="I3324" s="1">
        <v>0</v>
      </c>
      <c r="J3324" s="1">
        <v>0</v>
      </c>
      <c r="K3324" s="1">
        <v>1</v>
      </c>
      <c r="L3324" s="1">
        <v>0</v>
      </c>
      <c r="M3324" s="1">
        <v>0</v>
      </c>
    </row>
    <row r="3325" spans="1:13">
      <c r="A3325" s="1">
        <v>3324</v>
      </c>
      <c r="B3325" s="1">
        <v>1043684.1623</v>
      </c>
      <c r="C3325" s="1">
        <v>1174324.9878393302</v>
      </c>
      <c r="D3325" s="1">
        <f t="shared" si="51"/>
        <v>-130640.82553933025</v>
      </c>
      <c r="E3325" s="1">
        <v>14</v>
      </c>
      <c r="F3325" s="1">
        <v>15</v>
      </c>
      <c r="G3325" s="1">
        <v>6</v>
      </c>
      <c r="H3325" s="1">
        <v>1</v>
      </c>
      <c r="I3325" s="1">
        <v>0</v>
      </c>
      <c r="J3325" s="1">
        <v>1</v>
      </c>
      <c r="K3325" s="1">
        <v>0</v>
      </c>
      <c r="L3325" s="1">
        <v>0</v>
      </c>
      <c r="M3325" s="1">
        <v>0</v>
      </c>
    </row>
    <row r="3326" spans="1:13">
      <c r="A3326" s="1">
        <v>3325</v>
      </c>
      <c r="B3326" s="1">
        <v>988232.55409999995</v>
      </c>
      <c r="C3326" s="1">
        <v>573730.68313431181</v>
      </c>
      <c r="D3326" s="1">
        <f t="shared" si="51"/>
        <v>414501.87096568814</v>
      </c>
      <c r="E3326" s="1">
        <v>11</v>
      </c>
      <c r="F3326" s="1">
        <v>16</v>
      </c>
      <c r="G3326" s="1">
        <v>8</v>
      </c>
      <c r="H3326" s="1">
        <v>1</v>
      </c>
      <c r="I3326" s="1">
        <v>0</v>
      </c>
      <c r="J3326" s="1">
        <v>0</v>
      </c>
      <c r="K3326" s="1">
        <v>0</v>
      </c>
      <c r="L3326" s="1">
        <v>0</v>
      </c>
      <c r="M3326" s="1">
        <v>1</v>
      </c>
    </row>
    <row r="3327" spans="1:13">
      <c r="A3327" s="1">
        <v>3326</v>
      </c>
      <c r="B3327" s="1">
        <v>931514.26580000005</v>
      </c>
      <c r="C3327" s="1">
        <v>1087985.7140699036</v>
      </c>
      <c r="D3327" s="1">
        <f t="shared" si="51"/>
        <v>-156471.44826990354</v>
      </c>
      <c r="E3327" s="1">
        <v>15</v>
      </c>
      <c r="F3327" s="1">
        <v>14</v>
      </c>
      <c r="G3327" s="1">
        <v>6</v>
      </c>
      <c r="H3327" s="1">
        <v>1</v>
      </c>
      <c r="I3327" s="1">
        <v>1</v>
      </c>
      <c r="J3327" s="1">
        <v>1</v>
      </c>
      <c r="K3327" s="1">
        <v>0</v>
      </c>
      <c r="L3327" s="1">
        <v>0</v>
      </c>
      <c r="M3327" s="1">
        <v>1</v>
      </c>
    </row>
    <row r="3328" spans="1:13">
      <c r="A3328" s="1">
        <v>3327</v>
      </c>
      <c r="B3328" s="1">
        <v>876243.64769999997</v>
      </c>
      <c r="C3328" s="1">
        <v>631835.67786226794</v>
      </c>
      <c r="D3328" s="1">
        <f t="shared" si="51"/>
        <v>244407.96983773203</v>
      </c>
      <c r="E3328" s="1">
        <v>5</v>
      </c>
      <c r="F3328" s="1">
        <v>24</v>
      </c>
      <c r="G3328" s="1">
        <v>6</v>
      </c>
      <c r="H3328" s="1">
        <v>1</v>
      </c>
      <c r="I3328" s="1">
        <v>0</v>
      </c>
      <c r="J3328" s="1">
        <v>1</v>
      </c>
      <c r="K3328" s="1">
        <v>1</v>
      </c>
      <c r="L3328" s="1">
        <v>0</v>
      </c>
      <c r="M3328" s="1">
        <v>0</v>
      </c>
    </row>
    <row r="3329" spans="1:13">
      <c r="A3329" s="1">
        <v>3328</v>
      </c>
      <c r="B3329" s="1">
        <v>940615.50210000004</v>
      </c>
      <c r="C3329" s="1">
        <v>697976.33163408982</v>
      </c>
      <c r="D3329" s="1">
        <f t="shared" si="51"/>
        <v>242639.17046591023</v>
      </c>
      <c r="E3329" s="1">
        <v>16</v>
      </c>
      <c r="F3329" s="1">
        <v>12</v>
      </c>
      <c r="G3329" s="1">
        <v>7</v>
      </c>
      <c r="H3329" s="1">
        <v>0</v>
      </c>
      <c r="I3329" s="1">
        <v>0</v>
      </c>
      <c r="J3329" s="1">
        <v>2</v>
      </c>
      <c r="K3329" s="1">
        <v>0</v>
      </c>
      <c r="L3329" s="1">
        <v>0</v>
      </c>
      <c r="M3329" s="1">
        <v>1</v>
      </c>
    </row>
    <row r="3330" spans="1:13">
      <c r="A3330" s="1">
        <v>3329</v>
      </c>
      <c r="B3330" s="1">
        <v>961484.49820000003</v>
      </c>
      <c r="C3330" s="1">
        <v>839007.12725802395</v>
      </c>
      <c r="D3330" s="1">
        <f t="shared" ref="D3330:D3393" si="52">B3330-C3330</f>
        <v>122477.37094197609</v>
      </c>
      <c r="E3330" s="1">
        <v>13</v>
      </c>
      <c r="F3330" s="1">
        <v>17</v>
      </c>
      <c r="G3330" s="1">
        <v>5</v>
      </c>
      <c r="H3330" s="1">
        <v>1</v>
      </c>
      <c r="I3330" s="1">
        <v>0</v>
      </c>
      <c r="J3330" s="1">
        <v>1</v>
      </c>
      <c r="K3330" s="1">
        <v>0</v>
      </c>
      <c r="L3330" s="1">
        <v>0</v>
      </c>
      <c r="M3330" s="1">
        <v>1</v>
      </c>
    </row>
    <row r="3331" spans="1:13">
      <c r="A3331" s="1">
        <v>3330</v>
      </c>
      <c r="B3331" s="1">
        <v>905631.7831</v>
      </c>
      <c r="C3331" s="1">
        <v>801757.22343526885</v>
      </c>
      <c r="D3331" s="1">
        <f t="shared" si="52"/>
        <v>103874.55966473115</v>
      </c>
      <c r="E3331" s="1">
        <v>14</v>
      </c>
      <c r="F3331" s="1">
        <v>16</v>
      </c>
      <c r="G3331" s="1">
        <v>5</v>
      </c>
      <c r="H3331" s="1">
        <v>1</v>
      </c>
      <c r="I3331" s="1">
        <v>0</v>
      </c>
      <c r="J3331" s="1">
        <v>0</v>
      </c>
      <c r="K3331" s="1">
        <v>0</v>
      </c>
      <c r="L3331" s="1">
        <v>0</v>
      </c>
      <c r="M3331" s="1">
        <v>0</v>
      </c>
    </row>
    <row r="3332" spans="1:13">
      <c r="A3332" s="1">
        <v>3331</v>
      </c>
      <c r="B3332" s="1">
        <v>1027841.1811</v>
      </c>
      <c r="C3332" s="1">
        <v>742053.66164756485</v>
      </c>
      <c r="D3332" s="1">
        <f t="shared" si="52"/>
        <v>285787.5194524352</v>
      </c>
      <c r="E3332" s="1">
        <v>13</v>
      </c>
      <c r="F3332" s="1">
        <v>16</v>
      </c>
      <c r="G3332" s="1">
        <v>6</v>
      </c>
      <c r="H3332" s="1">
        <v>1</v>
      </c>
      <c r="I3332" s="1">
        <v>1</v>
      </c>
      <c r="J3332" s="1">
        <v>0</v>
      </c>
      <c r="K3332" s="1">
        <v>0</v>
      </c>
      <c r="L3332" s="1">
        <v>0</v>
      </c>
      <c r="M3332" s="1">
        <v>0</v>
      </c>
    </row>
    <row r="3333" spans="1:13">
      <c r="A3333" s="1">
        <v>3332</v>
      </c>
      <c r="B3333" s="1">
        <v>904391.37360000005</v>
      </c>
      <c r="C3333" s="1">
        <v>1441340.8083786056</v>
      </c>
      <c r="D3333" s="1">
        <f t="shared" si="52"/>
        <v>-536949.43477860559</v>
      </c>
      <c r="E3333" s="1">
        <v>11</v>
      </c>
      <c r="F3333" s="1">
        <v>21</v>
      </c>
      <c r="G3333" s="1">
        <v>3</v>
      </c>
      <c r="H3333" s="1">
        <v>1</v>
      </c>
      <c r="I3333" s="1">
        <v>1</v>
      </c>
      <c r="J3333" s="1">
        <v>1</v>
      </c>
      <c r="K3333" s="1">
        <v>1</v>
      </c>
      <c r="L3333" s="1">
        <v>0</v>
      </c>
      <c r="M3333" s="1">
        <v>1</v>
      </c>
    </row>
    <row r="3334" spans="1:13">
      <c r="A3334" s="1">
        <v>3333</v>
      </c>
      <c r="B3334" s="1">
        <v>947925.11869999999</v>
      </c>
      <c r="C3334" s="1">
        <v>787253.15165516525</v>
      </c>
      <c r="D3334" s="1">
        <f t="shared" si="52"/>
        <v>160671.96704483475</v>
      </c>
      <c r="E3334" s="1">
        <v>19</v>
      </c>
      <c r="F3334" s="1">
        <v>12</v>
      </c>
      <c r="G3334" s="1">
        <v>4</v>
      </c>
      <c r="H3334" s="1">
        <v>0</v>
      </c>
      <c r="I3334" s="1">
        <v>0</v>
      </c>
      <c r="J3334" s="1">
        <v>1</v>
      </c>
      <c r="K3334" s="1">
        <v>0</v>
      </c>
      <c r="L3334" s="1">
        <v>0</v>
      </c>
      <c r="M3334" s="1">
        <v>0</v>
      </c>
    </row>
    <row r="3335" spans="1:13">
      <c r="A3335" s="1">
        <v>3334</v>
      </c>
      <c r="B3335" s="1">
        <v>968113.01809999999</v>
      </c>
      <c r="C3335" s="1">
        <v>992532.83039587422</v>
      </c>
      <c r="D3335" s="1">
        <f t="shared" si="52"/>
        <v>-24419.812295874231</v>
      </c>
      <c r="E3335" s="1">
        <v>14</v>
      </c>
      <c r="F3335" s="1">
        <v>16</v>
      </c>
      <c r="G3335" s="1">
        <v>5</v>
      </c>
      <c r="H3335" s="1">
        <v>0</v>
      </c>
      <c r="I3335" s="1">
        <v>0</v>
      </c>
      <c r="J3335" s="1">
        <v>1</v>
      </c>
      <c r="K3335" s="1">
        <v>0</v>
      </c>
      <c r="L3335" s="1">
        <v>0</v>
      </c>
      <c r="M3335" s="1">
        <v>0</v>
      </c>
    </row>
    <row r="3336" spans="1:13">
      <c r="A3336" s="1">
        <v>3335</v>
      </c>
      <c r="B3336" s="1">
        <v>953142.201</v>
      </c>
      <c r="C3336" s="1">
        <v>906200.13825292094</v>
      </c>
      <c r="D3336" s="1">
        <f t="shared" si="52"/>
        <v>46942.062747079064</v>
      </c>
      <c r="E3336" s="1">
        <v>11</v>
      </c>
      <c r="F3336" s="1">
        <v>17</v>
      </c>
      <c r="G3336" s="1">
        <v>7</v>
      </c>
      <c r="H3336" s="1">
        <v>2</v>
      </c>
      <c r="I3336" s="1">
        <v>0</v>
      </c>
      <c r="J3336" s="1">
        <v>2</v>
      </c>
      <c r="K3336" s="1">
        <v>0</v>
      </c>
      <c r="L3336" s="1">
        <v>0</v>
      </c>
      <c r="M3336" s="1">
        <v>1</v>
      </c>
    </row>
    <row r="3337" spans="1:13">
      <c r="A3337" s="1">
        <v>3336</v>
      </c>
      <c r="B3337" s="1">
        <v>1011868.2164</v>
      </c>
      <c r="C3337" s="1">
        <v>503784.68512844411</v>
      </c>
      <c r="D3337" s="1">
        <f t="shared" si="52"/>
        <v>508083.53127155593</v>
      </c>
      <c r="E3337" s="1">
        <v>12</v>
      </c>
      <c r="F3337" s="1">
        <v>19</v>
      </c>
      <c r="G3337" s="1">
        <v>4</v>
      </c>
      <c r="H3337" s="1">
        <v>2</v>
      </c>
      <c r="I3337" s="1">
        <v>0</v>
      </c>
      <c r="J3337" s="1">
        <v>1</v>
      </c>
      <c r="K3337" s="1">
        <v>1</v>
      </c>
      <c r="L3337" s="1">
        <v>0</v>
      </c>
      <c r="M3337" s="1">
        <v>0</v>
      </c>
    </row>
    <row r="3338" spans="1:13">
      <c r="A3338" s="1">
        <v>3337</v>
      </c>
      <c r="B3338" s="1">
        <v>924987.4</v>
      </c>
      <c r="C3338" s="1">
        <v>1284451.1366906846</v>
      </c>
      <c r="D3338" s="1">
        <f t="shared" si="52"/>
        <v>-359463.73669068457</v>
      </c>
      <c r="E3338" s="1">
        <v>16</v>
      </c>
      <c r="F3338" s="1">
        <v>8</v>
      </c>
      <c r="G3338" s="1">
        <v>11</v>
      </c>
      <c r="H3338" s="1">
        <v>0</v>
      </c>
      <c r="I3338" s="1">
        <v>0</v>
      </c>
      <c r="J3338" s="1">
        <v>0</v>
      </c>
      <c r="K3338" s="1">
        <v>0</v>
      </c>
      <c r="L3338" s="1">
        <v>0</v>
      </c>
      <c r="M3338" s="1">
        <v>0</v>
      </c>
    </row>
    <row r="3339" spans="1:13">
      <c r="A3339" s="1">
        <v>3338</v>
      </c>
      <c r="B3339" s="1">
        <v>933361.12950000004</v>
      </c>
      <c r="C3339" s="1">
        <v>930543.1300879909</v>
      </c>
      <c r="D3339" s="1">
        <f t="shared" si="52"/>
        <v>2817.9994120091433</v>
      </c>
      <c r="E3339" s="1">
        <v>8</v>
      </c>
      <c r="F3339" s="1">
        <v>21</v>
      </c>
      <c r="G3339" s="1">
        <v>6</v>
      </c>
      <c r="H3339" s="1">
        <v>1</v>
      </c>
      <c r="I3339" s="1">
        <v>0</v>
      </c>
      <c r="J3339" s="1">
        <v>2</v>
      </c>
      <c r="K3339" s="1">
        <v>0</v>
      </c>
      <c r="L3339" s="1">
        <v>0</v>
      </c>
      <c r="M3339" s="1">
        <v>1</v>
      </c>
    </row>
    <row r="3340" spans="1:13">
      <c r="A3340" s="1">
        <v>3339</v>
      </c>
      <c r="B3340" s="1">
        <v>888725.53859999997</v>
      </c>
      <c r="C3340" s="1">
        <v>879532.76008055802</v>
      </c>
      <c r="D3340" s="1">
        <f t="shared" si="52"/>
        <v>9192.7785194419557</v>
      </c>
      <c r="E3340" s="1">
        <v>15</v>
      </c>
      <c r="F3340" s="1">
        <v>17</v>
      </c>
      <c r="G3340" s="1">
        <v>3</v>
      </c>
      <c r="H3340" s="1">
        <v>0</v>
      </c>
      <c r="I3340" s="1">
        <v>1</v>
      </c>
      <c r="J3340" s="1">
        <v>1</v>
      </c>
      <c r="K3340" s="1">
        <v>1</v>
      </c>
      <c r="L3340" s="1">
        <v>0</v>
      </c>
      <c r="M3340" s="1">
        <v>0</v>
      </c>
    </row>
    <row r="3341" spans="1:13">
      <c r="A3341" s="1">
        <v>3340</v>
      </c>
      <c r="B3341" s="1">
        <v>830481.72629999998</v>
      </c>
      <c r="C3341" s="1">
        <v>784745.93966266245</v>
      </c>
      <c r="D3341" s="1">
        <f t="shared" si="52"/>
        <v>45735.786637337529</v>
      </c>
      <c r="E3341" s="1">
        <v>11</v>
      </c>
      <c r="F3341" s="1">
        <v>18</v>
      </c>
      <c r="G3341" s="1">
        <v>6</v>
      </c>
      <c r="H3341" s="1">
        <v>1</v>
      </c>
      <c r="I3341" s="1">
        <v>0</v>
      </c>
      <c r="J3341" s="1">
        <v>0</v>
      </c>
      <c r="K3341" s="1">
        <v>0</v>
      </c>
      <c r="L3341" s="1">
        <v>0</v>
      </c>
      <c r="M3341" s="1">
        <v>1</v>
      </c>
    </row>
    <row r="3342" spans="1:13">
      <c r="A3342" s="1">
        <v>3341</v>
      </c>
      <c r="B3342" s="1">
        <v>975723.17610000004</v>
      </c>
      <c r="C3342" s="1">
        <v>911335.31473345379</v>
      </c>
      <c r="D3342" s="1">
        <f t="shared" si="52"/>
        <v>64387.861366546247</v>
      </c>
      <c r="E3342" s="1">
        <v>9</v>
      </c>
      <c r="F3342" s="1">
        <v>20</v>
      </c>
      <c r="G3342" s="1">
        <v>6</v>
      </c>
      <c r="H3342" s="1">
        <v>1</v>
      </c>
      <c r="I3342" s="1">
        <v>0</v>
      </c>
      <c r="J3342" s="1">
        <v>0</v>
      </c>
      <c r="K3342" s="1">
        <v>1</v>
      </c>
      <c r="L3342" s="1">
        <v>0</v>
      </c>
      <c r="M3342" s="1">
        <v>0</v>
      </c>
    </row>
    <row r="3343" spans="1:13">
      <c r="A3343" s="1">
        <v>3342</v>
      </c>
      <c r="B3343" s="1">
        <v>846903.87600000005</v>
      </c>
      <c r="C3343" s="1">
        <v>1011578.2703417197</v>
      </c>
      <c r="D3343" s="1">
        <f t="shared" si="52"/>
        <v>-164674.39434171969</v>
      </c>
      <c r="E3343" s="1">
        <v>23</v>
      </c>
      <c r="F3343" s="1">
        <v>6</v>
      </c>
      <c r="G3343" s="1">
        <v>6</v>
      </c>
      <c r="H3343" s="1">
        <v>0</v>
      </c>
      <c r="I3343" s="1">
        <v>0</v>
      </c>
      <c r="J3343" s="1">
        <v>0</v>
      </c>
      <c r="K3343" s="1">
        <v>0</v>
      </c>
      <c r="L3343" s="1">
        <v>1</v>
      </c>
      <c r="M3343" s="1">
        <v>0</v>
      </c>
    </row>
    <row r="3344" spans="1:13">
      <c r="A3344" s="1">
        <v>3343</v>
      </c>
      <c r="B3344" s="1">
        <v>951368.45449999999</v>
      </c>
      <c r="C3344" s="1">
        <v>789734.72840652894</v>
      </c>
      <c r="D3344" s="1">
        <f t="shared" si="52"/>
        <v>161633.72609347105</v>
      </c>
      <c r="E3344" s="1">
        <v>13</v>
      </c>
      <c r="F3344" s="1">
        <v>15</v>
      </c>
      <c r="G3344" s="1">
        <v>7</v>
      </c>
      <c r="H3344" s="1">
        <v>1</v>
      </c>
      <c r="I3344" s="1">
        <v>0</v>
      </c>
      <c r="J3344" s="1">
        <v>0</v>
      </c>
      <c r="K3344" s="1">
        <v>0</v>
      </c>
      <c r="L3344" s="1">
        <v>0</v>
      </c>
      <c r="M3344" s="1">
        <v>0</v>
      </c>
    </row>
    <row r="3345" spans="1:13">
      <c r="A3345" s="1">
        <v>3344</v>
      </c>
      <c r="B3345" s="1">
        <v>1115553.4757999999</v>
      </c>
      <c r="C3345" s="1">
        <v>812262.8016308879</v>
      </c>
      <c r="D3345" s="1">
        <f t="shared" si="52"/>
        <v>303290.674169112</v>
      </c>
      <c r="E3345" s="1">
        <v>11</v>
      </c>
      <c r="F3345" s="1">
        <v>15</v>
      </c>
      <c r="G3345" s="1">
        <v>9</v>
      </c>
      <c r="H3345" s="1">
        <v>0</v>
      </c>
      <c r="I3345" s="1">
        <v>0</v>
      </c>
      <c r="J3345" s="1">
        <v>1</v>
      </c>
      <c r="K3345" s="1">
        <v>0</v>
      </c>
      <c r="L3345" s="1">
        <v>0</v>
      </c>
      <c r="M3345" s="1">
        <v>0</v>
      </c>
    </row>
    <row r="3346" spans="1:13">
      <c r="A3346" s="1">
        <v>3345</v>
      </c>
      <c r="B3346" s="1">
        <v>909343.20039999997</v>
      </c>
      <c r="C3346" s="1">
        <v>975329.87361886899</v>
      </c>
      <c r="D3346" s="1">
        <f t="shared" si="52"/>
        <v>-65986.673218869022</v>
      </c>
      <c r="E3346" s="1">
        <v>11</v>
      </c>
      <c r="F3346" s="1">
        <v>20</v>
      </c>
      <c r="G3346" s="1">
        <v>4</v>
      </c>
      <c r="H3346" s="1">
        <v>0</v>
      </c>
      <c r="I3346" s="1">
        <v>0</v>
      </c>
      <c r="J3346" s="1">
        <v>0</v>
      </c>
      <c r="K3346" s="1">
        <v>1</v>
      </c>
      <c r="L3346" s="1">
        <v>0</v>
      </c>
      <c r="M3346" s="1">
        <v>1</v>
      </c>
    </row>
    <row r="3347" spans="1:13">
      <c r="A3347" s="1">
        <v>3346</v>
      </c>
      <c r="B3347" s="1">
        <v>985096.71829999995</v>
      </c>
      <c r="C3347" s="1">
        <v>999136.23782419716</v>
      </c>
      <c r="D3347" s="1">
        <f t="shared" si="52"/>
        <v>-14039.519524197211</v>
      </c>
      <c r="E3347" s="1">
        <v>9</v>
      </c>
      <c r="F3347" s="1">
        <v>20</v>
      </c>
      <c r="G3347" s="1">
        <v>6</v>
      </c>
      <c r="H3347" s="1">
        <v>0</v>
      </c>
      <c r="I3347" s="1">
        <v>0</v>
      </c>
      <c r="J3347" s="1">
        <v>1</v>
      </c>
      <c r="K3347" s="1">
        <v>0</v>
      </c>
      <c r="L3347" s="1">
        <v>0</v>
      </c>
      <c r="M3347" s="1">
        <v>0</v>
      </c>
    </row>
    <row r="3348" spans="1:13">
      <c r="A3348" s="1">
        <v>3347</v>
      </c>
      <c r="B3348" s="1">
        <v>910004.00580000004</v>
      </c>
      <c r="C3348" s="1">
        <v>1116974.7807656862</v>
      </c>
      <c r="D3348" s="1">
        <f t="shared" si="52"/>
        <v>-206970.77496568614</v>
      </c>
      <c r="E3348" s="1">
        <v>14</v>
      </c>
      <c r="F3348" s="1">
        <v>17</v>
      </c>
      <c r="G3348" s="1">
        <v>4</v>
      </c>
      <c r="H3348" s="1">
        <v>0</v>
      </c>
      <c r="I3348" s="1">
        <v>0</v>
      </c>
      <c r="J3348" s="1">
        <v>0</v>
      </c>
      <c r="K3348" s="1">
        <v>0</v>
      </c>
      <c r="L3348" s="1">
        <v>0</v>
      </c>
      <c r="M3348" s="1">
        <v>0</v>
      </c>
    </row>
    <row r="3349" spans="1:13">
      <c r="A3349" s="1">
        <v>3348</v>
      </c>
      <c r="B3349" s="1">
        <v>892113.59349999996</v>
      </c>
      <c r="C3349" s="1">
        <v>775177.83772032545</v>
      </c>
      <c r="D3349" s="1">
        <f t="shared" si="52"/>
        <v>116935.75577967451</v>
      </c>
      <c r="E3349" s="1">
        <v>14</v>
      </c>
      <c r="F3349" s="1">
        <v>13</v>
      </c>
      <c r="G3349" s="1">
        <v>8</v>
      </c>
      <c r="H3349" s="1">
        <v>1</v>
      </c>
      <c r="I3349" s="1">
        <v>1</v>
      </c>
      <c r="J3349" s="1">
        <v>0</v>
      </c>
      <c r="K3349" s="1">
        <v>0</v>
      </c>
      <c r="L3349" s="1">
        <v>0</v>
      </c>
      <c r="M3349" s="1">
        <v>0</v>
      </c>
    </row>
    <row r="3350" spans="1:13">
      <c r="A3350" s="1">
        <v>3349</v>
      </c>
      <c r="B3350" s="1">
        <v>973836.26870000002</v>
      </c>
      <c r="C3350" s="1">
        <v>1307208.8016667455</v>
      </c>
      <c r="D3350" s="1">
        <f t="shared" si="52"/>
        <v>-333372.53296674544</v>
      </c>
      <c r="E3350" s="1">
        <v>14</v>
      </c>
      <c r="F3350" s="1">
        <v>19</v>
      </c>
      <c r="G3350" s="1">
        <v>2</v>
      </c>
      <c r="H3350" s="1">
        <v>1</v>
      </c>
      <c r="I3350" s="1">
        <v>0</v>
      </c>
      <c r="J3350" s="1">
        <v>1</v>
      </c>
      <c r="K3350" s="1">
        <v>1</v>
      </c>
      <c r="L3350" s="1">
        <v>0</v>
      </c>
      <c r="M3350" s="1">
        <v>0</v>
      </c>
    </row>
    <row r="3351" spans="1:13">
      <c r="A3351" s="1">
        <v>3350</v>
      </c>
      <c r="B3351" s="1">
        <v>1153219.5993999999</v>
      </c>
      <c r="C3351" s="1">
        <v>2328749.5451552859</v>
      </c>
      <c r="D3351" s="1">
        <f t="shared" si="52"/>
        <v>-1175529.9457552859</v>
      </c>
      <c r="E3351" s="1">
        <v>4</v>
      </c>
      <c r="F3351" s="1">
        <v>23</v>
      </c>
      <c r="G3351" s="1">
        <v>8</v>
      </c>
      <c r="H3351" s="1">
        <v>1</v>
      </c>
      <c r="I3351" s="1">
        <v>0</v>
      </c>
      <c r="J3351" s="1">
        <v>0</v>
      </c>
      <c r="K3351" s="1">
        <v>1</v>
      </c>
      <c r="L3351" s="1">
        <v>0</v>
      </c>
      <c r="M3351" s="1">
        <v>1</v>
      </c>
    </row>
    <row r="3352" spans="1:13">
      <c r="A3352" s="1">
        <v>3351</v>
      </c>
      <c r="B3352" s="1">
        <v>899795.61239999998</v>
      </c>
      <c r="C3352" s="1">
        <v>745702.60006911273</v>
      </c>
      <c r="D3352" s="1">
        <f t="shared" si="52"/>
        <v>154093.01233088726</v>
      </c>
      <c r="E3352" s="1">
        <v>15</v>
      </c>
      <c r="F3352" s="1">
        <v>15</v>
      </c>
      <c r="G3352" s="1">
        <v>5</v>
      </c>
      <c r="H3352" s="1">
        <v>1</v>
      </c>
      <c r="I3352" s="1">
        <v>0</v>
      </c>
      <c r="J3352" s="1">
        <v>1</v>
      </c>
      <c r="K3352" s="1">
        <v>0</v>
      </c>
      <c r="L3352" s="1">
        <v>0</v>
      </c>
      <c r="M3352" s="1">
        <v>0</v>
      </c>
    </row>
    <row r="3353" spans="1:13">
      <c r="A3353" s="1">
        <v>3352</v>
      </c>
      <c r="B3353" s="1">
        <v>959688.43770000001</v>
      </c>
      <c r="C3353" s="1">
        <v>510029.16449589143</v>
      </c>
      <c r="D3353" s="1">
        <f t="shared" si="52"/>
        <v>449659.27320410858</v>
      </c>
      <c r="E3353" s="1">
        <v>13</v>
      </c>
      <c r="F3353" s="1">
        <v>15</v>
      </c>
      <c r="G3353" s="1">
        <v>7</v>
      </c>
      <c r="H3353" s="1">
        <v>1</v>
      </c>
      <c r="I3353" s="1">
        <v>1</v>
      </c>
      <c r="J3353" s="1">
        <v>0</v>
      </c>
      <c r="K3353" s="1">
        <v>0</v>
      </c>
      <c r="L3353" s="1">
        <v>0</v>
      </c>
      <c r="M3353" s="1">
        <v>1</v>
      </c>
    </row>
    <row r="3354" spans="1:13">
      <c r="A3354" s="1">
        <v>3353</v>
      </c>
      <c r="B3354" s="1">
        <v>893241.6557</v>
      </c>
      <c r="C3354" s="1">
        <v>492798.28978973732</v>
      </c>
      <c r="D3354" s="1">
        <f t="shared" si="52"/>
        <v>400443.36591026268</v>
      </c>
      <c r="E3354" s="1">
        <v>23</v>
      </c>
      <c r="F3354" s="1">
        <v>9</v>
      </c>
      <c r="G3354" s="1">
        <v>3</v>
      </c>
      <c r="H3354" s="1">
        <v>2</v>
      </c>
      <c r="I3354" s="1">
        <v>0</v>
      </c>
      <c r="J3354" s="1">
        <v>1</v>
      </c>
      <c r="K3354" s="1">
        <v>1</v>
      </c>
      <c r="L3354" s="1">
        <v>0</v>
      </c>
      <c r="M3354" s="1">
        <v>0</v>
      </c>
    </row>
    <row r="3355" spans="1:13">
      <c r="A3355" s="1">
        <v>3354</v>
      </c>
      <c r="B3355" s="1">
        <v>825736.3284</v>
      </c>
      <c r="C3355" s="1">
        <v>1183090.0425482444</v>
      </c>
      <c r="D3355" s="1">
        <f t="shared" si="52"/>
        <v>-357353.71414824435</v>
      </c>
      <c r="E3355" s="1">
        <v>20</v>
      </c>
      <c r="F3355" s="1">
        <v>7</v>
      </c>
      <c r="G3355" s="1">
        <v>8</v>
      </c>
      <c r="H3355" s="1">
        <v>2</v>
      </c>
      <c r="I3355" s="1">
        <v>0</v>
      </c>
      <c r="J3355" s="1">
        <v>0</v>
      </c>
      <c r="K3355" s="1">
        <v>1</v>
      </c>
      <c r="L3355" s="1">
        <v>0</v>
      </c>
      <c r="M3355" s="1">
        <v>0</v>
      </c>
    </row>
    <row r="3356" spans="1:13">
      <c r="A3356" s="1">
        <v>3355</v>
      </c>
      <c r="B3356" s="1">
        <v>973020.90040000004</v>
      </c>
      <c r="C3356" s="1">
        <v>803495.41561256023</v>
      </c>
      <c r="D3356" s="1">
        <f t="shared" si="52"/>
        <v>169525.48478743981</v>
      </c>
      <c r="E3356" s="1">
        <v>6</v>
      </c>
      <c r="F3356" s="1">
        <v>26</v>
      </c>
      <c r="G3356" s="1">
        <v>3</v>
      </c>
      <c r="H3356" s="1">
        <v>0</v>
      </c>
      <c r="I3356" s="1">
        <v>0</v>
      </c>
      <c r="J3356" s="1">
        <v>1</v>
      </c>
      <c r="K3356" s="1">
        <v>1</v>
      </c>
      <c r="L3356" s="1">
        <v>0</v>
      </c>
      <c r="M3356" s="1">
        <v>0</v>
      </c>
    </row>
    <row r="3357" spans="1:13">
      <c r="A3357" s="1">
        <v>3356</v>
      </c>
      <c r="B3357" s="1">
        <v>894274.49439999997</v>
      </c>
      <c r="C3357" s="1">
        <v>452556.72276511264</v>
      </c>
      <c r="D3357" s="1">
        <f t="shared" si="52"/>
        <v>441717.77163488732</v>
      </c>
      <c r="E3357" s="1">
        <v>9</v>
      </c>
      <c r="F3357" s="1">
        <v>20</v>
      </c>
      <c r="G3357" s="1">
        <v>6</v>
      </c>
      <c r="H3357" s="1">
        <v>1</v>
      </c>
      <c r="I3357" s="1">
        <v>0</v>
      </c>
      <c r="J3357" s="1">
        <v>0</v>
      </c>
      <c r="K3357" s="1">
        <v>0</v>
      </c>
      <c r="L3357" s="1">
        <v>0</v>
      </c>
      <c r="M3357" s="1">
        <v>0</v>
      </c>
    </row>
    <row r="3358" spans="1:13">
      <c r="A3358" s="1">
        <v>3357</v>
      </c>
      <c r="B3358" s="1">
        <v>881567.56900000002</v>
      </c>
      <c r="C3358" s="1">
        <v>936176.77383911551</v>
      </c>
      <c r="D3358" s="1">
        <f t="shared" si="52"/>
        <v>-54609.204839115497</v>
      </c>
      <c r="E3358" s="1">
        <v>10</v>
      </c>
      <c r="F3358" s="1">
        <v>19</v>
      </c>
      <c r="G3358" s="1">
        <v>6</v>
      </c>
      <c r="H3358" s="1">
        <v>2</v>
      </c>
      <c r="I3358" s="1">
        <v>0</v>
      </c>
      <c r="J3358" s="1">
        <v>0</v>
      </c>
      <c r="K3358" s="1">
        <v>0</v>
      </c>
      <c r="L3358" s="1">
        <v>0</v>
      </c>
      <c r="M3358" s="1">
        <v>0</v>
      </c>
    </row>
    <row r="3359" spans="1:13">
      <c r="A3359" s="1">
        <v>3358</v>
      </c>
      <c r="B3359" s="1">
        <v>994049.48179999995</v>
      </c>
      <c r="C3359" s="1">
        <v>761786.70766760735</v>
      </c>
      <c r="D3359" s="1">
        <f t="shared" si="52"/>
        <v>232262.7741323926</v>
      </c>
      <c r="E3359" s="1">
        <v>9</v>
      </c>
      <c r="F3359" s="1">
        <v>16</v>
      </c>
      <c r="G3359" s="1">
        <v>10</v>
      </c>
      <c r="H3359" s="1">
        <v>1</v>
      </c>
      <c r="I3359" s="1">
        <v>0</v>
      </c>
      <c r="J3359" s="1">
        <v>0</v>
      </c>
      <c r="K3359" s="1">
        <v>0</v>
      </c>
      <c r="L3359" s="1">
        <v>0</v>
      </c>
      <c r="M3359" s="1">
        <v>1</v>
      </c>
    </row>
    <row r="3360" spans="1:13">
      <c r="A3360" s="1">
        <v>3359</v>
      </c>
      <c r="B3360" s="1">
        <v>942695.85080000001</v>
      </c>
      <c r="C3360" s="1">
        <v>665132.4888590849</v>
      </c>
      <c r="D3360" s="1">
        <f t="shared" si="52"/>
        <v>277563.36194091511</v>
      </c>
      <c r="E3360" s="1">
        <v>10</v>
      </c>
      <c r="F3360" s="1">
        <v>18</v>
      </c>
      <c r="G3360" s="1">
        <v>7</v>
      </c>
      <c r="H3360" s="1">
        <v>2</v>
      </c>
      <c r="I3360" s="1">
        <v>0</v>
      </c>
      <c r="J3360" s="1">
        <v>0</v>
      </c>
      <c r="K3360" s="1">
        <v>1</v>
      </c>
      <c r="L3360" s="1">
        <v>0</v>
      </c>
      <c r="M3360" s="1">
        <v>1</v>
      </c>
    </row>
    <row r="3361" spans="1:13">
      <c r="A3361" s="1">
        <v>3360</v>
      </c>
      <c r="B3361" s="1">
        <v>824078.44059999997</v>
      </c>
      <c r="C3361" s="1">
        <v>1580329.2405634713</v>
      </c>
      <c r="D3361" s="1">
        <f t="shared" si="52"/>
        <v>-756250.79996347136</v>
      </c>
      <c r="E3361" s="1">
        <v>20</v>
      </c>
      <c r="F3361" s="1">
        <v>11</v>
      </c>
      <c r="G3361" s="1">
        <v>4</v>
      </c>
      <c r="H3361" s="1">
        <v>1</v>
      </c>
      <c r="I3361" s="1">
        <v>0</v>
      </c>
      <c r="J3361" s="1">
        <v>0</v>
      </c>
      <c r="K3361" s="1">
        <v>1</v>
      </c>
      <c r="L3361" s="1">
        <v>0</v>
      </c>
      <c r="M3361" s="1">
        <v>0</v>
      </c>
    </row>
    <row r="3362" spans="1:13">
      <c r="A3362" s="1">
        <v>3361</v>
      </c>
      <c r="B3362" s="1">
        <v>935244.33279999997</v>
      </c>
      <c r="C3362" s="1">
        <v>825709.82309811725</v>
      </c>
      <c r="D3362" s="1">
        <f t="shared" si="52"/>
        <v>109534.50970188272</v>
      </c>
      <c r="E3362" s="1">
        <v>15</v>
      </c>
      <c r="F3362" s="1">
        <v>15</v>
      </c>
      <c r="G3362" s="1">
        <v>5</v>
      </c>
      <c r="H3362" s="1">
        <v>0</v>
      </c>
      <c r="I3362" s="1">
        <v>0</v>
      </c>
      <c r="J3362" s="1">
        <v>0</v>
      </c>
      <c r="K3362" s="1">
        <v>1</v>
      </c>
      <c r="L3362" s="1">
        <v>0</v>
      </c>
      <c r="M3362" s="1">
        <v>1</v>
      </c>
    </row>
    <row r="3363" spans="1:13">
      <c r="A3363" s="1">
        <v>3362</v>
      </c>
      <c r="B3363" s="1">
        <v>983319.26690000005</v>
      </c>
      <c r="C3363" s="1">
        <v>1289548.9960152595</v>
      </c>
      <c r="D3363" s="1">
        <f t="shared" si="52"/>
        <v>-306229.72911525948</v>
      </c>
      <c r="E3363" s="1">
        <v>14</v>
      </c>
      <c r="F3363" s="1">
        <v>17</v>
      </c>
      <c r="G3363" s="1">
        <v>4</v>
      </c>
      <c r="H3363" s="1">
        <v>0</v>
      </c>
      <c r="I3363" s="1">
        <v>1</v>
      </c>
      <c r="J3363" s="1">
        <v>1</v>
      </c>
      <c r="K3363" s="1">
        <v>1</v>
      </c>
      <c r="L3363" s="1">
        <v>0</v>
      </c>
      <c r="M3363" s="1">
        <v>1</v>
      </c>
    </row>
    <row r="3364" spans="1:13">
      <c r="A3364" s="1">
        <v>3363</v>
      </c>
      <c r="B3364" s="1">
        <v>917088.36239999998</v>
      </c>
      <c r="C3364" s="1">
        <v>851411.60877335363</v>
      </c>
      <c r="D3364" s="1">
        <f t="shared" si="52"/>
        <v>65676.753626646358</v>
      </c>
      <c r="E3364" s="1">
        <v>6</v>
      </c>
      <c r="F3364" s="1">
        <v>27</v>
      </c>
      <c r="G3364" s="1">
        <v>2</v>
      </c>
      <c r="H3364" s="1">
        <v>2</v>
      </c>
      <c r="I3364" s="1">
        <v>0</v>
      </c>
      <c r="J3364" s="1">
        <v>1</v>
      </c>
      <c r="K3364" s="1">
        <v>1</v>
      </c>
      <c r="L3364" s="1">
        <v>0</v>
      </c>
      <c r="M3364" s="1">
        <v>1</v>
      </c>
    </row>
    <row r="3365" spans="1:13">
      <c r="A3365" s="1">
        <v>3364</v>
      </c>
      <c r="B3365" s="1">
        <v>897302.25450000004</v>
      </c>
      <c r="C3365" s="1">
        <v>1796104.8187838979</v>
      </c>
      <c r="D3365" s="1">
        <f t="shared" si="52"/>
        <v>-898802.56428389787</v>
      </c>
      <c r="E3365" s="1">
        <v>20</v>
      </c>
      <c r="F3365" s="1">
        <v>12</v>
      </c>
      <c r="G3365" s="1">
        <v>3</v>
      </c>
      <c r="H3365" s="1">
        <v>0</v>
      </c>
      <c r="I3365" s="1">
        <v>0</v>
      </c>
      <c r="J3365" s="1">
        <v>1</v>
      </c>
      <c r="K3365" s="1">
        <v>1</v>
      </c>
      <c r="L3365" s="1">
        <v>0</v>
      </c>
      <c r="M3365" s="1">
        <v>0</v>
      </c>
    </row>
    <row r="3366" spans="1:13">
      <c r="A3366" s="1">
        <v>3365</v>
      </c>
      <c r="B3366" s="1">
        <v>801368.78659999999</v>
      </c>
      <c r="C3366" s="1">
        <v>901934.95621477731</v>
      </c>
      <c r="D3366" s="1">
        <f t="shared" si="52"/>
        <v>-100566.16961477732</v>
      </c>
      <c r="E3366" s="1">
        <v>15</v>
      </c>
      <c r="F3366" s="1">
        <v>15</v>
      </c>
      <c r="G3366" s="1">
        <v>5</v>
      </c>
      <c r="H3366" s="1">
        <v>1</v>
      </c>
      <c r="I3366" s="1">
        <v>0</v>
      </c>
      <c r="J3366" s="1">
        <v>0</v>
      </c>
      <c r="K3366" s="1">
        <v>1</v>
      </c>
      <c r="L3366" s="1">
        <v>0</v>
      </c>
      <c r="M3366" s="1">
        <v>1</v>
      </c>
    </row>
    <row r="3367" spans="1:13">
      <c r="A3367" s="1">
        <v>3366</v>
      </c>
      <c r="B3367" s="1">
        <v>873107.82499999995</v>
      </c>
      <c r="C3367" s="1">
        <v>489060.97624315333</v>
      </c>
      <c r="D3367" s="1">
        <f t="shared" si="52"/>
        <v>384046.84875684662</v>
      </c>
      <c r="E3367" s="1">
        <v>13</v>
      </c>
      <c r="F3367" s="1">
        <v>18</v>
      </c>
      <c r="G3367" s="1">
        <v>4</v>
      </c>
      <c r="H3367" s="1">
        <v>2</v>
      </c>
      <c r="I3367" s="1">
        <v>0</v>
      </c>
      <c r="J3367" s="1">
        <v>1</v>
      </c>
      <c r="K3367" s="1">
        <v>0</v>
      </c>
      <c r="L3367" s="1">
        <v>0</v>
      </c>
      <c r="M3367" s="1">
        <v>1</v>
      </c>
    </row>
    <row r="3368" spans="1:13">
      <c r="A3368" s="1">
        <v>3367</v>
      </c>
      <c r="B3368" s="1">
        <v>961495.39489999996</v>
      </c>
      <c r="C3368" s="1">
        <v>974015.11862531281</v>
      </c>
      <c r="D3368" s="1">
        <f t="shared" si="52"/>
        <v>-12519.723725312855</v>
      </c>
      <c r="E3368" s="1">
        <v>11</v>
      </c>
      <c r="F3368" s="1">
        <v>19</v>
      </c>
      <c r="G3368" s="1">
        <v>5</v>
      </c>
      <c r="H3368" s="1">
        <v>0</v>
      </c>
      <c r="I3368" s="1">
        <v>0</v>
      </c>
      <c r="J3368" s="1">
        <v>0</v>
      </c>
      <c r="K3368" s="1">
        <v>1</v>
      </c>
      <c r="L3368" s="1">
        <v>0</v>
      </c>
      <c r="M3368" s="1">
        <v>0</v>
      </c>
    </row>
    <row r="3369" spans="1:13">
      <c r="A3369" s="1">
        <v>3368</v>
      </c>
      <c r="B3369" s="1">
        <v>812125.06050000002</v>
      </c>
      <c r="C3369" s="1">
        <v>927607.49142395065</v>
      </c>
      <c r="D3369" s="1">
        <f t="shared" si="52"/>
        <v>-115482.43092395063</v>
      </c>
      <c r="E3369" s="1">
        <v>17</v>
      </c>
      <c r="F3369" s="1">
        <v>13</v>
      </c>
      <c r="G3369" s="1">
        <v>5</v>
      </c>
      <c r="H3369" s="1">
        <v>1</v>
      </c>
      <c r="I3369" s="1">
        <v>0</v>
      </c>
      <c r="J3369" s="1">
        <v>0</v>
      </c>
      <c r="K3369" s="1">
        <v>0</v>
      </c>
      <c r="L3369" s="1">
        <v>0</v>
      </c>
      <c r="M3369" s="1">
        <v>0</v>
      </c>
    </row>
    <row r="3370" spans="1:13">
      <c r="A3370" s="1">
        <v>3369</v>
      </c>
      <c r="B3370" s="1">
        <v>842370.51419999998</v>
      </c>
      <c r="C3370" s="1">
        <v>1277504.8314414523</v>
      </c>
      <c r="D3370" s="1">
        <f t="shared" si="52"/>
        <v>-435134.31724145229</v>
      </c>
      <c r="E3370" s="1">
        <v>17</v>
      </c>
      <c r="F3370" s="1">
        <v>14</v>
      </c>
      <c r="G3370" s="1">
        <v>4</v>
      </c>
      <c r="H3370" s="1">
        <v>1</v>
      </c>
      <c r="I3370" s="1">
        <v>1</v>
      </c>
      <c r="J3370" s="1">
        <v>0</v>
      </c>
      <c r="K3370" s="1">
        <v>1</v>
      </c>
      <c r="L3370" s="1">
        <v>0</v>
      </c>
      <c r="M3370" s="1">
        <v>0</v>
      </c>
    </row>
    <row r="3371" spans="1:13">
      <c r="A3371" s="1">
        <v>3370</v>
      </c>
      <c r="B3371" s="1">
        <v>996472.37569999998</v>
      </c>
      <c r="C3371" s="1">
        <v>769853.2757221238</v>
      </c>
      <c r="D3371" s="1">
        <f t="shared" si="52"/>
        <v>226619.09997787618</v>
      </c>
      <c r="E3371" s="1">
        <v>9</v>
      </c>
      <c r="F3371" s="1">
        <v>22</v>
      </c>
      <c r="G3371" s="1">
        <v>4</v>
      </c>
      <c r="H3371" s="1">
        <v>1</v>
      </c>
      <c r="I3371" s="1">
        <v>0</v>
      </c>
      <c r="J3371" s="1">
        <v>0</v>
      </c>
      <c r="K3371" s="1">
        <v>0</v>
      </c>
      <c r="L3371" s="1">
        <v>0</v>
      </c>
      <c r="M3371" s="1">
        <v>0</v>
      </c>
    </row>
    <row r="3372" spans="1:13">
      <c r="A3372" s="1">
        <v>3371</v>
      </c>
      <c r="B3372" s="1">
        <v>979775.28099999996</v>
      </c>
      <c r="C3372" s="1">
        <v>839076.10914088693</v>
      </c>
      <c r="D3372" s="1">
        <f t="shared" si="52"/>
        <v>140699.17185911303</v>
      </c>
      <c r="E3372" s="1">
        <v>17</v>
      </c>
      <c r="F3372" s="1">
        <v>13</v>
      </c>
      <c r="G3372" s="1">
        <v>5</v>
      </c>
      <c r="H3372" s="1">
        <v>1</v>
      </c>
      <c r="I3372" s="1">
        <v>0</v>
      </c>
      <c r="J3372" s="1">
        <v>1</v>
      </c>
      <c r="K3372" s="1">
        <v>1</v>
      </c>
      <c r="L3372" s="1">
        <v>0</v>
      </c>
      <c r="M3372" s="1">
        <v>0</v>
      </c>
    </row>
    <row r="3373" spans="1:13">
      <c r="A3373" s="1">
        <v>3372</v>
      </c>
      <c r="B3373" s="1">
        <v>931010.85719999997</v>
      </c>
      <c r="C3373" s="1">
        <v>935557.23888810596</v>
      </c>
      <c r="D3373" s="1">
        <f t="shared" si="52"/>
        <v>-4546.3816881059902</v>
      </c>
      <c r="E3373" s="1">
        <v>12</v>
      </c>
      <c r="F3373" s="1">
        <v>17</v>
      </c>
      <c r="G3373" s="1">
        <v>6</v>
      </c>
      <c r="H3373" s="1">
        <v>0</v>
      </c>
      <c r="I3373" s="1">
        <v>0</v>
      </c>
      <c r="J3373" s="1">
        <v>2</v>
      </c>
      <c r="K3373" s="1">
        <v>0</v>
      </c>
      <c r="L3373" s="1">
        <v>0</v>
      </c>
      <c r="M3373" s="1">
        <v>0</v>
      </c>
    </row>
    <row r="3374" spans="1:13">
      <c r="A3374" s="1">
        <v>3373</v>
      </c>
      <c r="B3374" s="1">
        <v>1030556.0551999999</v>
      </c>
      <c r="C3374" s="1">
        <v>1508018.3103926862</v>
      </c>
      <c r="D3374" s="1">
        <f t="shared" si="52"/>
        <v>-477462.25519268622</v>
      </c>
      <c r="E3374" s="1">
        <v>10</v>
      </c>
      <c r="F3374" s="1">
        <v>19</v>
      </c>
      <c r="G3374" s="1">
        <v>6</v>
      </c>
      <c r="H3374" s="1">
        <v>1</v>
      </c>
      <c r="I3374" s="1">
        <v>0</v>
      </c>
      <c r="J3374" s="1">
        <v>0</v>
      </c>
      <c r="K3374" s="1">
        <v>0</v>
      </c>
      <c r="L3374" s="1">
        <v>0</v>
      </c>
      <c r="M3374" s="1">
        <v>0</v>
      </c>
    </row>
    <row r="3375" spans="1:13">
      <c r="A3375" s="1">
        <v>3374</v>
      </c>
      <c r="B3375" s="1">
        <v>916537.39469999995</v>
      </c>
      <c r="C3375" s="1">
        <v>852768.37255366181</v>
      </c>
      <c r="D3375" s="1">
        <f t="shared" si="52"/>
        <v>63769.022146338131</v>
      </c>
      <c r="E3375" s="1">
        <v>18</v>
      </c>
      <c r="F3375" s="1">
        <v>13</v>
      </c>
      <c r="G3375" s="1">
        <v>4</v>
      </c>
      <c r="H3375" s="1">
        <v>0</v>
      </c>
      <c r="I3375" s="1">
        <v>1</v>
      </c>
      <c r="J3375" s="1">
        <v>0</v>
      </c>
      <c r="K3375" s="1">
        <v>1</v>
      </c>
      <c r="L3375" s="1">
        <v>0</v>
      </c>
      <c r="M3375" s="1">
        <v>0</v>
      </c>
    </row>
    <row r="3376" spans="1:13">
      <c r="A3376" s="1">
        <v>3375</v>
      </c>
      <c r="B3376" s="1">
        <v>960238.83770000003</v>
      </c>
      <c r="C3376" s="1">
        <v>759224.64636881358</v>
      </c>
      <c r="D3376" s="1">
        <f t="shared" si="52"/>
        <v>201014.19133118645</v>
      </c>
      <c r="E3376" s="1">
        <v>10</v>
      </c>
      <c r="F3376" s="1">
        <v>24</v>
      </c>
      <c r="G3376" s="1">
        <v>1</v>
      </c>
      <c r="H3376" s="1">
        <v>2</v>
      </c>
      <c r="I3376" s="1">
        <v>0</v>
      </c>
      <c r="J3376" s="1">
        <v>2</v>
      </c>
      <c r="K3376" s="1">
        <v>0</v>
      </c>
      <c r="L3376" s="1">
        <v>0</v>
      </c>
      <c r="M3376" s="1">
        <v>0</v>
      </c>
    </row>
    <row r="3377" spans="1:13">
      <c r="A3377" s="1">
        <v>3376</v>
      </c>
      <c r="B3377" s="1">
        <v>983706.19369999995</v>
      </c>
      <c r="C3377" s="1">
        <v>715995.60145598603</v>
      </c>
      <c r="D3377" s="1">
        <f t="shared" si="52"/>
        <v>267710.59224401391</v>
      </c>
      <c r="E3377" s="1">
        <v>15</v>
      </c>
      <c r="F3377" s="1">
        <v>17</v>
      </c>
      <c r="G3377" s="1">
        <v>3</v>
      </c>
      <c r="H3377" s="1">
        <v>1</v>
      </c>
      <c r="I3377" s="1">
        <v>0</v>
      </c>
      <c r="J3377" s="1">
        <v>1</v>
      </c>
      <c r="K3377" s="1">
        <v>1</v>
      </c>
      <c r="L3377" s="1">
        <v>0</v>
      </c>
      <c r="M3377" s="1">
        <v>0</v>
      </c>
    </row>
    <row r="3378" spans="1:13">
      <c r="A3378" s="1">
        <v>3377</v>
      </c>
      <c r="B3378" s="1">
        <v>1090214.4583000001</v>
      </c>
      <c r="C3378" s="1">
        <v>1220197.9881316316</v>
      </c>
      <c r="D3378" s="1">
        <f t="shared" si="52"/>
        <v>-129983.52983163157</v>
      </c>
      <c r="E3378" s="1">
        <v>8</v>
      </c>
      <c r="F3378" s="1">
        <v>19</v>
      </c>
      <c r="G3378" s="1">
        <v>8</v>
      </c>
      <c r="H3378" s="1">
        <v>1</v>
      </c>
      <c r="I3378" s="1">
        <v>1</v>
      </c>
      <c r="J3378" s="1">
        <v>0</v>
      </c>
      <c r="K3378" s="1">
        <v>0</v>
      </c>
      <c r="L3378" s="1">
        <v>0</v>
      </c>
      <c r="M3378" s="1">
        <v>0</v>
      </c>
    </row>
    <row r="3379" spans="1:13">
      <c r="A3379" s="1">
        <v>3378</v>
      </c>
      <c r="B3379" s="1">
        <v>823290.32530000003</v>
      </c>
      <c r="C3379" s="1">
        <v>1507193.7367561117</v>
      </c>
      <c r="D3379" s="1">
        <f t="shared" si="52"/>
        <v>-683903.4114561117</v>
      </c>
      <c r="E3379" s="1">
        <v>18</v>
      </c>
      <c r="F3379" s="1">
        <v>14</v>
      </c>
      <c r="G3379" s="1">
        <v>3</v>
      </c>
      <c r="H3379" s="1">
        <v>1</v>
      </c>
      <c r="I3379" s="1">
        <v>0</v>
      </c>
      <c r="J3379" s="1">
        <v>0</v>
      </c>
      <c r="K3379" s="1">
        <v>0</v>
      </c>
      <c r="L3379" s="1">
        <v>0</v>
      </c>
      <c r="M3379" s="1">
        <v>0</v>
      </c>
    </row>
    <row r="3380" spans="1:13">
      <c r="A3380" s="1">
        <v>3379</v>
      </c>
      <c r="B3380" s="1">
        <v>876834.10770000005</v>
      </c>
      <c r="C3380" s="1">
        <v>1065722.9466266516</v>
      </c>
      <c r="D3380" s="1">
        <f t="shared" si="52"/>
        <v>-188888.83892665152</v>
      </c>
      <c r="E3380" s="1">
        <v>13</v>
      </c>
      <c r="F3380" s="1">
        <v>16</v>
      </c>
      <c r="G3380" s="1">
        <v>6</v>
      </c>
      <c r="H3380" s="1">
        <v>0</v>
      </c>
      <c r="I3380" s="1">
        <v>1</v>
      </c>
      <c r="J3380" s="1">
        <v>0</v>
      </c>
      <c r="K3380" s="1">
        <v>0</v>
      </c>
      <c r="L3380" s="1">
        <v>0</v>
      </c>
      <c r="M3380" s="1">
        <v>0</v>
      </c>
    </row>
    <row r="3381" spans="1:13">
      <c r="A3381" s="1">
        <v>3380</v>
      </c>
      <c r="B3381" s="1">
        <v>916884.14170000004</v>
      </c>
      <c r="C3381" s="1">
        <v>1648507.012675296</v>
      </c>
      <c r="D3381" s="1">
        <f t="shared" si="52"/>
        <v>-731622.87097529601</v>
      </c>
      <c r="E3381" s="1">
        <v>11</v>
      </c>
      <c r="F3381" s="1">
        <v>16</v>
      </c>
      <c r="G3381" s="1">
        <v>8</v>
      </c>
      <c r="H3381" s="1">
        <v>1</v>
      </c>
      <c r="I3381" s="1">
        <v>0</v>
      </c>
      <c r="J3381" s="1">
        <v>0</v>
      </c>
      <c r="K3381" s="1">
        <v>1</v>
      </c>
      <c r="L3381" s="1">
        <v>0</v>
      </c>
      <c r="M3381" s="1">
        <v>0</v>
      </c>
    </row>
    <row r="3382" spans="1:13">
      <c r="A3382" s="1">
        <v>3381</v>
      </c>
      <c r="B3382" s="1">
        <v>1084940.2620999999</v>
      </c>
      <c r="C3382" s="1">
        <v>622538.63023569144</v>
      </c>
      <c r="D3382" s="1">
        <f t="shared" si="52"/>
        <v>462401.6318643085</v>
      </c>
      <c r="E3382" s="1">
        <v>10</v>
      </c>
      <c r="F3382" s="1">
        <v>18</v>
      </c>
      <c r="G3382" s="1">
        <v>7</v>
      </c>
      <c r="H3382" s="1">
        <v>2</v>
      </c>
      <c r="I3382" s="1">
        <v>0</v>
      </c>
      <c r="J3382" s="1">
        <v>1</v>
      </c>
      <c r="K3382" s="1">
        <v>1</v>
      </c>
      <c r="L3382" s="1">
        <v>0</v>
      </c>
      <c r="M3382" s="1">
        <v>0</v>
      </c>
    </row>
    <row r="3383" spans="1:13">
      <c r="A3383" s="1">
        <v>3382</v>
      </c>
      <c r="B3383" s="1">
        <v>858682.11</v>
      </c>
      <c r="C3383" s="1">
        <v>1081837.8295327695</v>
      </c>
      <c r="D3383" s="1">
        <f t="shared" si="52"/>
        <v>-223155.71953276952</v>
      </c>
      <c r="E3383" s="1">
        <v>7</v>
      </c>
      <c r="F3383" s="1">
        <v>19</v>
      </c>
      <c r="G3383" s="1">
        <v>9</v>
      </c>
      <c r="H3383" s="1">
        <v>2</v>
      </c>
      <c r="I3383" s="1">
        <v>0</v>
      </c>
      <c r="J3383" s="1">
        <v>1</v>
      </c>
      <c r="K3383" s="1">
        <v>0</v>
      </c>
      <c r="L3383" s="1">
        <v>0</v>
      </c>
      <c r="M3383" s="1">
        <v>0</v>
      </c>
    </row>
    <row r="3384" spans="1:13">
      <c r="A3384" s="1">
        <v>3383</v>
      </c>
      <c r="B3384" s="1">
        <v>948383.40410000004</v>
      </c>
      <c r="C3384" s="1">
        <v>1289207.3614624571</v>
      </c>
      <c r="D3384" s="1">
        <f t="shared" si="52"/>
        <v>-340823.95736245706</v>
      </c>
      <c r="E3384" s="1">
        <v>14</v>
      </c>
      <c r="F3384" s="1">
        <v>14</v>
      </c>
      <c r="G3384" s="1">
        <v>7</v>
      </c>
      <c r="H3384" s="1">
        <v>1</v>
      </c>
      <c r="I3384" s="1">
        <v>0</v>
      </c>
      <c r="J3384" s="1">
        <v>0</v>
      </c>
      <c r="K3384" s="1">
        <v>0</v>
      </c>
      <c r="L3384" s="1">
        <v>0</v>
      </c>
      <c r="M3384" s="1">
        <v>0</v>
      </c>
    </row>
    <row r="3385" spans="1:13">
      <c r="A3385" s="1">
        <v>3384</v>
      </c>
      <c r="B3385" s="1">
        <v>1004773.2124</v>
      </c>
      <c r="C3385" s="1">
        <v>961665.3949912719</v>
      </c>
      <c r="D3385" s="1">
        <f t="shared" si="52"/>
        <v>43107.817408728064</v>
      </c>
      <c r="E3385" s="1">
        <v>4</v>
      </c>
      <c r="F3385" s="1">
        <v>24</v>
      </c>
      <c r="G3385" s="1">
        <v>7</v>
      </c>
      <c r="H3385" s="1">
        <v>1</v>
      </c>
      <c r="I3385" s="1">
        <v>0</v>
      </c>
      <c r="J3385" s="1">
        <v>0</v>
      </c>
      <c r="K3385" s="1">
        <v>1</v>
      </c>
      <c r="L3385" s="1">
        <v>0</v>
      </c>
      <c r="M3385" s="1">
        <v>1</v>
      </c>
    </row>
    <row r="3386" spans="1:13">
      <c r="A3386" s="1">
        <v>3385</v>
      </c>
      <c r="B3386" s="1">
        <v>1029869.6186</v>
      </c>
      <c r="C3386" s="1">
        <v>926838.11167421564</v>
      </c>
      <c r="D3386" s="1">
        <f t="shared" si="52"/>
        <v>103031.5069257844</v>
      </c>
      <c r="E3386" s="1">
        <v>11</v>
      </c>
      <c r="F3386" s="1">
        <v>19</v>
      </c>
      <c r="G3386" s="1">
        <v>5</v>
      </c>
      <c r="H3386" s="1">
        <v>1</v>
      </c>
      <c r="I3386" s="1">
        <v>1</v>
      </c>
      <c r="J3386" s="1">
        <v>0</v>
      </c>
      <c r="K3386" s="1">
        <v>2</v>
      </c>
      <c r="L3386" s="1">
        <v>0</v>
      </c>
      <c r="M3386" s="1">
        <v>1</v>
      </c>
    </row>
    <row r="3387" spans="1:13">
      <c r="A3387" s="1">
        <v>3386</v>
      </c>
      <c r="B3387" s="1">
        <v>909513.46490000002</v>
      </c>
      <c r="C3387" s="1">
        <v>1305075.2604732711</v>
      </c>
      <c r="D3387" s="1">
        <f t="shared" si="52"/>
        <v>-395561.79557327111</v>
      </c>
      <c r="E3387" s="1">
        <v>6</v>
      </c>
      <c r="F3387" s="1">
        <v>24</v>
      </c>
      <c r="G3387" s="1">
        <v>5</v>
      </c>
      <c r="H3387" s="1">
        <v>2</v>
      </c>
      <c r="I3387" s="1">
        <v>0</v>
      </c>
      <c r="J3387" s="1">
        <v>0</v>
      </c>
      <c r="K3387" s="1">
        <v>0</v>
      </c>
      <c r="L3387" s="1">
        <v>0</v>
      </c>
      <c r="M3387" s="1">
        <v>0</v>
      </c>
    </row>
    <row r="3388" spans="1:13">
      <c r="A3388" s="1">
        <v>3387</v>
      </c>
      <c r="B3388" s="1">
        <v>905254.3787</v>
      </c>
      <c r="C3388" s="1">
        <v>921720.97577537131</v>
      </c>
      <c r="D3388" s="1">
        <f t="shared" si="52"/>
        <v>-16466.597075371305</v>
      </c>
      <c r="E3388" s="1">
        <v>14</v>
      </c>
      <c r="F3388" s="1">
        <v>14</v>
      </c>
      <c r="G3388" s="1">
        <v>7</v>
      </c>
      <c r="H3388" s="1">
        <v>2</v>
      </c>
      <c r="I3388" s="1">
        <v>0</v>
      </c>
      <c r="J3388" s="1">
        <v>2</v>
      </c>
      <c r="K3388" s="1">
        <v>0</v>
      </c>
      <c r="L3388" s="1">
        <v>0</v>
      </c>
      <c r="M3388" s="1">
        <v>0</v>
      </c>
    </row>
    <row r="3389" spans="1:13">
      <c r="A3389" s="1">
        <v>3388</v>
      </c>
      <c r="B3389" s="1">
        <v>926117.51139999996</v>
      </c>
      <c r="C3389" s="1">
        <v>658915.66758341447</v>
      </c>
      <c r="D3389" s="1">
        <f t="shared" si="52"/>
        <v>267201.84381658549</v>
      </c>
      <c r="E3389" s="1">
        <v>14</v>
      </c>
      <c r="F3389" s="1">
        <v>16</v>
      </c>
      <c r="G3389" s="1">
        <v>5</v>
      </c>
      <c r="H3389" s="1">
        <v>0</v>
      </c>
      <c r="I3389" s="1">
        <v>1</v>
      </c>
      <c r="J3389" s="1">
        <v>2</v>
      </c>
      <c r="K3389" s="1">
        <v>0</v>
      </c>
      <c r="L3389" s="1">
        <v>0</v>
      </c>
      <c r="M3389" s="1">
        <v>0</v>
      </c>
    </row>
    <row r="3390" spans="1:13">
      <c r="A3390" s="1">
        <v>3389</v>
      </c>
      <c r="B3390" s="1">
        <v>987186.76450000005</v>
      </c>
      <c r="C3390" s="1">
        <v>774968.91862270702</v>
      </c>
      <c r="D3390" s="1">
        <f t="shared" si="52"/>
        <v>212217.84587729303</v>
      </c>
      <c r="E3390" s="1">
        <v>8</v>
      </c>
      <c r="F3390" s="1">
        <v>22</v>
      </c>
      <c r="G3390" s="1">
        <v>5</v>
      </c>
      <c r="H3390" s="1">
        <v>1</v>
      </c>
      <c r="I3390" s="1">
        <v>0</v>
      </c>
      <c r="J3390" s="1">
        <v>0</v>
      </c>
      <c r="K3390" s="1">
        <v>2</v>
      </c>
      <c r="L3390" s="1">
        <v>0</v>
      </c>
      <c r="M3390" s="1">
        <v>0</v>
      </c>
    </row>
    <row r="3391" spans="1:13">
      <c r="A3391" s="1">
        <v>3390</v>
      </c>
      <c r="B3391" s="1">
        <v>958494.05810000002</v>
      </c>
      <c r="C3391" s="1">
        <v>796672.37368563504</v>
      </c>
      <c r="D3391" s="1">
        <f t="shared" si="52"/>
        <v>161821.68441436498</v>
      </c>
      <c r="E3391" s="1">
        <v>9</v>
      </c>
      <c r="F3391" s="1">
        <v>20</v>
      </c>
      <c r="G3391" s="1">
        <v>6</v>
      </c>
      <c r="H3391" s="1">
        <v>0</v>
      </c>
      <c r="I3391" s="1">
        <v>1</v>
      </c>
      <c r="J3391" s="1">
        <v>0</v>
      </c>
      <c r="K3391" s="1">
        <v>0</v>
      </c>
      <c r="L3391" s="1">
        <v>0</v>
      </c>
      <c r="M3391" s="1">
        <v>1</v>
      </c>
    </row>
    <row r="3392" spans="1:13">
      <c r="A3392" s="1">
        <v>3391</v>
      </c>
      <c r="B3392" s="1">
        <v>1026987.6279</v>
      </c>
      <c r="C3392" s="1">
        <v>943554.85805388016</v>
      </c>
      <c r="D3392" s="1">
        <f t="shared" si="52"/>
        <v>83432.769846119802</v>
      </c>
      <c r="E3392" s="1">
        <v>11</v>
      </c>
      <c r="F3392" s="1">
        <v>18</v>
      </c>
      <c r="G3392" s="1">
        <v>6</v>
      </c>
      <c r="H3392" s="1">
        <v>1</v>
      </c>
      <c r="I3392" s="1">
        <v>1</v>
      </c>
      <c r="J3392" s="1">
        <v>0</v>
      </c>
      <c r="K3392" s="1">
        <v>2</v>
      </c>
      <c r="L3392" s="1">
        <v>0</v>
      </c>
      <c r="M3392" s="1">
        <v>1</v>
      </c>
    </row>
    <row r="3393" spans="1:13">
      <c r="A3393" s="1">
        <v>3392</v>
      </c>
      <c r="B3393" s="1">
        <v>939863.62479999999</v>
      </c>
      <c r="C3393" s="1">
        <v>688486.10478146479</v>
      </c>
      <c r="D3393" s="1">
        <f t="shared" si="52"/>
        <v>251377.5200185352</v>
      </c>
      <c r="E3393" s="1">
        <v>8</v>
      </c>
      <c r="F3393" s="1">
        <v>20</v>
      </c>
      <c r="G3393" s="1">
        <v>7</v>
      </c>
      <c r="H3393" s="1">
        <v>0</v>
      </c>
      <c r="I3393" s="1">
        <v>0</v>
      </c>
      <c r="J3393" s="1">
        <v>1</v>
      </c>
      <c r="K3393" s="1">
        <v>0</v>
      </c>
      <c r="L3393" s="1">
        <v>1</v>
      </c>
      <c r="M3393" s="1">
        <v>1</v>
      </c>
    </row>
    <row r="3394" spans="1:13">
      <c r="A3394" s="1">
        <v>3393</v>
      </c>
      <c r="B3394" s="1">
        <v>918964.01529999997</v>
      </c>
      <c r="C3394" s="1">
        <v>785767.98243623518</v>
      </c>
      <c r="D3394" s="1">
        <f t="shared" ref="D3394:D3457" si="53">B3394-C3394</f>
        <v>133196.03286376479</v>
      </c>
      <c r="E3394" s="1">
        <v>6</v>
      </c>
      <c r="F3394" s="1">
        <v>25</v>
      </c>
      <c r="G3394" s="1">
        <v>4</v>
      </c>
      <c r="H3394" s="1">
        <v>1</v>
      </c>
      <c r="I3394" s="1">
        <v>0</v>
      </c>
      <c r="J3394" s="1">
        <v>0</v>
      </c>
      <c r="K3394" s="1">
        <v>0</v>
      </c>
      <c r="L3394" s="1">
        <v>1</v>
      </c>
      <c r="M3394" s="1">
        <v>0</v>
      </c>
    </row>
    <row r="3395" spans="1:13">
      <c r="A3395" s="1">
        <v>3394</v>
      </c>
      <c r="B3395" s="1">
        <v>923858.5588</v>
      </c>
      <c r="C3395" s="1">
        <v>1822062.1086368421</v>
      </c>
      <c r="D3395" s="1">
        <f t="shared" si="53"/>
        <v>-898203.54983684211</v>
      </c>
      <c r="E3395" s="1">
        <v>23</v>
      </c>
      <c r="F3395" s="1">
        <v>8</v>
      </c>
      <c r="G3395" s="1">
        <v>4</v>
      </c>
      <c r="H3395" s="1">
        <v>0</v>
      </c>
      <c r="I3395" s="1">
        <v>0</v>
      </c>
      <c r="J3395" s="1">
        <v>0</v>
      </c>
      <c r="K3395" s="1">
        <v>0</v>
      </c>
      <c r="L3395" s="1">
        <v>1</v>
      </c>
      <c r="M3395" s="1">
        <v>0</v>
      </c>
    </row>
    <row r="3396" spans="1:13">
      <c r="A3396" s="1">
        <v>3395</v>
      </c>
      <c r="B3396" s="1">
        <v>1022325.6064</v>
      </c>
      <c r="C3396" s="1">
        <v>843886.87069810275</v>
      </c>
      <c r="D3396" s="1">
        <f t="shared" si="53"/>
        <v>178438.7357018973</v>
      </c>
      <c r="E3396" s="1">
        <v>9</v>
      </c>
      <c r="F3396" s="1">
        <v>21</v>
      </c>
      <c r="G3396" s="1">
        <v>5</v>
      </c>
      <c r="H3396" s="1">
        <v>1</v>
      </c>
      <c r="I3396" s="1">
        <v>0</v>
      </c>
      <c r="J3396" s="1">
        <v>1</v>
      </c>
      <c r="K3396" s="1">
        <v>1</v>
      </c>
      <c r="L3396" s="1">
        <v>0</v>
      </c>
      <c r="M3396" s="1">
        <v>0</v>
      </c>
    </row>
    <row r="3397" spans="1:13">
      <c r="A3397" s="1">
        <v>3396</v>
      </c>
      <c r="B3397" s="1">
        <v>1020757.8459</v>
      </c>
      <c r="C3397" s="1">
        <v>1305646.5715252801</v>
      </c>
      <c r="D3397" s="1">
        <f t="shared" si="53"/>
        <v>-284888.72562528017</v>
      </c>
      <c r="E3397" s="1">
        <v>7</v>
      </c>
      <c r="F3397" s="1">
        <v>21</v>
      </c>
      <c r="G3397" s="1">
        <v>7</v>
      </c>
      <c r="H3397" s="1">
        <v>1</v>
      </c>
      <c r="I3397" s="1">
        <v>0</v>
      </c>
      <c r="J3397" s="1">
        <v>0</v>
      </c>
      <c r="K3397" s="1">
        <v>0</v>
      </c>
      <c r="L3397" s="1">
        <v>0</v>
      </c>
      <c r="M3397" s="1">
        <v>1</v>
      </c>
    </row>
    <row r="3398" spans="1:13">
      <c r="A3398" s="1">
        <v>3397</v>
      </c>
      <c r="B3398" s="1">
        <v>921509.44240000006</v>
      </c>
      <c r="C3398" s="1">
        <v>1026265.8915960541</v>
      </c>
      <c r="D3398" s="1">
        <f t="shared" si="53"/>
        <v>-104756.44919605402</v>
      </c>
      <c r="E3398" s="1">
        <v>13</v>
      </c>
      <c r="F3398" s="1">
        <v>17</v>
      </c>
      <c r="G3398" s="1">
        <v>5</v>
      </c>
      <c r="H3398" s="1">
        <v>1</v>
      </c>
      <c r="I3398" s="1">
        <v>0</v>
      </c>
      <c r="J3398" s="1">
        <v>0</v>
      </c>
      <c r="K3398" s="1">
        <v>0</v>
      </c>
      <c r="L3398" s="1">
        <v>0</v>
      </c>
      <c r="M3398" s="1">
        <v>0</v>
      </c>
    </row>
    <row r="3399" spans="1:13">
      <c r="A3399" s="1">
        <v>3398</v>
      </c>
      <c r="B3399" s="1">
        <v>917374.82860000001</v>
      </c>
      <c r="C3399" s="1">
        <v>676109.61454560503</v>
      </c>
      <c r="D3399" s="1">
        <f t="shared" si="53"/>
        <v>241265.21405439498</v>
      </c>
      <c r="E3399" s="1">
        <v>18</v>
      </c>
      <c r="F3399" s="1">
        <v>11</v>
      </c>
      <c r="G3399" s="1">
        <v>6</v>
      </c>
      <c r="H3399" s="1">
        <v>0</v>
      </c>
      <c r="I3399" s="1">
        <v>0</v>
      </c>
      <c r="J3399" s="1">
        <v>1</v>
      </c>
      <c r="K3399" s="1">
        <v>1</v>
      </c>
      <c r="L3399" s="1">
        <v>0</v>
      </c>
      <c r="M3399" s="1">
        <v>1</v>
      </c>
    </row>
    <row r="3400" spans="1:13">
      <c r="A3400" s="1">
        <v>3399</v>
      </c>
      <c r="B3400" s="1">
        <v>907948.59299999999</v>
      </c>
      <c r="C3400" s="1">
        <v>1173303.8770302609</v>
      </c>
      <c r="D3400" s="1">
        <f t="shared" si="53"/>
        <v>-265355.28403026087</v>
      </c>
      <c r="E3400" s="1">
        <v>22</v>
      </c>
      <c r="F3400" s="1">
        <v>8</v>
      </c>
      <c r="G3400" s="1">
        <v>5</v>
      </c>
      <c r="H3400" s="1">
        <v>1</v>
      </c>
      <c r="I3400" s="1">
        <v>0</v>
      </c>
      <c r="J3400" s="1">
        <v>1</v>
      </c>
      <c r="K3400" s="1">
        <v>0</v>
      </c>
      <c r="L3400" s="1">
        <v>0</v>
      </c>
      <c r="M3400" s="1">
        <v>1</v>
      </c>
    </row>
    <row r="3401" spans="1:13">
      <c r="A3401" s="1">
        <v>3400</v>
      </c>
      <c r="B3401" s="1">
        <v>897840.63820000004</v>
      </c>
      <c r="C3401" s="1">
        <v>2317855.6306435722</v>
      </c>
      <c r="D3401" s="1">
        <f t="shared" si="53"/>
        <v>-1420014.9924435723</v>
      </c>
      <c r="E3401" s="1">
        <v>14</v>
      </c>
      <c r="F3401" s="1">
        <v>15</v>
      </c>
      <c r="G3401" s="1">
        <v>6</v>
      </c>
      <c r="H3401" s="1">
        <v>0</v>
      </c>
      <c r="I3401" s="1">
        <v>1</v>
      </c>
      <c r="J3401" s="1">
        <v>1</v>
      </c>
      <c r="K3401" s="1">
        <v>0</v>
      </c>
      <c r="L3401" s="1">
        <v>0</v>
      </c>
      <c r="M3401" s="1">
        <v>1</v>
      </c>
    </row>
    <row r="3402" spans="1:13">
      <c r="A3402" s="1">
        <v>3401</v>
      </c>
      <c r="B3402" s="1">
        <v>920059.6949</v>
      </c>
      <c r="C3402" s="1">
        <v>650691.1445304238</v>
      </c>
      <c r="D3402" s="1">
        <f t="shared" si="53"/>
        <v>269368.5503695762</v>
      </c>
      <c r="E3402" s="1">
        <v>22</v>
      </c>
      <c r="F3402" s="1">
        <v>9</v>
      </c>
      <c r="G3402" s="1">
        <v>4</v>
      </c>
      <c r="H3402" s="1">
        <v>1</v>
      </c>
      <c r="I3402" s="1">
        <v>0</v>
      </c>
      <c r="J3402" s="1">
        <v>1</v>
      </c>
      <c r="K3402" s="1">
        <v>1</v>
      </c>
      <c r="L3402" s="1">
        <v>0</v>
      </c>
      <c r="M3402" s="1">
        <v>0</v>
      </c>
    </row>
    <row r="3403" spans="1:13">
      <c r="A3403" s="1">
        <v>3402</v>
      </c>
      <c r="B3403" s="1">
        <v>986325.73300000001</v>
      </c>
      <c r="C3403" s="1">
        <v>627369.62319447717</v>
      </c>
      <c r="D3403" s="1">
        <f t="shared" si="53"/>
        <v>358956.10980552284</v>
      </c>
      <c r="E3403" s="1">
        <v>11</v>
      </c>
      <c r="F3403" s="1">
        <v>15</v>
      </c>
      <c r="G3403" s="1">
        <v>9</v>
      </c>
      <c r="H3403" s="1">
        <v>1</v>
      </c>
      <c r="I3403" s="1">
        <v>0</v>
      </c>
      <c r="J3403" s="1">
        <v>1</v>
      </c>
      <c r="K3403" s="1">
        <v>0</v>
      </c>
      <c r="L3403" s="1">
        <v>0</v>
      </c>
      <c r="M3403" s="1">
        <v>1</v>
      </c>
    </row>
    <row r="3404" spans="1:13">
      <c r="A3404" s="1">
        <v>3403</v>
      </c>
      <c r="B3404" s="1">
        <v>941085.34499999997</v>
      </c>
      <c r="C3404" s="1">
        <v>1173755.9708127319</v>
      </c>
      <c r="D3404" s="1">
        <f t="shared" si="53"/>
        <v>-232670.62581273192</v>
      </c>
      <c r="E3404" s="1">
        <v>9</v>
      </c>
      <c r="F3404" s="1">
        <v>21</v>
      </c>
      <c r="G3404" s="1">
        <v>5</v>
      </c>
      <c r="H3404" s="1">
        <v>0</v>
      </c>
      <c r="I3404" s="1">
        <v>0</v>
      </c>
      <c r="J3404" s="1">
        <v>0</v>
      </c>
      <c r="K3404" s="1">
        <v>0</v>
      </c>
      <c r="L3404" s="1">
        <v>0</v>
      </c>
      <c r="M3404" s="1">
        <v>1</v>
      </c>
    </row>
    <row r="3405" spans="1:13">
      <c r="A3405" s="1">
        <v>3404</v>
      </c>
      <c r="B3405" s="1">
        <v>837240.07270000002</v>
      </c>
      <c r="C3405" s="1">
        <v>391990.40388166404</v>
      </c>
      <c r="D3405" s="1">
        <f t="shared" si="53"/>
        <v>445249.66881833598</v>
      </c>
      <c r="E3405" s="1">
        <v>22</v>
      </c>
      <c r="F3405" s="1">
        <v>9</v>
      </c>
      <c r="G3405" s="1">
        <v>4</v>
      </c>
      <c r="H3405" s="1">
        <v>1</v>
      </c>
      <c r="I3405" s="1">
        <v>0</v>
      </c>
      <c r="J3405" s="1">
        <v>0</v>
      </c>
      <c r="K3405" s="1">
        <v>0</v>
      </c>
      <c r="L3405" s="1">
        <v>0</v>
      </c>
      <c r="M3405" s="1">
        <v>0</v>
      </c>
    </row>
    <row r="3406" spans="1:13">
      <c r="A3406" s="1">
        <v>3405</v>
      </c>
      <c r="B3406" s="1">
        <v>1002158.5742</v>
      </c>
      <c r="C3406" s="1">
        <v>916709.25773862947</v>
      </c>
      <c r="D3406" s="1">
        <f t="shared" si="53"/>
        <v>85449.316461370559</v>
      </c>
      <c r="E3406" s="1">
        <v>8</v>
      </c>
      <c r="F3406" s="1">
        <v>20</v>
      </c>
      <c r="G3406" s="1">
        <v>7</v>
      </c>
      <c r="H3406" s="1">
        <v>0</v>
      </c>
      <c r="I3406" s="1">
        <v>1</v>
      </c>
      <c r="J3406" s="1">
        <v>0</v>
      </c>
      <c r="K3406" s="1">
        <v>0</v>
      </c>
      <c r="L3406" s="1">
        <v>0</v>
      </c>
      <c r="M3406" s="1">
        <v>0</v>
      </c>
    </row>
    <row r="3407" spans="1:13">
      <c r="A3407" s="1">
        <v>3406</v>
      </c>
      <c r="B3407" s="1">
        <v>917479.51939999999</v>
      </c>
      <c r="C3407" s="1">
        <v>698406.28741843638</v>
      </c>
      <c r="D3407" s="1">
        <f t="shared" si="53"/>
        <v>219073.23198156361</v>
      </c>
      <c r="E3407" s="1">
        <v>12</v>
      </c>
      <c r="F3407" s="1">
        <v>20</v>
      </c>
      <c r="G3407" s="1">
        <v>3</v>
      </c>
      <c r="H3407" s="1">
        <v>0</v>
      </c>
      <c r="I3407" s="1">
        <v>0</v>
      </c>
      <c r="J3407" s="1">
        <v>1</v>
      </c>
      <c r="K3407" s="1">
        <v>0</v>
      </c>
      <c r="L3407" s="1">
        <v>0</v>
      </c>
      <c r="M3407" s="1">
        <v>1</v>
      </c>
    </row>
    <row r="3408" spans="1:13">
      <c r="A3408" s="1">
        <v>3407</v>
      </c>
      <c r="B3408" s="1">
        <v>889921.70140000002</v>
      </c>
      <c r="C3408" s="1">
        <v>783464.18655611982</v>
      </c>
      <c r="D3408" s="1">
        <f t="shared" si="53"/>
        <v>106457.5148438802</v>
      </c>
      <c r="E3408" s="1">
        <v>11</v>
      </c>
      <c r="F3408" s="1">
        <v>21</v>
      </c>
      <c r="G3408" s="1">
        <v>3</v>
      </c>
      <c r="H3408" s="1">
        <v>2</v>
      </c>
      <c r="I3408" s="1">
        <v>0</v>
      </c>
      <c r="J3408" s="1">
        <v>2</v>
      </c>
      <c r="K3408" s="1">
        <v>0</v>
      </c>
      <c r="L3408" s="1">
        <v>0</v>
      </c>
      <c r="M3408" s="1">
        <v>0</v>
      </c>
    </row>
    <row r="3409" spans="1:13">
      <c r="A3409" s="1">
        <v>3408</v>
      </c>
      <c r="B3409" s="1">
        <v>1007810.8443999999</v>
      </c>
      <c r="C3409" s="1">
        <v>1078512.5311638031</v>
      </c>
      <c r="D3409" s="1">
        <f t="shared" si="53"/>
        <v>-70701.686763803125</v>
      </c>
      <c r="E3409" s="1">
        <v>13</v>
      </c>
      <c r="F3409" s="1">
        <v>15</v>
      </c>
      <c r="G3409" s="1">
        <v>7</v>
      </c>
      <c r="H3409" s="1">
        <v>0</v>
      </c>
      <c r="I3409" s="1">
        <v>0</v>
      </c>
      <c r="J3409" s="1">
        <v>0</v>
      </c>
      <c r="K3409" s="1">
        <v>0</v>
      </c>
      <c r="L3409" s="1">
        <v>0</v>
      </c>
      <c r="M3409" s="1">
        <v>0</v>
      </c>
    </row>
    <row r="3410" spans="1:13">
      <c r="A3410" s="1">
        <v>3409</v>
      </c>
      <c r="B3410" s="1">
        <v>962981.40509999997</v>
      </c>
      <c r="C3410" s="1">
        <v>1320081.8418363566</v>
      </c>
      <c r="D3410" s="1">
        <f t="shared" si="53"/>
        <v>-357100.43673635658</v>
      </c>
      <c r="E3410" s="1">
        <v>10</v>
      </c>
      <c r="F3410" s="1">
        <v>19</v>
      </c>
      <c r="G3410" s="1">
        <v>6</v>
      </c>
      <c r="H3410" s="1">
        <v>0</v>
      </c>
      <c r="I3410" s="1">
        <v>0</v>
      </c>
      <c r="J3410" s="1">
        <v>1</v>
      </c>
      <c r="K3410" s="1">
        <v>1</v>
      </c>
      <c r="L3410" s="1">
        <v>0</v>
      </c>
      <c r="M3410" s="1">
        <v>0</v>
      </c>
    </row>
    <row r="3411" spans="1:13">
      <c r="A3411" s="1">
        <v>3410</v>
      </c>
      <c r="B3411" s="1">
        <v>942604.36540000001</v>
      </c>
      <c r="C3411" s="1">
        <v>1178395.3889483777</v>
      </c>
      <c r="D3411" s="1">
        <f t="shared" si="53"/>
        <v>-235791.02354837768</v>
      </c>
      <c r="E3411" s="1">
        <v>7</v>
      </c>
      <c r="F3411" s="1">
        <v>23</v>
      </c>
      <c r="G3411" s="1">
        <v>5</v>
      </c>
      <c r="H3411" s="1">
        <v>0</v>
      </c>
      <c r="I3411" s="1">
        <v>0</v>
      </c>
      <c r="J3411" s="1">
        <v>2</v>
      </c>
      <c r="K3411" s="1">
        <v>0</v>
      </c>
      <c r="L3411" s="1">
        <v>0</v>
      </c>
      <c r="M3411" s="1">
        <v>1</v>
      </c>
    </row>
    <row r="3412" spans="1:13">
      <c r="A3412" s="1">
        <v>3411</v>
      </c>
      <c r="B3412" s="1">
        <v>869042.29810000001</v>
      </c>
      <c r="C3412" s="1">
        <v>844697.76768142136</v>
      </c>
      <c r="D3412" s="1">
        <f t="shared" si="53"/>
        <v>24344.530418578652</v>
      </c>
      <c r="E3412" s="1">
        <v>15</v>
      </c>
      <c r="F3412" s="1">
        <v>14</v>
      </c>
      <c r="G3412" s="1">
        <v>6</v>
      </c>
      <c r="H3412" s="1">
        <v>0</v>
      </c>
      <c r="I3412" s="1">
        <v>0</v>
      </c>
      <c r="J3412" s="1">
        <v>0</v>
      </c>
      <c r="K3412" s="1">
        <v>0</v>
      </c>
      <c r="L3412" s="1">
        <v>1</v>
      </c>
      <c r="M3412" s="1">
        <v>0</v>
      </c>
    </row>
    <row r="3413" spans="1:13">
      <c r="A3413" s="1">
        <v>3412</v>
      </c>
      <c r="B3413" s="1">
        <v>954734.06429999997</v>
      </c>
      <c r="C3413" s="1">
        <v>440084.87584144785</v>
      </c>
      <c r="D3413" s="1">
        <f t="shared" si="53"/>
        <v>514649.18845855212</v>
      </c>
      <c r="E3413" s="1">
        <v>15</v>
      </c>
      <c r="F3413" s="1">
        <v>16</v>
      </c>
      <c r="G3413" s="1">
        <v>4</v>
      </c>
      <c r="H3413" s="1">
        <v>1</v>
      </c>
      <c r="I3413" s="1">
        <v>0</v>
      </c>
      <c r="J3413" s="1">
        <v>0</v>
      </c>
      <c r="K3413" s="1">
        <v>1</v>
      </c>
      <c r="L3413" s="1">
        <v>0</v>
      </c>
      <c r="M3413" s="1">
        <v>0</v>
      </c>
    </row>
    <row r="3414" spans="1:13">
      <c r="A3414" s="1">
        <v>3413</v>
      </c>
      <c r="B3414" s="1">
        <v>944984.48549999995</v>
      </c>
      <c r="C3414" s="1">
        <v>765696.98579445155</v>
      </c>
      <c r="D3414" s="1">
        <f t="shared" si="53"/>
        <v>179287.4997055484</v>
      </c>
      <c r="E3414" s="1">
        <v>10</v>
      </c>
      <c r="F3414" s="1">
        <v>19</v>
      </c>
      <c r="G3414" s="1">
        <v>6</v>
      </c>
      <c r="H3414" s="1">
        <v>0</v>
      </c>
      <c r="I3414" s="1">
        <v>1</v>
      </c>
      <c r="J3414" s="1">
        <v>0</v>
      </c>
      <c r="K3414" s="1">
        <v>0</v>
      </c>
      <c r="L3414" s="1">
        <v>0</v>
      </c>
      <c r="M3414" s="1">
        <v>0</v>
      </c>
    </row>
    <row r="3415" spans="1:13">
      <c r="A3415" s="1">
        <v>3414</v>
      </c>
      <c r="B3415" s="1">
        <v>959840.77949999995</v>
      </c>
      <c r="C3415" s="1">
        <v>796540.83707607887</v>
      </c>
      <c r="D3415" s="1">
        <f t="shared" si="53"/>
        <v>163299.94242392108</v>
      </c>
      <c r="E3415" s="1">
        <v>11</v>
      </c>
      <c r="F3415" s="1">
        <v>21</v>
      </c>
      <c r="G3415" s="1">
        <v>3</v>
      </c>
      <c r="H3415" s="1">
        <v>0</v>
      </c>
      <c r="I3415" s="1">
        <v>0</v>
      </c>
      <c r="J3415" s="1">
        <v>0</v>
      </c>
      <c r="K3415" s="1">
        <v>0</v>
      </c>
      <c r="L3415" s="1">
        <v>0</v>
      </c>
      <c r="M3415" s="1">
        <v>0</v>
      </c>
    </row>
    <row r="3416" spans="1:13">
      <c r="A3416" s="1">
        <v>3415</v>
      </c>
      <c r="B3416" s="1">
        <v>806081.37329999998</v>
      </c>
      <c r="C3416" s="1">
        <v>1099497.1979992557</v>
      </c>
      <c r="D3416" s="1">
        <f t="shared" si="53"/>
        <v>-293415.82469925575</v>
      </c>
      <c r="E3416" s="1">
        <v>24</v>
      </c>
      <c r="F3416" s="1">
        <v>6</v>
      </c>
      <c r="G3416" s="1">
        <v>5</v>
      </c>
      <c r="H3416" s="1">
        <v>0</v>
      </c>
      <c r="I3416" s="1">
        <v>0</v>
      </c>
      <c r="J3416" s="1">
        <v>2</v>
      </c>
      <c r="K3416" s="1">
        <v>0</v>
      </c>
      <c r="L3416" s="1">
        <v>0</v>
      </c>
      <c r="M3416" s="1">
        <v>0</v>
      </c>
    </row>
    <row r="3417" spans="1:13">
      <c r="A3417" s="1">
        <v>3416</v>
      </c>
      <c r="B3417" s="1">
        <v>1002240.4398000001</v>
      </c>
      <c r="C3417" s="1">
        <v>881201.41116466385</v>
      </c>
      <c r="D3417" s="1">
        <f t="shared" si="53"/>
        <v>121039.0286353362</v>
      </c>
      <c r="E3417" s="1">
        <v>7</v>
      </c>
      <c r="F3417" s="1">
        <v>24</v>
      </c>
      <c r="G3417" s="1">
        <v>4</v>
      </c>
      <c r="H3417" s="1">
        <v>0</v>
      </c>
      <c r="I3417" s="1">
        <v>0</v>
      </c>
      <c r="J3417" s="1">
        <v>1</v>
      </c>
      <c r="K3417" s="1">
        <v>1</v>
      </c>
      <c r="L3417" s="1">
        <v>0</v>
      </c>
      <c r="M3417" s="1">
        <v>1</v>
      </c>
    </row>
    <row r="3418" spans="1:13">
      <c r="A3418" s="1">
        <v>3417</v>
      </c>
      <c r="B3418" s="1">
        <v>973323.34889999998</v>
      </c>
      <c r="C3418" s="1">
        <v>2834397.276928904</v>
      </c>
      <c r="D3418" s="1">
        <f t="shared" si="53"/>
        <v>-1861073.9280289039</v>
      </c>
      <c r="E3418" s="1">
        <v>11</v>
      </c>
      <c r="F3418" s="1">
        <v>17</v>
      </c>
      <c r="G3418" s="1">
        <v>7</v>
      </c>
      <c r="H3418" s="1">
        <v>2</v>
      </c>
      <c r="I3418" s="1">
        <v>0</v>
      </c>
      <c r="J3418" s="1">
        <v>0</v>
      </c>
      <c r="K3418" s="1">
        <v>0</v>
      </c>
      <c r="L3418" s="1">
        <v>0</v>
      </c>
      <c r="M3418" s="1">
        <v>0</v>
      </c>
    </row>
    <row r="3419" spans="1:13">
      <c r="A3419" s="1">
        <v>3418</v>
      </c>
      <c r="B3419" s="1">
        <v>916635.56740000006</v>
      </c>
      <c r="C3419" s="1">
        <v>1178895.0974642818</v>
      </c>
      <c r="D3419" s="1">
        <f t="shared" si="53"/>
        <v>-262259.53006428177</v>
      </c>
      <c r="E3419" s="1">
        <v>15</v>
      </c>
      <c r="F3419" s="1">
        <v>15</v>
      </c>
      <c r="G3419" s="1">
        <v>5</v>
      </c>
      <c r="H3419" s="1">
        <v>1</v>
      </c>
      <c r="I3419" s="1">
        <v>0</v>
      </c>
      <c r="J3419" s="1">
        <v>0</v>
      </c>
      <c r="K3419" s="1">
        <v>1</v>
      </c>
      <c r="L3419" s="1">
        <v>0</v>
      </c>
      <c r="M3419" s="1">
        <v>0</v>
      </c>
    </row>
    <row r="3420" spans="1:13">
      <c r="A3420" s="1">
        <v>3419</v>
      </c>
      <c r="B3420" s="1">
        <v>912952.19850000006</v>
      </c>
      <c r="C3420" s="1">
        <v>747377.41383743717</v>
      </c>
      <c r="D3420" s="1">
        <f t="shared" si="53"/>
        <v>165574.78466256289</v>
      </c>
      <c r="E3420" s="1">
        <v>6</v>
      </c>
      <c r="F3420" s="1">
        <v>22</v>
      </c>
      <c r="G3420" s="1">
        <v>7</v>
      </c>
      <c r="H3420" s="1">
        <v>1</v>
      </c>
      <c r="I3420" s="1">
        <v>0</v>
      </c>
      <c r="J3420" s="1">
        <v>1</v>
      </c>
      <c r="K3420" s="1">
        <v>1</v>
      </c>
      <c r="L3420" s="1">
        <v>0</v>
      </c>
      <c r="M3420" s="1">
        <v>1</v>
      </c>
    </row>
    <row r="3421" spans="1:13">
      <c r="A3421" s="1">
        <v>3420</v>
      </c>
      <c r="B3421" s="1">
        <v>894231.93570000003</v>
      </c>
      <c r="C3421" s="1">
        <v>929579.45320866606</v>
      </c>
      <c r="D3421" s="1">
        <f t="shared" si="53"/>
        <v>-35347.517508666031</v>
      </c>
      <c r="E3421" s="1">
        <v>23</v>
      </c>
      <c r="F3421" s="1">
        <v>6</v>
      </c>
      <c r="G3421" s="1">
        <v>6</v>
      </c>
      <c r="H3421" s="1">
        <v>1</v>
      </c>
      <c r="I3421" s="1">
        <v>0</v>
      </c>
      <c r="J3421" s="1">
        <v>0</v>
      </c>
      <c r="K3421" s="1">
        <v>1</v>
      </c>
      <c r="L3421" s="1">
        <v>1</v>
      </c>
      <c r="M3421" s="1">
        <v>1</v>
      </c>
    </row>
    <row r="3422" spans="1:13">
      <c r="A3422" s="1">
        <v>3421</v>
      </c>
      <c r="B3422" s="1">
        <v>1027234.0561</v>
      </c>
      <c r="C3422" s="1">
        <v>907829.46196471795</v>
      </c>
      <c r="D3422" s="1">
        <f t="shared" si="53"/>
        <v>119404.5941352821</v>
      </c>
      <c r="E3422" s="1">
        <v>5</v>
      </c>
      <c r="F3422" s="1">
        <v>26</v>
      </c>
      <c r="G3422" s="1">
        <v>4</v>
      </c>
      <c r="H3422" s="1">
        <v>1</v>
      </c>
      <c r="I3422" s="1">
        <v>0</v>
      </c>
      <c r="J3422" s="1">
        <v>0</v>
      </c>
      <c r="K3422" s="1">
        <v>0</v>
      </c>
      <c r="L3422" s="1">
        <v>0</v>
      </c>
      <c r="M3422" s="1">
        <v>0</v>
      </c>
    </row>
    <row r="3423" spans="1:13">
      <c r="A3423" s="1">
        <v>3422</v>
      </c>
      <c r="B3423" s="1">
        <v>838949.30949999997</v>
      </c>
      <c r="C3423" s="1">
        <v>480282.91220685327</v>
      </c>
      <c r="D3423" s="1">
        <f t="shared" si="53"/>
        <v>358666.3972931467</v>
      </c>
      <c r="E3423" s="1">
        <v>13</v>
      </c>
      <c r="F3423" s="1">
        <v>16</v>
      </c>
      <c r="G3423" s="1">
        <v>6</v>
      </c>
      <c r="H3423" s="1">
        <v>1</v>
      </c>
      <c r="I3423" s="1">
        <v>0</v>
      </c>
      <c r="J3423" s="1">
        <v>2</v>
      </c>
      <c r="K3423" s="1">
        <v>0</v>
      </c>
      <c r="L3423" s="1">
        <v>0</v>
      </c>
      <c r="M3423" s="1">
        <v>0</v>
      </c>
    </row>
    <row r="3424" spans="1:13">
      <c r="A3424" s="1">
        <v>3423</v>
      </c>
      <c r="B3424" s="1">
        <v>930075.88199999998</v>
      </c>
      <c r="C3424" s="1">
        <v>886015.74374626565</v>
      </c>
      <c r="D3424" s="1">
        <f t="shared" si="53"/>
        <v>44060.138253734331</v>
      </c>
      <c r="E3424" s="1">
        <v>7</v>
      </c>
      <c r="F3424" s="1">
        <v>21</v>
      </c>
      <c r="G3424" s="1">
        <v>7</v>
      </c>
      <c r="H3424" s="1">
        <v>1</v>
      </c>
      <c r="I3424" s="1">
        <v>0</v>
      </c>
      <c r="J3424" s="1">
        <v>0</v>
      </c>
      <c r="K3424" s="1">
        <v>0</v>
      </c>
      <c r="L3424" s="1">
        <v>0</v>
      </c>
      <c r="M3424" s="1">
        <v>0</v>
      </c>
    </row>
    <row r="3425" spans="1:13">
      <c r="A3425" s="1">
        <v>3424</v>
      </c>
      <c r="B3425" s="1">
        <v>952500.97719999996</v>
      </c>
      <c r="C3425" s="1">
        <v>1357326.5989936045</v>
      </c>
      <c r="D3425" s="1">
        <f t="shared" si="53"/>
        <v>-404825.62179360457</v>
      </c>
      <c r="E3425" s="1">
        <v>15</v>
      </c>
      <c r="F3425" s="1">
        <v>16</v>
      </c>
      <c r="G3425" s="1">
        <v>4</v>
      </c>
      <c r="H3425" s="1">
        <v>2</v>
      </c>
      <c r="I3425" s="1">
        <v>0</v>
      </c>
      <c r="J3425" s="1">
        <v>0</v>
      </c>
      <c r="K3425" s="1">
        <v>1</v>
      </c>
      <c r="L3425" s="1">
        <v>0</v>
      </c>
      <c r="M3425" s="1">
        <v>0</v>
      </c>
    </row>
    <row r="3426" spans="1:13">
      <c r="A3426" s="1">
        <v>3425</v>
      </c>
      <c r="B3426" s="1">
        <v>1010817.7922</v>
      </c>
      <c r="C3426" s="1">
        <v>1026948.7742549704</v>
      </c>
      <c r="D3426" s="1">
        <f t="shared" si="53"/>
        <v>-16130.982054970344</v>
      </c>
      <c r="E3426" s="1">
        <v>10</v>
      </c>
      <c r="F3426" s="1">
        <v>17</v>
      </c>
      <c r="G3426" s="1">
        <v>8</v>
      </c>
      <c r="H3426" s="1">
        <v>0</v>
      </c>
      <c r="I3426" s="1">
        <v>0</v>
      </c>
      <c r="J3426" s="1">
        <v>0</v>
      </c>
      <c r="K3426" s="1">
        <v>1</v>
      </c>
      <c r="L3426" s="1">
        <v>1</v>
      </c>
      <c r="M3426" s="1">
        <v>0</v>
      </c>
    </row>
    <row r="3427" spans="1:13">
      <c r="A3427" s="1">
        <v>3426</v>
      </c>
      <c r="B3427" s="1">
        <v>932571.43299999996</v>
      </c>
      <c r="C3427" s="1">
        <v>631000.40959230089</v>
      </c>
      <c r="D3427" s="1">
        <f t="shared" si="53"/>
        <v>301571.02340769907</v>
      </c>
      <c r="E3427" s="1">
        <v>14</v>
      </c>
      <c r="F3427" s="1">
        <v>16</v>
      </c>
      <c r="G3427" s="1">
        <v>5</v>
      </c>
      <c r="H3427" s="1">
        <v>1</v>
      </c>
      <c r="I3427" s="1">
        <v>0</v>
      </c>
      <c r="J3427" s="1">
        <v>0</v>
      </c>
      <c r="K3427" s="1">
        <v>1</v>
      </c>
      <c r="L3427" s="1">
        <v>0</v>
      </c>
      <c r="M3427" s="1">
        <v>0</v>
      </c>
    </row>
    <row r="3428" spans="1:13">
      <c r="A3428" s="1">
        <v>3427</v>
      </c>
      <c r="B3428" s="1">
        <v>975154.15260000003</v>
      </c>
      <c r="C3428" s="1">
        <v>866951.79511336377</v>
      </c>
      <c r="D3428" s="1">
        <f t="shared" si="53"/>
        <v>108202.35748663626</v>
      </c>
      <c r="E3428" s="1">
        <v>16</v>
      </c>
      <c r="F3428" s="1">
        <v>12</v>
      </c>
      <c r="G3428" s="1">
        <v>7</v>
      </c>
      <c r="H3428" s="1">
        <v>2</v>
      </c>
      <c r="I3428" s="1">
        <v>0</v>
      </c>
      <c r="J3428" s="1">
        <v>1</v>
      </c>
      <c r="K3428" s="1">
        <v>1</v>
      </c>
      <c r="L3428" s="1">
        <v>0</v>
      </c>
      <c r="M3428" s="1">
        <v>1</v>
      </c>
    </row>
    <row r="3429" spans="1:13">
      <c r="A3429" s="1">
        <v>3428</v>
      </c>
      <c r="B3429" s="1">
        <v>859204.08530000004</v>
      </c>
      <c r="C3429" s="1">
        <v>843946.77262475574</v>
      </c>
      <c r="D3429" s="1">
        <f t="shared" si="53"/>
        <v>15257.312675244291</v>
      </c>
      <c r="E3429" s="1">
        <v>16</v>
      </c>
      <c r="F3429" s="1">
        <v>13</v>
      </c>
      <c r="G3429" s="1">
        <v>6</v>
      </c>
      <c r="H3429" s="1">
        <v>1</v>
      </c>
      <c r="I3429" s="1">
        <v>0</v>
      </c>
      <c r="J3429" s="1">
        <v>1</v>
      </c>
      <c r="K3429" s="1">
        <v>0</v>
      </c>
      <c r="L3429" s="1">
        <v>0</v>
      </c>
      <c r="M3429" s="1">
        <v>0</v>
      </c>
    </row>
    <row r="3430" spans="1:13">
      <c r="A3430" s="1">
        <v>3429</v>
      </c>
      <c r="B3430" s="1">
        <v>971066.08700000006</v>
      </c>
      <c r="C3430" s="1">
        <v>796346.91609623155</v>
      </c>
      <c r="D3430" s="1">
        <f t="shared" si="53"/>
        <v>174719.17090376851</v>
      </c>
      <c r="E3430" s="1">
        <v>18</v>
      </c>
      <c r="F3430" s="1">
        <v>9</v>
      </c>
      <c r="G3430" s="1">
        <v>8</v>
      </c>
      <c r="H3430" s="1">
        <v>0</v>
      </c>
      <c r="I3430" s="1">
        <v>0</v>
      </c>
      <c r="J3430" s="1">
        <v>0</v>
      </c>
      <c r="K3430" s="1">
        <v>0</v>
      </c>
      <c r="L3430" s="1">
        <v>0</v>
      </c>
      <c r="M3430" s="1">
        <v>0</v>
      </c>
    </row>
    <row r="3431" spans="1:13">
      <c r="A3431" s="1">
        <v>3430</v>
      </c>
      <c r="B3431" s="1">
        <v>897582.85759999999</v>
      </c>
      <c r="C3431" s="1">
        <v>542094.42356073414</v>
      </c>
      <c r="D3431" s="1">
        <f t="shared" si="53"/>
        <v>355488.43403926585</v>
      </c>
      <c r="E3431" s="1">
        <v>6</v>
      </c>
      <c r="F3431" s="1">
        <v>24</v>
      </c>
      <c r="G3431" s="1">
        <v>5</v>
      </c>
      <c r="H3431" s="1">
        <v>2</v>
      </c>
      <c r="I3431" s="1">
        <v>0</v>
      </c>
      <c r="J3431" s="1">
        <v>0</v>
      </c>
      <c r="K3431" s="1">
        <v>1</v>
      </c>
      <c r="L3431" s="1">
        <v>0</v>
      </c>
      <c r="M3431" s="1">
        <v>0</v>
      </c>
    </row>
    <row r="3432" spans="1:13">
      <c r="A3432" s="1">
        <v>3431</v>
      </c>
      <c r="B3432" s="1">
        <v>898773.02870000002</v>
      </c>
      <c r="C3432" s="1">
        <v>654243.96502481343</v>
      </c>
      <c r="D3432" s="1">
        <f t="shared" si="53"/>
        <v>244529.0636751866</v>
      </c>
      <c r="E3432" s="1">
        <v>24</v>
      </c>
      <c r="F3432" s="1">
        <v>7</v>
      </c>
      <c r="G3432" s="1">
        <v>4</v>
      </c>
      <c r="H3432" s="1">
        <v>1</v>
      </c>
      <c r="I3432" s="1">
        <v>0</v>
      </c>
      <c r="J3432" s="1">
        <v>1</v>
      </c>
      <c r="K3432" s="1">
        <v>0</v>
      </c>
      <c r="L3432" s="1">
        <v>1</v>
      </c>
      <c r="M3432" s="1">
        <v>0</v>
      </c>
    </row>
    <row r="3433" spans="1:13">
      <c r="A3433" s="1">
        <v>3432</v>
      </c>
      <c r="B3433" s="1">
        <v>891568.84900000005</v>
      </c>
      <c r="C3433" s="1">
        <v>735878.32906909101</v>
      </c>
      <c r="D3433" s="1">
        <f t="shared" si="53"/>
        <v>155690.51993090904</v>
      </c>
      <c r="E3433" s="1">
        <v>19</v>
      </c>
      <c r="F3433" s="1">
        <v>15</v>
      </c>
      <c r="G3433" s="1">
        <v>1</v>
      </c>
      <c r="H3433" s="1">
        <v>1</v>
      </c>
      <c r="I3433" s="1">
        <v>1</v>
      </c>
      <c r="J3433" s="1">
        <v>1</v>
      </c>
      <c r="K3433" s="1">
        <v>0</v>
      </c>
      <c r="L3433" s="1">
        <v>0</v>
      </c>
      <c r="M3433" s="1">
        <v>0</v>
      </c>
    </row>
    <row r="3434" spans="1:13">
      <c r="A3434" s="1">
        <v>3433</v>
      </c>
      <c r="B3434" s="1">
        <v>951647.65209999995</v>
      </c>
      <c r="C3434" s="1">
        <v>578139.0620996682</v>
      </c>
      <c r="D3434" s="1">
        <f t="shared" si="53"/>
        <v>373508.59000033175</v>
      </c>
      <c r="E3434" s="1">
        <v>12</v>
      </c>
      <c r="F3434" s="1">
        <v>17</v>
      </c>
      <c r="G3434" s="1">
        <v>6</v>
      </c>
      <c r="H3434" s="1">
        <v>0</v>
      </c>
      <c r="I3434" s="1">
        <v>0</v>
      </c>
      <c r="J3434" s="1">
        <v>0</v>
      </c>
      <c r="K3434" s="1">
        <v>1</v>
      </c>
      <c r="L3434" s="1">
        <v>0</v>
      </c>
      <c r="M3434" s="1">
        <v>1</v>
      </c>
    </row>
    <row r="3435" spans="1:13">
      <c r="A3435" s="1">
        <v>3434</v>
      </c>
      <c r="B3435" s="1">
        <v>905298.32570000004</v>
      </c>
      <c r="C3435" s="1">
        <v>865461.56607486703</v>
      </c>
      <c r="D3435" s="1">
        <f t="shared" si="53"/>
        <v>39836.759625133011</v>
      </c>
      <c r="E3435" s="1">
        <v>9</v>
      </c>
      <c r="F3435" s="1">
        <v>23</v>
      </c>
      <c r="G3435" s="1">
        <v>3</v>
      </c>
      <c r="H3435" s="1">
        <v>0</v>
      </c>
      <c r="I3435" s="1">
        <v>0</v>
      </c>
      <c r="J3435" s="1">
        <v>1</v>
      </c>
      <c r="K3435" s="1">
        <v>0</v>
      </c>
      <c r="L3435" s="1">
        <v>0</v>
      </c>
      <c r="M3435" s="1">
        <v>0</v>
      </c>
    </row>
    <row r="3436" spans="1:13">
      <c r="A3436" s="1">
        <v>3435</v>
      </c>
      <c r="B3436" s="1">
        <v>886000.25399999996</v>
      </c>
      <c r="C3436" s="1">
        <v>2341852.2443538564</v>
      </c>
      <c r="D3436" s="1">
        <f t="shared" si="53"/>
        <v>-1455851.9903538565</v>
      </c>
      <c r="E3436" s="1">
        <v>14</v>
      </c>
      <c r="F3436" s="1">
        <v>14</v>
      </c>
      <c r="G3436" s="1">
        <v>7</v>
      </c>
      <c r="H3436" s="1">
        <v>0</v>
      </c>
      <c r="I3436" s="1">
        <v>0</v>
      </c>
      <c r="J3436" s="1">
        <v>0</v>
      </c>
      <c r="K3436" s="1">
        <v>1</v>
      </c>
      <c r="L3436" s="1">
        <v>1</v>
      </c>
      <c r="M3436" s="1">
        <v>1</v>
      </c>
    </row>
    <row r="3437" spans="1:13">
      <c r="A3437" s="1">
        <v>3436</v>
      </c>
      <c r="B3437" s="1">
        <v>945137.80830000003</v>
      </c>
      <c r="C3437" s="1">
        <v>1009485.8726009424</v>
      </c>
      <c r="D3437" s="1">
        <f t="shared" si="53"/>
        <v>-64348.064300942351</v>
      </c>
      <c r="E3437" s="1">
        <v>12</v>
      </c>
      <c r="F3437" s="1">
        <v>19</v>
      </c>
      <c r="G3437" s="1">
        <v>4</v>
      </c>
      <c r="H3437" s="1">
        <v>1</v>
      </c>
      <c r="I3437" s="1">
        <v>0</v>
      </c>
      <c r="J3437" s="1">
        <v>0</v>
      </c>
      <c r="K3437" s="1">
        <v>0</v>
      </c>
      <c r="L3437" s="1">
        <v>0</v>
      </c>
      <c r="M3437" s="1">
        <v>1</v>
      </c>
    </row>
    <row r="3438" spans="1:13">
      <c r="A3438" s="1">
        <v>3437</v>
      </c>
      <c r="B3438" s="1">
        <v>857594.17870000005</v>
      </c>
      <c r="C3438" s="1">
        <v>505341.94426486385</v>
      </c>
      <c r="D3438" s="1">
        <f t="shared" si="53"/>
        <v>352252.2344351362</v>
      </c>
      <c r="E3438" s="1">
        <v>18</v>
      </c>
      <c r="F3438" s="1">
        <v>15</v>
      </c>
      <c r="G3438" s="1">
        <v>2</v>
      </c>
      <c r="H3438" s="1">
        <v>0</v>
      </c>
      <c r="I3438" s="1">
        <v>0</v>
      </c>
      <c r="J3438" s="1">
        <v>0</v>
      </c>
      <c r="K3438" s="1">
        <v>0</v>
      </c>
      <c r="L3438" s="1">
        <v>0</v>
      </c>
      <c r="M3438" s="1">
        <v>1</v>
      </c>
    </row>
    <row r="3439" spans="1:13">
      <c r="A3439" s="1">
        <v>3438</v>
      </c>
      <c r="B3439" s="1">
        <v>915570.24450000003</v>
      </c>
      <c r="C3439" s="1">
        <v>778485.11077849474</v>
      </c>
      <c r="D3439" s="1">
        <f t="shared" si="53"/>
        <v>137085.13372150529</v>
      </c>
      <c r="E3439" s="1">
        <v>11</v>
      </c>
      <c r="F3439" s="1">
        <v>19</v>
      </c>
      <c r="G3439" s="1">
        <v>5</v>
      </c>
      <c r="H3439" s="1">
        <v>2</v>
      </c>
      <c r="I3439" s="1">
        <v>0</v>
      </c>
      <c r="J3439" s="1">
        <v>2</v>
      </c>
      <c r="K3439" s="1">
        <v>0</v>
      </c>
      <c r="L3439" s="1">
        <v>0</v>
      </c>
      <c r="M3439" s="1">
        <v>1</v>
      </c>
    </row>
    <row r="3440" spans="1:13">
      <c r="A3440" s="1">
        <v>3439</v>
      </c>
      <c r="B3440" s="1">
        <v>882235.24659999995</v>
      </c>
      <c r="C3440" s="1">
        <v>690712.06167873705</v>
      </c>
      <c r="D3440" s="1">
        <f t="shared" si="53"/>
        <v>191523.1849212629</v>
      </c>
      <c r="E3440" s="1">
        <v>15</v>
      </c>
      <c r="F3440" s="1">
        <v>13</v>
      </c>
      <c r="G3440" s="1">
        <v>7</v>
      </c>
      <c r="H3440" s="1">
        <v>0</v>
      </c>
      <c r="I3440" s="1">
        <v>0</v>
      </c>
      <c r="J3440" s="1">
        <v>1</v>
      </c>
      <c r="K3440" s="1">
        <v>1</v>
      </c>
      <c r="L3440" s="1">
        <v>0</v>
      </c>
      <c r="M3440" s="1">
        <v>0</v>
      </c>
    </row>
    <row r="3441" spans="1:13">
      <c r="A3441" s="1">
        <v>3440</v>
      </c>
      <c r="B3441" s="1">
        <v>786744.79650000005</v>
      </c>
      <c r="C3441" s="1">
        <v>621835.94610934285</v>
      </c>
      <c r="D3441" s="1">
        <f t="shared" si="53"/>
        <v>164908.8503906572</v>
      </c>
      <c r="E3441" s="1">
        <v>17</v>
      </c>
      <c r="F3441" s="1">
        <v>17</v>
      </c>
      <c r="G3441" s="1">
        <v>1</v>
      </c>
      <c r="H3441" s="1">
        <v>2</v>
      </c>
      <c r="I3441" s="1">
        <v>0</v>
      </c>
      <c r="J3441" s="1">
        <v>1</v>
      </c>
      <c r="K3441" s="1">
        <v>1</v>
      </c>
      <c r="L3441" s="1">
        <v>0</v>
      </c>
      <c r="M3441" s="1">
        <v>0</v>
      </c>
    </row>
    <row r="3442" spans="1:13">
      <c r="A3442" s="1">
        <v>3441</v>
      </c>
      <c r="B3442" s="1">
        <v>878146.26690000005</v>
      </c>
      <c r="C3442" s="1">
        <v>424684.7643655939</v>
      </c>
      <c r="D3442" s="1">
        <f t="shared" si="53"/>
        <v>453461.50253440614</v>
      </c>
      <c r="E3442" s="1">
        <v>15</v>
      </c>
      <c r="F3442" s="1">
        <v>18</v>
      </c>
      <c r="G3442" s="1">
        <v>2</v>
      </c>
      <c r="H3442" s="1">
        <v>1</v>
      </c>
      <c r="I3442" s="1">
        <v>0</v>
      </c>
      <c r="J3442" s="1">
        <v>2</v>
      </c>
      <c r="K3442" s="1">
        <v>0</v>
      </c>
      <c r="L3442" s="1">
        <v>0</v>
      </c>
      <c r="M3442" s="1">
        <v>0</v>
      </c>
    </row>
    <row r="3443" spans="1:13">
      <c r="A3443" s="1">
        <v>3442</v>
      </c>
      <c r="B3443" s="1">
        <v>903099.72270000004</v>
      </c>
      <c r="C3443" s="1">
        <v>1076048.6488645077</v>
      </c>
      <c r="D3443" s="1">
        <f t="shared" si="53"/>
        <v>-172948.92616450763</v>
      </c>
      <c r="E3443" s="1">
        <v>12</v>
      </c>
      <c r="F3443" s="1">
        <v>18</v>
      </c>
      <c r="G3443" s="1">
        <v>5</v>
      </c>
      <c r="H3443" s="1">
        <v>0</v>
      </c>
      <c r="I3443" s="1">
        <v>0</v>
      </c>
      <c r="J3443" s="1">
        <v>1</v>
      </c>
      <c r="K3443" s="1">
        <v>1</v>
      </c>
      <c r="L3443" s="1">
        <v>0</v>
      </c>
      <c r="M3443" s="1">
        <v>0</v>
      </c>
    </row>
    <row r="3444" spans="1:13">
      <c r="A3444" s="1">
        <v>3443</v>
      </c>
      <c r="B3444" s="1">
        <v>944631.54169999994</v>
      </c>
      <c r="C3444" s="1">
        <v>484396.86109800334</v>
      </c>
      <c r="D3444" s="1">
        <f t="shared" si="53"/>
        <v>460234.6806019966</v>
      </c>
      <c r="E3444" s="1">
        <v>8</v>
      </c>
      <c r="F3444" s="1">
        <v>23</v>
      </c>
      <c r="G3444" s="1">
        <v>4</v>
      </c>
      <c r="H3444" s="1">
        <v>1</v>
      </c>
      <c r="I3444" s="1">
        <v>0</v>
      </c>
      <c r="J3444" s="1">
        <v>1</v>
      </c>
      <c r="K3444" s="1">
        <v>0</v>
      </c>
      <c r="L3444" s="1">
        <v>0</v>
      </c>
      <c r="M3444" s="1">
        <v>0</v>
      </c>
    </row>
    <row r="3445" spans="1:13">
      <c r="A3445" s="1">
        <v>3444</v>
      </c>
      <c r="B3445" s="1">
        <v>1041850.9199</v>
      </c>
      <c r="C3445" s="1">
        <v>1049577.2242451552</v>
      </c>
      <c r="D3445" s="1">
        <f t="shared" si="53"/>
        <v>-7726.3043451552512</v>
      </c>
      <c r="E3445" s="1">
        <v>11</v>
      </c>
      <c r="F3445" s="1">
        <v>15</v>
      </c>
      <c r="G3445" s="1">
        <v>9</v>
      </c>
      <c r="H3445" s="1">
        <v>1</v>
      </c>
      <c r="I3445" s="1">
        <v>0</v>
      </c>
      <c r="J3445" s="1">
        <v>0</v>
      </c>
      <c r="K3445" s="1">
        <v>1</v>
      </c>
      <c r="L3445" s="1">
        <v>0</v>
      </c>
      <c r="M3445" s="1">
        <v>1</v>
      </c>
    </row>
    <row r="3446" spans="1:13">
      <c r="A3446" s="1">
        <v>3445</v>
      </c>
      <c r="B3446" s="1">
        <v>799689.55240000004</v>
      </c>
      <c r="C3446" s="1">
        <v>754573.73823024204</v>
      </c>
      <c r="D3446" s="1">
        <f t="shared" si="53"/>
        <v>45115.814169757999</v>
      </c>
      <c r="E3446" s="1">
        <v>20</v>
      </c>
      <c r="F3446" s="1">
        <v>13</v>
      </c>
      <c r="G3446" s="1">
        <v>2</v>
      </c>
      <c r="H3446" s="1">
        <v>1</v>
      </c>
      <c r="I3446" s="1">
        <v>0</v>
      </c>
      <c r="J3446" s="1">
        <v>2</v>
      </c>
      <c r="K3446" s="1">
        <v>0</v>
      </c>
      <c r="L3446" s="1">
        <v>0</v>
      </c>
      <c r="M3446" s="1">
        <v>0</v>
      </c>
    </row>
    <row r="3447" spans="1:13">
      <c r="A3447" s="1">
        <v>3446</v>
      </c>
      <c r="B3447" s="1">
        <v>904101.44900000002</v>
      </c>
      <c r="C3447" s="1">
        <v>796073.71427695965</v>
      </c>
      <c r="D3447" s="1">
        <f t="shared" si="53"/>
        <v>108027.73472304037</v>
      </c>
      <c r="E3447" s="1">
        <v>23</v>
      </c>
      <c r="F3447" s="1">
        <v>10</v>
      </c>
      <c r="G3447" s="1">
        <v>2</v>
      </c>
      <c r="H3447" s="1">
        <v>0</v>
      </c>
      <c r="I3447" s="1">
        <v>0</v>
      </c>
      <c r="J3447" s="1">
        <v>2</v>
      </c>
      <c r="K3447" s="1">
        <v>0</v>
      </c>
      <c r="L3447" s="1">
        <v>0</v>
      </c>
      <c r="M3447" s="1">
        <v>0</v>
      </c>
    </row>
    <row r="3448" spans="1:13">
      <c r="A3448" s="1">
        <v>3447</v>
      </c>
      <c r="B3448" s="1">
        <v>884583.44900000002</v>
      </c>
      <c r="C3448" s="1">
        <v>977819.21082541486</v>
      </c>
      <c r="D3448" s="1">
        <f t="shared" si="53"/>
        <v>-93235.76182541484</v>
      </c>
      <c r="E3448" s="1">
        <v>14</v>
      </c>
      <c r="F3448" s="1">
        <v>21</v>
      </c>
      <c r="G3448" s="1">
        <v>0</v>
      </c>
      <c r="H3448" s="1">
        <v>1</v>
      </c>
      <c r="I3448" s="1">
        <v>0</v>
      </c>
      <c r="J3448" s="1">
        <v>1</v>
      </c>
      <c r="K3448" s="1">
        <v>0</v>
      </c>
      <c r="L3448" s="1">
        <v>0</v>
      </c>
      <c r="M3448" s="1">
        <v>0</v>
      </c>
    </row>
    <row r="3449" spans="1:13">
      <c r="A3449" s="1">
        <v>3448</v>
      </c>
      <c r="B3449" s="1">
        <v>861468.97100000002</v>
      </c>
      <c r="C3449" s="1">
        <v>912720.60141367186</v>
      </c>
      <c r="D3449" s="1">
        <f t="shared" si="53"/>
        <v>-51251.630413671839</v>
      </c>
      <c r="E3449" s="1">
        <v>12</v>
      </c>
      <c r="F3449" s="1">
        <v>16</v>
      </c>
      <c r="G3449" s="1">
        <v>7</v>
      </c>
      <c r="H3449" s="1">
        <v>0</v>
      </c>
      <c r="I3449" s="1">
        <v>2</v>
      </c>
      <c r="J3449" s="1">
        <v>0</v>
      </c>
      <c r="K3449" s="1">
        <v>2</v>
      </c>
      <c r="L3449" s="1">
        <v>0</v>
      </c>
      <c r="M3449" s="1">
        <v>0</v>
      </c>
    </row>
    <row r="3450" spans="1:13">
      <c r="A3450" s="1">
        <v>3449</v>
      </c>
      <c r="B3450" s="1">
        <v>953412.21979999996</v>
      </c>
      <c r="C3450" s="1">
        <v>835398.60579163022</v>
      </c>
      <c r="D3450" s="1">
        <f t="shared" si="53"/>
        <v>118013.61400836974</v>
      </c>
      <c r="E3450" s="1">
        <v>15</v>
      </c>
      <c r="F3450" s="1">
        <v>13</v>
      </c>
      <c r="G3450" s="1">
        <v>7</v>
      </c>
      <c r="H3450" s="1">
        <v>0</v>
      </c>
      <c r="I3450" s="1">
        <v>0</v>
      </c>
      <c r="J3450" s="1">
        <v>0</v>
      </c>
      <c r="K3450" s="1">
        <v>1</v>
      </c>
      <c r="L3450" s="1">
        <v>1</v>
      </c>
      <c r="M3450" s="1">
        <v>0</v>
      </c>
    </row>
    <row r="3451" spans="1:13">
      <c r="A3451" s="1">
        <v>3450</v>
      </c>
      <c r="B3451" s="1">
        <v>922202.68099999998</v>
      </c>
      <c r="C3451" s="1">
        <v>671498.84976313566</v>
      </c>
      <c r="D3451" s="1">
        <f t="shared" si="53"/>
        <v>250703.83123686432</v>
      </c>
      <c r="E3451" s="1">
        <v>18</v>
      </c>
      <c r="F3451" s="1">
        <v>13</v>
      </c>
      <c r="G3451" s="1">
        <v>4</v>
      </c>
      <c r="H3451" s="1">
        <v>1</v>
      </c>
      <c r="I3451" s="1">
        <v>1</v>
      </c>
      <c r="J3451" s="1">
        <v>1</v>
      </c>
      <c r="K3451" s="1">
        <v>0</v>
      </c>
      <c r="L3451" s="1">
        <v>0</v>
      </c>
      <c r="M3451" s="1">
        <v>0</v>
      </c>
    </row>
    <row r="3452" spans="1:13">
      <c r="A3452" s="1">
        <v>3451</v>
      </c>
      <c r="B3452" s="1">
        <v>977115.13410000002</v>
      </c>
      <c r="C3452" s="1">
        <v>1073980.6428875446</v>
      </c>
      <c r="D3452" s="1">
        <f t="shared" si="53"/>
        <v>-96865.508787544561</v>
      </c>
      <c r="E3452" s="1">
        <v>5</v>
      </c>
      <c r="F3452" s="1">
        <v>26</v>
      </c>
      <c r="G3452" s="1">
        <v>4</v>
      </c>
      <c r="H3452" s="1">
        <v>0</v>
      </c>
      <c r="I3452" s="1">
        <v>1</v>
      </c>
      <c r="J3452" s="1">
        <v>0</v>
      </c>
      <c r="K3452" s="1">
        <v>2</v>
      </c>
      <c r="L3452" s="1">
        <v>0</v>
      </c>
      <c r="M3452" s="1">
        <v>0</v>
      </c>
    </row>
    <row r="3453" spans="1:13">
      <c r="A3453" s="1">
        <v>3452</v>
      </c>
      <c r="B3453" s="1">
        <v>909050.41079999995</v>
      </c>
      <c r="C3453" s="1">
        <v>749196.81086236075</v>
      </c>
      <c r="D3453" s="1">
        <f t="shared" si="53"/>
        <v>159853.5999376392</v>
      </c>
      <c r="E3453" s="1">
        <v>14</v>
      </c>
      <c r="F3453" s="1">
        <v>15</v>
      </c>
      <c r="G3453" s="1">
        <v>6</v>
      </c>
      <c r="H3453" s="1">
        <v>1</v>
      </c>
      <c r="I3453" s="1">
        <v>0</v>
      </c>
      <c r="J3453" s="1">
        <v>0</v>
      </c>
      <c r="K3453" s="1">
        <v>2</v>
      </c>
      <c r="L3453" s="1">
        <v>0</v>
      </c>
      <c r="M3453" s="1">
        <v>0</v>
      </c>
    </row>
    <row r="3454" spans="1:13">
      <c r="A3454" s="1">
        <v>3453</v>
      </c>
      <c r="B3454" s="1">
        <v>885964.79700000002</v>
      </c>
      <c r="C3454" s="1">
        <v>974237.60887833126</v>
      </c>
      <c r="D3454" s="1">
        <f t="shared" si="53"/>
        <v>-88272.811878331238</v>
      </c>
      <c r="E3454" s="1">
        <v>17</v>
      </c>
      <c r="F3454" s="1">
        <v>14</v>
      </c>
      <c r="G3454" s="1">
        <v>4</v>
      </c>
      <c r="H3454" s="1">
        <v>1</v>
      </c>
      <c r="I3454" s="1">
        <v>0</v>
      </c>
      <c r="J3454" s="1">
        <v>0</v>
      </c>
      <c r="K3454" s="1">
        <v>0</v>
      </c>
      <c r="L3454" s="1">
        <v>0</v>
      </c>
      <c r="M3454" s="1">
        <v>1</v>
      </c>
    </row>
    <row r="3455" spans="1:13">
      <c r="A3455" s="1">
        <v>3454</v>
      </c>
      <c r="B3455" s="1">
        <v>898194.40839999996</v>
      </c>
      <c r="C3455" s="1">
        <v>773605.34727996541</v>
      </c>
      <c r="D3455" s="1">
        <f t="shared" si="53"/>
        <v>124589.06112003454</v>
      </c>
      <c r="E3455" s="1">
        <v>19</v>
      </c>
      <c r="F3455" s="1">
        <v>14</v>
      </c>
      <c r="G3455" s="1">
        <v>2</v>
      </c>
      <c r="H3455" s="1">
        <v>0</v>
      </c>
      <c r="I3455" s="1">
        <v>0</v>
      </c>
      <c r="J3455" s="1">
        <v>1</v>
      </c>
      <c r="K3455" s="1">
        <v>0</v>
      </c>
      <c r="L3455" s="1">
        <v>1</v>
      </c>
      <c r="M3455" s="1">
        <v>0</v>
      </c>
    </row>
    <row r="3456" spans="1:13">
      <c r="A3456" s="1">
        <v>3455</v>
      </c>
      <c r="B3456" s="1">
        <v>906557.70689999999</v>
      </c>
      <c r="C3456" s="1">
        <v>799255.77129426284</v>
      </c>
      <c r="D3456" s="1">
        <f t="shared" si="53"/>
        <v>107301.93560573715</v>
      </c>
      <c r="E3456" s="1">
        <v>14</v>
      </c>
      <c r="F3456" s="1">
        <v>16</v>
      </c>
      <c r="G3456" s="1">
        <v>5</v>
      </c>
      <c r="H3456" s="1">
        <v>1</v>
      </c>
      <c r="I3456" s="1">
        <v>0</v>
      </c>
      <c r="J3456" s="1">
        <v>1</v>
      </c>
      <c r="K3456" s="1">
        <v>0</v>
      </c>
      <c r="L3456" s="1">
        <v>0</v>
      </c>
      <c r="M3456" s="1">
        <v>1</v>
      </c>
    </row>
    <row r="3457" spans="1:13">
      <c r="A3457" s="1">
        <v>3456</v>
      </c>
      <c r="B3457" s="1">
        <v>941497.33059999999</v>
      </c>
      <c r="C3457" s="1">
        <v>1117310.9732409671</v>
      </c>
      <c r="D3457" s="1">
        <f t="shared" si="53"/>
        <v>-175813.64264096715</v>
      </c>
      <c r="E3457" s="1">
        <v>15</v>
      </c>
      <c r="F3457" s="1">
        <v>13</v>
      </c>
      <c r="G3457" s="1">
        <v>7</v>
      </c>
      <c r="H3457" s="1">
        <v>1</v>
      </c>
      <c r="I3457" s="1">
        <v>1</v>
      </c>
      <c r="J3457" s="1">
        <v>2</v>
      </c>
      <c r="K3457" s="1">
        <v>0</v>
      </c>
      <c r="L3457" s="1">
        <v>0</v>
      </c>
      <c r="M3457" s="1">
        <v>1</v>
      </c>
    </row>
    <row r="3458" spans="1:13">
      <c r="A3458" s="1">
        <v>3457</v>
      </c>
      <c r="B3458" s="1">
        <v>1092688.1862999999</v>
      </c>
      <c r="C3458" s="1">
        <v>591041.89793236915</v>
      </c>
      <c r="D3458" s="1">
        <f t="shared" ref="D3458:D3521" si="54">B3458-C3458</f>
        <v>501646.2883676308</v>
      </c>
      <c r="E3458" s="1">
        <v>7</v>
      </c>
      <c r="F3458" s="1">
        <v>22</v>
      </c>
      <c r="G3458" s="1">
        <v>6</v>
      </c>
      <c r="H3458" s="1">
        <v>1</v>
      </c>
      <c r="I3458" s="1">
        <v>0</v>
      </c>
      <c r="J3458" s="1">
        <v>0</v>
      </c>
      <c r="K3458" s="1">
        <v>0</v>
      </c>
      <c r="L3458" s="1">
        <v>0</v>
      </c>
      <c r="M3458" s="1">
        <v>1</v>
      </c>
    </row>
    <row r="3459" spans="1:13">
      <c r="A3459" s="1">
        <v>3458</v>
      </c>
      <c r="B3459" s="1">
        <v>881916.55209999997</v>
      </c>
      <c r="C3459" s="1">
        <v>503740.98703712702</v>
      </c>
      <c r="D3459" s="1">
        <f t="shared" si="54"/>
        <v>378175.56506287295</v>
      </c>
      <c r="E3459" s="1">
        <v>19</v>
      </c>
      <c r="F3459" s="1">
        <v>13</v>
      </c>
      <c r="G3459" s="1">
        <v>3</v>
      </c>
      <c r="H3459" s="1">
        <v>1</v>
      </c>
      <c r="I3459" s="1">
        <v>0</v>
      </c>
      <c r="J3459" s="1">
        <v>2</v>
      </c>
      <c r="K3459" s="1">
        <v>0</v>
      </c>
      <c r="L3459" s="1">
        <v>0</v>
      </c>
      <c r="M3459" s="1">
        <v>0</v>
      </c>
    </row>
    <row r="3460" spans="1:13">
      <c r="A3460" s="1">
        <v>3459</v>
      </c>
      <c r="B3460" s="1">
        <v>925675.61609999998</v>
      </c>
      <c r="C3460" s="1">
        <v>791918.77563100215</v>
      </c>
      <c r="D3460" s="1">
        <f t="shared" si="54"/>
        <v>133756.84046899783</v>
      </c>
      <c r="E3460" s="1">
        <v>14</v>
      </c>
      <c r="F3460" s="1">
        <v>16</v>
      </c>
      <c r="G3460" s="1">
        <v>5</v>
      </c>
      <c r="H3460" s="1">
        <v>0</v>
      </c>
      <c r="I3460" s="1">
        <v>1</v>
      </c>
      <c r="J3460" s="1">
        <v>0</v>
      </c>
      <c r="K3460" s="1">
        <v>0</v>
      </c>
      <c r="L3460" s="1">
        <v>0</v>
      </c>
      <c r="M3460" s="1">
        <v>0</v>
      </c>
    </row>
    <row r="3461" spans="1:13">
      <c r="A3461" s="1">
        <v>3460</v>
      </c>
      <c r="B3461" s="1">
        <v>929938.19920000003</v>
      </c>
      <c r="C3461" s="1">
        <v>676482.30271732423</v>
      </c>
      <c r="D3461" s="1">
        <f t="shared" si="54"/>
        <v>253455.8964826758</v>
      </c>
      <c r="E3461" s="1">
        <v>17</v>
      </c>
      <c r="F3461" s="1">
        <v>12</v>
      </c>
      <c r="G3461" s="1">
        <v>6</v>
      </c>
      <c r="H3461" s="1">
        <v>0</v>
      </c>
      <c r="I3461" s="1">
        <v>1</v>
      </c>
      <c r="J3461" s="1">
        <v>1</v>
      </c>
      <c r="K3461" s="1">
        <v>0</v>
      </c>
      <c r="L3461" s="1">
        <v>0</v>
      </c>
      <c r="M3461" s="1">
        <v>0</v>
      </c>
    </row>
    <row r="3462" spans="1:13">
      <c r="A3462" s="1">
        <v>3461</v>
      </c>
      <c r="B3462" s="1">
        <v>886630.06350000005</v>
      </c>
      <c r="C3462" s="1">
        <v>833341.75879536732</v>
      </c>
      <c r="D3462" s="1">
        <f t="shared" si="54"/>
        <v>53288.304704632726</v>
      </c>
      <c r="E3462" s="1">
        <v>22</v>
      </c>
      <c r="F3462" s="1">
        <v>8</v>
      </c>
      <c r="G3462" s="1">
        <v>5</v>
      </c>
      <c r="H3462" s="1">
        <v>0</v>
      </c>
      <c r="I3462" s="1">
        <v>1</v>
      </c>
      <c r="J3462" s="1">
        <v>0</v>
      </c>
      <c r="K3462" s="1">
        <v>1</v>
      </c>
      <c r="L3462" s="1">
        <v>0</v>
      </c>
      <c r="M3462" s="1">
        <v>0</v>
      </c>
    </row>
    <row r="3463" spans="1:13">
      <c r="A3463" s="1">
        <v>3462</v>
      </c>
      <c r="B3463" s="1">
        <v>937190.49089999998</v>
      </c>
      <c r="C3463" s="1">
        <v>786389.97838954697</v>
      </c>
      <c r="D3463" s="1">
        <f t="shared" si="54"/>
        <v>150800.512510453</v>
      </c>
      <c r="E3463" s="1">
        <v>9</v>
      </c>
      <c r="F3463" s="1">
        <v>21</v>
      </c>
      <c r="G3463" s="1">
        <v>5</v>
      </c>
      <c r="H3463" s="1">
        <v>0</v>
      </c>
      <c r="I3463" s="1">
        <v>0</v>
      </c>
      <c r="J3463" s="1">
        <v>1</v>
      </c>
      <c r="K3463" s="1">
        <v>1</v>
      </c>
      <c r="L3463" s="1">
        <v>0</v>
      </c>
      <c r="M3463" s="1">
        <v>1</v>
      </c>
    </row>
    <row r="3464" spans="1:13">
      <c r="A3464" s="1">
        <v>3463</v>
      </c>
      <c r="B3464" s="1">
        <v>1106047.9443999999</v>
      </c>
      <c r="C3464" s="1">
        <v>698056.73443180753</v>
      </c>
      <c r="D3464" s="1">
        <f t="shared" si="54"/>
        <v>407991.20996819239</v>
      </c>
      <c r="E3464" s="1">
        <v>8</v>
      </c>
      <c r="F3464" s="1">
        <v>22</v>
      </c>
      <c r="G3464" s="1">
        <v>5</v>
      </c>
      <c r="H3464" s="1">
        <v>0</v>
      </c>
      <c r="I3464" s="1">
        <v>0</v>
      </c>
      <c r="J3464" s="1">
        <v>1</v>
      </c>
      <c r="K3464" s="1">
        <v>1</v>
      </c>
      <c r="L3464" s="1">
        <v>0</v>
      </c>
      <c r="M3464" s="1">
        <v>1</v>
      </c>
    </row>
    <row r="3465" spans="1:13">
      <c r="A3465" s="1">
        <v>3464</v>
      </c>
      <c r="B3465" s="1">
        <v>903827.52789999999</v>
      </c>
      <c r="C3465" s="1">
        <v>1039652.8621922395</v>
      </c>
      <c r="D3465" s="1">
        <f t="shared" si="54"/>
        <v>-135825.33429223951</v>
      </c>
      <c r="E3465" s="1">
        <v>15</v>
      </c>
      <c r="F3465" s="1">
        <v>17</v>
      </c>
      <c r="G3465" s="1">
        <v>3</v>
      </c>
      <c r="H3465" s="1">
        <v>1</v>
      </c>
      <c r="I3465" s="1">
        <v>1</v>
      </c>
      <c r="J3465" s="1">
        <v>2</v>
      </c>
      <c r="K3465" s="1">
        <v>0</v>
      </c>
      <c r="L3465" s="1">
        <v>0</v>
      </c>
      <c r="M3465" s="1">
        <v>1</v>
      </c>
    </row>
    <row r="3466" spans="1:13">
      <c r="A3466" s="1">
        <v>3465</v>
      </c>
      <c r="B3466" s="1">
        <v>902168.99320000003</v>
      </c>
      <c r="C3466" s="1">
        <v>486025.93245908397</v>
      </c>
      <c r="D3466" s="1">
        <f t="shared" si="54"/>
        <v>416143.06074091606</v>
      </c>
      <c r="E3466" s="1">
        <v>14</v>
      </c>
      <c r="F3466" s="1">
        <v>17</v>
      </c>
      <c r="G3466" s="1">
        <v>4</v>
      </c>
      <c r="H3466" s="1">
        <v>2</v>
      </c>
      <c r="I3466" s="1">
        <v>0</v>
      </c>
      <c r="J3466" s="1">
        <v>2</v>
      </c>
      <c r="K3466" s="1">
        <v>0</v>
      </c>
      <c r="L3466" s="1">
        <v>0</v>
      </c>
      <c r="M3466" s="1">
        <v>0</v>
      </c>
    </row>
    <row r="3467" spans="1:13">
      <c r="A3467" s="1">
        <v>3466</v>
      </c>
      <c r="B3467" s="1">
        <v>866649.28559999994</v>
      </c>
      <c r="C3467" s="1">
        <v>1474586.6129256103</v>
      </c>
      <c r="D3467" s="1">
        <f t="shared" si="54"/>
        <v>-607937.32732561033</v>
      </c>
      <c r="E3467" s="1">
        <v>19</v>
      </c>
      <c r="F3467" s="1">
        <v>12</v>
      </c>
      <c r="G3467" s="1">
        <v>4</v>
      </c>
      <c r="H3467" s="1">
        <v>0</v>
      </c>
      <c r="I3467" s="1">
        <v>0</v>
      </c>
      <c r="J3467" s="1">
        <v>0</v>
      </c>
      <c r="K3467" s="1">
        <v>2</v>
      </c>
      <c r="L3467" s="1">
        <v>0</v>
      </c>
      <c r="M3467" s="1">
        <v>0</v>
      </c>
    </row>
    <row r="3468" spans="1:13">
      <c r="A3468" s="1">
        <v>3467</v>
      </c>
      <c r="B3468" s="1">
        <v>817028.29989999998</v>
      </c>
      <c r="C3468" s="1">
        <v>794401.57544368389</v>
      </c>
      <c r="D3468" s="1">
        <f t="shared" si="54"/>
        <v>22626.724456316093</v>
      </c>
      <c r="E3468" s="1">
        <v>16</v>
      </c>
      <c r="F3468" s="1">
        <v>15</v>
      </c>
      <c r="G3468" s="1">
        <v>4</v>
      </c>
      <c r="H3468" s="1">
        <v>1</v>
      </c>
      <c r="I3468" s="1">
        <v>0</v>
      </c>
      <c r="J3468" s="1">
        <v>0</v>
      </c>
      <c r="K3468" s="1">
        <v>1</v>
      </c>
      <c r="L3468" s="1">
        <v>0</v>
      </c>
      <c r="M3468" s="1">
        <v>0</v>
      </c>
    </row>
    <row r="3469" spans="1:13">
      <c r="A3469" s="1">
        <v>3468</v>
      </c>
      <c r="B3469" s="1">
        <v>820015.2635</v>
      </c>
      <c r="C3469" s="1">
        <v>832773.54753242154</v>
      </c>
      <c r="D3469" s="1">
        <f t="shared" si="54"/>
        <v>-12758.284032421536</v>
      </c>
      <c r="E3469" s="1">
        <v>14</v>
      </c>
      <c r="F3469" s="1">
        <v>17</v>
      </c>
      <c r="G3469" s="1">
        <v>4</v>
      </c>
      <c r="H3469" s="1">
        <v>0</v>
      </c>
      <c r="I3469" s="1">
        <v>0</v>
      </c>
      <c r="J3469" s="1">
        <v>0</v>
      </c>
      <c r="K3469" s="1">
        <v>1</v>
      </c>
      <c r="L3469" s="1">
        <v>0</v>
      </c>
      <c r="M3469" s="1">
        <v>0</v>
      </c>
    </row>
    <row r="3470" spans="1:13">
      <c r="A3470" s="1">
        <v>3469</v>
      </c>
      <c r="B3470" s="1">
        <v>872010.01670000004</v>
      </c>
      <c r="C3470" s="1">
        <v>1062780.3271277002</v>
      </c>
      <c r="D3470" s="1">
        <f t="shared" si="54"/>
        <v>-190770.31042770017</v>
      </c>
      <c r="E3470" s="1">
        <v>12</v>
      </c>
      <c r="F3470" s="1">
        <v>20</v>
      </c>
      <c r="G3470" s="1">
        <v>3</v>
      </c>
      <c r="H3470" s="1">
        <v>2</v>
      </c>
      <c r="I3470" s="1">
        <v>0</v>
      </c>
      <c r="J3470" s="1">
        <v>1</v>
      </c>
      <c r="K3470" s="1">
        <v>0</v>
      </c>
      <c r="L3470" s="1">
        <v>0</v>
      </c>
      <c r="M3470" s="1">
        <v>0</v>
      </c>
    </row>
    <row r="3471" spans="1:13">
      <c r="A3471" s="1">
        <v>3470</v>
      </c>
      <c r="B3471" s="1">
        <v>1009526.8181</v>
      </c>
      <c r="C3471" s="1">
        <v>700052.56077622308</v>
      </c>
      <c r="D3471" s="1">
        <f t="shared" si="54"/>
        <v>309474.25732377695</v>
      </c>
      <c r="E3471" s="1">
        <v>9</v>
      </c>
      <c r="F3471" s="1">
        <v>20</v>
      </c>
      <c r="G3471" s="1">
        <v>6</v>
      </c>
      <c r="H3471" s="1">
        <v>1</v>
      </c>
      <c r="I3471" s="1">
        <v>0</v>
      </c>
      <c r="J3471" s="1">
        <v>0</v>
      </c>
      <c r="K3471" s="1">
        <v>0</v>
      </c>
      <c r="L3471" s="1">
        <v>0</v>
      </c>
      <c r="M3471" s="1">
        <v>1</v>
      </c>
    </row>
    <row r="3472" spans="1:13">
      <c r="A3472" s="1">
        <v>3471</v>
      </c>
      <c r="B3472" s="1">
        <v>911530.67299999995</v>
      </c>
      <c r="C3472" s="1">
        <v>745187.31513011036</v>
      </c>
      <c r="D3472" s="1">
        <f t="shared" si="54"/>
        <v>166343.35786988959</v>
      </c>
      <c r="E3472" s="1">
        <v>21</v>
      </c>
      <c r="F3472" s="1">
        <v>9</v>
      </c>
      <c r="G3472" s="1">
        <v>5</v>
      </c>
      <c r="H3472" s="1">
        <v>0</v>
      </c>
      <c r="I3472" s="1">
        <v>0</v>
      </c>
      <c r="J3472" s="1">
        <v>0</v>
      </c>
      <c r="K3472" s="1">
        <v>0</v>
      </c>
      <c r="L3472" s="1">
        <v>0</v>
      </c>
      <c r="M3472" s="1">
        <v>0</v>
      </c>
    </row>
    <row r="3473" spans="1:13">
      <c r="A3473" s="1">
        <v>3472</v>
      </c>
      <c r="B3473" s="1">
        <v>897798.08490000002</v>
      </c>
      <c r="C3473" s="1">
        <v>844826.95574966213</v>
      </c>
      <c r="D3473" s="1">
        <f t="shared" si="54"/>
        <v>52971.129150337889</v>
      </c>
      <c r="E3473" s="1">
        <v>11</v>
      </c>
      <c r="F3473" s="1">
        <v>18</v>
      </c>
      <c r="G3473" s="1">
        <v>6</v>
      </c>
      <c r="H3473" s="1">
        <v>2</v>
      </c>
      <c r="I3473" s="1">
        <v>0</v>
      </c>
      <c r="J3473" s="1">
        <v>0</v>
      </c>
      <c r="K3473" s="1">
        <v>1</v>
      </c>
      <c r="L3473" s="1">
        <v>0</v>
      </c>
      <c r="M3473" s="1">
        <v>1</v>
      </c>
    </row>
    <row r="3474" spans="1:13">
      <c r="A3474" s="1">
        <v>3473</v>
      </c>
      <c r="B3474" s="1">
        <v>931308.78249999997</v>
      </c>
      <c r="C3474" s="1">
        <v>1168047.1422432747</v>
      </c>
      <c r="D3474" s="1">
        <f t="shared" si="54"/>
        <v>-236738.35974327475</v>
      </c>
      <c r="E3474" s="1">
        <v>12</v>
      </c>
      <c r="F3474" s="1">
        <v>20</v>
      </c>
      <c r="G3474" s="1">
        <v>3</v>
      </c>
      <c r="H3474" s="1">
        <v>0</v>
      </c>
      <c r="I3474" s="1">
        <v>0</v>
      </c>
      <c r="J3474" s="1">
        <v>2</v>
      </c>
      <c r="K3474" s="1">
        <v>0</v>
      </c>
      <c r="L3474" s="1">
        <v>0</v>
      </c>
      <c r="M3474" s="1">
        <v>0</v>
      </c>
    </row>
    <row r="3475" spans="1:13">
      <c r="A3475" s="1">
        <v>3474</v>
      </c>
      <c r="B3475" s="1">
        <v>911833.58570000005</v>
      </c>
      <c r="C3475" s="1">
        <v>759571.95316933375</v>
      </c>
      <c r="D3475" s="1">
        <f t="shared" si="54"/>
        <v>152261.63253066631</v>
      </c>
      <c r="E3475" s="1">
        <v>10</v>
      </c>
      <c r="F3475" s="1">
        <v>21</v>
      </c>
      <c r="G3475" s="1">
        <v>4</v>
      </c>
      <c r="H3475" s="1">
        <v>2</v>
      </c>
      <c r="I3475" s="1">
        <v>0</v>
      </c>
      <c r="J3475" s="1">
        <v>1</v>
      </c>
      <c r="K3475" s="1">
        <v>0</v>
      </c>
      <c r="L3475" s="1">
        <v>0</v>
      </c>
      <c r="M3475" s="1">
        <v>0</v>
      </c>
    </row>
    <row r="3476" spans="1:13">
      <c r="A3476" s="1">
        <v>3475</v>
      </c>
      <c r="B3476" s="1">
        <v>961241.02760000003</v>
      </c>
      <c r="C3476" s="1">
        <v>666867.64659727213</v>
      </c>
      <c r="D3476" s="1">
        <f t="shared" si="54"/>
        <v>294373.3810027279</v>
      </c>
      <c r="E3476" s="1">
        <v>10</v>
      </c>
      <c r="F3476" s="1">
        <v>21</v>
      </c>
      <c r="G3476" s="1">
        <v>4</v>
      </c>
      <c r="H3476" s="1">
        <v>0</v>
      </c>
      <c r="I3476" s="1">
        <v>1</v>
      </c>
      <c r="J3476" s="1">
        <v>1</v>
      </c>
      <c r="K3476" s="1">
        <v>0</v>
      </c>
      <c r="L3476" s="1">
        <v>0</v>
      </c>
      <c r="M3476" s="1">
        <v>0</v>
      </c>
    </row>
    <row r="3477" spans="1:13">
      <c r="A3477" s="1">
        <v>3476</v>
      </c>
      <c r="B3477" s="1">
        <v>913789.71369999996</v>
      </c>
      <c r="C3477" s="1">
        <v>980013.08079313906</v>
      </c>
      <c r="D3477" s="1">
        <f t="shared" si="54"/>
        <v>-66223.367093139095</v>
      </c>
      <c r="E3477" s="1">
        <v>20</v>
      </c>
      <c r="F3477" s="1">
        <v>12</v>
      </c>
      <c r="G3477" s="1">
        <v>3</v>
      </c>
      <c r="H3477" s="1">
        <v>1</v>
      </c>
      <c r="I3477" s="1">
        <v>0</v>
      </c>
      <c r="J3477" s="1">
        <v>1</v>
      </c>
      <c r="K3477" s="1">
        <v>0</v>
      </c>
      <c r="L3477" s="1">
        <v>0</v>
      </c>
      <c r="M3477" s="1">
        <v>0</v>
      </c>
    </row>
    <row r="3478" spans="1:13">
      <c r="A3478" s="1">
        <v>3477</v>
      </c>
      <c r="B3478" s="1">
        <v>913115.59629999998</v>
      </c>
      <c r="C3478" s="1">
        <v>725161.116399511</v>
      </c>
      <c r="D3478" s="1">
        <f t="shared" si="54"/>
        <v>187954.47990048898</v>
      </c>
      <c r="E3478" s="1">
        <v>23</v>
      </c>
      <c r="F3478" s="1">
        <v>10</v>
      </c>
      <c r="G3478" s="1">
        <v>2</v>
      </c>
      <c r="H3478" s="1">
        <v>0</v>
      </c>
      <c r="I3478" s="1">
        <v>0</v>
      </c>
      <c r="J3478" s="1">
        <v>0</v>
      </c>
      <c r="K3478" s="1">
        <v>0</v>
      </c>
      <c r="L3478" s="1">
        <v>0</v>
      </c>
      <c r="M3478" s="1">
        <v>1</v>
      </c>
    </row>
    <row r="3479" spans="1:13">
      <c r="A3479" s="1">
        <v>3478</v>
      </c>
      <c r="B3479" s="1">
        <v>1023734.1972000001</v>
      </c>
      <c r="C3479" s="1">
        <v>1214221.7409848657</v>
      </c>
      <c r="D3479" s="1">
        <f t="shared" si="54"/>
        <v>-190487.54378486564</v>
      </c>
      <c r="E3479" s="1">
        <v>12</v>
      </c>
      <c r="F3479" s="1">
        <v>16</v>
      </c>
      <c r="G3479" s="1">
        <v>7</v>
      </c>
      <c r="H3479" s="1">
        <v>2</v>
      </c>
      <c r="I3479" s="1">
        <v>0</v>
      </c>
      <c r="J3479" s="1">
        <v>0</v>
      </c>
      <c r="K3479" s="1">
        <v>1</v>
      </c>
      <c r="L3479" s="1">
        <v>0</v>
      </c>
      <c r="M3479" s="1">
        <v>1</v>
      </c>
    </row>
    <row r="3480" spans="1:13">
      <c r="A3480" s="1">
        <v>3479</v>
      </c>
      <c r="B3480" s="1">
        <v>876957.36060000001</v>
      </c>
      <c r="C3480" s="1">
        <v>763796.06507743488</v>
      </c>
      <c r="D3480" s="1">
        <f t="shared" si="54"/>
        <v>113161.29552256514</v>
      </c>
      <c r="E3480" s="1">
        <v>13</v>
      </c>
      <c r="F3480" s="1">
        <v>16</v>
      </c>
      <c r="G3480" s="1">
        <v>6</v>
      </c>
      <c r="H3480" s="1">
        <v>1</v>
      </c>
      <c r="I3480" s="1">
        <v>0</v>
      </c>
      <c r="J3480" s="1">
        <v>1</v>
      </c>
      <c r="K3480" s="1">
        <v>0</v>
      </c>
      <c r="L3480" s="1">
        <v>0</v>
      </c>
      <c r="M3480" s="1">
        <v>0</v>
      </c>
    </row>
    <row r="3481" spans="1:13">
      <c r="A3481" s="1">
        <v>3480</v>
      </c>
      <c r="B3481" s="1">
        <v>892495.63650000002</v>
      </c>
      <c r="C3481" s="1">
        <v>931040.34852551564</v>
      </c>
      <c r="D3481" s="1">
        <f t="shared" si="54"/>
        <v>-38544.712025515619</v>
      </c>
      <c r="E3481" s="1">
        <v>14</v>
      </c>
      <c r="F3481" s="1">
        <v>18</v>
      </c>
      <c r="G3481" s="1">
        <v>3</v>
      </c>
      <c r="H3481" s="1">
        <v>0</v>
      </c>
      <c r="I3481" s="1">
        <v>1</v>
      </c>
      <c r="J3481" s="1">
        <v>0</v>
      </c>
      <c r="K3481" s="1">
        <v>0</v>
      </c>
      <c r="L3481" s="1">
        <v>0</v>
      </c>
      <c r="M3481" s="1">
        <v>0</v>
      </c>
    </row>
    <row r="3482" spans="1:13">
      <c r="A3482" s="1">
        <v>3481</v>
      </c>
      <c r="B3482" s="1">
        <v>899010.14269999997</v>
      </c>
      <c r="C3482" s="1">
        <v>601617.94022695266</v>
      </c>
      <c r="D3482" s="1">
        <f t="shared" si="54"/>
        <v>297392.20247304731</v>
      </c>
      <c r="E3482" s="1">
        <v>15</v>
      </c>
      <c r="F3482" s="1">
        <v>16</v>
      </c>
      <c r="G3482" s="1">
        <v>4</v>
      </c>
      <c r="H3482" s="1">
        <v>1</v>
      </c>
      <c r="I3482" s="1">
        <v>1</v>
      </c>
      <c r="J3482" s="1">
        <v>0</v>
      </c>
      <c r="K3482" s="1">
        <v>1</v>
      </c>
      <c r="L3482" s="1">
        <v>0</v>
      </c>
      <c r="M3482" s="1">
        <v>1</v>
      </c>
    </row>
    <row r="3483" spans="1:13">
      <c r="A3483" s="1">
        <v>3482</v>
      </c>
      <c r="B3483" s="1">
        <v>1000363.9077</v>
      </c>
      <c r="C3483" s="1">
        <v>1017582.1136797154</v>
      </c>
      <c r="D3483" s="1">
        <f t="shared" si="54"/>
        <v>-17218.205979715451</v>
      </c>
      <c r="E3483" s="1">
        <v>7</v>
      </c>
      <c r="F3483" s="1">
        <v>23</v>
      </c>
      <c r="G3483" s="1">
        <v>5</v>
      </c>
      <c r="H3483" s="1">
        <v>1</v>
      </c>
      <c r="I3483" s="1">
        <v>0</v>
      </c>
      <c r="J3483" s="1">
        <v>0</v>
      </c>
      <c r="K3483" s="1">
        <v>0</v>
      </c>
      <c r="L3483" s="1">
        <v>0</v>
      </c>
      <c r="M3483" s="1">
        <v>1</v>
      </c>
    </row>
    <row r="3484" spans="1:13">
      <c r="A3484" s="1">
        <v>3483</v>
      </c>
      <c r="B3484" s="1">
        <v>915643.50170000002</v>
      </c>
      <c r="C3484" s="1">
        <v>1237311.8832593854</v>
      </c>
      <c r="D3484" s="1">
        <f t="shared" si="54"/>
        <v>-321668.38155938534</v>
      </c>
      <c r="E3484" s="1">
        <v>15</v>
      </c>
      <c r="F3484" s="1">
        <v>14</v>
      </c>
      <c r="G3484" s="1">
        <v>6</v>
      </c>
      <c r="H3484" s="1">
        <v>2</v>
      </c>
      <c r="I3484" s="1">
        <v>0</v>
      </c>
      <c r="J3484" s="1">
        <v>2</v>
      </c>
      <c r="K3484" s="1">
        <v>0</v>
      </c>
      <c r="L3484" s="1">
        <v>0</v>
      </c>
      <c r="M3484" s="1">
        <v>1</v>
      </c>
    </row>
    <row r="3485" spans="1:13">
      <c r="A3485" s="1">
        <v>3484</v>
      </c>
      <c r="B3485" s="1">
        <v>869640.61360000004</v>
      </c>
      <c r="C3485" s="1">
        <v>737449.99297586665</v>
      </c>
      <c r="D3485" s="1">
        <f t="shared" si="54"/>
        <v>132190.62062413339</v>
      </c>
      <c r="E3485" s="1">
        <v>7</v>
      </c>
      <c r="F3485" s="1">
        <v>22</v>
      </c>
      <c r="G3485" s="1">
        <v>6</v>
      </c>
      <c r="H3485" s="1">
        <v>1</v>
      </c>
      <c r="I3485" s="1">
        <v>1</v>
      </c>
      <c r="J3485" s="1">
        <v>0</v>
      </c>
      <c r="K3485" s="1">
        <v>2</v>
      </c>
      <c r="L3485" s="1">
        <v>0</v>
      </c>
      <c r="M3485" s="1">
        <v>0</v>
      </c>
    </row>
    <row r="3486" spans="1:13">
      <c r="A3486" s="1">
        <v>3485</v>
      </c>
      <c r="B3486" s="1">
        <v>913422.05830000003</v>
      </c>
      <c r="C3486" s="1">
        <v>932388.64402469224</v>
      </c>
      <c r="D3486" s="1">
        <f t="shared" si="54"/>
        <v>-18966.58572469221</v>
      </c>
      <c r="E3486" s="1">
        <v>10</v>
      </c>
      <c r="F3486" s="1">
        <v>19</v>
      </c>
      <c r="G3486" s="1">
        <v>6</v>
      </c>
      <c r="H3486" s="1">
        <v>1</v>
      </c>
      <c r="I3486" s="1">
        <v>0</v>
      </c>
      <c r="J3486" s="1">
        <v>0</v>
      </c>
      <c r="K3486" s="1">
        <v>0</v>
      </c>
      <c r="L3486" s="1">
        <v>1</v>
      </c>
      <c r="M3486" s="1">
        <v>0</v>
      </c>
    </row>
    <row r="3487" spans="1:13">
      <c r="A3487" s="1">
        <v>3486</v>
      </c>
      <c r="B3487" s="1">
        <v>923278.26289999997</v>
      </c>
      <c r="C3487" s="1">
        <v>1498283.2189685022</v>
      </c>
      <c r="D3487" s="1">
        <f t="shared" si="54"/>
        <v>-575004.95606850227</v>
      </c>
      <c r="E3487" s="1">
        <v>14</v>
      </c>
      <c r="F3487" s="1">
        <v>14</v>
      </c>
      <c r="G3487" s="1">
        <v>7</v>
      </c>
      <c r="H3487" s="1">
        <v>2</v>
      </c>
      <c r="I3487" s="1">
        <v>0</v>
      </c>
      <c r="J3487" s="1">
        <v>0</v>
      </c>
      <c r="K3487" s="1">
        <v>0</v>
      </c>
      <c r="L3487" s="1">
        <v>0</v>
      </c>
      <c r="M3487" s="1">
        <v>1</v>
      </c>
    </row>
    <row r="3488" spans="1:13">
      <c r="A3488" s="1">
        <v>3487</v>
      </c>
      <c r="B3488" s="1">
        <v>948752.10109999997</v>
      </c>
      <c r="C3488" s="1">
        <v>2990963.5724133719</v>
      </c>
      <c r="D3488" s="1">
        <f t="shared" si="54"/>
        <v>-2042211.4713133718</v>
      </c>
      <c r="E3488" s="1">
        <v>14</v>
      </c>
      <c r="F3488" s="1">
        <v>16</v>
      </c>
      <c r="G3488" s="1">
        <v>5</v>
      </c>
      <c r="H3488" s="1">
        <v>1</v>
      </c>
      <c r="I3488" s="1">
        <v>0</v>
      </c>
      <c r="J3488" s="1">
        <v>0</v>
      </c>
      <c r="K3488" s="1">
        <v>1</v>
      </c>
      <c r="L3488" s="1">
        <v>0</v>
      </c>
      <c r="M3488" s="1">
        <v>0</v>
      </c>
    </row>
    <row r="3489" spans="1:13">
      <c r="A3489" s="1">
        <v>3488</v>
      </c>
      <c r="B3489" s="1">
        <v>923210.98300000001</v>
      </c>
      <c r="C3489" s="1">
        <v>696349.81603082735</v>
      </c>
      <c r="D3489" s="1">
        <f t="shared" si="54"/>
        <v>226861.16696917266</v>
      </c>
      <c r="E3489" s="1">
        <v>14</v>
      </c>
      <c r="F3489" s="1">
        <v>18</v>
      </c>
      <c r="G3489" s="1">
        <v>3</v>
      </c>
      <c r="H3489" s="1">
        <v>0</v>
      </c>
      <c r="I3489" s="1">
        <v>0</v>
      </c>
      <c r="J3489" s="1">
        <v>1</v>
      </c>
      <c r="K3489" s="1">
        <v>1</v>
      </c>
      <c r="L3489" s="1">
        <v>0</v>
      </c>
      <c r="M3489" s="1">
        <v>0</v>
      </c>
    </row>
    <row r="3490" spans="1:13">
      <c r="A3490" s="1">
        <v>3489</v>
      </c>
      <c r="B3490" s="1">
        <v>872466.38179999997</v>
      </c>
      <c r="C3490" s="1">
        <v>1113840.1592340025</v>
      </c>
      <c r="D3490" s="1">
        <f t="shared" si="54"/>
        <v>-241373.77743400249</v>
      </c>
      <c r="E3490" s="1">
        <v>18</v>
      </c>
      <c r="F3490" s="1">
        <v>13</v>
      </c>
      <c r="G3490" s="1">
        <v>4</v>
      </c>
      <c r="H3490" s="1">
        <v>1</v>
      </c>
      <c r="I3490" s="1">
        <v>0</v>
      </c>
      <c r="J3490" s="1">
        <v>1</v>
      </c>
      <c r="K3490" s="1">
        <v>0</v>
      </c>
      <c r="L3490" s="1">
        <v>0</v>
      </c>
      <c r="M3490" s="1">
        <v>1</v>
      </c>
    </row>
    <row r="3491" spans="1:13">
      <c r="A3491" s="1">
        <v>3490</v>
      </c>
      <c r="B3491" s="1">
        <v>895862.51470000006</v>
      </c>
      <c r="C3491" s="1">
        <v>923371.70500569209</v>
      </c>
      <c r="D3491" s="1">
        <f t="shared" si="54"/>
        <v>-27509.190305692027</v>
      </c>
      <c r="E3491" s="1">
        <v>13</v>
      </c>
      <c r="F3491" s="1">
        <v>16</v>
      </c>
      <c r="G3491" s="1">
        <v>6</v>
      </c>
      <c r="H3491" s="1">
        <v>2</v>
      </c>
      <c r="I3491" s="1">
        <v>0</v>
      </c>
      <c r="J3491" s="1">
        <v>1</v>
      </c>
      <c r="K3491" s="1">
        <v>0</v>
      </c>
      <c r="L3491" s="1">
        <v>1</v>
      </c>
      <c r="M3491" s="1">
        <v>0</v>
      </c>
    </row>
    <row r="3492" spans="1:13">
      <c r="A3492" s="1">
        <v>3491</v>
      </c>
      <c r="B3492" s="1">
        <v>1007129.3331</v>
      </c>
      <c r="C3492" s="1">
        <v>709139.49579591793</v>
      </c>
      <c r="D3492" s="1">
        <f t="shared" si="54"/>
        <v>297989.83730408212</v>
      </c>
      <c r="E3492" s="1">
        <v>11</v>
      </c>
      <c r="F3492" s="1">
        <v>18</v>
      </c>
      <c r="G3492" s="1">
        <v>6</v>
      </c>
      <c r="H3492" s="1">
        <v>1</v>
      </c>
      <c r="I3492" s="1">
        <v>0</v>
      </c>
      <c r="J3492" s="1">
        <v>0</v>
      </c>
      <c r="K3492" s="1">
        <v>0</v>
      </c>
      <c r="L3492" s="1">
        <v>0</v>
      </c>
      <c r="M3492" s="1">
        <v>0</v>
      </c>
    </row>
    <row r="3493" spans="1:13">
      <c r="A3493" s="1">
        <v>3492</v>
      </c>
      <c r="B3493" s="1">
        <v>918161.95620000002</v>
      </c>
      <c r="C3493" s="1">
        <v>1770783.8898338755</v>
      </c>
      <c r="D3493" s="1">
        <f t="shared" si="54"/>
        <v>-852621.93363387545</v>
      </c>
      <c r="E3493" s="1">
        <v>12</v>
      </c>
      <c r="F3493" s="1">
        <v>21</v>
      </c>
      <c r="G3493" s="1">
        <v>2</v>
      </c>
      <c r="H3493" s="1">
        <v>1</v>
      </c>
      <c r="I3493" s="1">
        <v>0</v>
      </c>
      <c r="J3493" s="1">
        <v>1</v>
      </c>
      <c r="K3493" s="1">
        <v>0</v>
      </c>
      <c r="L3493" s="1">
        <v>0</v>
      </c>
      <c r="M3493" s="1">
        <v>0</v>
      </c>
    </row>
    <row r="3494" spans="1:13">
      <c r="A3494" s="1">
        <v>3493</v>
      </c>
      <c r="B3494" s="1">
        <v>1010937.3459</v>
      </c>
      <c r="C3494" s="1">
        <v>569193.95840501681</v>
      </c>
      <c r="D3494" s="1">
        <f t="shared" si="54"/>
        <v>441743.38749498315</v>
      </c>
      <c r="E3494" s="1">
        <v>12</v>
      </c>
      <c r="F3494" s="1">
        <v>18</v>
      </c>
      <c r="G3494" s="1">
        <v>5</v>
      </c>
      <c r="H3494" s="1">
        <v>2</v>
      </c>
      <c r="I3494" s="1">
        <v>0</v>
      </c>
      <c r="J3494" s="1">
        <v>2</v>
      </c>
      <c r="K3494" s="1">
        <v>0</v>
      </c>
      <c r="L3494" s="1">
        <v>0</v>
      </c>
      <c r="M3494" s="1">
        <v>0</v>
      </c>
    </row>
    <row r="3495" spans="1:13">
      <c r="A3495" s="1">
        <v>3494</v>
      </c>
      <c r="B3495" s="1">
        <v>882528.41370000003</v>
      </c>
      <c r="C3495" s="1">
        <v>992558.19642626646</v>
      </c>
      <c r="D3495" s="1">
        <f t="shared" si="54"/>
        <v>-110029.78272626642</v>
      </c>
      <c r="E3495" s="1">
        <v>13</v>
      </c>
      <c r="F3495" s="1">
        <v>16</v>
      </c>
      <c r="G3495" s="1">
        <v>6</v>
      </c>
      <c r="H3495" s="1">
        <v>0</v>
      </c>
      <c r="I3495" s="1">
        <v>0</v>
      </c>
      <c r="J3495" s="1">
        <v>0</v>
      </c>
      <c r="K3495" s="1">
        <v>0</v>
      </c>
      <c r="L3495" s="1">
        <v>0</v>
      </c>
      <c r="M3495" s="1">
        <v>1</v>
      </c>
    </row>
    <row r="3496" spans="1:13">
      <c r="A3496" s="1">
        <v>3495</v>
      </c>
      <c r="B3496" s="1">
        <v>960729.58089999994</v>
      </c>
      <c r="C3496" s="1">
        <v>1545273.1237898476</v>
      </c>
      <c r="D3496" s="1">
        <f t="shared" si="54"/>
        <v>-584543.54288984765</v>
      </c>
      <c r="E3496" s="1">
        <v>13</v>
      </c>
      <c r="F3496" s="1">
        <v>17</v>
      </c>
      <c r="G3496" s="1">
        <v>5</v>
      </c>
      <c r="H3496" s="1">
        <v>0</v>
      </c>
      <c r="I3496" s="1">
        <v>1</v>
      </c>
      <c r="J3496" s="1">
        <v>0</v>
      </c>
      <c r="K3496" s="1">
        <v>0</v>
      </c>
      <c r="L3496" s="1">
        <v>0</v>
      </c>
      <c r="M3496" s="1">
        <v>1</v>
      </c>
    </row>
    <row r="3497" spans="1:13">
      <c r="A3497" s="1">
        <v>3496</v>
      </c>
      <c r="B3497" s="1">
        <v>977212.3737</v>
      </c>
      <c r="C3497" s="1">
        <v>1100651.9086815724</v>
      </c>
      <c r="D3497" s="1">
        <f t="shared" si="54"/>
        <v>-123439.53498157242</v>
      </c>
      <c r="E3497" s="1">
        <v>10</v>
      </c>
      <c r="F3497" s="1">
        <v>19</v>
      </c>
      <c r="G3497" s="1">
        <v>6</v>
      </c>
      <c r="H3497" s="1">
        <v>2</v>
      </c>
      <c r="I3497" s="1">
        <v>0</v>
      </c>
      <c r="J3497" s="1">
        <v>0</v>
      </c>
      <c r="K3497" s="1">
        <v>0</v>
      </c>
      <c r="L3497" s="1">
        <v>1</v>
      </c>
      <c r="M3497" s="1">
        <v>1</v>
      </c>
    </row>
    <row r="3498" spans="1:13">
      <c r="A3498" s="1">
        <v>3497</v>
      </c>
      <c r="B3498" s="1">
        <v>917893.04220000003</v>
      </c>
      <c r="C3498" s="1">
        <v>596498.0406139656</v>
      </c>
      <c r="D3498" s="1">
        <f t="shared" si="54"/>
        <v>321395.00158603443</v>
      </c>
      <c r="E3498" s="1">
        <v>12</v>
      </c>
      <c r="F3498" s="1">
        <v>16</v>
      </c>
      <c r="G3498" s="1">
        <v>7</v>
      </c>
      <c r="H3498" s="1">
        <v>0</v>
      </c>
      <c r="I3498" s="1">
        <v>0</v>
      </c>
      <c r="J3498" s="1">
        <v>0</v>
      </c>
      <c r="K3498" s="1">
        <v>1</v>
      </c>
      <c r="L3498" s="1">
        <v>0</v>
      </c>
      <c r="M3498" s="1">
        <v>0</v>
      </c>
    </row>
    <row r="3499" spans="1:13">
      <c r="A3499" s="1">
        <v>3498</v>
      </c>
      <c r="B3499" s="1">
        <v>845578.19310000003</v>
      </c>
      <c r="C3499" s="1">
        <v>864701.14230576972</v>
      </c>
      <c r="D3499" s="1">
        <f t="shared" si="54"/>
        <v>-19122.949205769692</v>
      </c>
      <c r="E3499" s="1">
        <v>25</v>
      </c>
      <c r="F3499" s="1">
        <v>5</v>
      </c>
      <c r="G3499" s="1">
        <v>5</v>
      </c>
      <c r="H3499" s="1">
        <v>1</v>
      </c>
      <c r="I3499" s="1">
        <v>1</v>
      </c>
      <c r="J3499" s="1">
        <v>2</v>
      </c>
      <c r="K3499" s="1">
        <v>0</v>
      </c>
      <c r="L3499" s="1">
        <v>0</v>
      </c>
      <c r="M3499" s="1">
        <v>0</v>
      </c>
    </row>
    <row r="3500" spans="1:13">
      <c r="A3500" s="1">
        <v>3499</v>
      </c>
      <c r="B3500" s="1">
        <v>857128.05149999994</v>
      </c>
      <c r="C3500" s="1">
        <v>1194893.1893545818</v>
      </c>
      <c r="D3500" s="1">
        <f t="shared" si="54"/>
        <v>-337765.13785458182</v>
      </c>
      <c r="E3500" s="1">
        <v>24</v>
      </c>
      <c r="F3500" s="1">
        <v>10</v>
      </c>
      <c r="G3500" s="1">
        <v>1</v>
      </c>
      <c r="H3500" s="1">
        <v>0</v>
      </c>
      <c r="I3500" s="1">
        <v>1</v>
      </c>
      <c r="J3500" s="1">
        <v>2</v>
      </c>
      <c r="K3500" s="1">
        <v>0</v>
      </c>
      <c r="L3500" s="1">
        <v>0</v>
      </c>
      <c r="M3500" s="1">
        <v>0</v>
      </c>
    </row>
    <row r="3501" spans="1:13">
      <c r="A3501" s="1">
        <v>3500</v>
      </c>
      <c r="B3501" s="1">
        <v>874019.21920000005</v>
      </c>
      <c r="C3501" s="1">
        <v>1001037.6272119629</v>
      </c>
      <c r="D3501" s="1">
        <f t="shared" si="54"/>
        <v>-127018.40801196289</v>
      </c>
      <c r="E3501" s="1">
        <v>20</v>
      </c>
      <c r="F3501" s="1">
        <v>12</v>
      </c>
      <c r="G3501" s="1">
        <v>3</v>
      </c>
      <c r="H3501" s="1">
        <v>1</v>
      </c>
      <c r="I3501" s="1">
        <v>0</v>
      </c>
      <c r="J3501" s="1">
        <v>2</v>
      </c>
      <c r="K3501" s="1">
        <v>0</v>
      </c>
      <c r="L3501" s="1">
        <v>0</v>
      </c>
      <c r="M3501" s="1">
        <v>0</v>
      </c>
    </row>
    <row r="3502" spans="1:13">
      <c r="A3502" s="1">
        <v>3501</v>
      </c>
      <c r="B3502" s="1">
        <v>815583.69889999996</v>
      </c>
      <c r="C3502" s="1">
        <v>1306733.6677417331</v>
      </c>
      <c r="D3502" s="1">
        <f t="shared" si="54"/>
        <v>-491149.96884173318</v>
      </c>
      <c r="E3502" s="1">
        <v>16</v>
      </c>
      <c r="F3502" s="1">
        <v>17</v>
      </c>
      <c r="G3502" s="1">
        <v>2</v>
      </c>
      <c r="H3502" s="1">
        <v>1</v>
      </c>
      <c r="I3502" s="1">
        <v>0</v>
      </c>
      <c r="J3502" s="1">
        <v>0</v>
      </c>
      <c r="K3502" s="1">
        <v>0</v>
      </c>
      <c r="L3502" s="1">
        <v>1</v>
      </c>
      <c r="M3502" s="1">
        <v>0</v>
      </c>
    </row>
    <row r="3503" spans="1:13">
      <c r="A3503" s="1">
        <v>3502</v>
      </c>
      <c r="B3503" s="1">
        <v>831477.15399999998</v>
      </c>
      <c r="C3503" s="1">
        <v>810434.82571962511</v>
      </c>
      <c r="D3503" s="1">
        <f t="shared" si="54"/>
        <v>21042.328280374873</v>
      </c>
      <c r="E3503" s="1">
        <v>25</v>
      </c>
      <c r="F3503" s="1">
        <v>7</v>
      </c>
      <c r="G3503" s="1">
        <v>3</v>
      </c>
      <c r="H3503" s="1">
        <v>2</v>
      </c>
      <c r="I3503" s="1">
        <v>0</v>
      </c>
      <c r="J3503" s="1">
        <v>0</v>
      </c>
      <c r="K3503" s="1">
        <v>0</v>
      </c>
      <c r="L3503" s="1">
        <v>1</v>
      </c>
      <c r="M3503" s="1">
        <v>0</v>
      </c>
    </row>
    <row r="3504" spans="1:13">
      <c r="A3504" s="1">
        <v>3503</v>
      </c>
      <c r="B3504" s="1">
        <v>1025913.6814</v>
      </c>
      <c r="C3504" s="1">
        <v>873651.21577945352</v>
      </c>
      <c r="D3504" s="1">
        <f t="shared" si="54"/>
        <v>152262.46562054649</v>
      </c>
      <c r="E3504" s="1">
        <v>11</v>
      </c>
      <c r="F3504" s="1">
        <v>18</v>
      </c>
      <c r="G3504" s="1">
        <v>6</v>
      </c>
      <c r="H3504" s="1">
        <v>0</v>
      </c>
      <c r="I3504" s="1">
        <v>0</v>
      </c>
      <c r="J3504" s="1">
        <v>1</v>
      </c>
      <c r="K3504" s="1">
        <v>1</v>
      </c>
      <c r="L3504" s="1">
        <v>0</v>
      </c>
      <c r="M3504" s="1">
        <v>0</v>
      </c>
    </row>
    <row r="3505" spans="1:13">
      <c r="A3505" s="1">
        <v>3504</v>
      </c>
      <c r="B3505" s="1">
        <v>844826.54850000003</v>
      </c>
      <c r="C3505" s="1">
        <v>1072334.7587491143</v>
      </c>
      <c r="D3505" s="1">
        <f t="shared" si="54"/>
        <v>-227508.21024911432</v>
      </c>
      <c r="E3505" s="1">
        <v>21</v>
      </c>
      <c r="F3505" s="1">
        <v>12</v>
      </c>
      <c r="G3505" s="1">
        <v>2</v>
      </c>
      <c r="H3505" s="1">
        <v>1</v>
      </c>
      <c r="I3505" s="1">
        <v>1</v>
      </c>
      <c r="J3505" s="1">
        <v>0</v>
      </c>
      <c r="K3505" s="1">
        <v>1</v>
      </c>
      <c r="L3505" s="1">
        <v>0</v>
      </c>
      <c r="M3505" s="1">
        <v>0</v>
      </c>
    </row>
    <row r="3506" spans="1:13">
      <c r="A3506" s="1">
        <v>3505</v>
      </c>
      <c r="B3506" s="1">
        <v>1030339.0297</v>
      </c>
      <c r="C3506" s="1">
        <v>760623.18309729267</v>
      </c>
      <c r="D3506" s="1">
        <f t="shared" si="54"/>
        <v>269715.84660270729</v>
      </c>
      <c r="E3506" s="1">
        <v>10</v>
      </c>
      <c r="F3506" s="1">
        <v>17</v>
      </c>
      <c r="G3506" s="1">
        <v>8</v>
      </c>
      <c r="H3506" s="1">
        <v>1</v>
      </c>
      <c r="I3506" s="1">
        <v>0</v>
      </c>
      <c r="J3506" s="1">
        <v>0</v>
      </c>
      <c r="K3506" s="1">
        <v>1</v>
      </c>
      <c r="L3506" s="1">
        <v>0</v>
      </c>
      <c r="M3506" s="1">
        <v>1</v>
      </c>
    </row>
    <row r="3507" spans="1:13">
      <c r="A3507" s="1">
        <v>3506</v>
      </c>
      <c r="B3507" s="1">
        <v>928127.83799999999</v>
      </c>
      <c r="C3507" s="1">
        <v>1034875.7308414067</v>
      </c>
      <c r="D3507" s="1">
        <f t="shared" si="54"/>
        <v>-106747.89284140675</v>
      </c>
      <c r="E3507" s="1">
        <v>9</v>
      </c>
      <c r="F3507" s="1">
        <v>20</v>
      </c>
      <c r="G3507" s="1">
        <v>6</v>
      </c>
      <c r="H3507" s="1">
        <v>0</v>
      </c>
      <c r="I3507" s="1">
        <v>0</v>
      </c>
      <c r="J3507" s="1">
        <v>2</v>
      </c>
      <c r="K3507" s="1">
        <v>0</v>
      </c>
      <c r="L3507" s="1">
        <v>0</v>
      </c>
      <c r="M3507" s="1">
        <v>0</v>
      </c>
    </row>
    <row r="3508" spans="1:13">
      <c r="A3508" s="1">
        <v>3507</v>
      </c>
      <c r="B3508" s="1">
        <v>987480.01459999999</v>
      </c>
      <c r="C3508" s="1">
        <v>760637.85917944938</v>
      </c>
      <c r="D3508" s="1">
        <f t="shared" si="54"/>
        <v>226842.15542055061</v>
      </c>
      <c r="E3508" s="1">
        <v>14</v>
      </c>
      <c r="F3508" s="1">
        <v>16</v>
      </c>
      <c r="G3508" s="1">
        <v>5</v>
      </c>
      <c r="H3508" s="1">
        <v>1</v>
      </c>
      <c r="I3508" s="1">
        <v>0</v>
      </c>
      <c r="J3508" s="1">
        <v>0</v>
      </c>
      <c r="K3508" s="1">
        <v>1</v>
      </c>
      <c r="L3508" s="1">
        <v>0</v>
      </c>
      <c r="M3508" s="1">
        <v>0</v>
      </c>
    </row>
    <row r="3509" spans="1:13">
      <c r="A3509" s="1">
        <v>3508</v>
      </c>
      <c r="B3509" s="1">
        <v>870009.68810000003</v>
      </c>
      <c r="C3509" s="1">
        <v>1024627.7590639615</v>
      </c>
      <c r="D3509" s="1">
        <f t="shared" si="54"/>
        <v>-154618.07096396142</v>
      </c>
      <c r="E3509" s="1">
        <v>19</v>
      </c>
      <c r="F3509" s="1">
        <v>12</v>
      </c>
      <c r="G3509" s="1">
        <v>4</v>
      </c>
      <c r="H3509" s="1">
        <v>0</v>
      </c>
      <c r="I3509" s="1">
        <v>0</v>
      </c>
      <c r="J3509" s="1">
        <v>2</v>
      </c>
      <c r="K3509" s="1">
        <v>0</v>
      </c>
      <c r="L3509" s="1">
        <v>0</v>
      </c>
      <c r="M3509" s="1">
        <v>0</v>
      </c>
    </row>
    <row r="3510" spans="1:13">
      <c r="A3510" s="1">
        <v>3509</v>
      </c>
      <c r="B3510" s="1">
        <v>1055994.8733999999</v>
      </c>
      <c r="C3510" s="1">
        <v>1104478.1027902723</v>
      </c>
      <c r="D3510" s="1">
        <f t="shared" si="54"/>
        <v>-48483.229390272405</v>
      </c>
      <c r="E3510" s="1">
        <v>5</v>
      </c>
      <c r="F3510" s="1">
        <v>24</v>
      </c>
      <c r="G3510" s="1">
        <v>6</v>
      </c>
      <c r="H3510" s="1">
        <v>2</v>
      </c>
      <c r="I3510" s="1">
        <v>0</v>
      </c>
      <c r="J3510" s="1">
        <v>0</v>
      </c>
      <c r="K3510" s="1">
        <v>1</v>
      </c>
      <c r="L3510" s="1">
        <v>0</v>
      </c>
      <c r="M3510" s="1">
        <v>1</v>
      </c>
    </row>
    <row r="3511" spans="1:13">
      <c r="A3511" s="1">
        <v>3510</v>
      </c>
      <c r="B3511" s="1">
        <v>949179.67520000006</v>
      </c>
      <c r="C3511" s="1">
        <v>1055324.3882974277</v>
      </c>
      <c r="D3511" s="1">
        <f t="shared" si="54"/>
        <v>-106144.71309742762</v>
      </c>
      <c r="E3511" s="1">
        <v>14</v>
      </c>
      <c r="F3511" s="1">
        <v>17</v>
      </c>
      <c r="G3511" s="1">
        <v>4</v>
      </c>
      <c r="H3511" s="1">
        <v>1</v>
      </c>
      <c r="I3511" s="1">
        <v>0</v>
      </c>
      <c r="J3511" s="1">
        <v>0</v>
      </c>
      <c r="K3511" s="1">
        <v>2</v>
      </c>
      <c r="L3511" s="1">
        <v>0</v>
      </c>
      <c r="M3511" s="1">
        <v>0</v>
      </c>
    </row>
    <row r="3512" spans="1:13">
      <c r="A3512" s="1">
        <v>3511</v>
      </c>
      <c r="B3512" s="1">
        <v>833280.57250000001</v>
      </c>
      <c r="C3512" s="1">
        <v>1248678.9222015496</v>
      </c>
      <c r="D3512" s="1">
        <f t="shared" si="54"/>
        <v>-415398.34970154963</v>
      </c>
      <c r="E3512" s="1">
        <v>21</v>
      </c>
      <c r="F3512" s="1">
        <v>9</v>
      </c>
      <c r="G3512" s="1">
        <v>5</v>
      </c>
      <c r="H3512" s="1">
        <v>1</v>
      </c>
      <c r="I3512" s="1">
        <v>0</v>
      </c>
      <c r="J3512" s="1">
        <v>0</v>
      </c>
      <c r="K3512" s="1">
        <v>1</v>
      </c>
      <c r="L3512" s="1">
        <v>0</v>
      </c>
      <c r="M3512" s="1">
        <v>0</v>
      </c>
    </row>
    <row r="3513" spans="1:13">
      <c r="A3513" s="1">
        <v>3512</v>
      </c>
      <c r="B3513" s="1">
        <v>983625.97030000004</v>
      </c>
      <c r="C3513" s="1">
        <v>857781.87543680053</v>
      </c>
      <c r="D3513" s="1">
        <f t="shared" si="54"/>
        <v>125844.09486319951</v>
      </c>
      <c r="E3513" s="1">
        <v>8</v>
      </c>
      <c r="F3513" s="1">
        <v>19</v>
      </c>
      <c r="G3513" s="1">
        <v>8</v>
      </c>
      <c r="H3513" s="1">
        <v>0</v>
      </c>
      <c r="I3513" s="1">
        <v>0</v>
      </c>
      <c r="J3513" s="1">
        <v>0</v>
      </c>
      <c r="K3513" s="1">
        <v>0</v>
      </c>
      <c r="L3513" s="1">
        <v>0</v>
      </c>
      <c r="M3513" s="1">
        <v>0</v>
      </c>
    </row>
    <row r="3514" spans="1:13">
      <c r="A3514" s="1">
        <v>3513</v>
      </c>
      <c r="B3514" s="1">
        <v>965840.25780000002</v>
      </c>
      <c r="C3514" s="1">
        <v>987063.72988462856</v>
      </c>
      <c r="D3514" s="1">
        <f t="shared" si="54"/>
        <v>-21223.472084628535</v>
      </c>
      <c r="E3514" s="1">
        <v>9</v>
      </c>
      <c r="F3514" s="1">
        <v>20</v>
      </c>
      <c r="G3514" s="1">
        <v>6</v>
      </c>
      <c r="H3514" s="1">
        <v>1</v>
      </c>
      <c r="I3514" s="1">
        <v>0</v>
      </c>
      <c r="J3514" s="1">
        <v>2</v>
      </c>
      <c r="K3514" s="1">
        <v>0</v>
      </c>
      <c r="L3514" s="1">
        <v>0</v>
      </c>
      <c r="M3514" s="1">
        <v>1</v>
      </c>
    </row>
    <row r="3515" spans="1:13">
      <c r="A3515" s="1">
        <v>3514</v>
      </c>
      <c r="B3515" s="1">
        <v>951940.49349999998</v>
      </c>
      <c r="C3515" s="1">
        <v>802972.55196646368</v>
      </c>
      <c r="D3515" s="1">
        <f t="shared" si="54"/>
        <v>148967.9415335363</v>
      </c>
      <c r="E3515" s="1">
        <v>4</v>
      </c>
      <c r="F3515" s="1">
        <v>26</v>
      </c>
      <c r="G3515" s="1">
        <v>5</v>
      </c>
      <c r="H3515" s="1">
        <v>1</v>
      </c>
      <c r="I3515" s="1">
        <v>1</v>
      </c>
      <c r="J3515" s="1">
        <v>0</v>
      </c>
      <c r="K3515" s="1">
        <v>2</v>
      </c>
      <c r="L3515" s="1">
        <v>0</v>
      </c>
      <c r="M3515" s="1">
        <v>0</v>
      </c>
    </row>
    <row r="3516" spans="1:13">
      <c r="A3516" s="1">
        <v>3515</v>
      </c>
      <c r="B3516" s="1">
        <v>972927.25249999994</v>
      </c>
      <c r="C3516" s="1">
        <v>800318.33969825751</v>
      </c>
      <c r="D3516" s="1">
        <f t="shared" si="54"/>
        <v>172608.91280174244</v>
      </c>
      <c r="E3516" s="1">
        <v>13</v>
      </c>
      <c r="F3516" s="1">
        <v>15</v>
      </c>
      <c r="G3516" s="1">
        <v>7</v>
      </c>
      <c r="H3516" s="1">
        <v>1</v>
      </c>
      <c r="I3516" s="1">
        <v>0</v>
      </c>
      <c r="J3516" s="1">
        <v>0</v>
      </c>
      <c r="K3516" s="1">
        <v>1</v>
      </c>
      <c r="L3516" s="1">
        <v>0</v>
      </c>
      <c r="M3516" s="1">
        <v>0</v>
      </c>
    </row>
    <row r="3517" spans="1:13">
      <c r="A3517" s="1">
        <v>3516</v>
      </c>
      <c r="B3517" s="1">
        <v>897691.04639999999</v>
      </c>
      <c r="C3517" s="1">
        <v>811828.46584637754</v>
      </c>
      <c r="D3517" s="1">
        <f t="shared" si="54"/>
        <v>85862.580553622451</v>
      </c>
      <c r="E3517" s="1">
        <v>16</v>
      </c>
      <c r="F3517" s="1">
        <v>15</v>
      </c>
      <c r="G3517" s="1">
        <v>4</v>
      </c>
      <c r="H3517" s="1">
        <v>2</v>
      </c>
      <c r="I3517" s="1">
        <v>0</v>
      </c>
      <c r="J3517" s="1">
        <v>1</v>
      </c>
      <c r="K3517" s="1">
        <v>0</v>
      </c>
      <c r="L3517" s="1">
        <v>1</v>
      </c>
      <c r="M3517" s="1">
        <v>0</v>
      </c>
    </row>
    <row r="3518" spans="1:13">
      <c r="A3518" s="1">
        <v>3517</v>
      </c>
      <c r="B3518" s="1">
        <v>1003201.6135</v>
      </c>
      <c r="C3518" s="1">
        <v>687275.46939874243</v>
      </c>
      <c r="D3518" s="1">
        <f t="shared" si="54"/>
        <v>315926.14410125755</v>
      </c>
      <c r="E3518" s="1">
        <v>12</v>
      </c>
      <c r="F3518" s="1">
        <v>19</v>
      </c>
      <c r="G3518" s="1">
        <v>4</v>
      </c>
      <c r="H3518" s="1">
        <v>1</v>
      </c>
      <c r="I3518" s="1">
        <v>0</v>
      </c>
      <c r="J3518" s="1">
        <v>1</v>
      </c>
      <c r="K3518" s="1">
        <v>0</v>
      </c>
      <c r="L3518" s="1">
        <v>0</v>
      </c>
      <c r="M3518" s="1">
        <v>0</v>
      </c>
    </row>
    <row r="3519" spans="1:13">
      <c r="A3519" s="1">
        <v>3518</v>
      </c>
      <c r="B3519" s="1">
        <v>924492.9939</v>
      </c>
      <c r="C3519" s="1">
        <v>856929.62044073618</v>
      </c>
      <c r="D3519" s="1">
        <f t="shared" si="54"/>
        <v>67563.373459263821</v>
      </c>
      <c r="E3519" s="1">
        <v>12</v>
      </c>
      <c r="F3519" s="1">
        <v>18</v>
      </c>
      <c r="G3519" s="1">
        <v>5</v>
      </c>
      <c r="H3519" s="1">
        <v>2</v>
      </c>
      <c r="I3519" s="1">
        <v>0</v>
      </c>
      <c r="J3519" s="1">
        <v>0</v>
      </c>
      <c r="K3519" s="1">
        <v>2</v>
      </c>
      <c r="L3519" s="1">
        <v>0</v>
      </c>
      <c r="M3519" s="1">
        <v>1</v>
      </c>
    </row>
    <row r="3520" spans="1:13">
      <c r="A3520" s="1">
        <v>3519</v>
      </c>
      <c r="B3520" s="1">
        <v>764019.42740000004</v>
      </c>
      <c r="C3520" s="1">
        <v>917388.07777241094</v>
      </c>
      <c r="D3520" s="1">
        <f t="shared" si="54"/>
        <v>-153368.65037241089</v>
      </c>
      <c r="E3520" s="1">
        <v>24</v>
      </c>
      <c r="F3520" s="1">
        <v>7</v>
      </c>
      <c r="G3520" s="1">
        <v>4</v>
      </c>
      <c r="H3520" s="1">
        <v>0</v>
      </c>
      <c r="I3520" s="1">
        <v>1</v>
      </c>
      <c r="J3520" s="1">
        <v>1</v>
      </c>
      <c r="K3520" s="1">
        <v>1</v>
      </c>
      <c r="L3520" s="1">
        <v>0</v>
      </c>
      <c r="M3520" s="1">
        <v>0</v>
      </c>
    </row>
    <row r="3521" spans="1:13">
      <c r="A3521" s="1">
        <v>3520</v>
      </c>
      <c r="B3521" s="1">
        <v>934101.43709999998</v>
      </c>
      <c r="C3521" s="1">
        <v>901686.50686181465</v>
      </c>
      <c r="D3521" s="1">
        <f t="shared" si="54"/>
        <v>32414.930238185334</v>
      </c>
      <c r="E3521" s="1">
        <v>9</v>
      </c>
      <c r="F3521" s="1">
        <v>17</v>
      </c>
      <c r="G3521" s="1">
        <v>9</v>
      </c>
      <c r="H3521" s="1">
        <v>1</v>
      </c>
      <c r="I3521" s="1">
        <v>1</v>
      </c>
      <c r="J3521" s="1">
        <v>2</v>
      </c>
      <c r="K3521" s="1">
        <v>0</v>
      </c>
      <c r="L3521" s="1">
        <v>0</v>
      </c>
      <c r="M3521" s="1">
        <v>1</v>
      </c>
    </row>
    <row r="3522" spans="1:13">
      <c r="A3522" s="1">
        <v>3521</v>
      </c>
      <c r="B3522" s="1">
        <v>921468.78020000004</v>
      </c>
      <c r="C3522" s="1">
        <v>945313.27780002519</v>
      </c>
      <c r="D3522" s="1">
        <f t="shared" ref="D3522:D3585" si="55">B3522-C3522</f>
        <v>-23844.497600025148</v>
      </c>
      <c r="E3522" s="1">
        <v>7</v>
      </c>
      <c r="F3522" s="1">
        <v>23</v>
      </c>
      <c r="G3522" s="1">
        <v>5</v>
      </c>
      <c r="H3522" s="1">
        <v>0</v>
      </c>
      <c r="I3522" s="1">
        <v>0</v>
      </c>
      <c r="J3522" s="1">
        <v>2</v>
      </c>
      <c r="K3522" s="1">
        <v>0</v>
      </c>
      <c r="L3522" s="1">
        <v>0</v>
      </c>
      <c r="M3522" s="1">
        <v>0</v>
      </c>
    </row>
    <row r="3523" spans="1:13">
      <c r="A3523" s="1">
        <v>3522</v>
      </c>
      <c r="B3523" s="1">
        <v>957851.50360000005</v>
      </c>
      <c r="C3523" s="1">
        <v>803790.39448658389</v>
      </c>
      <c r="D3523" s="1">
        <f t="shared" si="55"/>
        <v>154061.10911341617</v>
      </c>
      <c r="E3523" s="1">
        <v>5</v>
      </c>
      <c r="F3523" s="1">
        <v>26</v>
      </c>
      <c r="G3523" s="1">
        <v>4</v>
      </c>
      <c r="H3523" s="1">
        <v>1</v>
      </c>
      <c r="I3523" s="1">
        <v>0</v>
      </c>
      <c r="J3523" s="1">
        <v>2</v>
      </c>
      <c r="K3523" s="1">
        <v>0</v>
      </c>
      <c r="L3523" s="1">
        <v>0</v>
      </c>
      <c r="M3523" s="1">
        <v>0</v>
      </c>
    </row>
    <row r="3524" spans="1:13">
      <c r="A3524" s="1">
        <v>3523</v>
      </c>
      <c r="B3524" s="1">
        <v>918284.33470000001</v>
      </c>
      <c r="C3524" s="1">
        <v>918487.90764226788</v>
      </c>
      <c r="D3524" s="1">
        <f t="shared" si="55"/>
        <v>-203.57294226787053</v>
      </c>
      <c r="E3524" s="1">
        <v>13</v>
      </c>
      <c r="F3524" s="1">
        <v>18</v>
      </c>
      <c r="G3524" s="1">
        <v>4</v>
      </c>
      <c r="H3524" s="1">
        <v>1</v>
      </c>
      <c r="I3524" s="1">
        <v>0</v>
      </c>
      <c r="J3524" s="1">
        <v>0</v>
      </c>
      <c r="K3524" s="1">
        <v>1</v>
      </c>
      <c r="L3524" s="1">
        <v>0</v>
      </c>
      <c r="M3524" s="1">
        <v>1</v>
      </c>
    </row>
    <row r="3525" spans="1:13">
      <c r="A3525" s="1">
        <v>3524</v>
      </c>
      <c r="B3525" s="1">
        <v>893932.25399999996</v>
      </c>
      <c r="C3525" s="1">
        <v>1014721.9143233795</v>
      </c>
      <c r="D3525" s="1">
        <f t="shared" si="55"/>
        <v>-120789.66032337956</v>
      </c>
      <c r="E3525" s="1">
        <v>15</v>
      </c>
      <c r="F3525" s="1">
        <v>17</v>
      </c>
      <c r="G3525" s="1">
        <v>3</v>
      </c>
      <c r="H3525" s="1">
        <v>2</v>
      </c>
      <c r="I3525" s="1">
        <v>0</v>
      </c>
      <c r="J3525" s="1">
        <v>0</v>
      </c>
      <c r="K3525" s="1">
        <v>0</v>
      </c>
      <c r="L3525" s="1">
        <v>0</v>
      </c>
      <c r="M3525" s="1">
        <v>1</v>
      </c>
    </row>
    <row r="3526" spans="1:13">
      <c r="A3526" s="1">
        <v>3525</v>
      </c>
      <c r="B3526" s="1">
        <v>878106.19279999996</v>
      </c>
      <c r="C3526" s="1">
        <v>738776.19056960905</v>
      </c>
      <c r="D3526" s="1">
        <f t="shared" si="55"/>
        <v>139330.00223039091</v>
      </c>
      <c r="E3526" s="1">
        <v>7</v>
      </c>
      <c r="F3526" s="1">
        <v>22</v>
      </c>
      <c r="G3526" s="1">
        <v>6</v>
      </c>
      <c r="H3526" s="1">
        <v>1</v>
      </c>
      <c r="I3526" s="1">
        <v>0</v>
      </c>
      <c r="J3526" s="1">
        <v>0</v>
      </c>
      <c r="K3526" s="1">
        <v>0</v>
      </c>
      <c r="L3526" s="1">
        <v>1</v>
      </c>
      <c r="M3526" s="1">
        <v>0</v>
      </c>
    </row>
    <row r="3527" spans="1:13">
      <c r="A3527" s="1">
        <v>3526</v>
      </c>
      <c r="B3527" s="1">
        <v>948705.68900000001</v>
      </c>
      <c r="C3527" s="1">
        <v>1571779.541614173</v>
      </c>
      <c r="D3527" s="1">
        <f t="shared" si="55"/>
        <v>-623073.85261417297</v>
      </c>
      <c r="E3527" s="1">
        <v>10</v>
      </c>
      <c r="F3527" s="1">
        <v>19</v>
      </c>
      <c r="G3527" s="1">
        <v>6</v>
      </c>
      <c r="H3527" s="1">
        <v>1</v>
      </c>
      <c r="I3527" s="1">
        <v>0</v>
      </c>
      <c r="J3527" s="1">
        <v>1</v>
      </c>
      <c r="K3527" s="1">
        <v>1</v>
      </c>
      <c r="L3527" s="1">
        <v>0</v>
      </c>
      <c r="M3527" s="1">
        <v>0</v>
      </c>
    </row>
    <row r="3528" spans="1:13">
      <c r="A3528" s="1">
        <v>3527</v>
      </c>
      <c r="B3528" s="1">
        <v>941235.24069999997</v>
      </c>
      <c r="C3528" s="1">
        <v>829409.68623943219</v>
      </c>
      <c r="D3528" s="1">
        <f t="shared" si="55"/>
        <v>111825.55446056777</v>
      </c>
      <c r="E3528" s="1">
        <v>12</v>
      </c>
      <c r="F3528" s="1">
        <v>16</v>
      </c>
      <c r="G3528" s="1">
        <v>7</v>
      </c>
      <c r="H3528" s="1">
        <v>2</v>
      </c>
      <c r="I3528" s="1">
        <v>0</v>
      </c>
      <c r="J3528" s="1">
        <v>1</v>
      </c>
      <c r="K3528" s="1">
        <v>0</v>
      </c>
      <c r="L3528" s="1">
        <v>0</v>
      </c>
      <c r="M3528" s="1">
        <v>0</v>
      </c>
    </row>
    <row r="3529" spans="1:13">
      <c r="A3529" s="1">
        <v>3528</v>
      </c>
      <c r="B3529" s="1">
        <v>990424.73849999998</v>
      </c>
      <c r="C3529" s="1">
        <v>619943.50364189886</v>
      </c>
      <c r="D3529" s="1">
        <f t="shared" si="55"/>
        <v>370481.23485810112</v>
      </c>
      <c r="E3529" s="1">
        <v>7</v>
      </c>
      <c r="F3529" s="1">
        <v>25</v>
      </c>
      <c r="G3529" s="1">
        <v>3</v>
      </c>
      <c r="H3529" s="1">
        <v>2</v>
      </c>
      <c r="I3529" s="1">
        <v>0</v>
      </c>
      <c r="J3529" s="1">
        <v>1</v>
      </c>
      <c r="K3529" s="1">
        <v>1</v>
      </c>
      <c r="L3529" s="1">
        <v>0</v>
      </c>
      <c r="M3529" s="1">
        <v>1</v>
      </c>
    </row>
    <row r="3530" spans="1:13">
      <c r="A3530" s="1">
        <v>3529</v>
      </c>
      <c r="B3530" s="1">
        <v>932399.6017</v>
      </c>
      <c r="C3530" s="1">
        <v>908769.58094058419</v>
      </c>
      <c r="D3530" s="1">
        <f t="shared" si="55"/>
        <v>23630.020759415813</v>
      </c>
      <c r="E3530" s="1">
        <v>14</v>
      </c>
      <c r="F3530" s="1">
        <v>16</v>
      </c>
      <c r="G3530" s="1">
        <v>5</v>
      </c>
      <c r="H3530" s="1">
        <v>1</v>
      </c>
      <c r="I3530" s="1">
        <v>0</v>
      </c>
      <c r="J3530" s="1">
        <v>0</v>
      </c>
      <c r="K3530" s="1">
        <v>0</v>
      </c>
      <c r="L3530" s="1">
        <v>0</v>
      </c>
      <c r="M3530" s="1">
        <v>0</v>
      </c>
    </row>
    <row r="3531" spans="1:13">
      <c r="A3531" s="1">
        <v>3530</v>
      </c>
      <c r="B3531" s="1">
        <v>1044147.2569</v>
      </c>
      <c r="C3531" s="1">
        <v>1099105.3750411158</v>
      </c>
      <c r="D3531" s="1">
        <f t="shared" si="55"/>
        <v>-54958.118141115759</v>
      </c>
      <c r="E3531" s="1">
        <v>17</v>
      </c>
      <c r="F3531" s="1">
        <v>13</v>
      </c>
      <c r="G3531" s="1">
        <v>5</v>
      </c>
      <c r="H3531" s="1">
        <v>0</v>
      </c>
      <c r="I3531" s="1">
        <v>0</v>
      </c>
      <c r="J3531" s="1">
        <v>0</v>
      </c>
      <c r="K3531" s="1">
        <v>0</v>
      </c>
      <c r="L3531" s="1">
        <v>0</v>
      </c>
      <c r="M3531" s="1">
        <v>1</v>
      </c>
    </row>
    <row r="3532" spans="1:13">
      <c r="A3532" s="1">
        <v>3531</v>
      </c>
      <c r="B3532" s="1">
        <v>1030744.5095</v>
      </c>
      <c r="C3532" s="1">
        <v>555565.61575353122</v>
      </c>
      <c r="D3532" s="1">
        <f t="shared" si="55"/>
        <v>475178.89374646882</v>
      </c>
      <c r="E3532" s="1">
        <v>10</v>
      </c>
      <c r="F3532" s="1">
        <v>19</v>
      </c>
      <c r="G3532" s="1">
        <v>6</v>
      </c>
      <c r="H3532" s="1">
        <v>1</v>
      </c>
      <c r="I3532" s="1">
        <v>0</v>
      </c>
      <c r="J3532" s="1">
        <v>0</v>
      </c>
      <c r="K3532" s="1">
        <v>1</v>
      </c>
      <c r="L3532" s="1">
        <v>0</v>
      </c>
      <c r="M3532" s="1">
        <v>1</v>
      </c>
    </row>
    <row r="3533" spans="1:13">
      <c r="A3533" s="1">
        <v>3532</v>
      </c>
      <c r="B3533" s="1">
        <v>894933.46109999996</v>
      </c>
      <c r="C3533" s="1">
        <v>1274308.9580196445</v>
      </c>
      <c r="D3533" s="1">
        <f t="shared" si="55"/>
        <v>-379375.49691964453</v>
      </c>
      <c r="E3533" s="1">
        <v>7</v>
      </c>
      <c r="F3533" s="1">
        <v>24</v>
      </c>
      <c r="G3533" s="1">
        <v>4</v>
      </c>
      <c r="H3533" s="1">
        <v>0</v>
      </c>
      <c r="I3533" s="1">
        <v>2</v>
      </c>
      <c r="J3533" s="1">
        <v>1</v>
      </c>
      <c r="K3533" s="1">
        <v>0</v>
      </c>
      <c r="L3533" s="1">
        <v>0</v>
      </c>
      <c r="M3533" s="1">
        <v>0</v>
      </c>
    </row>
    <row r="3534" spans="1:13">
      <c r="A3534" s="1">
        <v>3533</v>
      </c>
      <c r="B3534" s="1">
        <v>867089.51379999996</v>
      </c>
      <c r="C3534" s="1">
        <v>840717.03334256413</v>
      </c>
      <c r="D3534" s="1">
        <f t="shared" si="55"/>
        <v>26372.480457435828</v>
      </c>
      <c r="E3534" s="1">
        <v>13</v>
      </c>
      <c r="F3534" s="1">
        <v>16</v>
      </c>
      <c r="G3534" s="1">
        <v>6</v>
      </c>
      <c r="H3534" s="1">
        <v>1</v>
      </c>
      <c r="I3534" s="1">
        <v>1</v>
      </c>
      <c r="J3534" s="1">
        <v>2</v>
      </c>
      <c r="K3534" s="1">
        <v>0</v>
      </c>
      <c r="L3534" s="1">
        <v>0</v>
      </c>
      <c r="M3534" s="1">
        <v>0</v>
      </c>
    </row>
    <row r="3535" spans="1:13">
      <c r="A3535" s="1">
        <v>3534</v>
      </c>
      <c r="B3535" s="1">
        <v>899835.86399999994</v>
      </c>
      <c r="C3535" s="1">
        <v>728009.46022551914</v>
      </c>
      <c r="D3535" s="1">
        <f t="shared" si="55"/>
        <v>171826.4037744808</v>
      </c>
      <c r="E3535" s="1">
        <v>16</v>
      </c>
      <c r="F3535" s="1">
        <v>16</v>
      </c>
      <c r="G3535" s="1">
        <v>3</v>
      </c>
      <c r="H3535" s="1">
        <v>2</v>
      </c>
      <c r="I3535" s="1">
        <v>0</v>
      </c>
      <c r="J3535" s="1">
        <v>0</v>
      </c>
      <c r="K3535" s="1">
        <v>1</v>
      </c>
      <c r="L3535" s="1">
        <v>0</v>
      </c>
      <c r="M3535" s="1">
        <v>1</v>
      </c>
    </row>
    <row r="3536" spans="1:13">
      <c r="A3536" s="1">
        <v>3535</v>
      </c>
      <c r="B3536" s="1">
        <v>987588.64820000005</v>
      </c>
      <c r="C3536" s="1">
        <v>1171941.6641501938</v>
      </c>
      <c r="D3536" s="1">
        <f t="shared" si="55"/>
        <v>-184353.01595019375</v>
      </c>
      <c r="E3536" s="1">
        <v>12</v>
      </c>
      <c r="F3536" s="1">
        <v>19</v>
      </c>
      <c r="G3536" s="1">
        <v>4</v>
      </c>
      <c r="H3536" s="1">
        <v>0</v>
      </c>
      <c r="I3536" s="1">
        <v>0</v>
      </c>
      <c r="J3536" s="1">
        <v>1</v>
      </c>
      <c r="K3536" s="1">
        <v>0</v>
      </c>
      <c r="L3536" s="1">
        <v>0</v>
      </c>
      <c r="M3536" s="1">
        <v>0</v>
      </c>
    </row>
    <row r="3537" spans="1:13">
      <c r="A3537" s="1">
        <v>3536</v>
      </c>
      <c r="B3537" s="1">
        <v>852889.98549999995</v>
      </c>
      <c r="C3537" s="1">
        <v>691300.43789872725</v>
      </c>
      <c r="D3537" s="1">
        <f t="shared" si="55"/>
        <v>161589.5476012727</v>
      </c>
      <c r="E3537" s="1">
        <v>16</v>
      </c>
      <c r="F3537" s="1">
        <v>15</v>
      </c>
      <c r="G3537" s="1">
        <v>4</v>
      </c>
      <c r="H3537" s="1">
        <v>1</v>
      </c>
      <c r="I3537" s="1">
        <v>0</v>
      </c>
      <c r="J3537" s="1">
        <v>0</v>
      </c>
      <c r="K3537" s="1">
        <v>0</v>
      </c>
      <c r="L3537" s="1">
        <v>0</v>
      </c>
      <c r="M3537" s="1">
        <v>0</v>
      </c>
    </row>
    <row r="3538" spans="1:13">
      <c r="A3538" s="1">
        <v>3537</v>
      </c>
      <c r="B3538" s="1">
        <v>921124.34629999998</v>
      </c>
      <c r="C3538" s="1">
        <v>762824.71118357009</v>
      </c>
      <c r="D3538" s="1">
        <f t="shared" si="55"/>
        <v>158299.63511642988</v>
      </c>
      <c r="E3538" s="1">
        <v>14</v>
      </c>
      <c r="F3538" s="1">
        <v>19</v>
      </c>
      <c r="G3538" s="1">
        <v>2</v>
      </c>
      <c r="H3538" s="1">
        <v>2</v>
      </c>
      <c r="I3538" s="1">
        <v>0</v>
      </c>
      <c r="J3538" s="1">
        <v>0</v>
      </c>
      <c r="K3538" s="1">
        <v>0</v>
      </c>
      <c r="L3538" s="1">
        <v>0</v>
      </c>
      <c r="M3538" s="1">
        <v>0</v>
      </c>
    </row>
    <row r="3539" spans="1:13">
      <c r="A3539" s="1">
        <v>3538</v>
      </c>
      <c r="B3539" s="1">
        <v>946142.44700000004</v>
      </c>
      <c r="C3539" s="1">
        <v>538796.01001569093</v>
      </c>
      <c r="D3539" s="1">
        <f t="shared" si="55"/>
        <v>407346.43698430911</v>
      </c>
      <c r="E3539" s="1">
        <v>10</v>
      </c>
      <c r="F3539" s="1">
        <v>22</v>
      </c>
      <c r="G3539" s="1">
        <v>3</v>
      </c>
      <c r="H3539" s="1">
        <v>2</v>
      </c>
      <c r="I3539" s="1">
        <v>0</v>
      </c>
      <c r="J3539" s="1">
        <v>1</v>
      </c>
      <c r="K3539" s="1">
        <v>1</v>
      </c>
      <c r="L3539" s="1">
        <v>0</v>
      </c>
      <c r="M3539" s="1">
        <v>0</v>
      </c>
    </row>
    <row r="3540" spans="1:13">
      <c r="A3540" s="1">
        <v>3539</v>
      </c>
      <c r="B3540" s="1">
        <v>962443.40430000005</v>
      </c>
      <c r="C3540" s="1">
        <v>954118.63557093299</v>
      </c>
      <c r="D3540" s="1">
        <f t="shared" si="55"/>
        <v>8324.7687290670583</v>
      </c>
      <c r="E3540" s="1">
        <v>7</v>
      </c>
      <c r="F3540" s="1">
        <v>24</v>
      </c>
      <c r="G3540" s="1">
        <v>4</v>
      </c>
      <c r="H3540" s="1">
        <v>0</v>
      </c>
      <c r="I3540" s="1">
        <v>1</v>
      </c>
      <c r="J3540" s="1">
        <v>2</v>
      </c>
      <c r="K3540" s="1">
        <v>0</v>
      </c>
      <c r="L3540" s="1">
        <v>0</v>
      </c>
      <c r="M3540" s="1">
        <v>0</v>
      </c>
    </row>
    <row r="3541" spans="1:13">
      <c r="A3541" s="1">
        <v>3540</v>
      </c>
      <c r="B3541" s="1">
        <v>870510.70770000003</v>
      </c>
      <c r="C3541" s="1">
        <v>1035834.859167306</v>
      </c>
      <c r="D3541" s="1">
        <f t="shared" si="55"/>
        <v>-165324.15146730596</v>
      </c>
      <c r="E3541" s="1">
        <v>20</v>
      </c>
      <c r="F3541" s="1">
        <v>11</v>
      </c>
      <c r="G3541" s="1">
        <v>4</v>
      </c>
      <c r="H3541" s="1">
        <v>1</v>
      </c>
      <c r="I3541" s="1">
        <v>0</v>
      </c>
      <c r="J3541" s="1">
        <v>0</v>
      </c>
      <c r="K3541" s="1">
        <v>1</v>
      </c>
      <c r="L3541" s="1">
        <v>0</v>
      </c>
      <c r="M3541" s="1">
        <v>0</v>
      </c>
    </row>
    <row r="3542" spans="1:13">
      <c r="A3542" s="1">
        <v>3541</v>
      </c>
      <c r="B3542" s="1">
        <v>913798.95209999999</v>
      </c>
      <c r="C3542" s="1">
        <v>775452.47870686452</v>
      </c>
      <c r="D3542" s="1">
        <f t="shared" si="55"/>
        <v>138346.47339313547</v>
      </c>
      <c r="E3542" s="1">
        <v>8</v>
      </c>
      <c r="F3542" s="1">
        <v>24</v>
      </c>
      <c r="G3542" s="1">
        <v>3</v>
      </c>
      <c r="H3542" s="1">
        <v>0</v>
      </c>
      <c r="I3542" s="1">
        <v>0</v>
      </c>
      <c r="J3542" s="1">
        <v>0</v>
      </c>
      <c r="K3542" s="1">
        <v>1</v>
      </c>
      <c r="L3542" s="1">
        <v>0</v>
      </c>
      <c r="M3542" s="1">
        <v>0</v>
      </c>
    </row>
    <row r="3543" spans="1:13">
      <c r="A3543" s="1">
        <v>3542</v>
      </c>
      <c r="B3543" s="1">
        <v>1039328.5089</v>
      </c>
      <c r="C3543" s="1">
        <v>773882.92164320906</v>
      </c>
      <c r="D3543" s="1">
        <f t="shared" si="55"/>
        <v>265445.58725679095</v>
      </c>
      <c r="E3543" s="1">
        <v>4</v>
      </c>
      <c r="F3543" s="1">
        <v>25</v>
      </c>
      <c r="G3543" s="1">
        <v>6</v>
      </c>
      <c r="H3543" s="1">
        <v>1</v>
      </c>
      <c r="I3543" s="1">
        <v>0</v>
      </c>
      <c r="J3543" s="1">
        <v>0</v>
      </c>
      <c r="K3543" s="1">
        <v>0</v>
      </c>
      <c r="L3543" s="1">
        <v>1</v>
      </c>
      <c r="M3543" s="1">
        <v>0</v>
      </c>
    </row>
    <row r="3544" spans="1:13">
      <c r="A3544" s="1">
        <v>3543</v>
      </c>
      <c r="B3544" s="1">
        <v>1034334.6149</v>
      </c>
      <c r="C3544" s="1">
        <v>1078794.0132440005</v>
      </c>
      <c r="D3544" s="1">
        <f t="shared" si="55"/>
        <v>-44459.398344000452</v>
      </c>
      <c r="E3544" s="1">
        <v>7</v>
      </c>
      <c r="F3544" s="1">
        <v>21</v>
      </c>
      <c r="G3544" s="1">
        <v>7</v>
      </c>
      <c r="H3544" s="1">
        <v>0</v>
      </c>
      <c r="I3544" s="1">
        <v>0</v>
      </c>
      <c r="J3544" s="1">
        <v>1</v>
      </c>
      <c r="K3544" s="1">
        <v>0</v>
      </c>
      <c r="L3544" s="1">
        <v>0</v>
      </c>
      <c r="M3544" s="1">
        <v>0</v>
      </c>
    </row>
    <row r="3545" spans="1:13">
      <c r="A3545" s="1">
        <v>3544</v>
      </c>
      <c r="B3545" s="1">
        <v>957897.21409999998</v>
      </c>
      <c r="C3545" s="1">
        <v>597830.76339834009</v>
      </c>
      <c r="D3545" s="1">
        <f t="shared" si="55"/>
        <v>360066.45070165989</v>
      </c>
      <c r="E3545" s="1">
        <v>13</v>
      </c>
      <c r="F3545" s="1">
        <v>17</v>
      </c>
      <c r="G3545" s="1">
        <v>5</v>
      </c>
      <c r="H3545" s="1">
        <v>2</v>
      </c>
      <c r="I3545" s="1">
        <v>0</v>
      </c>
      <c r="J3545" s="1">
        <v>0</v>
      </c>
      <c r="K3545" s="1">
        <v>1</v>
      </c>
      <c r="L3545" s="1">
        <v>0</v>
      </c>
      <c r="M3545" s="1">
        <v>0</v>
      </c>
    </row>
    <row r="3546" spans="1:13">
      <c r="A3546" s="1">
        <v>3545</v>
      </c>
      <c r="B3546" s="1">
        <v>877874.44</v>
      </c>
      <c r="C3546" s="1">
        <v>699211.57088754326</v>
      </c>
      <c r="D3546" s="1">
        <f t="shared" si="55"/>
        <v>178662.86911245668</v>
      </c>
      <c r="E3546" s="1">
        <v>10</v>
      </c>
      <c r="F3546" s="1">
        <v>19</v>
      </c>
      <c r="G3546" s="1">
        <v>6</v>
      </c>
      <c r="H3546" s="1">
        <v>0</v>
      </c>
      <c r="I3546" s="1">
        <v>0</v>
      </c>
      <c r="J3546" s="1">
        <v>0</v>
      </c>
      <c r="K3546" s="1">
        <v>0</v>
      </c>
      <c r="L3546" s="1">
        <v>0</v>
      </c>
      <c r="M3546" s="1">
        <v>0</v>
      </c>
    </row>
    <row r="3547" spans="1:13">
      <c r="A3547" s="1">
        <v>3546</v>
      </c>
      <c r="B3547" s="1">
        <v>921797.23560000001</v>
      </c>
      <c r="C3547" s="1">
        <v>882775.05157064227</v>
      </c>
      <c r="D3547" s="1">
        <f t="shared" si="55"/>
        <v>39022.184029357741</v>
      </c>
      <c r="E3547" s="1">
        <v>18</v>
      </c>
      <c r="F3547" s="1">
        <v>14</v>
      </c>
      <c r="G3547" s="1">
        <v>3</v>
      </c>
      <c r="H3547" s="1">
        <v>1</v>
      </c>
      <c r="I3547" s="1">
        <v>0</v>
      </c>
      <c r="J3547" s="1">
        <v>0</v>
      </c>
      <c r="K3547" s="1">
        <v>0</v>
      </c>
      <c r="L3547" s="1">
        <v>0</v>
      </c>
      <c r="M3547" s="1">
        <v>0</v>
      </c>
    </row>
    <row r="3548" spans="1:13">
      <c r="A3548" s="1">
        <v>3547</v>
      </c>
      <c r="B3548" s="1">
        <v>1005509.2093</v>
      </c>
      <c r="C3548" s="1">
        <v>744742.99176511052</v>
      </c>
      <c r="D3548" s="1">
        <f t="shared" si="55"/>
        <v>260766.21753488947</v>
      </c>
      <c r="E3548" s="1">
        <v>11</v>
      </c>
      <c r="F3548" s="1">
        <v>19</v>
      </c>
      <c r="G3548" s="1">
        <v>5</v>
      </c>
      <c r="H3548" s="1">
        <v>0</v>
      </c>
      <c r="I3548" s="1">
        <v>1</v>
      </c>
      <c r="J3548" s="1">
        <v>1</v>
      </c>
      <c r="K3548" s="1">
        <v>1</v>
      </c>
      <c r="L3548" s="1">
        <v>0</v>
      </c>
      <c r="M3548" s="1">
        <v>0</v>
      </c>
    </row>
    <row r="3549" spans="1:13">
      <c r="A3549" s="1">
        <v>3548</v>
      </c>
      <c r="B3549" s="1">
        <v>960008.62890000001</v>
      </c>
      <c r="C3549" s="1">
        <v>573831.56718110316</v>
      </c>
      <c r="D3549" s="1">
        <f t="shared" si="55"/>
        <v>386177.06171889685</v>
      </c>
      <c r="E3549" s="1">
        <v>24</v>
      </c>
      <c r="F3549" s="1">
        <v>5</v>
      </c>
      <c r="G3549" s="1">
        <v>6</v>
      </c>
      <c r="H3549" s="1">
        <v>1</v>
      </c>
      <c r="I3549" s="1">
        <v>0</v>
      </c>
      <c r="J3549" s="1">
        <v>0</v>
      </c>
      <c r="K3549" s="1">
        <v>1</v>
      </c>
      <c r="L3549" s="1">
        <v>0</v>
      </c>
      <c r="M3549" s="1">
        <v>0</v>
      </c>
    </row>
    <row r="3550" spans="1:13">
      <c r="A3550" s="1">
        <v>3549</v>
      </c>
      <c r="B3550" s="1">
        <v>923218.43770000001</v>
      </c>
      <c r="C3550" s="1">
        <v>985055.71036344196</v>
      </c>
      <c r="D3550" s="1">
        <f t="shared" si="55"/>
        <v>-61837.272663441952</v>
      </c>
      <c r="E3550" s="1">
        <v>16</v>
      </c>
      <c r="F3550" s="1">
        <v>14</v>
      </c>
      <c r="G3550" s="1">
        <v>5</v>
      </c>
      <c r="H3550" s="1">
        <v>1</v>
      </c>
      <c r="I3550" s="1">
        <v>0</v>
      </c>
      <c r="J3550" s="1">
        <v>1</v>
      </c>
      <c r="K3550" s="1">
        <v>1</v>
      </c>
      <c r="L3550" s="1">
        <v>0</v>
      </c>
      <c r="M3550" s="1">
        <v>0</v>
      </c>
    </row>
    <row r="3551" spans="1:13">
      <c r="A3551" s="1">
        <v>3550</v>
      </c>
      <c r="B3551" s="1">
        <v>811079.49899999995</v>
      </c>
      <c r="C3551" s="1">
        <v>1125078.4290624121</v>
      </c>
      <c r="D3551" s="1">
        <f t="shared" si="55"/>
        <v>-313998.93006241217</v>
      </c>
      <c r="E3551" s="1">
        <v>16</v>
      </c>
      <c r="F3551" s="1">
        <v>11</v>
      </c>
      <c r="G3551" s="1">
        <v>8</v>
      </c>
      <c r="H3551" s="1">
        <v>2</v>
      </c>
      <c r="I3551" s="1">
        <v>0</v>
      </c>
      <c r="J3551" s="1">
        <v>2</v>
      </c>
      <c r="K3551" s="1">
        <v>0</v>
      </c>
      <c r="L3551" s="1">
        <v>0</v>
      </c>
      <c r="M3551" s="1">
        <v>0</v>
      </c>
    </row>
    <row r="3552" spans="1:13">
      <c r="A3552" s="1">
        <v>3551</v>
      </c>
      <c r="B3552" s="1">
        <v>955643.24109999998</v>
      </c>
      <c r="C3552" s="1">
        <v>887808.9074787827</v>
      </c>
      <c r="D3552" s="1">
        <f t="shared" si="55"/>
        <v>67834.333621217287</v>
      </c>
      <c r="E3552" s="1">
        <v>16</v>
      </c>
      <c r="F3552" s="1">
        <v>14</v>
      </c>
      <c r="G3552" s="1">
        <v>5</v>
      </c>
      <c r="H3552" s="1">
        <v>2</v>
      </c>
      <c r="I3552" s="1">
        <v>0</v>
      </c>
      <c r="J3552" s="1">
        <v>0</v>
      </c>
      <c r="K3552" s="1">
        <v>0</v>
      </c>
      <c r="L3552" s="1">
        <v>0</v>
      </c>
      <c r="M3552" s="1">
        <v>0</v>
      </c>
    </row>
    <row r="3553" spans="1:13">
      <c r="A3553" s="1">
        <v>3552</v>
      </c>
      <c r="B3553" s="1">
        <v>896548.25399999996</v>
      </c>
      <c r="C3553" s="1">
        <v>1224224.6142287413</v>
      </c>
      <c r="D3553" s="1">
        <f t="shared" si="55"/>
        <v>-327676.36022874131</v>
      </c>
      <c r="E3553" s="1">
        <v>20</v>
      </c>
      <c r="F3553" s="1">
        <v>10</v>
      </c>
      <c r="G3553" s="1">
        <v>5</v>
      </c>
      <c r="H3553" s="1">
        <v>1</v>
      </c>
      <c r="I3553" s="1">
        <v>0</v>
      </c>
      <c r="J3553" s="1">
        <v>1</v>
      </c>
      <c r="K3553" s="1">
        <v>1</v>
      </c>
      <c r="L3553" s="1">
        <v>0</v>
      </c>
      <c r="M3553" s="1">
        <v>1</v>
      </c>
    </row>
    <row r="3554" spans="1:13">
      <c r="A3554" s="1">
        <v>3553</v>
      </c>
      <c r="B3554" s="1">
        <v>962422.77619999996</v>
      </c>
      <c r="C3554" s="1">
        <v>1114494.0101588506</v>
      </c>
      <c r="D3554" s="1">
        <f t="shared" si="55"/>
        <v>-152071.23395885061</v>
      </c>
      <c r="E3554" s="1">
        <v>8</v>
      </c>
      <c r="F3554" s="1">
        <v>20</v>
      </c>
      <c r="G3554" s="1">
        <v>7</v>
      </c>
      <c r="H3554" s="1">
        <v>0</v>
      </c>
      <c r="I3554" s="1">
        <v>0</v>
      </c>
      <c r="J3554" s="1">
        <v>1</v>
      </c>
      <c r="K3554" s="1">
        <v>1</v>
      </c>
      <c r="L3554" s="1">
        <v>0</v>
      </c>
      <c r="M3554" s="1">
        <v>1</v>
      </c>
    </row>
    <row r="3555" spans="1:13">
      <c r="A3555" s="1">
        <v>3554</v>
      </c>
      <c r="B3555" s="1">
        <v>919035.94400000002</v>
      </c>
      <c r="C3555" s="1">
        <v>876902.75917769899</v>
      </c>
      <c r="D3555" s="1">
        <f t="shared" si="55"/>
        <v>42133.184822301031</v>
      </c>
      <c r="E3555" s="1">
        <v>18</v>
      </c>
      <c r="F3555" s="1">
        <v>12</v>
      </c>
      <c r="G3555" s="1">
        <v>5</v>
      </c>
      <c r="H3555" s="1">
        <v>2</v>
      </c>
      <c r="I3555" s="1">
        <v>0</v>
      </c>
      <c r="J3555" s="1">
        <v>1</v>
      </c>
      <c r="K3555" s="1">
        <v>1</v>
      </c>
      <c r="L3555" s="1">
        <v>0</v>
      </c>
      <c r="M3555" s="1">
        <v>0</v>
      </c>
    </row>
    <row r="3556" spans="1:13">
      <c r="A3556" s="1">
        <v>3555</v>
      </c>
      <c r="B3556" s="1">
        <v>1014975.9123</v>
      </c>
      <c r="C3556" s="1">
        <v>1725104.6614861484</v>
      </c>
      <c r="D3556" s="1">
        <f t="shared" si="55"/>
        <v>-710128.7491861484</v>
      </c>
      <c r="E3556" s="1">
        <v>14</v>
      </c>
      <c r="F3556" s="1">
        <v>17</v>
      </c>
      <c r="G3556" s="1">
        <v>4</v>
      </c>
      <c r="H3556" s="1">
        <v>2</v>
      </c>
      <c r="I3556" s="1">
        <v>0</v>
      </c>
      <c r="J3556" s="1">
        <v>0</v>
      </c>
      <c r="K3556" s="1">
        <v>0</v>
      </c>
      <c r="L3556" s="1">
        <v>0</v>
      </c>
      <c r="M3556" s="1">
        <v>0</v>
      </c>
    </row>
    <row r="3557" spans="1:13">
      <c r="A3557" s="1">
        <v>3556</v>
      </c>
      <c r="B3557" s="1">
        <v>941850.73199999996</v>
      </c>
      <c r="C3557" s="1">
        <v>1374522.7179512675</v>
      </c>
      <c r="D3557" s="1">
        <f t="shared" si="55"/>
        <v>-432671.98595126753</v>
      </c>
      <c r="E3557" s="1">
        <v>12</v>
      </c>
      <c r="F3557" s="1">
        <v>16</v>
      </c>
      <c r="G3557" s="1">
        <v>7</v>
      </c>
      <c r="H3557" s="1">
        <v>1</v>
      </c>
      <c r="I3557" s="1">
        <v>0</v>
      </c>
      <c r="J3557" s="1">
        <v>0</v>
      </c>
      <c r="K3557" s="1">
        <v>2</v>
      </c>
      <c r="L3557" s="1">
        <v>0</v>
      </c>
      <c r="M3557" s="1">
        <v>0</v>
      </c>
    </row>
    <row r="3558" spans="1:13">
      <c r="A3558" s="1">
        <v>3557</v>
      </c>
      <c r="B3558" s="1">
        <v>834709.50309999997</v>
      </c>
      <c r="C3558" s="1">
        <v>704070.25516938453</v>
      </c>
      <c r="D3558" s="1">
        <f t="shared" si="55"/>
        <v>130639.24793061544</v>
      </c>
      <c r="E3558" s="1">
        <v>13</v>
      </c>
      <c r="F3558" s="1">
        <v>15</v>
      </c>
      <c r="G3558" s="1">
        <v>7</v>
      </c>
      <c r="H3558" s="1">
        <v>1</v>
      </c>
      <c r="I3558" s="1">
        <v>0</v>
      </c>
      <c r="J3558" s="1">
        <v>1</v>
      </c>
      <c r="K3558" s="1">
        <v>0</v>
      </c>
      <c r="L3558" s="1">
        <v>1</v>
      </c>
      <c r="M3558" s="1">
        <v>1</v>
      </c>
    </row>
    <row r="3559" spans="1:13">
      <c r="A3559" s="1">
        <v>3558</v>
      </c>
      <c r="B3559" s="1">
        <v>950254.25360000005</v>
      </c>
      <c r="C3559" s="1">
        <v>761905.92556604068</v>
      </c>
      <c r="D3559" s="1">
        <f t="shared" si="55"/>
        <v>188348.32803395938</v>
      </c>
      <c r="E3559" s="1">
        <v>18</v>
      </c>
      <c r="F3559" s="1">
        <v>14</v>
      </c>
      <c r="G3559" s="1">
        <v>3</v>
      </c>
      <c r="H3559" s="1">
        <v>1</v>
      </c>
      <c r="I3559" s="1">
        <v>1</v>
      </c>
      <c r="J3559" s="1">
        <v>1</v>
      </c>
      <c r="K3559" s="1">
        <v>1</v>
      </c>
      <c r="L3559" s="1">
        <v>0</v>
      </c>
      <c r="M3559" s="1">
        <v>0</v>
      </c>
    </row>
    <row r="3560" spans="1:13">
      <c r="A3560" s="1">
        <v>3559</v>
      </c>
      <c r="B3560" s="1">
        <v>845836.07129999995</v>
      </c>
      <c r="C3560" s="1">
        <v>993349.85204463522</v>
      </c>
      <c r="D3560" s="1">
        <f t="shared" si="55"/>
        <v>-147513.78074463527</v>
      </c>
      <c r="E3560" s="1">
        <v>15</v>
      </c>
      <c r="F3560" s="1">
        <v>16</v>
      </c>
      <c r="G3560" s="1">
        <v>4</v>
      </c>
      <c r="H3560" s="1">
        <v>0</v>
      </c>
      <c r="I3560" s="1">
        <v>0</v>
      </c>
      <c r="J3560" s="1">
        <v>0</v>
      </c>
      <c r="K3560" s="1">
        <v>0</v>
      </c>
      <c r="L3560" s="1">
        <v>0</v>
      </c>
      <c r="M3560" s="1">
        <v>0</v>
      </c>
    </row>
    <row r="3561" spans="1:13">
      <c r="A3561" s="1">
        <v>3560</v>
      </c>
      <c r="B3561" s="1">
        <v>910550.68110000005</v>
      </c>
      <c r="C3561" s="1">
        <v>463194.04760899185</v>
      </c>
      <c r="D3561" s="1">
        <f t="shared" si="55"/>
        <v>447356.63349100819</v>
      </c>
      <c r="E3561" s="1">
        <v>15</v>
      </c>
      <c r="F3561" s="1">
        <v>15</v>
      </c>
      <c r="G3561" s="1">
        <v>5</v>
      </c>
      <c r="H3561" s="1">
        <v>0</v>
      </c>
      <c r="I3561" s="1">
        <v>1</v>
      </c>
      <c r="J3561" s="1">
        <v>0</v>
      </c>
      <c r="K3561" s="1">
        <v>0</v>
      </c>
      <c r="L3561" s="1">
        <v>0</v>
      </c>
      <c r="M3561" s="1">
        <v>0</v>
      </c>
    </row>
    <row r="3562" spans="1:13">
      <c r="A3562" s="1">
        <v>3561</v>
      </c>
      <c r="B3562" s="1">
        <v>887118.88199999998</v>
      </c>
      <c r="C3562" s="1">
        <v>748952.35670119862</v>
      </c>
      <c r="D3562" s="1">
        <f t="shared" si="55"/>
        <v>138166.52529880137</v>
      </c>
      <c r="E3562" s="1">
        <v>7</v>
      </c>
      <c r="F3562" s="1">
        <v>24</v>
      </c>
      <c r="G3562" s="1">
        <v>4</v>
      </c>
      <c r="H3562" s="1">
        <v>1</v>
      </c>
      <c r="I3562" s="1">
        <v>0</v>
      </c>
      <c r="J3562" s="1">
        <v>0</v>
      </c>
      <c r="K3562" s="1">
        <v>2</v>
      </c>
      <c r="L3562" s="1">
        <v>0</v>
      </c>
      <c r="M3562" s="1">
        <v>0</v>
      </c>
    </row>
    <row r="3563" spans="1:13">
      <c r="A3563" s="1">
        <v>3562</v>
      </c>
      <c r="B3563" s="1">
        <v>913250.6838</v>
      </c>
      <c r="C3563" s="1">
        <v>1201429.1334960177</v>
      </c>
      <c r="D3563" s="1">
        <f t="shared" si="55"/>
        <v>-288178.44969601766</v>
      </c>
      <c r="E3563" s="1">
        <v>6</v>
      </c>
      <c r="F3563" s="1">
        <v>24</v>
      </c>
      <c r="G3563" s="1">
        <v>5</v>
      </c>
      <c r="H3563" s="1">
        <v>0</v>
      </c>
      <c r="I3563" s="1">
        <v>0</v>
      </c>
      <c r="J3563" s="1">
        <v>0</v>
      </c>
      <c r="K3563" s="1">
        <v>1</v>
      </c>
      <c r="L3563" s="1">
        <v>0</v>
      </c>
      <c r="M3563" s="1">
        <v>1</v>
      </c>
    </row>
    <row r="3564" spans="1:13">
      <c r="A3564" s="1">
        <v>3563</v>
      </c>
      <c r="B3564" s="1">
        <v>885994.28940000001</v>
      </c>
      <c r="C3564" s="1">
        <v>1140586.0989855849</v>
      </c>
      <c r="D3564" s="1">
        <f t="shared" si="55"/>
        <v>-254591.80958558491</v>
      </c>
      <c r="E3564" s="1">
        <v>23</v>
      </c>
      <c r="F3564" s="1">
        <v>10</v>
      </c>
      <c r="G3564" s="1">
        <v>2</v>
      </c>
      <c r="H3564" s="1">
        <v>0</v>
      </c>
      <c r="I3564" s="1">
        <v>0</v>
      </c>
      <c r="J3564" s="1">
        <v>0</v>
      </c>
      <c r="K3564" s="1">
        <v>2</v>
      </c>
      <c r="L3564" s="1">
        <v>0</v>
      </c>
      <c r="M3564" s="1">
        <v>1</v>
      </c>
    </row>
    <row r="3565" spans="1:13">
      <c r="A3565" s="1">
        <v>3564</v>
      </c>
      <c r="B3565" s="1">
        <v>934793.82680000004</v>
      </c>
      <c r="C3565" s="1">
        <v>755337.13476710604</v>
      </c>
      <c r="D3565" s="1">
        <f t="shared" si="55"/>
        <v>179456.692032894</v>
      </c>
      <c r="E3565" s="1">
        <v>9</v>
      </c>
      <c r="F3565" s="1">
        <v>20</v>
      </c>
      <c r="G3565" s="1">
        <v>6</v>
      </c>
      <c r="H3565" s="1">
        <v>0</v>
      </c>
      <c r="I3565" s="1">
        <v>0</v>
      </c>
      <c r="J3565" s="1">
        <v>0</v>
      </c>
      <c r="K3565" s="1">
        <v>1</v>
      </c>
      <c r="L3565" s="1">
        <v>0</v>
      </c>
      <c r="M3565" s="1">
        <v>0</v>
      </c>
    </row>
    <row r="3566" spans="1:13">
      <c r="A3566" s="1">
        <v>3565</v>
      </c>
      <c r="B3566" s="1">
        <v>947728.24399999995</v>
      </c>
      <c r="C3566" s="1">
        <v>1090897.9569159467</v>
      </c>
      <c r="D3566" s="1">
        <f t="shared" si="55"/>
        <v>-143169.71291594673</v>
      </c>
      <c r="E3566" s="1">
        <v>4</v>
      </c>
      <c r="F3566" s="1">
        <v>23</v>
      </c>
      <c r="G3566" s="1">
        <v>8</v>
      </c>
      <c r="H3566" s="1">
        <v>0</v>
      </c>
      <c r="I3566" s="1">
        <v>0</v>
      </c>
      <c r="J3566" s="1">
        <v>0</v>
      </c>
      <c r="K3566" s="1">
        <v>0</v>
      </c>
      <c r="L3566" s="1">
        <v>0</v>
      </c>
      <c r="M3566" s="1">
        <v>1</v>
      </c>
    </row>
    <row r="3567" spans="1:13">
      <c r="A3567" s="1">
        <v>3566</v>
      </c>
      <c r="B3567" s="1">
        <v>1008652.4507</v>
      </c>
      <c r="C3567" s="1">
        <v>826974.37354324933</v>
      </c>
      <c r="D3567" s="1">
        <f t="shared" si="55"/>
        <v>181678.07715675072</v>
      </c>
      <c r="E3567" s="1">
        <v>13</v>
      </c>
      <c r="F3567" s="1">
        <v>14</v>
      </c>
      <c r="G3567" s="1">
        <v>8</v>
      </c>
      <c r="H3567" s="1">
        <v>0</v>
      </c>
      <c r="I3567" s="1">
        <v>0</v>
      </c>
      <c r="J3567" s="1">
        <v>0</v>
      </c>
      <c r="K3567" s="1">
        <v>1</v>
      </c>
      <c r="L3567" s="1">
        <v>0</v>
      </c>
      <c r="M3567" s="1">
        <v>1</v>
      </c>
    </row>
    <row r="3568" spans="1:13">
      <c r="A3568" s="1">
        <v>3567</v>
      </c>
      <c r="B3568" s="1">
        <v>942456.23419999995</v>
      </c>
      <c r="C3568" s="1">
        <v>591335.05929726246</v>
      </c>
      <c r="D3568" s="1">
        <f t="shared" si="55"/>
        <v>351121.17490273749</v>
      </c>
      <c r="E3568" s="1">
        <v>11</v>
      </c>
      <c r="F3568" s="1">
        <v>19</v>
      </c>
      <c r="G3568" s="1">
        <v>5</v>
      </c>
      <c r="H3568" s="1">
        <v>1</v>
      </c>
      <c r="I3568" s="1">
        <v>0</v>
      </c>
      <c r="J3568" s="1">
        <v>0</v>
      </c>
      <c r="K3568" s="1">
        <v>1</v>
      </c>
      <c r="L3568" s="1">
        <v>0</v>
      </c>
      <c r="M3568" s="1">
        <v>1</v>
      </c>
    </row>
    <row r="3569" spans="1:13">
      <c r="A3569" s="1">
        <v>3568</v>
      </c>
      <c r="B3569" s="1">
        <v>1020298.4102</v>
      </c>
      <c r="C3569" s="1">
        <v>1041512.318034507</v>
      </c>
      <c r="D3569" s="1">
        <f t="shared" si="55"/>
        <v>-21213.907834506943</v>
      </c>
      <c r="E3569" s="1">
        <v>8</v>
      </c>
      <c r="F3569" s="1">
        <v>20</v>
      </c>
      <c r="G3569" s="1">
        <v>7</v>
      </c>
      <c r="H3569" s="1">
        <v>2</v>
      </c>
      <c r="I3569" s="1">
        <v>0</v>
      </c>
      <c r="J3569" s="1">
        <v>0</v>
      </c>
      <c r="K3569" s="1">
        <v>0</v>
      </c>
      <c r="L3569" s="1">
        <v>0</v>
      </c>
      <c r="M3569" s="1">
        <v>0</v>
      </c>
    </row>
    <row r="3570" spans="1:13">
      <c r="A3570" s="1">
        <v>3569</v>
      </c>
      <c r="B3570" s="1">
        <v>937119.1446</v>
      </c>
      <c r="C3570" s="1">
        <v>1023459.190449219</v>
      </c>
      <c r="D3570" s="1">
        <f t="shared" si="55"/>
        <v>-86340.045849218965</v>
      </c>
      <c r="E3570" s="1">
        <v>7</v>
      </c>
      <c r="F3570" s="1">
        <v>22</v>
      </c>
      <c r="G3570" s="1">
        <v>6</v>
      </c>
      <c r="H3570" s="1">
        <v>2</v>
      </c>
      <c r="I3570" s="1">
        <v>0</v>
      </c>
      <c r="J3570" s="1">
        <v>1</v>
      </c>
      <c r="K3570" s="1">
        <v>1</v>
      </c>
      <c r="L3570" s="1">
        <v>0</v>
      </c>
      <c r="M3570" s="1">
        <v>0</v>
      </c>
    </row>
    <row r="3571" spans="1:13">
      <c r="A3571" s="1">
        <v>3570</v>
      </c>
      <c r="B3571" s="1">
        <v>1067167.1850000001</v>
      </c>
      <c r="C3571" s="1">
        <v>1370784.0595393707</v>
      </c>
      <c r="D3571" s="1">
        <f t="shared" si="55"/>
        <v>-303616.87453937065</v>
      </c>
      <c r="E3571" s="1">
        <v>11</v>
      </c>
      <c r="F3571" s="1">
        <v>19</v>
      </c>
      <c r="G3571" s="1">
        <v>5</v>
      </c>
      <c r="H3571" s="1">
        <v>2</v>
      </c>
      <c r="I3571" s="1">
        <v>0</v>
      </c>
      <c r="J3571" s="1">
        <v>0</v>
      </c>
      <c r="K3571" s="1">
        <v>1</v>
      </c>
      <c r="L3571" s="1">
        <v>1</v>
      </c>
      <c r="M3571" s="1">
        <v>0</v>
      </c>
    </row>
    <row r="3572" spans="1:13">
      <c r="A3572" s="1">
        <v>3571</v>
      </c>
      <c r="B3572" s="1">
        <v>1016342.1402</v>
      </c>
      <c r="C3572" s="1">
        <v>1310031.2413861339</v>
      </c>
      <c r="D3572" s="1">
        <f t="shared" si="55"/>
        <v>-293689.10118613392</v>
      </c>
      <c r="E3572" s="1">
        <v>14</v>
      </c>
      <c r="F3572" s="1">
        <v>17</v>
      </c>
      <c r="G3572" s="1">
        <v>4</v>
      </c>
      <c r="H3572" s="1">
        <v>2</v>
      </c>
      <c r="I3572" s="1">
        <v>0</v>
      </c>
      <c r="J3572" s="1">
        <v>0</v>
      </c>
      <c r="K3572" s="1">
        <v>0</v>
      </c>
      <c r="L3572" s="1">
        <v>0</v>
      </c>
      <c r="M3572" s="1">
        <v>0</v>
      </c>
    </row>
    <row r="3573" spans="1:13">
      <c r="A3573" s="1">
        <v>3572</v>
      </c>
      <c r="B3573" s="1">
        <v>988117.16509999998</v>
      </c>
      <c r="C3573" s="1">
        <v>700285.00464814727</v>
      </c>
      <c r="D3573" s="1">
        <f t="shared" si="55"/>
        <v>287832.16045185272</v>
      </c>
      <c r="E3573" s="1">
        <v>12</v>
      </c>
      <c r="F3573" s="1">
        <v>19</v>
      </c>
      <c r="G3573" s="1">
        <v>4</v>
      </c>
      <c r="H3573" s="1">
        <v>2</v>
      </c>
      <c r="I3573" s="1">
        <v>0</v>
      </c>
      <c r="J3573" s="1">
        <v>0</v>
      </c>
      <c r="K3573" s="1">
        <v>1</v>
      </c>
      <c r="L3573" s="1">
        <v>0</v>
      </c>
      <c r="M3573" s="1">
        <v>0</v>
      </c>
    </row>
    <row r="3574" spans="1:13">
      <c r="A3574" s="1">
        <v>3573</v>
      </c>
      <c r="B3574" s="1">
        <v>876054.02720000001</v>
      </c>
      <c r="C3574" s="1">
        <v>573635.52478219522</v>
      </c>
      <c r="D3574" s="1">
        <f t="shared" si="55"/>
        <v>302418.50241780479</v>
      </c>
      <c r="E3574" s="1">
        <v>4</v>
      </c>
      <c r="F3574" s="1">
        <v>24</v>
      </c>
      <c r="G3574" s="1">
        <v>7</v>
      </c>
      <c r="H3574" s="1">
        <v>0</v>
      </c>
      <c r="I3574" s="1">
        <v>0</v>
      </c>
      <c r="J3574" s="1">
        <v>1</v>
      </c>
      <c r="K3574" s="1">
        <v>0</v>
      </c>
      <c r="L3574" s="1">
        <v>0</v>
      </c>
      <c r="M3574" s="1">
        <v>0</v>
      </c>
    </row>
    <row r="3575" spans="1:13">
      <c r="A3575" s="1">
        <v>3574</v>
      </c>
      <c r="B3575" s="1">
        <v>898817.90859999997</v>
      </c>
      <c r="C3575" s="1">
        <v>3348673.0834447192</v>
      </c>
      <c r="D3575" s="1">
        <f t="shared" si="55"/>
        <v>-2449855.1748447195</v>
      </c>
      <c r="E3575" s="1">
        <v>20</v>
      </c>
      <c r="F3575" s="1">
        <v>12</v>
      </c>
      <c r="G3575" s="1">
        <v>3</v>
      </c>
      <c r="H3575" s="1">
        <v>2</v>
      </c>
      <c r="I3575" s="1">
        <v>0</v>
      </c>
      <c r="J3575" s="1">
        <v>0</v>
      </c>
      <c r="K3575" s="1">
        <v>0</v>
      </c>
      <c r="L3575" s="1">
        <v>0</v>
      </c>
      <c r="M3575" s="1">
        <v>0</v>
      </c>
    </row>
    <row r="3576" spans="1:13">
      <c r="A3576" s="1">
        <v>3575</v>
      </c>
      <c r="B3576" s="1">
        <v>899869.64760000003</v>
      </c>
      <c r="C3576" s="1">
        <v>1048402.1222704112</v>
      </c>
      <c r="D3576" s="1">
        <f t="shared" si="55"/>
        <v>-148532.4746704112</v>
      </c>
      <c r="E3576" s="1">
        <v>3</v>
      </c>
      <c r="F3576" s="1">
        <v>26</v>
      </c>
      <c r="G3576" s="1">
        <v>6</v>
      </c>
      <c r="H3576" s="1">
        <v>2</v>
      </c>
      <c r="I3576" s="1">
        <v>0</v>
      </c>
      <c r="J3576" s="1">
        <v>1</v>
      </c>
      <c r="K3576" s="1">
        <v>1</v>
      </c>
      <c r="L3576" s="1">
        <v>0</v>
      </c>
      <c r="M3576" s="1">
        <v>0</v>
      </c>
    </row>
    <row r="3577" spans="1:13">
      <c r="A3577" s="1">
        <v>3576</v>
      </c>
      <c r="B3577" s="1">
        <v>913574.38619999995</v>
      </c>
      <c r="C3577" s="1">
        <v>1361208.4093110152</v>
      </c>
      <c r="D3577" s="1">
        <f t="shared" si="55"/>
        <v>-447634.02311101521</v>
      </c>
      <c r="E3577" s="1">
        <v>19</v>
      </c>
      <c r="F3577" s="1">
        <v>12</v>
      </c>
      <c r="G3577" s="1">
        <v>4</v>
      </c>
      <c r="H3577" s="1">
        <v>1</v>
      </c>
      <c r="I3577" s="1">
        <v>0</v>
      </c>
      <c r="J3577" s="1">
        <v>0</v>
      </c>
      <c r="K3577" s="1">
        <v>1</v>
      </c>
      <c r="L3577" s="1">
        <v>0</v>
      </c>
      <c r="M3577" s="1">
        <v>0</v>
      </c>
    </row>
    <row r="3578" spans="1:13">
      <c r="A3578" s="1">
        <v>3577</v>
      </c>
      <c r="B3578" s="1">
        <v>879740.59589999996</v>
      </c>
      <c r="C3578" s="1">
        <v>582310.9237509137</v>
      </c>
      <c r="D3578" s="1">
        <f t="shared" si="55"/>
        <v>297429.67214908625</v>
      </c>
      <c r="E3578" s="1">
        <v>12</v>
      </c>
      <c r="F3578" s="1">
        <v>19</v>
      </c>
      <c r="G3578" s="1">
        <v>4</v>
      </c>
      <c r="H3578" s="1">
        <v>0</v>
      </c>
      <c r="I3578" s="1">
        <v>0</v>
      </c>
      <c r="J3578" s="1">
        <v>0</v>
      </c>
      <c r="K3578" s="1">
        <v>0</v>
      </c>
      <c r="L3578" s="1">
        <v>0</v>
      </c>
      <c r="M3578" s="1">
        <v>0</v>
      </c>
    </row>
    <row r="3579" spans="1:13">
      <c r="A3579" s="1">
        <v>3578</v>
      </c>
      <c r="B3579" s="1">
        <v>961781.38829999999</v>
      </c>
      <c r="C3579" s="1">
        <v>700253.01362959668</v>
      </c>
      <c r="D3579" s="1">
        <f t="shared" si="55"/>
        <v>261528.37467040331</v>
      </c>
      <c r="E3579" s="1">
        <v>14</v>
      </c>
      <c r="F3579" s="1">
        <v>16</v>
      </c>
      <c r="G3579" s="1">
        <v>5</v>
      </c>
      <c r="H3579" s="1">
        <v>1</v>
      </c>
      <c r="I3579" s="1">
        <v>1</v>
      </c>
      <c r="J3579" s="1">
        <v>0</v>
      </c>
      <c r="K3579" s="1">
        <v>0</v>
      </c>
      <c r="L3579" s="1">
        <v>0</v>
      </c>
      <c r="M3579" s="1">
        <v>0</v>
      </c>
    </row>
    <row r="3580" spans="1:13">
      <c r="A3580" s="1">
        <v>3579</v>
      </c>
      <c r="B3580" s="1">
        <v>934088.91390000004</v>
      </c>
      <c r="C3580" s="1">
        <v>846990.89331549546</v>
      </c>
      <c r="D3580" s="1">
        <f t="shared" si="55"/>
        <v>87098.020584504586</v>
      </c>
      <c r="E3580" s="1">
        <v>8</v>
      </c>
      <c r="F3580" s="1">
        <v>25</v>
      </c>
      <c r="G3580" s="1">
        <v>2</v>
      </c>
      <c r="H3580" s="1">
        <v>0</v>
      </c>
      <c r="I3580" s="1">
        <v>1</v>
      </c>
      <c r="J3580" s="1">
        <v>0</v>
      </c>
      <c r="K3580" s="1">
        <v>0</v>
      </c>
      <c r="L3580" s="1">
        <v>0</v>
      </c>
      <c r="M3580" s="1">
        <v>1</v>
      </c>
    </row>
    <row r="3581" spans="1:13">
      <c r="A3581" s="1">
        <v>3580</v>
      </c>
      <c r="B3581" s="1">
        <v>963415.29940000002</v>
      </c>
      <c r="C3581" s="1">
        <v>964827.92179146304</v>
      </c>
      <c r="D3581" s="1">
        <f t="shared" si="55"/>
        <v>-1412.6223914630245</v>
      </c>
      <c r="E3581" s="1">
        <v>12</v>
      </c>
      <c r="F3581" s="1">
        <v>21</v>
      </c>
      <c r="G3581" s="1">
        <v>2</v>
      </c>
      <c r="H3581" s="1">
        <v>0</v>
      </c>
      <c r="I3581" s="1">
        <v>1</v>
      </c>
      <c r="J3581" s="1">
        <v>1</v>
      </c>
      <c r="K3581" s="1">
        <v>1</v>
      </c>
      <c r="L3581" s="1">
        <v>0</v>
      </c>
      <c r="M3581" s="1">
        <v>0</v>
      </c>
    </row>
    <row r="3582" spans="1:13">
      <c r="A3582" s="1">
        <v>3581</v>
      </c>
      <c r="B3582" s="1">
        <v>881950.36479999998</v>
      </c>
      <c r="C3582" s="1">
        <v>699228.38520421146</v>
      </c>
      <c r="D3582" s="1">
        <f t="shared" si="55"/>
        <v>182721.97959578852</v>
      </c>
      <c r="E3582" s="1">
        <v>11</v>
      </c>
      <c r="F3582" s="1">
        <v>22</v>
      </c>
      <c r="G3582" s="1">
        <v>2</v>
      </c>
      <c r="H3582" s="1">
        <v>2</v>
      </c>
      <c r="I3582" s="1">
        <v>0</v>
      </c>
      <c r="J3582" s="1">
        <v>0</v>
      </c>
      <c r="K3582" s="1">
        <v>2</v>
      </c>
      <c r="L3582" s="1">
        <v>0</v>
      </c>
      <c r="M3582" s="1">
        <v>1</v>
      </c>
    </row>
    <row r="3583" spans="1:13">
      <c r="A3583" s="1">
        <v>3582</v>
      </c>
      <c r="B3583" s="1">
        <v>882061.47609999997</v>
      </c>
      <c r="C3583" s="1">
        <v>998046.92430503049</v>
      </c>
      <c r="D3583" s="1">
        <f t="shared" si="55"/>
        <v>-115985.44820503052</v>
      </c>
      <c r="E3583" s="1">
        <v>15</v>
      </c>
      <c r="F3583" s="1">
        <v>16</v>
      </c>
      <c r="G3583" s="1">
        <v>4</v>
      </c>
      <c r="H3583" s="1">
        <v>0</v>
      </c>
      <c r="I3583" s="1">
        <v>1</v>
      </c>
      <c r="J3583" s="1">
        <v>0</v>
      </c>
      <c r="K3583" s="1">
        <v>0</v>
      </c>
      <c r="L3583" s="1">
        <v>0</v>
      </c>
      <c r="M3583" s="1">
        <v>1</v>
      </c>
    </row>
    <row r="3584" spans="1:13">
      <c r="A3584" s="1">
        <v>3583</v>
      </c>
      <c r="B3584" s="1">
        <v>902585.85340000002</v>
      </c>
      <c r="C3584" s="1">
        <v>878081.19441055413</v>
      </c>
      <c r="D3584" s="1">
        <f t="shared" si="55"/>
        <v>24504.658989445888</v>
      </c>
      <c r="E3584" s="1">
        <v>25</v>
      </c>
      <c r="F3584" s="1">
        <v>6</v>
      </c>
      <c r="G3584" s="1">
        <v>4</v>
      </c>
      <c r="H3584" s="1">
        <v>1</v>
      </c>
      <c r="I3584" s="1">
        <v>0</v>
      </c>
      <c r="J3584" s="1">
        <v>1</v>
      </c>
      <c r="K3584" s="1">
        <v>0</v>
      </c>
      <c r="L3584" s="1">
        <v>0</v>
      </c>
      <c r="M3584" s="1">
        <v>0</v>
      </c>
    </row>
    <row r="3585" spans="1:13">
      <c r="A3585" s="1">
        <v>3584</v>
      </c>
      <c r="B3585" s="1">
        <v>922006.6335</v>
      </c>
      <c r="C3585" s="1">
        <v>1208592.8582361403</v>
      </c>
      <c r="D3585" s="1">
        <f t="shared" si="55"/>
        <v>-286586.22473614034</v>
      </c>
      <c r="E3585" s="1">
        <v>15</v>
      </c>
      <c r="F3585" s="1">
        <v>13</v>
      </c>
      <c r="G3585" s="1">
        <v>7</v>
      </c>
      <c r="H3585" s="1">
        <v>1</v>
      </c>
      <c r="I3585" s="1">
        <v>0</v>
      </c>
      <c r="J3585" s="1">
        <v>0</v>
      </c>
      <c r="K3585" s="1">
        <v>1</v>
      </c>
      <c r="L3585" s="1">
        <v>0</v>
      </c>
      <c r="M3585" s="1">
        <v>0</v>
      </c>
    </row>
    <row r="3586" spans="1:13">
      <c r="A3586" s="1">
        <v>3585</v>
      </c>
      <c r="B3586" s="1">
        <v>948576.97759999998</v>
      </c>
      <c r="C3586" s="1">
        <v>562649.29822018906</v>
      </c>
      <c r="D3586" s="1">
        <f t="shared" ref="D3586:D3649" si="56">B3586-C3586</f>
        <v>385927.67937981093</v>
      </c>
      <c r="E3586" s="1">
        <v>15</v>
      </c>
      <c r="F3586" s="1">
        <v>13</v>
      </c>
      <c r="G3586" s="1">
        <v>7</v>
      </c>
      <c r="H3586" s="1">
        <v>2</v>
      </c>
      <c r="I3586" s="1">
        <v>0</v>
      </c>
      <c r="J3586" s="1">
        <v>0</v>
      </c>
      <c r="K3586" s="1">
        <v>0</v>
      </c>
      <c r="L3586" s="1">
        <v>0</v>
      </c>
      <c r="M3586" s="1">
        <v>0</v>
      </c>
    </row>
    <row r="3587" spans="1:13">
      <c r="A3587" s="1">
        <v>3586</v>
      </c>
      <c r="B3587" s="1">
        <v>778792.98789999995</v>
      </c>
      <c r="C3587" s="1">
        <v>823616.06623674999</v>
      </c>
      <c r="D3587" s="1">
        <f t="shared" si="56"/>
        <v>-44823.078336750041</v>
      </c>
      <c r="E3587" s="1">
        <v>23</v>
      </c>
      <c r="F3587" s="1">
        <v>7</v>
      </c>
      <c r="G3587" s="1">
        <v>5</v>
      </c>
      <c r="H3587" s="1">
        <v>0</v>
      </c>
      <c r="I3587" s="1">
        <v>0</v>
      </c>
      <c r="J3587" s="1">
        <v>1</v>
      </c>
      <c r="K3587" s="1">
        <v>1</v>
      </c>
      <c r="L3587" s="1">
        <v>0</v>
      </c>
      <c r="M3587" s="1">
        <v>0</v>
      </c>
    </row>
    <row r="3588" spans="1:13">
      <c r="A3588" s="1">
        <v>3587</v>
      </c>
      <c r="B3588" s="1">
        <v>858141.06160000002</v>
      </c>
      <c r="C3588" s="1">
        <v>776281.81015888031</v>
      </c>
      <c r="D3588" s="1">
        <f t="shared" si="56"/>
        <v>81859.251441119704</v>
      </c>
      <c r="E3588" s="1">
        <v>20</v>
      </c>
      <c r="F3588" s="1">
        <v>10</v>
      </c>
      <c r="G3588" s="1">
        <v>5</v>
      </c>
      <c r="H3588" s="1">
        <v>2</v>
      </c>
      <c r="I3588" s="1">
        <v>0</v>
      </c>
      <c r="J3588" s="1">
        <v>0</v>
      </c>
      <c r="K3588" s="1">
        <v>0</v>
      </c>
      <c r="L3588" s="1">
        <v>0</v>
      </c>
      <c r="M3588" s="1">
        <v>0</v>
      </c>
    </row>
    <row r="3589" spans="1:13">
      <c r="A3589" s="1">
        <v>3588</v>
      </c>
      <c r="B3589" s="1">
        <v>951696.64879999997</v>
      </c>
      <c r="C3589" s="1">
        <v>1259067.1426303375</v>
      </c>
      <c r="D3589" s="1">
        <f t="shared" si="56"/>
        <v>-307370.49383033754</v>
      </c>
      <c r="E3589" s="1">
        <v>10</v>
      </c>
      <c r="F3589" s="1">
        <v>21</v>
      </c>
      <c r="G3589" s="1">
        <v>4</v>
      </c>
      <c r="H3589" s="1">
        <v>0</v>
      </c>
      <c r="I3589" s="1">
        <v>0</v>
      </c>
      <c r="J3589" s="1">
        <v>0</v>
      </c>
      <c r="K3589" s="1">
        <v>0</v>
      </c>
      <c r="L3589" s="1">
        <v>0</v>
      </c>
      <c r="M3589" s="1">
        <v>1</v>
      </c>
    </row>
    <row r="3590" spans="1:13">
      <c r="A3590" s="1">
        <v>3589</v>
      </c>
      <c r="B3590" s="1">
        <v>848130.74140000006</v>
      </c>
      <c r="C3590" s="1">
        <v>1030748.1785106107</v>
      </c>
      <c r="D3590" s="1">
        <f t="shared" si="56"/>
        <v>-182617.43711061066</v>
      </c>
      <c r="E3590" s="1">
        <v>18</v>
      </c>
      <c r="F3590" s="1">
        <v>12</v>
      </c>
      <c r="G3590" s="1">
        <v>5</v>
      </c>
      <c r="H3590" s="1">
        <v>1</v>
      </c>
      <c r="I3590" s="1">
        <v>1</v>
      </c>
      <c r="J3590" s="1">
        <v>0</v>
      </c>
      <c r="K3590" s="1">
        <v>0</v>
      </c>
      <c r="L3590" s="1">
        <v>0</v>
      </c>
      <c r="M3590" s="1">
        <v>0</v>
      </c>
    </row>
    <row r="3591" spans="1:13">
      <c r="A3591" s="1">
        <v>3590</v>
      </c>
      <c r="B3591" s="1">
        <v>1074571.5482000001</v>
      </c>
      <c r="C3591" s="1">
        <v>1007286.7952108806</v>
      </c>
      <c r="D3591" s="1">
        <f t="shared" si="56"/>
        <v>67284.752989119501</v>
      </c>
      <c r="E3591" s="1">
        <v>3</v>
      </c>
      <c r="F3591" s="1">
        <v>25</v>
      </c>
      <c r="G3591" s="1">
        <v>7</v>
      </c>
      <c r="H3591" s="1">
        <v>2</v>
      </c>
      <c r="I3591" s="1">
        <v>0</v>
      </c>
      <c r="J3591" s="1">
        <v>0</v>
      </c>
      <c r="K3591" s="1">
        <v>0</v>
      </c>
      <c r="L3591" s="1">
        <v>0</v>
      </c>
      <c r="M3591" s="1">
        <v>1</v>
      </c>
    </row>
    <row r="3592" spans="1:13">
      <c r="A3592" s="1">
        <v>3591</v>
      </c>
      <c r="B3592" s="1">
        <v>1059354.7119</v>
      </c>
      <c r="C3592" s="1">
        <v>1038397.9929255961</v>
      </c>
      <c r="D3592" s="1">
        <f t="shared" si="56"/>
        <v>20956.718974403921</v>
      </c>
      <c r="E3592" s="1">
        <v>7</v>
      </c>
      <c r="F3592" s="1">
        <v>22</v>
      </c>
      <c r="G3592" s="1">
        <v>6</v>
      </c>
      <c r="H3592" s="1">
        <v>0</v>
      </c>
      <c r="I3592" s="1">
        <v>1</v>
      </c>
      <c r="J3592" s="1">
        <v>0</v>
      </c>
      <c r="K3592" s="1">
        <v>0</v>
      </c>
      <c r="L3592" s="1">
        <v>0</v>
      </c>
      <c r="M3592" s="1">
        <v>0</v>
      </c>
    </row>
    <row r="3593" spans="1:13">
      <c r="A3593" s="1">
        <v>3592</v>
      </c>
      <c r="B3593" s="1">
        <v>970700.31920000003</v>
      </c>
      <c r="C3593" s="1">
        <v>738141.41990100825</v>
      </c>
      <c r="D3593" s="1">
        <f t="shared" si="56"/>
        <v>232558.89929899178</v>
      </c>
      <c r="E3593" s="1">
        <v>3</v>
      </c>
      <c r="F3593" s="1">
        <v>27</v>
      </c>
      <c r="G3593" s="1">
        <v>5</v>
      </c>
      <c r="H3593" s="1">
        <v>1</v>
      </c>
      <c r="I3593" s="1">
        <v>0</v>
      </c>
      <c r="J3593" s="1">
        <v>2</v>
      </c>
      <c r="K3593" s="1">
        <v>0</v>
      </c>
      <c r="L3593" s="1">
        <v>0</v>
      </c>
      <c r="M3593" s="1">
        <v>0</v>
      </c>
    </row>
    <row r="3594" spans="1:13">
      <c r="A3594" s="1">
        <v>3593</v>
      </c>
      <c r="B3594" s="1">
        <v>879594.91</v>
      </c>
      <c r="C3594" s="1">
        <v>782845.6018633286</v>
      </c>
      <c r="D3594" s="1">
        <f t="shared" si="56"/>
        <v>96749.308136671432</v>
      </c>
      <c r="E3594" s="1">
        <v>15</v>
      </c>
      <c r="F3594" s="1">
        <v>13</v>
      </c>
      <c r="G3594" s="1">
        <v>7</v>
      </c>
      <c r="H3594" s="1">
        <v>0</v>
      </c>
      <c r="I3594" s="1">
        <v>0</v>
      </c>
      <c r="J3594" s="1">
        <v>0</v>
      </c>
      <c r="K3594" s="1">
        <v>2</v>
      </c>
      <c r="L3594" s="1">
        <v>0</v>
      </c>
      <c r="M3594" s="1">
        <v>0</v>
      </c>
    </row>
    <row r="3595" spans="1:13">
      <c r="A3595" s="1">
        <v>3594</v>
      </c>
      <c r="B3595" s="1">
        <v>909198.22950000002</v>
      </c>
      <c r="C3595" s="1">
        <v>1144625.5971358712</v>
      </c>
      <c r="D3595" s="1">
        <f t="shared" si="56"/>
        <v>-235427.36763587117</v>
      </c>
      <c r="E3595" s="1">
        <v>16</v>
      </c>
      <c r="F3595" s="1">
        <v>12</v>
      </c>
      <c r="G3595" s="1">
        <v>7</v>
      </c>
      <c r="H3595" s="1">
        <v>1</v>
      </c>
      <c r="I3595" s="1">
        <v>0</v>
      </c>
      <c r="J3595" s="1">
        <v>0</v>
      </c>
      <c r="K3595" s="1">
        <v>0</v>
      </c>
      <c r="L3595" s="1">
        <v>0</v>
      </c>
      <c r="M3595" s="1">
        <v>0</v>
      </c>
    </row>
    <row r="3596" spans="1:13">
      <c r="A3596" s="1">
        <v>3595</v>
      </c>
      <c r="B3596" s="1">
        <v>869256.21389999997</v>
      </c>
      <c r="C3596" s="1">
        <v>986083.82837798633</v>
      </c>
      <c r="D3596" s="1">
        <f t="shared" si="56"/>
        <v>-116827.61447798635</v>
      </c>
      <c r="E3596" s="1">
        <v>13</v>
      </c>
      <c r="F3596" s="1">
        <v>17</v>
      </c>
      <c r="G3596" s="1">
        <v>5</v>
      </c>
      <c r="H3596" s="1">
        <v>0</v>
      </c>
      <c r="I3596" s="1">
        <v>0</v>
      </c>
      <c r="J3596" s="1">
        <v>2</v>
      </c>
      <c r="K3596" s="1">
        <v>0</v>
      </c>
      <c r="L3596" s="1">
        <v>0</v>
      </c>
      <c r="M3596" s="1">
        <v>1</v>
      </c>
    </row>
    <row r="3597" spans="1:13">
      <c r="A3597" s="1">
        <v>3596</v>
      </c>
      <c r="B3597" s="1">
        <v>915745.0246</v>
      </c>
      <c r="C3597" s="1">
        <v>833402.2708706673</v>
      </c>
      <c r="D3597" s="1">
        <f t="shared" si="56"/>
        <v>82342.753729332704</v>
      </c>
      <c r="E3597" s="1">
        <v>9</v>
      </c>
      <c r="F3597" s="1">
        <v>20</v>
      </c>
      <c r="G3597" s="1">
        <v>6</v>
      </c>
      <c r="H3597" s="1">
        <v>2</v>
      </c>
      <c r="I3597" s="1">
        <v>0</v>
      </c>
      <c r="J3597" s="1">
        <v>0</v>
      </c>
      <c r="K3597" s="1">
        <v>0</v>
      </c>
      <c r="L3597" s="1">
        <v>0</v>
      </c>
      <c r="M3597" s="1">
        <v>0</v>
      </c>
    </row>
    <row r="3598" spans="1:13">
      <c r="A3598" s="1">
        <v>3597</v>
      </c>
      <c r="B3598" s="1">
        <v>962486.52590000001</v>
      </c>
      <c r="C3598" s="1">
        <v>1080621.1112684195</v>
      </c>
      <c r="D3598" s="1">
        <f t="shared" si="56"/>
        <v>-118134.58536841953</v>
      </c>
      <c r="E3598" s="1">
        <v>15</v>
      </c>
      <c r="F3598" s="1">
        <v>13</v>
      </c>
      <c r="G3598" s="1">
        <v>7</v>
      </c>
      <c r="H3598" s="1">
        <v>1</v>
      </c>
      <c r="I3598" s="1">
        <v>0</v>
      </c>
      <c r="J3598" s="1">
        <v>1</v>
      </c>
      <c r="K3598" s="1">
        <v>0</v>
      </c>
      <c r="L3598" s="1">
        <v>0</v>
      </c>
      <c r="M3598" s="1">
        <v>0</v>
      </c>
    </row>
    <row r="3599" spans="1:13">
      <c r="A3599" s="1">
        <v>3598</v>
      </c>
      <c r="B3599" s="1">
        <v>1039573.0622</v>
      </c>
      <c r="C3599" s="1">
        <v>797616.17901539663</v>
      </c>
      <c r="D3599" s="1">
        <f t="shared" si="56"/>
        <v>241956.88318460342</v>
      </c>
      <c r="E3599" s="1">
        <v>10</v>
      </c>
      <c r="F3599" s="1">
        <v>20</v>
      </c>
      <c r="G3599" s="1">
        <v>5</v>
      </c>
      <c r="H3599" s="1">
        <v>1</v>
      </c>
      <c r="I3599" s="1">
        <v>0</v>
      </c>
      <c r="J3599" s="1">
        <v>1</v>
      </c>
      <c r="K3599" s="1">
        <v>1</v>
      </c>
      <c r="L3599" s="1">
        <v>0</v>
      </c>
      <c r="M3599" s="1">
        <v>0</v>
      </c>
    </row>
    <row r="3600" spans="1:13">
      <c r="A3600" s="1">
        <v>3599</v>
      </c>
      <c r="B3600" s="1">
        <v>866420.42590000003</v>
      </c>
      <c r="C3600" s="1">
        <v>747093.30069751968</v>
      </c>
      <c r="D3600" s="1">
        <f t="shared" si="56"/>
        <v>119327.12520248035</v>
      </c>
      <c r="E3600" s="1">
        <v>15</v>
      </c>
      <c r="F3600" s="1">
        <v>17</v>
      </c>
      <c r="G3600" s="1">
        <v>3</v>
      </c>
      <c r="H3600" s="1">
        <v>0</v>
      </c>
      <c r="I3600" s="1">
        <v>0</v>
      </c>
      <c r="J3600" s="1">
        <v>0</v>
      </c>
      <c r="K3600" s="1">
        <v>1</v>
      </c>
      <c r="L3600" s="1">
        <v>0</v>
      </c>
      <c r="M3600" s="1">
        <v>0</v>
      </c>
    </row>
    <row r="3601" spans="1:13">
      <c r="A3601" s="1">
        <v>3600</v>
      </c>
      <c r="B3601" s="1">
        <v>876138.00520000001</v>
      </c>
      <c r="C3601" s="1">
        <v>1050094.2560507352</v>
      </c>
      <c r="D3601" s="1">
        <f t="shared" si="56"/>
        <v>-173956.25085073523</v>
      </c>
      <c r="E3601" s="1">
        <v>9</v>
      </c>
      <c r="F3601" s="1">
        <v>21</v>
      </c>
      <c r="G3601" s="1">
        <v>5</v>
      </c>
      <c r="H3601" s="1">
        <v>0</v>
      </c>
      <c r="I3601" s="1">
        <v>0</v>
      </c>
      <c r="J3601" s="1">
        <v>0</v>
      </c>
      <c r="K3601" s="1">
        <v>1</v>
      </c>
      <c r="L3601" s="1">
        <v>0</v>
      </c>
      <c r="M3601" s="1">
        <v>0</v>
      </c>
    </row>
    <row r="3602" spans="1:13">
      <c r="A3602" s="1">
        <v>3601</v>
      </c>
      <c r="B3602" s="1">
        <v>957363.79029999999</v>
      </c>
      <c r="C3602" s="1">
        <v>777526.63988923514</v>
      </c>
      <c r="D3602" s="1">
        <f t="shared" si="56"/>
        <v>179837.15041076485</v>
      </c>
      <c r="E3602" s="1">
        <v>15</v>
      </c>
      <c r="F3602" s="1">
        <v>16</v>
      </c>
      <c r="G3602" s="1">
        <v>4</v>
      </c>
      <c r="H3602" s="1">
        <v>1</v>
      </c>
      <c r="I3602" s="1">
        <v>0</v>
      </c>
      <c r="J3602" s="1">
        <v>1</v>
      </c>
      <c r="K3602" s="1">
        <v>0</v>
      </c>
      <c r="L3602" s="1">
        <v>0</v>
      </c>
      <c r="M3602" s="1">
        <v>1</v>
      </c>
    </row>
    <row r="3603" spans="1:13">
      <c r="A3603" s="1">
        <v>3602</v>
      </c>
      <c r="B3603" s="1">
        <v>916301.81480000005</v>
      </c>
      <c r="C3603" s="1">
        <v>601195.8077029651</v>
      </c>
      <c r="D3603" s="1">
        <f t="shared" si="56"/>
        <v>315106.00709703495</v>
      </c>
      <c r="E3603" s="1">
        <v>6</v>
      </c>
      <c r="F3603" s="1">
        <v>23</v>
      </c>
      <c r="G3603" s="1">
        <v>6</v>
      </c>
      <c r="H3603" s="1">
        <v>0</v>
      </c>
      <c r="I3603" s="1">
        <v>0</v>
      </c>
      <c r="J3603" s="1">
        <v>0</v>
      </c>
      <c r="K3603" s="1">
        <v>1</v>
      </c>
      <c r="L3603" s="1">
        <v>0</v>
      </c>
      <c r="M3603" s="1">
        <v>0</v>
      </c>
    </row>
    <row r="3604" spans="1:13">
      <c r="A3604" s="1">
        <v>3603</v>
      </c>
      <c r="B3604" s="1">
        <v>935539.97930000001</v>
      </c>
      <c r="C3604" s="1">
        <v>841425.36961117166</v>
      </c>
      <c r="D3604" s="1">
        <f t="shared" si="56"/>
        <v>94114.60968882835</v>
      </c>
      <c r="E3604" s="1">
        <v>11</v>
      </c>
      <c r="F3604" s="1">
        <v>19</v>
      </c>
      <c r="G3604" s="1">
        <v>5</v>
      </c>
      <c r="H3604" s="1">
        <v>2</v>
      </c>
      <c r="I3604" s="1">
        <v>0</v>
      </c>
      <c r="J3604" s="1">
        <v>0</v>
      </c>
      <c r="K3604" s="1">
        <v>0</v>
      </c>
      <c r="L3604" s="1">
        <v>0</v>
      </c>
      <c r="M3604" s="1">
        <v>0</v>
      </c>
    </row>
    <row r="3605" spans="1:13">
      <c r="A3605" s="1">
        <v>3604</v>
      </c>
      <c r="B3605" s="1">
        <v>918120.44680000003</v>
      </c>
      <c r="C3605" s="1">
        <v>2249243.0856113648</v>
      </c>
      <c r="D3605" s="1">
        <f t="shared" si="56"/>
        <v>-1331122.6388113648</v>
      </c>
      <c r="E3605" s="1">
        <v>11</v>
      </c>
      <c r="F3605" s="1">
        <v>19</v>
      </c>
      <c r="G3605" s="1">
        <v>5</v>
      </c>
      <c r="H3605" s="1">
        <v>1</v>
      </c>
      <c r="I3605" s="1">
        <v>1</v>
      </c>
      <c r="J3605" s="1">
        <v>0</v>
      </c>
      <c r="K3605" s="1">
        <v>0</v>
      </c>
      <c r="L3605" s="1">
        <v>0</v>
      </c>
      <c r="M3605" s="1">
        <v>0</v>
      </c>
    </row>
    <row r="3606" spans="1:13">
      <c r="A3606" s="1">
        <v>3605</v>
      </c>
      <c r="B3606" s="1">
        <v>938659.69649999996</v>
      </c>
      <c r="C3606" s="1">
        <v>832629.58059179562</v>
      </c>
      <c r="D3606" s="1">
        <f t="shared" si="56"/>
        <v>106030.11590820435</v>
      </c>
      <c r="E3606" s="1">
        <v>13</v>
      </c>
      <c r="F3606" s="1">
        <v>17</v>
      </c>
      <c r="G3606" s="1">
        <v>5</v>
      </c>
      <c r="H3606" s="1">
        <v>0</v>
      </c>
      <c r="I3606" s="1">
        <v>0</v>
      </c>
      <c r="J3606" s="1">
        <v>0</v>
      </c>
      <c r="K3606" s="1">
        <v>1</v>
      </c>
      <c r="L3606" s="1">
        <v>0</v>
      </c>
      <c r="M3606" s="1">
        <v>0</v>
      </c>
    </row>
    <row r="3607" spans="1:13">
      <c r="A3607" s="1">
        <v>3606</v>
      </c>
      <c r="B3607" s="1">
        <v>971875.5196</v>
      </c>
      <c r="C3607" s="1">
        <v>677783.11231013481</v>
      </c>
      <c r="D3607" s="1">
        <f t="shared" si="56"/>
        <v>294092.40728986519</v>
      </c>
      <c r="E3607" s="1">
        <v>15</v>
      </c>
      <c r="F3607" s="1">
        <v>16</v>
      </c>
      <c r="G3607" s="1">
        <v>4</v>
      </c>
      <c r="H3607" s="1">
        <v>1</v>
      </c>
      <c r="I3607" s="1">
        <v>0</v>
      </c>
      <c r="J3607" s="1">
        <v>0</v>
      </c>
      <c r="K3607" s="1">
        <v>0</v>
      </c>
      <c r="L3607" s="1">
        <v>0</v>
      </c>
      <c r="M3607" s="1">
        <v>0</v>
      </c>
    </row>
    <row r="3608" spans="1:13">
      <c r="A3608" s="1">
        <v>3607</v>
      </c>
      <c r="B3608" s="1">
        <v>906610.84660000005</v>
      </c>
      <c r="C3608" s="1">
        <v>792771.31876337307</v>
      </c>
      <c r="D3608" s="1">
        <f t="shared" si="56"/>
        <v>113839.52783662698</v>
      </c>
      <c r="E3608" s="1">
        <v>15</v>
      </c>
      <c r="F3608" s="1">
        <v>14</v>
      </c>
      <c r="G3608" s="1">
        <v>6</v>
      </c>
      <c r="H3608" s="1">
        <v>0</v>
      </c>
      <c r="I3608" s="1">
        <v>0</v>
      </c>
      <c r="J3608" s="1">
        <v>0</v>
      </c>
      <c r="K3608" s="1">
        <v>1</v>
      </c>
      <c r="L3608" s="1">
        <v>0</v>
      </c>
      <c r="M3608" s="1">
        <v>0</v>
      </c>
    </row>
    <row r="3609" spans="1:13">
      <c r="A3609" s="1">
        <v>3608</v>
      </c>
      <c r="B3609" s="1">
        <v>930813.67579999997</v>
      </c>
      <c r="C3609" s="1">
        <v>935645.04173770046</v>
      </c>
      <c r="D3609" s="1">
        <f t="shared" si="56"/>
        <v>-4831.3659377004951</v>
      </c>
      <c r="E3609" s="1">
        <v>10</v>
      </c>
      <c r="F3609" s="1">
        <v>18</v>
      </c>
      <c r="G3609" s="1">
        <v>7</v>
      </c>
      <c r="H3609" s="1">
        <v>0</v>
      </c>
      <c r="I3609" s="1">
        <v>0</v>
      </c>
      <c r="J3609" s="1">
        <v>1</v>
      </c>
      <c r="K3609" s="1">
        <v>0</v>
      </c>
      <c r="L3609" s="1">
        <v>0</v>
      </c>
      <c r="M3609" s="1">
        <v>1</v>
      </c>
    </row>
    <row r="3610" spans="1:13">
      <c r="A3610" s="1">
        <v>3609</v>
      </c>
      <c r="B3610" s="1">
        <v>993241.15520000004</v>
      </c>
      <c r="C3610" s="1">
        <v>674502.16421966103</v>
      </c>
      <c r="D3610" s="1">
        <f t="shared" si="56"/>
        <v>318738.990980339</v>
      </c>
      <c r="E3610" s="1">
        <v>12</v>
      </c>
      <c r="F3610" s="1">
        <v>17</v>
      </c>
      <c r="G3610" s="1">
        <v>6</v>
      </c>
      <c r="H3610" s="1">
        <v>0</v>
      </c>
      <c r="I3610" s="1">
        <v>0</v>
      </c>
      <c r="J3610" s="1">
        <v>0</v>
      </c>
      <c r="K3610" s="1">
        <v>1</v>
      </c>
      <c r="L3610" s="1">
        <v>0</v>
      </c>
      <c r="M3610" s="1">
        <v>0</v>
      </c>
    </row>
    <row r="3611" spans="1:13">
      <c r="A3611" s="1">
        <v>3610</v>
      </c>
      <c r="B3611" s="1">
        <v>937060.88170000003</v>
      </c>
      <c r="C3611" s="1">
        <v>953207.49275349663</v>
      </c>
      <c r="D3611" s="1">
        <f t="shared" si="56"/>
        <v>-16146.611053496599</v>
      </c>
      <c r="E3611" s="1">
        <v>15</v>
      </c>
      <c r="F3611" s="1">
        <v>15</v>
      </c>
      <c r="G3611" s="1">
        <v>5</v>
      </c>
      <c r="H3611" s="1">
        <v>2</v>
      </c>
      <c r="I3611" s="1">
        <v>0</v>
      </c>
      <c r="J3611" s="1">
        <v>0</v>
      </c>
      <c r="K3611" s="1">
        <v>1</v>
      </c>
      <c r="L3611" s="1">
        <v>0</v>
      </c>
      <c r="M3611" s="1">
        <v>0</v>
      </c>
    </row>
    <row r="3612" spans="1:13">
      <c r="A3612" s="1">
        <v>3611</v>
      </c>
      <c r="B3612" s="1">
        <v>965492.31409999996</v>
      </c>
      <c r="C3612" s="1">
        <v>793593.70098831493</v>
      </c>
      <c r="D3612" s="1">
        <f t="shared" si="56"/>
        <v>171898.61311168503</v>
      </c>
      <c r="E3612" s="1">
        <v>15</v>
      </c>
      <c r="F3612" s="1">
        <v>14</v>
      </c>
      <c r="G3612" s="1">
        <v>6</v>
      </c>
      <c r="H3612" s="1">
        <v>2</v>
      </c>
      <c r="I3612" s="1">
        <v>0</v>
      </c>
      <c r="J3612" s="1">
        <v>0</v>
      </c>
      <c r="K3612" s="1">
        <v>2</v>
      </c>
      <c r="L3612" s="1">
        <v>0</v>
      </c>
      <c r="M3612" s="1">
        <v>0</v>
      </c>
    </row>
    <row r="3613" spans="1:13">
      <c r="A3613" s="1">
        <v>3612</v>
      </c>
      <c r="B3613" s="1">
        <v>964696.88890000002</v>
      </c>
      <c r="C3613" s="1">
        <v>1071788.8875360868</v>
      </c>
      <c r="D3613" s="1">
        <f t="shared" si="56"/>
        <v>-107091.99863608682</v>
      </c>
      <c r="E3613" s="1">
        <v>13</v>
      </c>
      <c r="F3613" s="1">
        <v>16</v>
      </c>
      <c r="G3613" s="1">
        <v>6</v>
      </c>
      <c r="H3613" s="1">
        <v>2</v>
      </c>
      <c r="I3613" s="1">
        <v>0</v>
      </c>
      <c r="J3613" s="1">
        <v>0</v>
      </c>
      <c r="K3613" s="1">
        <v>0</v>
      </c>
      <c r="L3613" s="1">
        <v>1</v>
      </c>
      <c r="M3613" s="1">
        <v>0</v>
      </c>
    </row>
    <row r="3614" spans="1:13">
      <c r="A3614" s="1">
        <v>3613</v>
      </c>
      <c r="B3614" s="1">
        <v>896320.79339999997</v>
      </c>
      <c r="C3614" s="1">
        <v>895091.16662882385</v>
      </c>
      <c r="D3614" s="1">
        <f t="shared" si="56"/>
        <v>1229.6267711761175</v>
      </c>
      <c r="E3614" s="1">
        <v>14</v>
      </c>
      <c r="F3614" s="1">
        <v>13</v>
      </c>
      <c r="G3614" s="1">
        <v>8</v>
      </c>
      <c r="H3614" s="1">
        <v>1</v>
      </c>
      <c r="I3614" s="1">
        <v>1</v>
      </c>
      <c r="J3614" s="1">
        <v>0</v>
      </c>
      <c r="K3614" s="1">
        <v>2</v>
      </c>
      <c r="L3614" s="1">
        <v>0</v>
      </c>
      <c r="M3614" s="1">
        <v>0</v>
      </c>
    </row>
    <row r="3615" spans="1:13">
      <c r="A3615" s="1">
        <v>3614</v>
      </c>
      <c r="B3615" s="1">
        <v>933506.31</v>
      </c>
      <c r="C3615" s="1">
        <v>400882.61792715557</v>
      </c>
      <c r="D3615" s="1">
        <f t="shared" si="56"/>
        <v>532623.69207284448</v>
      </c>
      <c r="E3615" s="1">
        <v>8</v>
      </c>
      <c r="F3615" s="1">
        <v>19</v>
      </c>
      <c r="G3615" s="1">
        <v>8</v>
      </c>
      <c r="H3615" s="1">
        <v>0</v>
      </c>
      <c r="I3615" s="1">
        <v>0</v>
      </c>
      <c r="J3615" s="1">
        <v>0</v>
      </c>
      <c r="K3615" s="1">
        <v>1</v>
      </c>
      <c r="L3615" s="1">
        <v>1</v>
      </c>
      <c r="M3615" s="1">
        <v>1</v>
      </c>
    </row>
    <row r="3616" spans="1:13">
      <c r="A3616" s="1">
        <v>3615</v>
      </c>
      <c r="B3616" s="1">
        <v>1083715.7035000001</v>
      </c>
      <c r="C3616" s="1">
        <v>924784.15076932427</v>
      </c>
      <c r="D3616" s="1">
        <f t="shared" si="56"/>
        <v>158931.55273067579</v>
      </c>
      <c r="E3616" s="1">
        <v>12</v>
      </c>
      <c r="F3616" s="1">
        <v>18</v>
      </c>
      <c r="G3616" s="1">
        <v>5</v>
      </c>
      <c r="H3616" s="1">
        <v>2</v>
      </c>
      <c r="I3616" s="1">
        <v>0</v>
      </c>
      <c r="J3616" s="1">
        <v>0</v>
      </c>
      <c r="K3616" s="1">
        <v>1</v>
      </c>
      <c r="L3616" s="1">
        <v>0</v>
      </c>
      <c r="M3616" s="1">
        <v>1</v>
      </c>
    </row>
    <row r="3617" spans="1:13">
      <c r="A3617" s="1">
        <v>3616</v>
      </c>
      <c r="B3617" s="1">
        <v>958734.70940000005</v>
      </c>
      <c r="C3617" s="1">
        <v>732750.21224942571</v>
      </c>
      <c r="D3617" s="1">
        <f t="shared" si="56"/>
        <v>225984.49715057435</v>
      </c>
      <c r="E3617" s="1">
        <v>11</v>
      </c>
      <c r="F3617" s="1">
        <v>20</v>
      </c>
      <c r="G3617" s="1">
        <v>4</v>
      </c>
      <c r="H3617" s="1">
        <v>1</v>
      </c>
      <c r="I3617" s="1">
        <v>1</v>
      </c>
      <c r="J3617" s="1">
        <v>1</v>
      </c>
      <c r="K3617" s="1">
        <v>1</v>
      </c>
      <c r="L3617" s="1">
        <v>0</v>
      </c>
      <c r="M3617" s="1">
        <v>0</v>
      </c>
    </row>
    <row r="3618" spans="1:13">
      <c r="A3618" s="1">
        <v>3617</v>
      </c>
      <c r="B3618" s="1">
        <v>927332.93900000001</v>
      </c>
      <c r="C3618" s="1">
        <v>893941.48672527669</v>
      </c>
      <c r="D3618" s="1">
        <f t="shared" si="56"/>
        <v>33391.452274723328</v>
      </c>
      <c r="E3618" s="1">
        <v>10</v>
      </c>
      <c r="F3618" s="1">
        <v>20</v>
      </c>
      <c r="G3618" s="1">
        <v>5</v>
      </c>
      <c r="H3618" s="1">
        <v>1</v>
      </c>
      <c r="I3618" s="1">
        <v>0</v>
      </c>
      <c r="J3618" s="1">
        <v>0</v>
      </c>
      <c r="K3618" s="1">
        <v>1</v>
      </c>
      <c r="L3618" s="1">
        <v>0</v>
      </c>
      <c r="M3618" s="1">
        <v>0</v>
      </c>
    </row>
    <row r="3619" spans="1:13">
      <c r="A3619" s="1">
        <v>3618</v>
      </c>
      <c r="B3619" s="1">
        <v>865604.93530000001</v>
      </c>
      <c r="C3619" s="1">
        <v>766999.04084518936</v>
      </c>
      <c r="D3619" s="1">
        <f t="shared" si="56"/>
        <v>98605.894454810652</v>
      </c>
      <c r="E3619" s="1">
        <v>16</v>
      </c>
      <c r="F3619" s="1">
        <v>16</v>
      </c>
      <c r="G3619" s="1">
        <v>3</v>
      </c>
      <c r="H3619" s="1">
        <v>1</v>
      </c>
      <c r="I3619" s="1">
        <v>0</v>
      </c>
      <c r="J3619" s="1">
        <v>2</v>
      </c>
      <c r="K3619" s="1">
        <v>0</v>
      </c>
      <c r="L3619" s="1">
        <v>0</v>
      </c>
      <c r="M3619" s="1">
        <v>0</v>
      </c>
    </row>
    <row r="3620" spans="1:13">
      <c r="A3620" s="1">
        <v>3619</v>
      </c>
      <c r="B3620" s="1">
        <v>960374.60219999996</v>
      </c>
      <c r="C3620" s="1">
        <v>559637.69874334929</v>
      </c>
      <c r="D3620" s="1">
        <f t="shared" si="56"/>
        <v>400736.90345665067</v>
      </c>
      <c r="E3620" s="1">
        <v>15</v>
      </c>
      <c r="F3620" s="1">
        <v>15</v>
      </c>
      <c r="G3620" s="1">
        <v>5</v>
      </c>
      <c r="H3620" s="1">
        <v>2</v>
      </c>
      <c r="I3620" s="1">
        <v>0</v>
      </c>
      <c r="J3620" s="1">
        <v>0</v>
      </c>
      <c r="K3620" s="1">
        <v>1</v>
      </c>
      <c r="L3620" s="1">
        <v>0</v>
      </c>
      <c r="M3620" s="1">
        <v>0</v>
      </c>
    </row>
    <row r="3621" spans="1:13">
      <c r="A3621" s="1">
        <v>3620</v>
      </c>
      <c r="B3621" s="1">
        <v>920501.71730000002</v>
      </c>
      <c r="C3621" s="1">
        <v>1702363.7493129622</v>
      </c>
      <c r="D3621" s="1">
        <f t="shared" si="56"/>
        <v>-781862.03201296215</v>
      </c>
      <c r="E3621" s="1">
        <v>7</v>
      </c>
      <c r="F3621" s="1">
        <v>20</v>
      </c>
      <c r="G3621" s="1">
        <v>8</v>
      </c>
      <c r="H3621" s="1">
        <v>2</v>
      </c>
      <c r="I3621" s="1">
        <v>0</v>
      </c>
      <c r="J3621" s="1">
        <v>0</v>
      </c>
      <c r="K3621" s="1">
        <v>1</v>
      </c>
      <c r="L3621" s="1">
        <v>0</v>
      </c>
      <c r="M3621" s="1">
        <v>0</v>
      </c>
    </row>
    <row r="3622" spans="1:13">
      <c r="A3622" s="1">
        <v>3621</v>
      </c>
      <c r="B3622" s="1">
        <v>972737.24930000002</v>
      </c>
      <c r="C3622" s="1">
        <v>445176.90863795462</v>
      </c>
      <c r="D3622" s="1">
        <f t="shared" si="56"/>
        <v>527560.3406620454</v>
      </c>
      <c r="E3622" s="1">
        <v>6</v>
      </c>
      <c r="F3622" s="1">
        <v>23</v>
      </c>
      <c r="G3622" s="1">
        <v>6</v>
      </c>
      <c r="H3622" s="1">
        <v>0</v>
      </c>
      <c r="I3622" s="1">
        <v>1</v>
      </c>
      <c r="J3622" s="1">
        <v>1</v>
      </c>
      <c r="K3622" s="1">
        <v>0</v>
      </c>
      <c r="L3622" s="1">
        <v>0</v>
      </c>
      <c r="M3622" s="1">
        <v>0</v>
      </c>
    </row>
    <row r="3623" spans="1:13">
      <c r="A3623" s="1">
        <v>3622</v>
      </c>
      <c r="B3623" s="1">
        <v>901064.24690000003</v>
      </c>
      <c r="C3623" s="1">
        <v>1097501.0120322872</v>
      </c>
      <c r="D3623" s="1">
        <f t="shared" si="56"/>
        <v>-196436.76513228717</v>
      </c>
      <c r="E3623" s="1">
        <v>18</v>
      </c>
      <c r="F3623" s="1">
        <v>13</v>
      </c>
      <c r="G3623" s="1">
        <v>4</v>
      </c>
      <c r="H3623" s="1">
        <v>1</v>
      </c>
      <c r="I3623" s="1">
        <v>0</v>
      </c>
      <c r="J3623" s="1">
        <v>1</v>
      </c>
      <c r="K3623" s="1">
        <v>1</v>
      </c>
      <c r="L3623" s="1">
        <v>0</v>
      </c>
      <c r="M3623" s="1">
        <v>1</v>
      </c>
    </row>
    <row r="3624" spans="1:13">
      <c r="A3624" s="1">
        <v>3623</v>
      </c>
      <c r="B3624" s="1">
        <v>856480.22809999995</v>
      </c>
      <c r="C3624" s="1">
        <v>680112.80486701604</v>
      </c>
      <c r="D3624" s="1">
        <f t="shared" si="56"/>
        <v>176367.42323298391</v>
      </c>
      <c r="E3624" s="1">
        <v>13</v>
      </c>
      <c r="F3624" s="1">
        <v>15</v>
      </c>
      <c r="G3624" s="1">
        <v>7</v>
      </c>
      <c r="H3624" s="1">
        <v>1</v>
      </c>
      <c r="I3624" s="1">
        <v>1</v>
      </c>
      <c r="J3624" s="1">
        <v>1</v>
      </c>
      <c r="K3624" s="1">
        <v>0</v>
      </c>
      <c r="L3624" s="1">
        <v>0</v>
      </c>
      <c r="M3624" s="1">
        <v>0</v>
      </c>
    </row>
    <row r="3625" spans="1:13">
      <c r="A3625" s="1">
        <v>3624</v>
      </c>
      <c r="B3625" s="1">
        <v>839577.36580000003</v>
      </c>
      <c r="C3625" s="1">
        <v>1030335.4301044799</v>
      </c>
      <c r="D3625" s="1">
        <f t="shared" si="56"/>
        <v>-190758.06430447986</v>
      </c>
      <c r="E3625" s="1">
        <v>3</v>
      </c>
      <c r="F3625" s="1">
        <v>27</v>
      </c>
      <c r="G3625" s="1">
        <v>5</v>
      </c>
      <c r="H3625" s="1">
        <v>2</v>
      </c>
      <c r="I3625" s="1">
        <v>0</v>
      </c>
      <c r="J3625" s="1">
        <v>0</v>
      </c>
      <c r="K3625" s="1">
        <v>0</v>
      </c>
      <c r="L3625" s="1">
        <v>0</v>
      </c>
      <c r="M3625" s="1">
        <v>0</v>
      </c>
    </row>
    <row r="3626" spans="1:13">
      <c r="A3626" s="1">
        <v>3625</v>
      </c>
      <c r="B3626" s="1">
        <v>948116.71990000003</v>
      </c>
      <c r="C3626" s="1">
        <v>710027.76302117819</v>
      </c>
      <c r="D3626" s="1">
        <f t="shared" si="56"/>
        <v>238088.95687882183</v>
      </c>
      <c r="E3626" s="1">
        <v>9</v>
      </c>
      <c r="F3626" s="1">
        <v>24</v>
      </c>
      <c r="G3626" s="1">
        <v>2</v>
      </c>
      <c r="H3626" s="1">
        <v>2</v>
      </c>
      <c r="I3626" s="1">
        <v>0</v>
      </c>
      <c r="J3626" s="1">
        <v>0</v>
      </c>
      <c r="K3626" s="1">
        <v>1</v>
      </c>
      <c r="L3626" s="1">
        <v>0</v>
      </c>
      <c r="M3626" s="1">
        <v>1</v>
      </c>
    </row>
    <row r="3627" spans="1:13">
      <c r="A3627" s="1">
        <v>3626</v>
      </c>
      <c r="B3627" s="1">
        <v>942170.97549999994</v>
      </c>
      <c r="C3627" s="1">
        <v>915266.97998043406</v>
      </c>
      <c r="D3627" s="1">
        <f t="shared" si="56"/>
        <v>26903.995519565884</v>
      </c>
      <c r="E3627" s="1">
        <v>11</v>
      </c>
      <c r="F3627" s="1">
        <v>17</v>
      </c>
      <c r="G3627" s="1">
        <v>7</v>
      </c>
      <c r="H3627" s="1">
        <v>1</v>
      </c>
      <c r="I3627" s="1">
        <v>0</v>
      </c>
      <c r="J3627" s="1">
        <v>1</v>
      </c>
      <c r="K3627" s="1">
        <v>0</v>
      </c>
      <c r="L3627" s="1">
        <v>0</v>
      </c>
      <c r="M3627" s="1">
        <v>1</v>
      </c>
    </row>
    <row r="3628" spans="1:13">
      <c r="A3628" s="1">
        <v>3627</v>
      </c>
      <c r="B3628" s="1">
        <v>853843.6692</v>
      </c>
      <c r="C3628" s="1">
        <v>936321.77565222967</v>
      </c>
      <c r="D3628" s="1">
        <f t="shared" si="56"/>
        <v>-82478.106452229666</v>
      </c>
      <c r="E3628" s="1">
        <v>6</v>
      </c>
      <c r="F3628" s="1">
        <v>27</v>
      </c>
      <c r="G3628" s="1">
        <v>2</v>
      </c>
      <c r="H3628" s="1">
        <v>0</v>
      </c>
      <c r="I3628" s="1">
        <v>0</v>
      </c>
      <c r="J3628" s="1">
        <v>0</v>
      </c>
      <c r="K3628" s="1">
        <v>2</v>
      </c>
      <c r="L3628" s="1">
        <v>0</v>
      </c>
      <c r="M3628" s="1">
        <v>1</v>
      </c>
    </row>
    <row r="3629" spans="1:13">
      <c r="A3629" s="1">
        <v>3628</v>
      </c>
      <c r="B3629" s="1">
        <v>893343.43039999995</v>
      </c>
      <c r="C3629" s="1">
        <v>1210408.2641346101</v>
      </c>
      <c r="D3629" s="1">
        <f t="shared" si="56"/>
        <v>-317064.83373461012</v>
      </c>
      <c r="E3629" s="1">
        <v>20</v>
      </c>
      <c r="F3629" s="1">
        <v>11</v>
      </c>
      <c r="G3629" s="1">
        <v>4</v>
      </c>
      <c r="H3629" s="1">
        <v>2</v>
      </c>
      <c r="I3629" s="1">
        <v>0</v>
      </c>
      <c r="J3629" s="1">
        <v>2</v>
      </c>
      <c r="K3629" s="1">
        <v>0</v>
      </c>
      <c r="L3629" s="1">
        <v>0</v>
      </c>
      <c r="M3629" s="1">
        <v>0</v>
      </c>
    </row>
    <row r="3630" spans="1:13">
      <c r="A3630" s="1">
        <v>3629</v>
      </c>
      <c r="B3630" s="1">
        <v>959564.50959999999</v>
      </c>
      <c r="C3630" s="1">
        <v>900514.69288167707</v>
      </c>
      <c r="D3630" s="1">
        <f t="shared" si="56"/>
        <v>59049.816718322923</v>
      </c>
      <c r="E3630" s="1">
        <v>13</v>
      </c>
      <c r="F3630" s="1">
        <v>16</v>
      </c>
      <c r="G3630" s="1">
        <v>6</v>
      </c>
      <c r="H3630" s="1">
        <v>0</v>
      </c>
      <c r="I3630" s="1">
        <v>0</v>
      </c>
      <c r="J3630" s="1">
        <v>0</v>
      </c>
      <c r="K3630" s="1">
        <v>0</v>
      </c>
      <c r="L3630" s="1">
        <v>0</v>
      </c>
      <c r="M3630" s="1">
        <v>0</v>
      </c>
    </row>
    <row r="3631" spans="1:13">
      <c r="A3631" s="1">
        <v>3630</v>
      </c>
      <c r="B3631" s="1">
        <v>927612.57640000002</v>
      </c>
      <c r="C3631" s="1">
        <v>1138831.6701381095</v>
      </c>
      <c r="D3631" s="1">
        <f t="shared" si="56"/>
        <v>-211219.09373810946</v>
      </c>
      <c r="E3631" s="1">
        <v>20</v>
      </c>
      <c r="F3631" s="1">
        <v>10</v>
      </c>
      <c r="G3631" s="1">
        <v>5</v>
      </c>
      <c r="H3631" s="1">
        <v>0</v>
      </c>
      <c r="I3631" s="1">
        <v>1</v>
      </c>
      <c r="J3631" s="1">
        <v>2</v>
      </c>
      <c r="K3631" s="1">
        <v>0</v>
      </c>
      <c r="L3631" s="1">
        <v>0</v>
      </c>
      <c r="M3631" s="1">
        <v>0</v>
      </c>
    </row>
    <row r="3632" spans="1:13">
      <c r="A3632" s="1">
        <v>3631</v>
      </c>
      <c r="B3632" s="1">
        <v>951502.25589999999</v>
      </c>
      <c r="C3632" s="1">
        <v>1396578.15584449</v>
      </c>
      <c r="D3632" s="1">
        <f t="shared" si="56"/>
        <v>-445075.89994449005</v>
      </c>
      <c r="E3632" s="1">
        <v>17</v>
      </c>
      <c r="F3632" s="1">
        <v>14</v>
      </c>
      <c r="G3632" s="1">
        <v>4</v>
      </c>
      <c r="H3632" s="1">
        <v>0</v>
      </c>
      <c r="I3632" s="1">
        <v>0</v>
      </c>
      <c r="J3632" s="1">
        <v>0</v>
      </c>
      <c r="K3632" s="1">
        <v>0</v>
      </c>
      <c r="L3632" s="1">
        <v>0</v>
      </c>
      <c r="M3632" s="1">
        <v>0</v>
      </c>
    </row>
    <row r="3633" spans="1:13">
      <c r="A3633" s="1">
        <v>3632</v>
      </c>
      <c r="B3633" s="1">
        <v>1099747.7722</v>
      </c>
      <c r="C3633" s="1">
        <v>919375.89449790062</v>
      </c>
      <c r="D3633" s="1">
        <f t="shared" si="56"/>
        <v>180371.87770209939</v>
      </c>
      <c r="E3633" s="1">
        <v>5</v>
      </c>
      <c r="F3633" s="1">
        <v>24</v>
      </c>
      <c r="G3633" s="1">
        <v>6</v>
      </c>
      <c r="H3633" s="1">
        <v>1</v>
      </c>
      <c r="I3633" s="1">
        <v>0</v>
      </c>
      <c r="J3633" s="1">
        <v>1</v>
      </c>
      <c r="K3633" s="1">
        <v>1</v>
      </c>
      <c r="L3633" s="1">
        <v>0</v>
      </c>
      <c r="M3633" s="1">
        <v>0</v>
      </c>
    </row>
    <row r="3634" spans="1:13">
      <c r="A3634" s="1">
        <v>3633</v>
      </c>
      <c r="B3634" s="1">
        <v>889983.8469</v>
      </c>
      <c r="C3634" s="1">
        <v>632420.49083188025</v>
      </c>
      <c r="D3634" s="1">
        <f t="shared" si="56"/>
        <v>257563.35606811976</v>
      </c>
      <c r="E3634" s="1">
        <v>19</v>
      </c>
      <c r="F3634" s="1">
        <v>12</v>
      </c>
      <c r="G3634" s="1">
        <v>4</v>
      </c>
      <c r="H3634" s="1">
        <v>0</v>
      </c>
      <c r="I3634" s="1">
        <v>1</v>
      </c>
      <c r="J3634" s="1">
        <v>1</v>
      </c>
      <c r="K3634" s="1">
        <v>1</v>
      </c>
      <c r="L3634" s="1">
        <v>0</v>
      </c>
      <c r="M3634" s="1">
        <v>0</v>
      </c>
    </row>
    <row r="3635" spans="1:13">
      <c r="A3635" s="1">
        <v>3634</v>
      </c>
      <c r="B3635" s="1">
        <v>919931.43149999995</v>
      </c>
      <c r="C3635" s="1">
        <v>814747.73354783352</v>
      </c>
      <c r="D3635" s="1">
        <f t="shared" si="56"/>
        <v>105183.69795216643</v>
      </c>
      <c r="E3635" s="1">
        <v>10</v>
      </c>
      <c r="F3635" s="1">
        <v>19</v>
      </c>
      <c r="G3635" s="1">
        <v>6</v>
      </c>
      <c r="H3635" s="1">
        <v>1</v>
      </c>
      <c r="I3635" s="1">
        <v>0</v>
      </c>
      <c r="J3635" s="1">
        <v>0</v>
      </c>
      <c r="K3635" s="1">
        <v>1</v>
      </c>
      <c r="L3635" s="1">
        <v>0</v>
      </c>
      <c r="M3635" s="1">
        <v>0</v>
      </c>
    </row>
    <row r="3636" spans="1:13">
      <c r="A3636" s="1">
        <v>3635</v>
      </c>
      <c r="B3636" s="1">
        <v>884371.81790000002</v>
      </c>
      <c r="C3636" s="1">
        <v>847820.01976291789</v>
      </c>
      <c r="D3636" s="1">
        <f t="shared" si="56"/>
        <v>36551.798137082136</v>
      </c>
      <c r="E3636" s="1">
        <v>16</v>
      </c>
      <c r="F3636" s="1">
        <v>16</v>
      </c>
      <c r="G3636" s="1">
        <v>3</v>
      </c>
      <c r="H3636" s="1">
        <v>1</v>
      </c>
      <c r="I3636" s="1">
        <v>0</v>
      </c>
      <c r="J3636" s="1">
        <v>1</v>
      </c>
      <c r="K3636" s="1">
        <v>1</v>
      </c>
      <c r="L3636" s="1">
        <v>0</v>
      </c>
      <c r="M3636" s="1">
        <v>0</v>
      </c>
    </row>
    <row r="3637" spans="1:13">
      <c r="A3637" s="1">
        <v>3636</v>
      </c>
      <c r="B3637" s="1">
        <v>850451.304</v>
      </c>
      <c r="C3637" s="1">
        <v>877380.2355803363</v>
      </c>
      <c r="D3637" s="1">
        <f t="shared" si="56"/>
        <v>-26928.931580336299</v>
      </c>
      <c r="E3637" s="1">
        <v>15</v>
      </c>
      <c r="F3637" s="1">
        <v>17</v>
      </c>
      <c r="G3637" s="1">
        <v>3</v>
      </c>
      <c r="H3637" s="1">
        <v>1</v>
      </c>
      <c r="I3637" s="1">
        <v>0</v>
      </c>
      <c r="J3637" s="1">
        <v>1</v>
      </c>
      <c r="K3637" s="1">
        <v>1</v>
      </c>
      <c r="L3637" s="1">
        <v>0</v>
      </c>
      <c r="M3637" s="1">
        <v>0</v>
      </c>
    </row>
    <row r="3638" spans="1:13">
      <c r="A3638" s="1">
        <v>3637</v>
      </c>
      <c r="B3638" s="1">
        <v>994010.31279999996</v>
      </c>
      <c r="C3638" s="1">
        <v>843159.24938837474</v>
      </c>
      <c r="D3638" s="1">
        <f t="shared" si="56"/>
        <v>150851.06341162522</v>
      </c>
      <c r="E3638" s="1">
        <v>7</v>
      </c>
      <c r="F3638" s="1">
        <v>22</v>
      </c>
      <c r="G3638" s="1">
        <v>6</v>
      </c>
      <c r="H3638" s="1">
        <v>1</v>
      </c>
      <c r="I3638" s="1">
        <v>0</v>
      </c>
      <c r="J3638" s="1">
        <v>0</v>
      </c>
      <c r="K3638" s="1">
        <v>1</v>
      </c>
      <c r="L3638" s="1">
        <v>0</v>
      </c>
      <c r="M3638" s="1">
        <v>0</v>
      </c>
    </row>
    <row r="3639" spans="1:13">
      <c r="A3639" s="1">
        <v>3638</v>
      </c>
      <c r="B3639" s="1">
        <v>954476.58959999995</v>
      </c>
      <c r="C3639" s="1">
        <v>1197186.6555470123</v>
      </c>
      <c r="D3639" s="1">
        <f t="shared" si="56"/>
        <v>-242710.06594701239</v>
      </c>
      <c r="E3639" s="1">
        <v>15</v>
      </c>
      <c r="F3639" s="1">
        <v>15</v>
      </c>
      <c r="G3639" s="1">
        <v>5</v>
      </c>
      <c r="H3639" s="1">
        <v>0</v>
      </c>
      <c r="I3639" s="1">
        <v>0</v>
      </c>
      <c r="J3639" s="1">
        <v>2</v>
      </c>
      <c r="K3639" s="1">
        <v>0</v>
      </c>
      <c r="L3639" s="1">
        <v>0</v>
      </c>
      <c r="M3639" s="1">
        <v>0</v>
      </c>
    </row>
    <row r="3640" spans="1:13">
      <c r="A3640" s="1">
        <v>3639</v>
      </c>
      <c r="B3640" s="1">
        <v>978615.20449999999</v>
      </c>
      <c r="C3640" s="1">
        <v>819617.03118678031</v>
      </c>
      <c r="D3640" s="1">
        <f t="shared" si="56"/>
        <v>158998.17331321968</v>
      </c>
      <c r="E3640" s="1">
        <v>15</v>
      </c>
      <c r="F3640" s="1">
        <v>17</v>
      </c>
      <c r="G3640" s="1">
        <v>3</v>
      </c>
      <c r="H3640" s="1">
        <v>1</v>
      </c>
      <c r="I3640" s="1">
        <v>0</v>
      </c>
      <c r="J3640" s="1">
        <v>0</v>
      </c>
      <c r="K3640" s="1">
        <v>0</v>
      </c>
      <c r="L3640" s="1">
        <v>0</v>
      </c>
      <c r="M3640" s="1">
        <v>0</v>
      </c>
    </row>
    <row r="3641" spans="1:13">
      <c r="A3641" s="1">
        <v>3640</v>
      </c>
      <c r="B3641" s="1">
        <v>882623.77780000004</v>
      </c>
      <c r="C3641" s="1">
        <v>870881.90490406472</v>
      </c>
      <c r="D3641" s="1">
        <f t="shared" si="56"/>
        <v>11741.872895935318</v>
      </c>
      <c r="E3641" s="1">
        <v>18</v>
      </c>
      <c r="F3641" s="1">
        <v>13</v>
      </c>
      <c r="G3641" s="1">
        <v>4</v>
      </c>
      <c r="H3641" s="1">
        <v>0</v>
      </c>
      <c r="I3641" s="1">
        <v>0</v>
      </c>
      <c r="J3641" s="1">
        <v>2</v>
      </c>
      <c r="K3641" s="1">
        <v>0</v>
      </c>
      <c r="L3641" s="1">
        <v>0</v>
      </c>
      <c r="M3641" s="1">
        <v>0</v>
      </c>
    </row>
    <row r="3642" spans="1:13">
      <c r="A3642" s="1">
        <v>3641</v>
      </c>
      <c r="B3642" s="1">
        <v>882979.59450000001</v>
      </c>
      <c r="C3642" s="1">
        <v>785657.50336357136</v>
      </c>
      <c r="D3642" s="1">
        <f t="shared" si="56"/>
        <v>97322.091136428644</v>
      </c>
      <c r="E3642" s="1">
        <v>19</v>
      </c>
      <c r="F3642" s="1">
        <v>9</v>
      </c>
      <c r="G3642" s="1">
        <v>7</v>
      </c>
      <c r="H3642" s="1">
        <v>1</v>
      </c>
      <c r="I3642" s="1">
        <v>0</v>
      </c>
      <c r="J3642" s="1">
        <v>0</v>
      </c>
      <c r="K3642" s="1">
        <v>0</v>
      </c>
      <c r="L3642" s="1">
        <v>1</v>
      </c>
      <c r="M3642" s="1">
        <v>1</v>
      </c>
    </row>
    <row r="3643" spans="1:13">
      <c r="A3643" s="1">
        <v>3642</v>
      </c>
      <c r="B3643" s="1">
        <v>854803.54</v>
      </c>
      <c r="C3643" s="1">
        <v>704966.38077776833</v>
      </c>
      <c r="D3643" s="1">
        <f t="shared" si="56"/>
        <v>149837.15922223171</v>
      </c>
      <c r="E3643" s="1">
        <v>18</v>
      </c>
      <c r="F3643" s="1">
        <v>13</v>
      </c>
      <c r="G3643" s="1">
        <v>4</v>
      </c>
      <c r="H3643" s="1">
        <v>0</v>
      </c>
      <c r="I3643" s="1">
        <v>0</v>
      </c>
      <c r="J3643" s="1">
        <v>1</v>
      </c>
      <c r="K3643" s="1">
        <v>1</v>
      </c>
      <c r="L3643" s="1">
        <v>0</v>
      </c>
      <c r="M3643" s="1">
        <v>0</v>
      </c>
    </row>
    <row r="3644" spans="1:13">
      <c r="A3644" s="1">
        <v>3643</v>
      </c>
      <c r="B3644" s="1">
        <v>881046.88309999998</v>
      </c>
      <c r="C3644" s="1">
        <v>678841.17091946921</v>
      </c>
      <c r="D3644" s="1">
        <f t="shared" si="56"/>
        <v>202205.71218053077</v>
      </c>
      <c r="E3644" s="1">
        <v>15</v>
      </c>
      <c r="F3644" s="1">
        <v>13</v>
      </c>
      <c r="G3644" s="1">
        <v>7</v>
      </c>
      <c r="H3644" s="1">
        <v>1</v>
      </c>
      <c r="I3644" s="1">
        <v>0</v>
      </c>
      <c r="J3644" s="1">
        <v>2</v>
      </c>
      <c r="K3644" s="1">
        <v>0</v>
      </c>
      <c r="L3644" s="1">
        <v>0</v>
      </c>
      <c r="M3644" s="1">
        <v>1</v>
      </c>
    </row>
    <row r="3645" spans="1:13">
      <c r="A3645" s="1">
        <v>3644</v>
      </c>
      <c r="B3645" s="1">
        <v>1037510.558</v>
      </c>
      <c r="C3645" s="1">
        <v>870042.0831142551</v>
      </c>
      <c r="D3645" s="1">
        <f t="shared" si="56"/>
        <v>167468.47488574486</v>
      </c>
      <c r="E3645" s="1">
        <v>8</v>
      </c>
      <c r="F3645" s="1">
        <v>21</v>
      </c>
      <c r="G3645" s="1">
        <v>6</v>
      </c>
      <c r="H3645" s="1">
        <v>2</v>
      </c>
      <c r="I3645" s="1">
        <v>0</v>
      </c>
      <c r="J3645" s="1">
        <v>0</v>
      </c>
      <c r="K3645" s="1">
        <v>1</v>
      </c>
      <c r="L3645" s="1">
        <v>0</v>
      </c>
      <c r="M3645" s="1">
        <v>1</v>
      </c>
    </row>
    <row r="3646" spans="1:13">
      <c r="A3646" s="1">
        <v>3645</v>
      </c>
      <c r="B3646" s="1">
        <v>872156.64489999996</v>
      </c>
      <c r="C3646" s="1">
        <v>726342.74590093608</v>
      </c>
      <c r="D3646" s="1">
        <f t="shared" si="56"/>
        <v>145813.89899906388</v>
      </c>
      <c r="E3646" s="1">
        <v>21</v>
      </c>
      <c r="F3646" s="1">
        <v>12</v>
      </c>
      <c r="G3646" s="1">
        <v>2</v>
      </c>
      <c r="H3646" s="1">
        <v>0</v>
      </c>
      <c r="I3646" s="1">
        <v>0</v>
      </c>
      <c r="J3646" s="1">
        <v>0</v>
      </c>
      <c r="K3646" s="1">
        <v>0</v>
      </c>
      <c r="L3646" s="1">
        <v>0</v>
      </c>
      <c r="M3646" s="1">
        <v>0</v>
      </c>
    </row>
    <row r="3647" spans="1:13">
      <c r="A3647" s="1">
        <v>3646</v>
      </c>
      <c r="B3647" s="1">
        <v>994805.90800000005</v>
      </c>
      <c r="C3647" s="1">
        <v>1880700.0984116797</v>
      </c>
      <c r="D3647" s="1">
        <f t="shared" si="56"/>
        <v>-885894.19041167968</v>
      </c>
      <c r="E3647" s="1">
        <v>14</v>
      </c>
      <c r="F3647" s="1">
        <v>17</v>
      </c>
      <c r="G3647" s="1">
        <v>4</v>
      </c>
      <c r="H3647" s="1">
        <v>1</v>
      </c>
      <c r="I3647" s="1">
        <v>1</v>
      </c>
      <c r="J3647" s="1">
        <v>1</v>
      </c>
      <c r="K3647" s="1">
        <v>0</v>
      </c>
      <c r="L3647" s="1">
        <v>0</v>
      </c>
      <c r="M3647" s="1">
        <v>0</v>
      </c>
    </row>
    <row r="3648" spans="1:13">
      <c r="A3648" s="1">
        <v>3647</v>
      </c>
      <c r="B3648" s="1">
        <v>887345.3371</v>
      </c>
      <c r="C3648" s="1">
        <v>2036254.6117896866</v>
      </c>
      <c r="D3648" s="1">
        <f t="shared" si="56"/>
        <v>-1148909.2746896865</v>
      </c>
      <c r="E3648" s="1">
        <v>19</v>
      </c>
      <c r="F3648" s="1">
        <v>12</v>
      </c>
      <c r="G3648" s="1">
        <v>4</v>
      </c>
      <c r="H3648" s="1">
        <v>1</v>
      </c>
      <c r="I3648" s="1">
        <v>0</v>
      </c>
      <c r="J3648" s="1">
        <v>0</v>
      </c>
      <c r="K3648" s="1">
        <v>1</v>
      </c>
      <c r="L3648" s="1">
        <v>0</v>
      </c>
      <c r="M3648" s="1">
        <v>0</v>
      </c>
    </row>
    <row r="3649" spans="1:13">
      <c r="A3649" s="1">
        <v>3648</v>
      </c>
      <c r="B3649" s="1">
        <v>887172.28870000003</v>
      </c>
      <c r="C3649" s="1">
        <v>1738485.2105027493</v>
      </c>
      <c r="D3649" s="1">
        <f t="shared" si="56"/>
        <v>-851312.92180274928</v>
      </c>
      <c r="E3649" s="1">
        <v>16</v>
      </c>
      <c r="F3649" s="1">
        <v>16</v>
      </c>
      <c r="G3649" s="1">
        <v>3</v>
      </c>
      <c r="H3649" s="1">
        <v>0</v>
      </c>
      <c r="I3649" s="1">
        <v>0</v>
      </c>
      <c r="J3649" s="1">
        <v>1</v>
      </c>
      <c r="K3649" s="1">
        <v>1</v>
      </c>
      <c r="L3649" s="1">
        <v>0</v>
      </c>
      <c r="M3649" s="1">
        <v>1</v>
      </c>
    </row>
    <row r="3650" spans="1:13">
      <c r="A3650" s="1">
        <v>3649</v>
      </c>
      <c r="B3650" s="1">
        <v>902446.29539999994</v>
      </c>
      <c r="C3650" s="1">
        <v>674418.23897929222</v>
      </c>
      <c r="D3650" s="1">
        <f t="shared" ref="D3650:D3713" si="57">B3650-C3650</f>
        <v>228028.05642070773</v>
      </c>
      <c r="E3650" s="1">
        <v>10</v>
      </c>
      <c r="F3650" s="1">
        <v>19</v>
      </c>
      <c r="G3650" s="1">
        <v>6</v>
      </c>
      <c r="H3650" s="1">
        <v>1</v>
      </c>
      <c r="I3650" s="1">
        <v>0</v>
      </c>
      <c r="J3650" s="1">
        <v>1</v>
      </c>
      <c r="K3650" s="1">
        <v>1</v>
      </c>
      <c r="L3650" s="1">
        <v>0</v>
      </c>
      <c r="M3650" s="1">
        <v>1</v>
      </c>
    </row>
    <row r="3651" spans="1:13">
      <c r="A3651" s="1">
        <v>3650</v>
      </c>
      <c r="B3651" s="1">
        <v>1044416.9787</v>
      </c>
      <c r="C3651" s="1">
        <v>760956.43796731217</v>
      </c>
      <c r="D3651" s="1">
        <f t="shared" si="57"/>
        <v>283460.5407326878</v>
      </c>
      <c r="E3651" s="1">
        <v>15</v>
      </c>
      <c r="F3651" s="1">
        <v>16</v>
      </c>
      <c r="G3651" s="1">
        <v>4</v>
      </c>
      <c r="H3651" s="1">
        <v>1</v>
      </c>
      <c r="I3651" s="1">
        <v>1</v>
      </c>
      <c r="J3651" s="1">
        <v>0</v>
      </c>
      <c r="K3651" s="1">
        <v>2</v>
      </c>
      <c r="L3651" s="1">
        <v>0</v>
      </c>
      <c r="M3651" s="1">
        <v>0</v>
      </c>
    </row>
    <row r="3652" spans="1:13">
      <c r="A3652" s="1">
        <v>3651</v>
      </c>
      <c r="B3652" s="1">
        <v>924168.69429999997</v>
      </c>
      <c r="C3652" s="1">
        <v>927484.11600312893</v>
      </c>
      <c r="D3652" s="1">
        <f t="shared" si="57"/>
        <v>-3315.4217031289591</v>
      </c>
      <c r="E3652" s="1">
        <v>9</v>
      </c>
      <c r="F3652" s="1">
        <v>18</v>
      </c>
      <c r="G3652" s="1">
        <v>8</v>
      </c>
      <c r="H3652" s="1">
        <v>1</v>
      </c>
      <c r="I3652" s="1">
        <v>0</v>
      </c>
      <c r="J3652" s="1">
        <v>1</v>
      </c>
      <c r="K3652" s="1">
        <v>1</v>
      </c>
      <c r="L3652" s="1">
        <v>0</v>
      </c>
      <c r="M3652" s="1">
        <v>0</v>
      </c>
    </row>
    <row r="3653" spans="1:13">
      <c r="A3653" s="1">
        <v>3652</v>
      </c>
      <c r="B3653" s="1">
        <v>944954.78650000005</v>
      </c>
      <c r="C3653" s="1">
        <v>480925.61782981933</v>
      </c>
      <c r="D3653" s="1">
        <f t="shared" si="57"/>
        <v>464029.16867018072</v>
      </c>
      <c r="E3653" s="1">
        <v>8</v>
      </c>
      <c r="F3653" s="1">
        <v>23</v>
      </c>
      <c r="G3653" s="1">
        <v>4</v>
      </c>
      <c r="H3653" s="1">
        <v>1</v>
      </c>
      <c r="I3653" s="1">
        <v>0</v>
      </c>
      <c r="J3653" s="1">
        <v>0</v>
      </c>
      <c r="K3653" s="1">
        <v>0</v>
      </c>
      <c r="L3653" s="1">
        <v>0</v>
      </c>
      <c r="M3653" s="1">
        <v>0</v>
      </c>
    </row>
    <row r="3654" spans="1:13">
      <c r="A3654" s="1">
        <v>3653</v>
      </c>
      <c r="B3654" s="1">
        <v>862022.0048</v>
      </c>
      <c r="C3654" s="1">
        <v>876256.2631122754</v>
      </c>
      <c r="D3654" s="1">
        <f t="shared" si="57"/>
        <v>-14234.2583122754</v>
      </c>
      <c r="E3654" s="1">
        <v>22</v>
      </c>
      <c r="F3654" s="1">
        <v>12</v>
      </c>
      <c r="G3654" s="1">
        <v>1</v>
      </c>
      <c r="H3654" s="1">
        <v>2</v>
      </c>
      <c r="I3654" s="1">
        <v>0</v>
      </c>
      <c r="J3654" s="1">
        <v>2</v>
      </c>
      <c r="K3654" s="1">
        <v>0</v>
      </c>
      <c r="L3654" s="1">
        <v>0</v>
      </c>
      <c r="M3654" s="1">
        <v>0</v>
      </c>
    </row>
    <row r="3655" spans="1:13">
      <c r="A3655" s="1">
        <v>3654</v>
      </c>
      <c r="B3655" s="1">
        <v>981794.32299999997</v>
      </c>
      <c r="C3655" s="1">
        <v>853911.61870914069</v>
      </c>
      <c r="D3655" s="1">
        <f t="shared" si="57"/>
        <v>127882.70429085928</v>
      </c>
      <c r="E3655" s="1">
        <v>9</v>
      </c>
      <c r="F3655" s="1">
        <v>21</v>
      </c>
      <c r="G3655" s="1">
        <v>5</v>
      </c>
      <c r="H3655" s="1">
        <v>2</v>
      </c>
      <c r="I3655" s="1">
        <v>0</v>
      </c>
      <c r="J3655" s="1">
        <v>1</v>
      </c>
      <c r="K3655" s="1">
        <v>0</v>
      </c>
      <c r="L3655" s="1">
        <v>0</v>
      </c>
      <c r="M3655" s="1">
        <v>0</v>
      </c>
    </row>
    <row r="3656" spans="1:13">
      <c r="A3656" s="1">
        <v>3655</v>
      </c>
      <c r="B3656" s="1">
        <v>854579.32460000005</v>
      </c>
      <c r="C3656" s="1">
        <v>832118.71129102842</v>
      </c>
      <c r="D3656" s="1">
        <f t="shared" si="57"/>
        <v>22460.613308971631</v>
      </c>
      <c r="E3656" s="1">
        <v>19</v>
      </c>
      <c r="F3656" s="1">
        <v>12</v>
      </c>
      <c r="G3656" s="1">
        <v>4</v>
      </c>
      <c r="H3656" s="1">
        <v>1</v>
      </c>
      <c r="I3656" s="1">
        <v>0</v>
      </c>
      <c r="J3656" s="1">
        <v>0</v>
      </c>
      <c r="K3656" s="1">
        <v>0</v>
      </c>
      <c r="L3656" s="1">
        <v>0</v>
      </c>
      <c r="M3656" s="1">
        <v>1</v>
      </c>
    </row>
    <row r="3657" spans="1:13">
      <c r="A3657" s="1">
        <v>3656</v>
      </c>
      <c r="B3657" s="1">
        <v>918509.63370000001</v>
      </c>
      <c r="C3657" s="1">
        <v>671940.74899609992</v>
      </c>
      <c r="D3657" s="1">
        <f t="shared" si="57"/>
        <v>246568.88470390008</v>
      </c>
      <c r="E3657" s="1">
        <v>8</v>
      </c>
      <c r="F3657" s="1">
        <v>24</v>
      </c>
      <c r="G3657" s="1">
        <v>3</v>
      </c>
      <c r="H3657" s="1">
        <v>0</v>
      </c>
      <c r="I3657" s="1">
        <v>0</v>
      </c>
      <c r="J3657" s="1">
        <v>0</v>
      </c>
      <c r="K3657" s="1">
        <v>0</v>
      </c>
      <c r="L3657" s="1">
        <v>0</v>
      </c>
      <c r="M3657" s="1">
        <v>0</v>
      </c>
    </row>
    <row r="3658" spans="1:13">
      <c r="A3658" s="1">
        <v>3657</v>
      </c>
      <c r="B3658" s="1">
        <v>918043.66449999996</v>
      </c>
      <c r="C3658" s="1">
        <v>783924.60502044635</v>
      </c>
      <c r="D3658" s="1">
        <f t="shared" si="57"/>
        <v>134119.0594795536</v>
      </c>
      <c r="E3658" s="1">
        <v>19</v>
      </c>
      <c r="F3658" s="1">
        <v>12</v>
      </c>
      <c r="G3658" s="1">
        <v>4</v>
      </c>
      <c r="H3658" s="1">
        <v>1</v>
      </c>
      <c r="I3658" s="1">
        <v>1</v>
      </c>
      <c r="J3658" s="1">
        <v>1</v>
      </c>
      <c r="K3658" s="1">
        <v>1</v>
      </c>
      <c r="L3658" s="1">
        <v>0</v>
      </c>
      <c r="M3658" s="1">
        <v>0</v>
      </c>
    </row>
    <row r="3659" spans="1:13">
      <c r="A3659" s="1">
        <v>3658</v>
      </c>
      <c r="B3659" s="1">
        <v>851682.1692</v>
      </c>
      <c r="C3659" s="1">
        <v>918314.84624886338</v>
      </c>
      <c r="D3659" s="1">
        <f t="shared" si="57"/>
        <v>-66632.677048863377</v>
      </c>
      <c r="E3659" s="1">
        <v>9</v>
      </c>
      <c r="F3659" s="1">
        <v>23</v>
      </c>
      <c r="G3659" s="1">
        <v>3</v>
      </c>
      <c r="H3659" s="1">
        <v>0</v>
      </c>
      <c r="I3659" s="1">
        <v>0</v>
      </c>
      <c r="J3659" s="1">
        <v>1</v>
      </c>
      <c r="K3659" s="1">
        <v>1</v>
      </c>
      <c r="L3659" s="1">
        <v>0</v>
      </c>
      <c r="M3659" s="1">
        <v>0</v>
      </c>
    </row>
    <row r="3660" spans="1:13">
      <c r="A3660" s="1">
        <v>3659</v>
      </c>
      <c r="B3660" s="1">
        <v>950009.90760000004</v>
      </c>
      <c r="C3660" s="1">
        <v>765000.21296648774</v>
      </c>
      <c r="D3660" s="1">
        <f t="shared" si="57"/>
        <v>185009.69463351229</v>
      </c>
      <c r="E3660" s="1">
        <v>13</v>
      </c>
      <c r="F3660" s="1">
        <v>20</v>
      </c>
      <c r="G3660" s="1">
        <v>2</v>
      </c>
      <c r="H3660" s="1">
        <v>0</v>
      </c>
      <c r="I3660" s="1">
        <v>0</v>
      </c>
      <c r="J3660" s="1">
        <v>0</v>
      </c>
      <c r="K3660" s="1">
        <v>0</v>
      </c>
      <c r="L3660" s="1">
        <v>0</v>
      </c>
      <c r="M3660" s="1">
        <v>1</v>
      </c>
    </row>
    <row r="3661" spans="1:13">
      <c r="A3661" s="1">
        <v>3660</v>
      </c>
      <c r="B3661" s="1">
        <v>810504.37950000004</v>
      </c>
      <c r="C3661" s="1">
        <v>745418.70126172749</v>
      </c>
      <c r="D3661" s="1">
        <f t="shared" si="57"/>
        <v>65085.678238272551</v>
      </c>
      <c r="E3661" s="1">
        <v>17</v>
      </c>
      <c r="F3661" s="1">
        <v>13</v>
      </c>
      <c r="G3661" s="1">
        <v>5</v>
      </c>
      <c r="H3661" s="1">
        <v>0</v>
      </c>
      <c r="I3661" s="1">
        <v>0</v>
      </c>
      <c r="J3661" s="1">
        <v>1</v>
      </c>
      <c r="K3661" s="1">
        <v>1</v>
      </c>
      <c r="L3661" s="1">
        <v>0</v>
      </c>
      <c r="M3661" s="1">
        <v>0</v>
      </c>
    </row>
    <row r="3662" spans="1:13">
      <c r="A3662" s="1">
        <v>3661</v>
      </c>
      <c r="B3662" s="1">
        <v>973068.38639999996</v>
      </c>
      <c r="C3662" s="1">
        <v>1447764.306986121</v>
      </c>
      <c r="D3662" s="1">
        <f t="shared" si="57"/>
        <v>-474695.92058612104</v>
      </c>
      <c r="E3662" s="1">
        <v>14</v>
      </c>
      <c r="F3662" s="1">
        <v>15</v>
      </c>
      <c r="G3662" s="1">
        <v>6</v>
      </c>
      <c r="H3662" s="1">
        <v>0</v>
      </c>
      <c r="I3662" s="1">
        <v>1</v>
      </c>
      <c r="J3662" s="1">
        <v>2</v>
      </c>
      <c r="K3662" s="1">
        <v>0</v>
      </c>
      <c r="L3662" s="1">
        <v>0</v>
      </c>
      <c r="M3662" s="1">
        <v>1</v>
      </c>
    </row>
    <row r="3663" spans="1:13">
      <c r="A3663" s="1">
        <v>3662</v>
      </c>
      <c r="B3663" s="1">
        <v>901730.29350000003</v>
      </c>
      <c r="C3663" s="1">
        <v>887502.90905016614</v>
      </c>
      <c r="D3663" s="1">
        <f t="shared" si="57"/>
        <v>14227.384449833888</v>
      </c>
      <c r="E3663" s="1">
        <v>19</v>
      </c>
      <c r="F3663" s="1">
        <v>13</v>
      </c>
      <c r="G3663" s="1">
        <v>3</v>
      </c>
      <c r="H3663" s="1">
        <v>0</v>
      </c>
      <c r="I3663" s="1">
        <v>0</v>
      </c>
      <c r="J3663" s="1">
        <v>1</v>
      </c>
      <c r="K3663" s="1">
        <v>1</v>
      </c>
      <c r="L3663" s="1">
        <v>0</v>
      </c>
      <c r="M3663" s="1">
        <v>0</v>
      </c>
    </row>
    <row r="3664" spans="1:13">
      <c r="A3664" s="1">
        <v>3663</v>
      </c>
      <c r="B3664" s="1">
        <v>980030.18169999996</v>
      </c>
      <c r="C3664" s="1">
        <v>865657.91608801158</v>
      </c>
      <c r="D3664" s="1">
        <f t="shared" si="57"/>
        <v>114372.26561198838</v>
      </c>
      <c r="E3664" s="1">
        <v>14</v>
      </c>
      <c r="F3664" s="1">
        <v>13</v>
      </c>
      <c r="G3664" s="1">
        <v>8</v>
      </c>
      <c r="H3664" s="1">
        <v>1</v>
      </c>
      <c r="I3664" s="1">
        <v>0</v>
      </c>
      <c r="J3664" s="1">
        <v>1</v>
      </c>
      <c r="K3664" s="1">
        <v>0</v>
      </c>
      <c r="L3664" s="1">
        <v>0</v>
      </c>
      <c r="M3664" s="1">
        <v>0</v>
      </c>
    </row>
    <row r="3665" spans="1:13">
      <c r="A3665" s="1">
        <v>3664</v>
      </c>
      <c r="B3665" s="1">
        <v>1038602.6999</v>
      </c>
      <c r="C3665" s="1">
        <v>1028625.003433304</v>
      </c>
      <c r="D3665" s="1">
        <f t="shared" si="57"/>
        <v>9977.696466695983</v>
      </c>
      <c r="E3665" s="1">
        <v>13</v>
      </c>
      <c r="F3665" s="1">
        <v>18</v>
      </c>
      <c r="G3665" s="1">
        <v>4</v>
      </c>
      <c r="H3665" s="1">
        <v>0</v>
      </c>
      <c r="I3665" s="1">
        <v>0</v>
      </c>
      <c r="J3665" s="1">
        <v>0</v>
      </c>
      <c r="K3665" s="1">
        <v>0</v>
      </c>
      <c r="L3665" s="1">
        <v>1</v>
      </c>
      <c r="M3665" s="1">
        <v>0</v>
      </c>
    </row>
    <row r="3666" spans="1:13">
      <c r="A3666" s="1">
        <v>3665</v>
      </c>
      <c r="B3666" s="1">
        <v>974612.03610000003</v>
      </c>
      <c r="C3666" s="1">
        <v>835967.82191487623</v>
      </c>
      <c r="D3666" s="1">
        <f t="shared" si="57"/>
        <v>138644.2141851238</v>
      </c>
      <c r="E3666" s="1">
        <v>11</v>
      </c>
      <c r="F3666" s="1">
        <v>17</v>
      </c>
      <c r="G3666" s="1">
        <v>7</v>
      </c>
      <c r="H3666" s="1">
        <v>1</v>
      </c>
      <c r="I3666" s="1">
        <v>0</v>
      </c>
      <c r="J3666" s="1">
        <v>2</v>
      </c>
      <c r="K3666" s="1">
        <v>0</v>
      </c>
      <c r="L3666" s="1">
        <v>0</v>
      </c>
      <c r="M3666" s="1">
        <v>0</v>
      </c>
    </row>
    <row r="3667" spans="1:13">
      <c r="A3667" s="1">
        <v>3666</v>
      </c>
      <c r="B3667" s="1">
        <v>968719.89930000005</v>
      </c>
      <c r="C3667" s="1">
        <v>753535.45717501</v>
      </c>
      <c r="D3667" s="1">
        <f t="shared" si="57"/>
        <v>215184.44212499005</v>
      </c>
      <c r="E3667" s="1">
        <v>11</v>
      </c>
      <c r="F3667" s="1">
        <v>21</v>
      </c>
      <c r="G3667" s="1">
        <v>3</v>
      </c>
      <c r="H3667" s="1">
        <v>1</v>
      </c>
      <c r="I3667" s="1">
        <v>1</v>
      </c>
      <c r="J3667" s="1">
        <v>2</v>
      </c>
      <c r="K3667" s="1">
        <v>0</v>
      </c>
      <c r="L3667" s="1">
        <v>0</v>
      </c>
      <c r="M3667" s="1">
        <v>1</v>
      </c>
    </row>
    <row r="3668" spans="1:13">
      <c r="A3668" s="1">
        <v>3667</v>
      </c>
      <c r="B3668" s="1">
        <v>1054285.7537</v>
      </c>
      <c r="C3668" s="1">
        <v>746692.47507285373</v>
      </c>
      <c r="D3668" s="1">
        <f t="shared" si="57"/>
        <v>307593.27862714627</v>
      </c>
      <c r="E3668" s="1">
        <v>6</v>
      </c>
      <c r="F3668" s="1">
        <v>21</v>
      </c>
      <c r="G3668" s="1">
        <v>8</v>
      </c>
      <c r="H3668" s="1">
        <v>1</v>
      </c>
      <c r="I3668" s="1">
        <v>1</v>
      </c>
      <c r="J3668" s="1">
        <v>0</v>
      </c>
      <c r="K3668" s="1">
        <v>2</v>
      </c>
      <c r="L3668" s="1">
        <v>0</v>
      </c>
      <c r="M3668" s="1">
        <v>0</v>
      </c>
    </row>
    <row r="3669" spans="1:13">
      <c r="A3669" s="1">
        <v>3668</v>
      </c>
      <c r="B3669" s="1">
        <v>901687.49360000005</v>
      </c>
      <c r="C3669" s="1">
        <v>552732.70661456266</v>
      </c>
      <c r="D3669" s="1">
        <f t="shared" si="57"/>
        <v>348954.78698543739</v>
      </c>
      <c r="E3669" s="1">
        <v>16</v>
      </c>
      <c r="F3669" s="1">
        <v>15</v>
      </c>
      <c r="G3669" s="1">
        <v>4</v>
      </c>
      <c r="H3669" s="1">
        <v>1</v>
      </c>
      <c r="I3669" s="1">
        <v>0</v>
      </c>
      <c r="J3669" s="1">
        <v>1</v>
      </c>
      <c r="K3669" s="1">
        <v>0</v>
      </c>
      <c r="L3669" s="1">
        <v>0</v>
      </c>
      <c r="M3669" s="1">
        <v>0</v>
      </c>
    </row>
    <row r="3670" spans="1:13">
      <c r="A3670" s="1">
        <v>3669</v>
      </c>
      <c r="B3670" s="1">
        <v>841680.60230000003</v>
      </c>
      <c r="C3670" s="1">
        <v>707853.13883150765</v>
      </c>
      <c r="D3670" s="1">
        <f t="shared" si="57"/>
        <v>133827.46346849238</v>
      </c>
      <c r="E3670" s="1">
        <v>22</v>
      </c>
      <c r="F3670" s="1">
        <v>11</v>
      </c>
      <c r="G3670" s="1">
        <v>2</v>
      </c>
      <c r="H3670" s="1">
        <v>0</v>
      </c>
      <c r="I3670" s="1">
        <v>0</v>
      </c>
      <c r="J3670" s="1">
        <v>1</v>
      </c>
      <c r="K3670" s="1">
        <v>1</v>
      </c>
      <c r="L3670" s="1">
        <v>0</v>
      </c>
      <c r="M3670" s="1">
        <v>0</v>
      </c>
    </row>
    <row r="3671" spans="1:13">
      <c r="A3671" s="1">
        <v>3670</v>
      </c>
      <c r="B3671" s="1">
        <v>1036438.491</v>
      </c>
      <c r="C3671" s="1">
        <v>1377252.8586819023</v>
      </c>
      <c r="D3671" s="1">
        <f t="shared" si="57"/>
        <v>-340814.36768190225</v>
      </c>
      <c r="E3671" s="1">
        <v>15</v>
      </c>
      <c r="F3671" s="1">
        <v>13</v>
      </c>
      <c r="G3671" s="1">
        <v>7</v>
      </c>
      <c r="H3671" s="1">
        <v>0</v>
      </c>
      <c r="I3671" s="1">
        <v>0</v>
      </c>
      <c r="J3671" s="1">
        <v>0</v>
      </c>
      <c r="K3671" s="1">
        <v>0</v>
      </c>
      <c r="L3671" s="1">
        <v>0</v>
      </c>
      <c r="M3671" s="1">
        <v>0</v>
      </c>
    </row>
    <row r="3672" spans="1:13">
      <c r="A3672" s="1">
        <v>3671</v>
      </c>
      <c r="B3672" s="1">
        <v>1009396.2055</v>
      </c>
      <c r="C3672" s="1">
        <v>2988961.5533791767</v>
      </c>
      <c r="D3672" s="1">
        <f t="shared" si="57"/>
        <v>-1979565.3478791765</v>
      </c>
      <c r="E3672" s="1">
        <v>15</v>
      </c>
      <c r="F3672" s="1">
        <v>17</v>
      </c>
      <c r="G3672" s="1">
        <v>3</v>
      </c>
      <c r="H3672" s="1">
        <v>1</v>
      </c>
      <c r="I3672" s="1">
        <v>0</v>
      </c>
      <c r="J3672" s="1">
        <v>0</v>
      </c>
      <c r="K3672" s="1">
        <v>1</v>
      </c>
      <c r="L3672" s="1">
        <v>0</v>
      </c>
      <c r="M3672" s="1">
        <v>1</v>
      </c>
    </row>
    <row r="3673" spans="1:13">
      <c r="A3673" s="1">
        <v>3672</v>
      </c>
      <c r="B3673" s="1">
        <v>910682.1899</v>
      </c>
      <c r="C3673" s="1">
        <v>1018483.0114342729</v>
      </c>
      <c r="D3673" s="1">
        <f t="shared" si="57"/>
        <v>-107800.82153427287</v>
      </c>
      <c r="E3673" s="1">
        <v>13</v>
      </c>
      <c r="F3673" s="1">
        <v>17</v>
      </c>
      <c r="G3673" s="1">
        <v>5</v>
      </c>
      <c r="H3673" s="1">
        <v>0</v>
      </c>
      <c r="I3673" s="1">
        <v>1</v>
      </c>
      <c r="J3673" s="1">
        <v>2</v>
      </c>
      <c r="K3673" s="1">
        <v>0</v>
      </c>
      <c r="L3673" s="1">
        <v>0</v>
      </c>
      <c r="M3673" s="1">
        <v>0</v>
      </c>
    </row>
    <row r="3674" spans="1:13">
      <c r="A3674" s="1">
        <v>3673</v>
      </c>
      <c r="B3674" s="1">
        <v>898482.69330000004</v>
      </c>
      <c r="C3674" s="1">
        <v>978987.47848713992</v>
      </c>
      <c r="D3674" s="1">
        <f t="shared" si="57"/>
        <v>-80504.785187139874</v>
      </c>
      <c r="E3674" s="1">
        <v>16</v>
      </c>
      <c r="F3674" s="1">
        <v>16</v>
      </c>
      <c r="G3674" s="1">
        <v>3</v>
      </c>
      <c r="H3674" s="1">
        <v>1</v>
      </c>
      <c r="I3674" s="1">
        <v>0</v>
      </c>
      <c r="J3674" s="1">
        <v>1</v>
      </c>
      <c r="K3674" s="1">
        <v>0</v>
      </c>
      <c r="L3674" s="1">
        <v>0</v>
      </c>
      <c r="M3674" s="1">
        <v>0</v>
      </c>
    </row>
    <row r="3675" spans="1:13">
      <c r="A3675" s="1">
        <v>3674</v>
      </c>
      <c r="B3675" s="1">
        <v>881824.83349999995</v>
      </c>
      <c r="C3675" s="1">
        <v>933439.55091152084</v>
      </c>
      <c r="D3675" s="1">
        <f t="shared" si="57"/>
        <v>-51614.717411520891</v>
      </c>
      <c r="E3675" s="1">
        <v>12</v>
      </c>
      <c r="F3675" s="1">
        <v>19</v>
      </c>
      <c r="G3675" s="1">
        <v>4</v>
      </c>
      <c r="H3675" s="1">
        <v>1</v>
      </c>
      <c r="I3675" s="1">
        <v>0</v>
      </c>
      <c r="J3675" s="1">
        <v>1</v>
      </c>
      <c r="K3675" s="1">
        <v>1</v>
      </c>
      <c r="L3675" s="1">
        <v>0</v>
      </c>
      <c r="M3675" s="1">
        <v>0</v>
      </c>
    </row>
    <row r="3676" spans="1:13">
      <c r="A3676" s="1">
        <v>3675</v>
      </c>
      <c r="B3676" s="1">
        <v>965486.05249999999</v>
      </c>
      <c r="C3676" s="1">
        <v>1507921.3860850371</v>
      </c>
      <c r="D3676" s="1">
        <f t="shared" si="57"/>
        <v>-542435.33358503715</v>
      </c>
      <c r="E3676" s="1">
        <v>11</v>
      </c>
      <c r="F3676" s="1">
        <v>17</v>
      </c>
      <c r="G3676" s="1">
        <v>7</v>
      </c>
      <c r="H3676" s="1">
        <v>0</v>
      </c>
      <c r="I3676" s="1">
        <v>0</v>
      </c>
      <c r="J3676" s="1">
        <v>0</v>
      </c>
      <c r="K3676" s="1">
        <v>1</v>
      </c>
      <c r="L3676" s="1">
        <v>0</v>
      </c>
      <c r="M3676" s="1">
        <v>0</v>
      </c>
    </row>
    <row r="3677" spans="1:13">
      <c r="A3677" s="1">
        <v>3676</v>
      </c>
      <c r="B3677" s="1">
        <v>974453.549</v>
      </c>
      <c r="C3677" s="1">
        <v>731780.41911913292</v>
      </c>
      <c r="D3677" s="1">
        <f t="shared" si="57"/>
        <v>242673.12988086708</v>
      </c>
      <c r="E3677" s="1">
        <v>9</v>
      </c>
      <c r="F3677" s="1">
        <v>22</v>
      </c>
      <c r="G3677" s="1">
        <v>4</v>
      </c>
      <c r="H3677" s="1">
        <v>1</v>
      </c>
      <c r="I3677" s="1">
        <v>0</v>
      </c>
      <c r="J3677" s="1">
        <v>1</v>
      </c>
      <c r="K3677" s="1">
        <v>1</v>
      </c>
      <c r="L3677" s="1">
        <v>0</v>
      </c>
      <c r="M3677" s="1">
        <v>1</v>
      </c>
    </row>
    <row r="3678" spans="1:13">
      <c r="A3678" s="1">
        <v>3677</v>
      </c>
      <c r="B3678" s="1">
        <v>952346.78610000003</v>
      </c>
      <c r="C3678" s="1">
        <v>885821.25456709065</v>
      </c>
      <c r="D3678" s="1">
        <f t="shared" si="57"/>
        <v>66525.531532909372</v>
      </c>
      <c r="E3678" s="1">
        <v>11</v>
      </c>
      <c r="F3678" s="1">
        <v>17</v>
      </c>
      <c r="G3678" s="1">
        <v>7</v>
      </c>
      <c r="H3678" s="1">
        <v>1</v>
      </c>
      <c r="I3678" s="1">
        <v>0</v>
      </c>
      <c r="J3678" s="1">
        <v>1</v>
      </c>
      <c r="K3678" s="1">
        <v>1</v>
      </c>
      <c r="L3678" s="1">
        <v>0</v>
      </c>
      <c r="M3678" s="1">
        <v>0</v>
      </c>
    </row>
    <row r="3679" spans="1:13">
      <c r="A3679" s="1">
        <v>3678</v>
      </c>
      <c r="B3679" s="1">
        <v>842435.38549999997</v>
      </c>
      <c r="C3679" s="1">
        <v>722382.60497295251</v>
      </c>
      <c r="D3679" s="1">
        <f t="shared" si="57"/>
        <v>120052.78052704746</v>
      </c>
      <c r="E3679" s="1">
        <v>20</v>
      </c>
      <c r="F3679" s="1">
        <v>11</v>
      </c>
      <c r="G3679" s="1">
        <v>4</v>
      </c>
      <c r="H3679" s="1">
        <v>1</v>
      </c>
      <c r="I3679" s="1">
        <v>1</v>
      </c>
      <c r="J3679" s="1">
        <v>0</v>
      </c>
      <c r="K3679" s="1">
        <v>0</v>
      </c>
      <c r="L3679" s="1">
        <v>0</v>
      </c>
      <c r="M3679" s="1">
        <v>0</v>
      </c>
    </row>
    <row r="3680" spans="1:13">
      <c r="A3680" s="1">
        <v>3679</v>
      </c>
      <c r="B3680" s="1">
        <v>1019818.393</v>
      </c>
      <c r="C3680" s="1">
        <v>770966.67045768641</v>
      </c>
      <c r="D3680" s="1">
        <f t="shared" si="57"/>
        <v>248851.72254231363</v>
      </c>
      <c r="E3680" s="1">
        <v>9</v>
      </c>
      <c r="F3680" s="1">
        <v>17</v>
      </c>
      <c r="G3680" s="1">
        <v>9</v>
      </c>
      <c r="H3680" s="1">
        <v>0</v>
      </c>
      <c r="I3680" s="1">
        <v>0</v>
      </c>
      <c r="J3680" s="1">
        <v>0</v>
      </c>
      <c r="K3680" s="1">
        <v>0</v>
      </c>
      <c r="L3680" s="1">
        <v>0</v>
      </c>
      <c r="M3680" s="1">
        <v>1</v>
      </c>
    </row>
    <row r="3681" spans="1:13">
      <c r="A3681" s="1">
        <v>3680</v>
      </c>
      <c r="B3681" s="1">
        <v>998994.89800000004</v>
      </c>
      <c r="C3681" s="1">
        <v>493955.35954322491</v>
      </c>
      <c r="D3681" s="1">
        <f t="shared" si="57"/>
        <v>505039.53845677513</v>
      </c>
      <c r="E3681" s="1">
        <v>14</v>
      </c>
      <c r="F3681" s="1">
        <v>13</v>
      </c>
      <c r="G3681" s="1">
        <v>8</v>
      </c>
      <c r="H3681" s="1">
        <v>1</v>
      </c>
      <c r="I3681" s="1">
        <v>0</v>
      </c>
      <c r="J3681" s="1">
        <v>0</v>
      </c>
      <c r="K3681" s="1">
        <v>0</v>
      </c>
      <c r="L3681" s="1">
        <v>0</v>
      </c>
      <c r="M3681" s="1">
        <v>0</v>
      </c>
    </row>
    <row r="3682" spans="1:13">
      <c r="A3682" s="1">
        <v>3681</v>
      </c>
      <c r="B3682" s="1">
        <v>980183.89480000001</v>
      </c>
      <c r="C3682" s="1">
        <v>954674.92889133818</v>
      </c>
      <c r="D3682" s="1">
        <f t="shared" si="57"/>
        <v>25508.965908661834</v>
      </c>
      <c r="E3682" s="1">
        <v>10</v>
      </c>
      <c r="F3682" s="1">
        <v>18</v>
      </c>
      <c r="G3682" s="1">
        <v>7</v>
      </c>
      <c r="H3682" s="1">
        <v>2</v>
      </c>
      <c r="I3682" s="1">
        <v>0</v>
      </c>
      <c r="J3682" s="1">
        <v>0</v>
      </c>
      <c r="K3682" s="1">
        <v>2</v>
      </c>
      <c r="L3682" s="1">
        <v>0</v>
      </c>
      <c r="M3682" s="1">
        <v>1</v>
      </c>
    </row>
    <row r="3683" spans="1:13">
      <c r="A3683" s="1">
        <v>3682</v>
      </c>
      <c r="B3683" s="1">
        <v>938294.01659999997</v>
      </c>
      <c r="C3683" s="1">
        <v>607871.41295750916</v>
      </c>
      <c r="D3683" s="1">
        <f t="shared" si="57"/>
        <v>330422.60364249081</v>
      </c>
      <c r="E3683" s="1">
        <v>11</v>
      </c>
      <c r="F3683" s="1">
        <v>19</v>
      </c>
      <c r="G3683" s="1">
        <v>5</v>
      </c>
      <c r="H3683" s="1">
        <v>0</v>
      </c>
      <c r="I3683" s="1">
        <v>0</v>
      </c>
      <c r="J3683" s="1">
        <v>0</v>
      </c>
      <c r="K3683" s="1">
        <v>1</v>
      </c>
      <c r="L3683" s="1">
        <v>0</v>
      </c>
      <c r="M3683" s="1">
        <v>1</v>
      </c>
    </row>
    <row r="3684" spans="1:13">
      <c r="A3684" s="1">
        <v>3683</v>
      </c>
      <c r="B3684" s="1">
        <v>922224.951</v>
      </c>
      <c r="C3684" s="1">
        <v>988590.47968798468</v>
      </c>
      <c r="D3684" s="1">
        <f t="shared" si="57"/>
        <v>-66365.528687984683</v>
      </c>
      <c r="E3684" s="1">
        <v>18</v>
      </c>
      <c r="F3684" s="1">
        <v>13</v>
      </c>
      <c r="G3684" s="1">
        <v>4</v>
      </c>
      <c r="H3684" s="1">
        <v>2</v>
      </c>
      <c r="I3684" s="1">
        <v>0</v>
      </c>
      <c r="J3684" s="1">
        <v>1</v>
      </c>
      <c r="K3684" s="1">
        <v>1</v>
      </c>
      <c r="L3684" s="1">
        <v>0</v>
      </c>
      <c r="M3684" s="1">
        <v>0</v>
      </c>
    </row>
    <row r="3685" spans="1:13">
      <c r="A3685" s="1">
        <v>3684</v>
      </c>
      <c r="B3685" s="1">
        <v>897969.78370000003</v>
      </c>
      <c r="C3685" s="1">
        <v>656392.61488553951</v>
      </c>
      <c r="D3685" s="1">
        <f t="shared" si="57"/>
        <v>241577.16881446051</v>
      </c>
      <c r="E3685" s="1">
        <v>16</v>
      </c>
      <c r="F3685" s="1">
        <v>14</v>
      </c>
      <c r="G3685" s="1">
        <v>5</v>
      </c>
      <c r="H3685" s="1">
        <v>0</v>
      </c>
      <c r="I3685" s="1">
        <v>0</v>
      </c>
      <c r="J3685" s="1">
        <v>0</v>
      </c>
      <c r="K3685" s="1">
        <v>0</v>
      </c>
      <c r="L3685" s="1">
        <v>0</v>
      </c>
      <c r="M3685" s="1">
        <v>0</v>
      </c>
    </row>
    <row r="3686" spans="1:13">
      <c r="A3686" s="1">
        <v>3685</v>
      </c>
      <c r="B3686" s="1">
        <v>941743.68030000001</v>
      </c>
      <c r="C3686" s="1">
        <v>1121850.0367534063</v>
      </c>
      <c r="D3686" s="1">
        <f t="shared" si="57"/>
        <v>-180106.35645340628</v>
      </c>
      <c r="E3686" s="1">
        <v>7</v>
      </c>
      <c r="F3686" s="1">
        <v>22</v>
      </c>
      <c r="G3686" s="1">
        <v>6</v>
      </c>
      <c r="H3686" s="1">
        <v>1</v>
      </c>
      <c r="I3686" s="1">
        <v>0</v>
      </c>
      <c r="J3686" s="1">
        <v>0</v>
      </c>
      <c r="K3686" s="1">
        <v>0</v>
      </c>
      <c r="L3686" s="1">
        <v>0</v>
      </c>
      <c r="M3686" s="1">
        <v>0</v>
      </c>
    </row>
    <row r="3687" spans="1:13">
      <c r="A3687" s="1">
        <v>3686</v>
      </c>
      <c r="B3687" s="1">
        <v>887826.87589999998</v>
      </c>
      <c r="C3687" s="1">
        <v>781901.02166221081</v>
      </c>
      <c r="D3687" s="1">
        <f t="shared" si="57"/>
        <v>105925.85423778917</v>
      </c>
      <c r="E3687" s="1">
        <v>11</v>
      </c>
      <c r="F3687" s="1">
        <v>18</v>
      </c>
      <c r="G3687" s="1">
        <v>6</v>
      </c>
      <c r="H3687" s="1">
        <v>1</v>
      </c>
      <c r="I3687" s="1">
        <v>1</v>
      </c>
      <c r="J3687" s="1">
        <v>0</v>
      </c>
      <c r="K3687" s="1">
        <v>1</v>
      </c>
      <c r="L3687" s="1">
        <v>0</v>
      </c>
      <c r="M3687" s="1">
        <v>0</v>
      </c>
    </row>
    <row r="3688" spans="1:13">
      <c r="A3688" s="1">
        <v>3687</v>
      </c>
      <c r="B3688" s="1">
        <v>930327.97129999998</v>
      </c>
      <c r="C3688" s="1">
        <v>922521.7531893485</v>
      </c>
      <c r="D3688" s="1">
        <f t="shared" si="57"/>
        <v>7806.2181106514763</v>
      </c>
      <c r="E3688" s="1">
        <v>9</v>
      </c>
      <c r="F3688" s="1">
        <v>21</v>
      </c>
      <c r="G3688" s="1">
        <v>5</v>
      </c>
      <c r="H3688" s="1">
        <v>1</v>
      </c>
      <c r="I3688" s="1">
        <v>0</v>
      </c>
      <c r="J3688" s="1">
        <v>0</v>
      </c>
      <c r="K3688" s="1">
        <v>1</v>
      </c>
      <c r="L3688" s="1">
        <v>0</v>
      </c>
      <c r="M3688" s="1">
        <v>0</v>
      </c>
    </row>
    <row r="3689" spans="1:13">
      <c r="A3689" s="1">
        <v>3688</v>
      </c>
      <c r="B3689" s="1">
        <v>952099.17709999997</v>
      </c>
      <c r="C3689" s="1">
        <v>693571.93805555534</v>
      </c>
      <c r="D3689" s="1">
        <f t="shared" si="57"/>
        <v>258527.23904444464</v>
      </c>
      <c r="E3689" s="1">
        <v>15</v>
      </c>
      <c r="F3689" s="1">
        <v>14</v>
      </c>
      <c r="G3689" s="1">
        <v>6</v>
      </c>
      <c r="H3689" s="1">
        <v>0</v>
      </c>
      <c r="I3689" s="1">
        <v>0</v>
      </c>
      <c r="J3689" s="1">
        <v>0</v>
      </c>
      <c r="K3689" s="1">
        <v>0</v>
      </c>
      <c r="L3689" s="1">
        <v>0</v>
      </c>
      <c r="M3689" s="1">
        <v>0</v>
      </c>
    </row>
    <row r="3690" spans="1:13">
      <c r="A3690" s="1">
        <v>3689</v>
      </c>
      <c r="B3690" s="1">
        <v>951111.80729999999</v>
      </c>
      <c r="C3690" s="1">
        <v>729212.69038844993</v>
      </c>
      <c r="D3690" s="1">
        <f t="shared" si="57"/>
        <v>221899.11691155005</v>
      </c>
      <c r="E3690" s="1">
        <v>13</v>
      </c>
      <c r="F3690" s="1">
        <v>17</v>
      </c>
      <c r="G3690" s="1">
        <v>5</v>
      </c>
      <c r="H3690" s="1">
        <v>1</v>
      </c>
      <c r="I3690" s="1">
        <v>0</v>
      </c>
      <c r="J3690" s="1">
        <v>0</v>
      </c>
      <c r="K3690" s="1">
        <v>0</v>
      </c>
      <c r="L3690" s="1">
        <v>0</v>
      </c>
      <c r="M3690" s="1">
        <v>1</v>
      </c>
    </row>
    <row r="3691" spans="1:13">
      <c r="A3691" s="1">
        <v>3690</v>
      </c>
      <c r="B3691" s="1">
        <v>904948.07499999995</v>
      </c>
      <c r="C3691" s="1">
        <v>1081160.8400668083</v>
      </c>
      <c r="D3691" s="1">
        <f t="shared" si="57"/>
        <v>-176212.76506680832</v>
      </c>
      <c r="E3691" s="1">
        <v>15</v>
      </c>
      <c r="F3691" s="1">
        <v>16</v>
      </c>
      <c r="G3691" s="1">
        <v>4</v>
      </c>
      <c r="H3691" s="1">
        <v>1</v>
      </c>
      <c r="I3691" s="1">
        <v>1</v>
      </c>
      <c r="J3691" s="1">
        <v>0</v>
      </c>
      <c r="K3691" s="1">
        <v>1</v>
      </c>
      <c r="L3691" s="1">
        <v>0</v>
      </c>
      <c r="M3691" s="1">
        <v>1</v>
      </c>
    </row>
    <row r="3692" spans="1:13">
      <c r="A3692" s="1">
        <v>3691</v>
      </c>
      <c r="B3692" s="1">
        <v>884166.81090000004</v>
      </c>
      <c r="C3692" s="1">
        <v>1008360.0822214081</v>
      </c>
      <c r="D3692" s="1">
        <f t="shared" si="57"/>
        <v>-124193.2713214081</v>
      </c>
      <c r="E3692" s="1">
        <v>9</v>
      </c>
      <c r="F3692" s="1">
        <v>20</v>
      </c>
      <c r="G3692" s="1">
        <v>6</v>
      </c>
      <c r="H3692" s="1">
        <v>1</v>
      </c>
      <c r="I3692" s="1">
        <v>0</v>
      </c>
      <c r="J3692" s="1">
        <v>0</v>
      </c>
      <c r="K3692" s="1">
        <v>1</v>
      </c>
      <c r="L3692" s="1">
        <v>0</v>
      </c>
      <c r="M3692" s="1">
        <v>0</v>
      </c>
    </row>
    <row r="3693" spans="1:13">
      <c r="A3693" s="1">
        <v>3692</v>
      </c>
      <c r="B3693" s="1">
        <v>917901.8824</v>
      </c>
      <c r="C3693" s="1">
        <v>768850.31384666427</v>
      </c>
      <c r="D3693" s="1">
        <f t="shared" si="57"/>
        <v>149051.56855333573</v>
      </c>
      <c r="E3693" s="1">
        <v>13</v>
      </c>
      <c r="F3693" s="1">
        <v>18</v>
      </c>
      <c r="G3693" s="1">
        <v>4</v>
      </c>
      <c r="H3693" s="1">
        <v>1</v>
      </c>
      <c r="I3693" s="1">
        <v>0</v>
      </c>
      <c r="J3693" s="1">
        <v>1</v>
      </c>
      <c r="K3693" s="1">
        <v>1</v>
      </c>
      <c r="L3693" s="1">
        <v>0</v>
      </c>
      <c r="M3693" s="1">
        <v>1</v>
      </c>
    </row>
    <row r="3694" spans="1:13">
      <c r="A3694" s="1">
        <v>3693</v>
      </c>
      <c r="B3694" s="1">
        <v>901306.50300000003</v>
      </c>
      <c r="C3694" s="1">
        <v>2821604.8568454022</v>
      </c>
      <c r="D3694" s="1">
        <f t="shared" si="57"/>
        <v>-1920298.3538454021</v>
      </c>
      <c r="E3694" s="1">
        <v>19</v>
      </c>
      <c r="F3694" s="1">
        <v>13</v>
      </c>
      <c r="G3694" s="1">
        <v>3</v>
      </c>
      <c r="H3694" s="1">
        <v>2</v>
      </c>
      <c r="I3694" s="1">
        <v>0</v>
      </c>
      <c r="J3694" s="1">
        <v>1</v>
      </c>
      <c r="K3694" s="1">
        <v>0</v>
      </c>
      <c r="L3694" s="1">
        <v>0</v>
      </c>
      <c r="M3694" s="1">
        <v>0</v>
      </c>
    </row>
    <row r="3695" spans="1:13">
      <c r="A3695" s="1">
        <v>3694</v>
      </c>
      <c r="B3695" s="1">
        <v>933001.61609999998</v>
      </c>
      <c r="C3695" s="1">
        <v>1321233.0679637315</v>
      </c>
      <c r="D3695" s="1">
        <f t="shared" si="57"/>
        <v>-388231.45186373149</v>
      </c>
      <c r="E3695" s="1">
        <v>10</v>
      </c>
      <c r="F3695" s="1">
        <v>19</v>
      </c>
      <c r="G3695" s="1">
        <v>6</v>
      </c>
      <c r="H3695" s="1">
        <v>1</v>
      </c>
      <c r="I3695" s="1">
        <v>0</v>
      </c>
      <c r="J3695" s="1">
        <v>0</v>
      </c>
      <c r="K3695" s="1">
        <v>0</v>
      </c>
      <c r="L3695" s="1">
        <v>0</v>
      </c>
      <c r="M3695" s="1">
        <v>0</v>
      </c>
    </row>
    <row r="3696" spans="1:13">
      <c r="A3696" s="1">
        <v>3695</v>
      </c>
      <c r="B3696" s="1">
        <v>921471.51359999995</v>
      </c>
      <c r="C3696" s="1">
        <v>552540.36401300272</v>
      </c>
      <c r="D3696" s="1">
        <f t="shared" si="57"/>
        <v>368931.14958699723</v>
      </c>
      <c r="E3696" s="1">
        <v>19</v>
      </c>
      <c r="F3696" s="1">
        <v>13</v>
      </c>
      <c r="G3696" s="1">
        <v>3</v>
      </c>
      <c r="H3696" s="1">
        <v>1</v>
      </c>
      <c r="I3696" s="1">
        <v>0</v>
      </c>
      <c r="J3696" s="1">
        <v>1</v>
      </c>
      <c r="K3696" s="1">
        <v>0</v>
      </c>
      <c r="L3696" s="1">
        <v>0</v>
      </c>
      <c r="M3696" s="1">
        <v>1</v>
      </c>
    </row>
    <row r="3697" spans="1:13">
      <c r="A3697" s="1">
        <v>3696</v>
      </c>
      <c r="B3697" s="1">
        <v>990358.30330000003</v>
      </c>
      <c r="C3697" s="1">
        <v>911408.18132028822</v>
      </c>
      <c r="D3697" s="1">
        <f t="shared" si="57"/>
        <v>78950.12197971181</v>
      </c>
      <c r="E3697" s="1">
        <v>10</v>
      </c>
      <c r="F3697" s="1">
        <v>19</v>
      </c>
      <c r="G3697" s="1">
        <v>6</v>
      </c>
      <c r="H3697" s="1">
        <v>1</v>
      </c>
      <c r="I3697" s="1">
        <v>0</v>
      </c>
      <c r="J3697" s="1">
        <v>1</v>
      </c>
      <c r="K3697" s="1">
        <v>1</v>
      </c>
      <c r="L3697" s="1">
        <v>0</v>
      </c>
      <c r="M3697" s="1">
        <v>0</v>
      </c>
    </row>
    <row r="3698" spans="1:13">
      <c r="A3698" s="1">
        <v>3697</v>
      </c>
      <c r="B3698" s="1">
        <v>973747.71429999999</v>
      </c>
      <c r="C3698" s="1">
        <v>657763.37674284738</v>
      </c>
      <c r="D3698" s="1">
        <f t="shared" si="57"/>
        <v>315984.33755715261</v>
      </c>
      <c r="E3698" s="1">
        <v>4</v>
      </c>
      <c r="F3698" s="1">
        <v>22</v>
      </c>
      <c r="G3698" s="1">
        <v>9</v>
      </c>
      <c r="H3698" s="1">
        <v>2</v>
      </c>
      <c r="I3698" s="1">
        <v>0</v>
      </c>
      <c r="J3698" s="1">
        <v>1</v>
      </c>
      <c r="K3698" s="1">
        <v>0</v>
      </c>
      <c r="L3698" s="1">
        <v>1</v>
      </c>
      <c r="M3698" s="1">
        <v>0</v>
      </c>
    </row>
    <row r="3699" spans="1:13">
      <c r="A3699" s="1">
        <v>3698</v>
      </c>
      <c r="B3699" s="1">
        <v>876286.29200000002</v>
      </c>
      <c r="C3699" s="1">
        <v>765683.02995908586</v>
      </c>
      <c r="D3699" s="1">
        <f t="shared" si="57"/>
        <v>110603.26204091415</v>
      </c>
      <c r="E3699" s="1">
        <v>19</v>
      </c>
      <c r="F3699" s="1">
        <v>12</v>
      </c>
      <c r="G3699" s="1">
        <v>4</v>
      </c>
      <c r="H3699" s="1">
        <v>0</v>
      </c>
      <c r="I3699" s="1">
        <v>0</v>
      </c>
      <c r="J3699" s="1">
        <v>0</v>
      </c>
      <c r="K3699" s="1">
        <v>2</v>
      </c>
      <c r="L3699" s="1">
        <v>0</v>
      </c>
      <c r="M3699" s="1">
        <v>0</v>
      </c>
    </row>
    <row r="3700" spans="1:13">
      <c r="A3700" s="1">
        <v>3699</v>
      </c>
      <c r="B3700" s="1">
        <v>893928.21799999999</v>
      </c>
      <c r="C3700" s="1">
        <v>762038.49505316769</v>
      </c>
      <c r="D3700" s="1">
        <f t="shared" si="57"/>
        <v>131889.72294683231</v>
      </c>
      <c r="E3700" s="1">
        <v>13</v>
      </c>
      <c r="F3700" s="1">
        <v>15</v>
      </c>
      <c r="G3700" s="1">
        <v>7</v>
      </c>
      <c r="H3700" s="1">
        <v>1</v>
      </c>
      <c r="I3700" s="1">
        <v>0</v>
      </c>
      <c r="J3700" s="1">
        <v>0</v>
      </c>
      <c r="K3700" s="1">
        <v>0</v>
      </c>
      <c r="L3700" s="1">
        <v>0</v>
      </c>
      <c r="M3700" s="1">
        <v>1</v>
      </c>
    </row>
    <row r="3701" spans="1:13">
      <c r="A3701" s="1">
        <v>3700</v>
      </c>
      <c r="B3701" s="1">
        <v>887865.99959999998</v>
      </c>
      <c r="C3701" s="1">
        <v>1481348.8867595831</v>
      </c>
      <c r="D3701" s="1">
        <f t="shared" si="57"/>
        <v>-593482.88715958316</v>
      </c>
      <c r="E3701" s="1">
        <v>11</v>
      </c>
      <c r="F3701" s="1">
        <v>15</v>
      </c>
      <c r="G3701" s="1">
        <v>9</v>
      </c>
      <c r="H3701" s="1">
        <v>1</v>
      </c>
      <c r="I3701" s="1">
        <v>0</v>
      </c>
      <c r="J3701" s="1">
        <v>0</v>
      </c>
      <c r="K3701" s="1">
        <v>0</v>
      </c>
      <c r="L3701" s="1">
        <v>0</v>
      </c>
      <c r="M3701" s="1">
        <v>1</v>
      </c>
    </row>
    <row r="3702" spans="1:13">
      <c r="A3702" s="1">
        <v>3701</v>
      </c>
      <c r="B3702" s="1">
        <v>959107.73019999999</v>
      </c>
      <c r="C3702" s="1">
        <v>1385780.4980569975</v>
      </c>
      <c r="D3702" s="1">
        <f t="shared" si="57"/>
        <v>-426672.76785699755</v>
      </c>
      <c r="E3702" s="1">
        <v>8</v>
      </c>
      <c r="F3702" s="1">
        <v>25</v>
      </c>
      <c r="G3702" s="1">
        <v>2</v>
      </c>
      <c r="H3702" s="1">
        <v>1</v>
      </c>
      <c r="I3702" s="1">
        <v>0</v>
      </c>
      <c r="J3702" s="1">
        <v>2</v>
      </c>
      <c r="K3702" s="1">
        <v>0</v>
      </c>
      <c r="L3702" s="1">
        <v>0</v>
      </c>
      <c r="M3702" s="1">
        <v>0</v>
      </c>
    </row>
    <row r="3703" spans="1:13">
      <c r="A3703" s="1">
        <v>3702</v>
      </c>
      <c r="B3703" s="1">
        <v>965480.49789999996</v>
      </c>
      <c r="C3703" s="1">
        <v>1135582.7230371875</v>
      </c>
      <c r="D3703" s="1">
        <f t="shared" si="57"/>
        <v>-170102.22513718752</v>
      </c>
      <c r="E3703" s="1">
        <v>13</v>
      </c>
      <c r="F3703" s="1">
        <v>19</v>
      </c>
      <c r="G3703" s="1">
        <v>3</v>
      </c>
      <c r="H3703" s="1">
        <v>0</v>
      </c>
      <c r="I3703" s="1">
        <v>0</v>
      </c>
      <c r="J3703" s="1">
        <v>0</v>
      </c>
      <c r="K3703" s="1">
        <v>1</v>
      </c>
      <c r="L3703" s="1">
        <v>0</v>
      </c>
      <c r="M3703" s="1">
        <v>1</v>
      </c>
    </row>
    <row r="3704" spans="1:13">
      <c r="A3704" s="1">
        <v>3703</v>
      </c>
      <c r="B3704" s="1">
        <v>921580.6459</v>
      </c>
      <c r="C3704" s="1">
        <v>747766.72503950365</v>
      </c>
      <c r="D3704" s="1">
        <f t="shared" si="57"/>
        <v>173813.92086049635</v>
      </c>
      <c r="E3704" s="1">
        <v>11</v>
      </c>
      <c r="F3704" s="1">
        <v>21</v>
      </c>
      <c r="G3704" s="1">
        <v>3</v>
      </c>
      <c r="H3704" s="1">
        <v>2</v>
      </c>
      <c r="I3704" s="1">
        <v>0</v>
      </c>
      <c r="J3704" s="1">
        <v>0</v>
      </c>
      <c r="K3704" s="1">
        <v>0</v>
      </c>
      <c r="L3704" s="1">
        <v>0</v>
      </c>
      <c r="M3704" s="1">
        <v>1</v>
      </c>
    </row>
    <row r="3705" spans="1:13">
      <c r="A3705" s="1">
        <v>3704</v>
      </c>
      <c r="B3705" s="1">
        <v>967245.11540000001</v>
      </c>
      <c r="C3705" s="1">
        <v>958531.25685831299</v>
      </c>
      <c r="D3705" s="1">
        <f t="shared" si="57"/>
        <v>8713.8585416870192</v>
      </c>
      <c r="E3705" s="1">
        <v>12</v>
      </c>
      <c r="F3705" s="1">
        <v>17</v>
      </c>
      <c r="G3705" s="1">
        <v>6</v>
      </c>
      <c r="H3705" s="1">
        <v>1</v>
      </c>
      <c r="I3705" s="1">
        <v>0</v>
      </c>
      <c r="J3705" s="1">
        <v>1</v>
      </c>
      <c r="K3705" s="1">
        <v>1</v>
      </c>
      <c r="L3705" s="1">
        <v>0</v>
      </c>
      <c r="M3705" s="1">
        <v>0</v>
      </c>
    </row>
    <row r="3706" spans="1:13">
      <c r="A3706" s="1">
        <v>3705</v>
      </c>
      <c r="B3706" s="1">
        <v>959509.27009999997</v>
      </c>
      <c r="C3706" s="1">
        <v>1015813.3716564247</v>
      </c>
      <c r="D3706" s="1">
        <f t="shared" si="57"/>
        <v>-56304.10155642475</v>
      </c>
      <c r="E3706" s="1">
        <v>16</v>
      </c>
      <c r="F3706" s="1">
        <v>16</v>
      </c>
      <c r="G3706" s="1">
        <v>3</v>
      </c>
      <c r="H3706" s="1">
        <v>1</v>
      </c>
      <c r="I3706" s="1">
        <v>0</v>
      </c>
      <c r="J3706" s="1">
        <v>0</v>
      </c>
      <c r="K3706" s="1">
        <v>0</v>
      </c>
      <c r="L3706" s="1">
        <v>0</v>
      </c>
      <c r="M3706" s="1">
        <v>1</v>
      </c>
    </row>
    <row r="3707" spans="1:13">
      <c r="A3707" s="1">
        <v>3706</v>
      </c>
      <c r="B3707" s="1">
        <v>997452.26249999995</v>
      </c>
      <c r="C3707" s="1">
        <v>506012.83556480543</v>
      </c>
      <c r="D3707" s="1">
        <f t="shared" si="57"/>
        <v>491439.42693519453</v>
      </c>
      <c r="E3707" s="1">
        <v>13</v>
      </c>
      <c r="F3707" s="1">
        <v>19</v>
      </c>
      <c r="G3707" s="1">
        <v>3</v>
      </c>
      <c r="H3707" s="1">
        <v>1</v>
      </c>
      <c r="I3707" s="1">
        <v>0</v>
      </c>
      <c r="J3707" s="1">
        <v>0</v>
      </c>
      <c r="K3707" s="1">
        <v>2</v>
      </c>
      <c r="L3707" s="1">
        <v>0</v>
      </c>
      <c r="M3707" s="1">
        <v>0</v>
      </c>
    </row>
    <row r="3708" spans="1:13">
      <c r="A3708" s="1">
        <v>3707</v>
      </c>
      <c r="B3708" s="1">
        <v>867401.93119999999</v>
      </c>
      <c r="C3708" s="1">
        <v>908554.64428124309</v>
      </c>
      <c r="D3708" s="1">
        <f t="shared" si="57"/>
        <v>-41152.713081243099</v>
      </c>
      <c r="E3708" s="1">
        <v>14</v>
      </c>
      <c r="F3708" s="1">
        <v>16</v>
      </c>
      <c r="G3708" s="1">
        <v>5</v>
      </c>
      <c r="H3708" s="1">
        <v>1</v>
      </c>
      <c r="I3708" s="1">
        <v>0</v>
      </c>
      <c r="J3708" s="1">
        <v>2</v>
      </c>
      <c r="K3708" s="1">
        <v>0</v>
      </c>
      <c r="L3708" s="1">
        <v>0</v>
      </c>
      <c r="M3708" s="1">
        <v>1</v>
      </c>
    </row>
    <row r="3709" spans="1:13">
      <c r="A3709" s="1">
        <v>3708</v>
      </c>
      <c r="B3709" s="1">
        <v>848027.67150000005</v>
      </c>
      <c r="C3709" s="1">
        <v>1377847.5311707212</v>
      </c>
      <c r="D3709" s="1">
        <f t="shared" si="57"/>
        <v>-529819.85967072111</v>
      </c>
      <c r="E3709" s="1">
        <v>15</v>
      </c>
      <c r="F3709" s="1">
        <v>16</v>
      </c>
      <c r="G3709" s="1">
        <v>4</v>
      </c>
      <c r="H3709" s="1">
        <v>1</v>
      </c>
      <c r="I3709" s="1">
        <v>0</v>
      </c>
      <c r="J3709" s="1">
        <v>1</v>
      </c>
      <c r="K3709" s="1">
        <v>0</v>
      </c>
      <c r="L3709" s="1">
        <v>0</v>
      </c>
      <c r="M3709" s="1">
        <v>0</v>
      </c>
    </row>
    <row r="3710" spans="1:13">
      <c r="A3710" s="1">
        <v>3709</v>
      </c>
      <c r="B3710" s="1">
        <v>929316.07010000001</v>
      </c>
      <c r="C3710" s="1">
        <v>984998.13965114183</v>
      </c>
      <c r="D3710" s="1">
        <f t="shared" si="57"/>
        <v>-55682.069551141816</v>
      </c>
      <c r="E3710" s="1">
        <v>10</v>
      </c>
      <c r="F3710" s="1">
        <v>22</v>
      </c>
      <c r="G3710" s="1">
        <v>3</v>
      </c>
      <c r="H3710" s="1">
        <v>0</v>
      </c>
      <c r="I3710" s="1">
        <v>0</v>
      </c>
      <c r="J3710" s="1">
        <v>0</v>
      </c>
      <c r="K3710" s="1">
        <v>0</v>
      </c>
      <c r="L3710" s="1">
        <v>0</v>
      </c>
      <c r="M3710" s="1">
        <v>0</v>
      </c>
    </row>
    <row r="3711" spans="1:13">
      <c r="A3711" s="1">
        <v>3710</v>
      </c>
      <c r="B3711" s="1">
        <v>1004962.4573</v>
      </c>
      <c r="C3711" s="1">
        <v>936855.43920717563</v>
      </c>
      <c r="D3711" s="1">
        <f t="shared" si="57"/>
        <v>68107.018092824379</v>
      </c>
      <c r="E3711" s="1">
        <v>14</v>
      </c>
      <c r="F3711" s="1">
        <v>14</v>
      </c>
      <c r="G3711" s="1">
        <v>7</v>
      </c>
      <c r="H3711" s="1">
        <v>1</v>
      </c>
      <c r="I3711" s="1">
        <v>0</v>
      </c>
      <c r="J3711" s="1">
        <v>0</v>
      </c>
      <c r="K3711" s="1">
        <v>2</v>
      </c>
      <c r="L3711" s="1">
        <v>0</v>
      </c>
      <c r="M3711" s="1">
        <v>0</v>
      </c>
    </row>
    <row r="3712" spans="1:13">
      <c r="A3712" s="1">
        <v>3711</v>
      </c>
      <c r="B3712" s="1">
        <v>994774.51029999997</v>
      </c>
      <c r="C3712" s="1">
        <v>894815.29017834505</v>
      </c>
      <c r="D3712" s="1">
        <f t="shared" si="57"/>
        <v>99959.220121654915</v>
      </c>
      <c r="E3712" s="1">
        <v>11</v>
      </c>
      <c r="F3712" s="1">
        <v>20</v>
      </c>
      <c r="G3712" s="1">
        <v>4</v>
      </c>
      <c r="H3712" s="1">
        <v>1</v>
      </c>
      <c r="I3712" s="1">
        <v>0</v>
      </c>
      <c r="J3712" s="1">
        <v>0</v>
      </c>
      <c r="K3712" s="1">
        <v>1</v>
      </c>
      <c r="L3712" s="1">
        <v>0</v>
      </c>
      <c r="M3712" s="1">
        <v>0</v>
      </c>
    </row>
    <row r="3713" spans="1:13">
      <c r="A3713" s="1">
        <v>3712</v>
      </c>
      <c r="B3713" s="1">
        <v>1047529.0735000001</v>
      </c>
      <c r="C3713" s="1">
        <v>1145951.2002835111</v>
      </c>
      <c r="D3713" s="1">
        <f t="shared" si="57"/>
        <v>-98422.126783511019</v>
      </c>
      <c r="E3713" s="1">
        <v>10</v>
      </c>
      <c r="F3713" s="1">
        <v>19</v>
      </c>
      <c r="G3713" s="1">
        <v>6</v>
      </c>
      <c r="H3713" s="1">
        <v>0</v>
      </c>
      <c r="I3713" s="1">
        <v>0</v>
      </c>
      <c r="J3713" s="1">
        <v>1</v>
      </c>
      <c r="K3713" s="1">
        <v>1</v>
      </c>
      <c r="L3713" s="1">
        <v>0</v>
      </c>
      <c r="M3713" s="1">
        <v>0</v>
      </c>
    </row>
    <row r="3714" spans="1:13">
      <c r="A3714" s="1">
        <v>3713</v>
      </c>
      <c r="B3714" s="1">
        <v>934139.86580000003</v>
      </c>
      <c r="C3714" s="1">
        <v>2453384.9338086848</v>
      </c>
      <c r="D3714" s="1">
        <f t="shared" ref="D3714:D3777" si="58">B3714-C3714</f>
        <v>-1519245.0680086848</v>
      </c>
      <c r="E3714" s="1">
        <v>8</v>
      </c>
      <c r="F3714" s="1">
        <v>24</v>
      </c>
      <c r="G3714" s="1">
        <v>3</v>
      </c>
      <c r="H3714" s="1">
        <v>0</v>
      </c>
      <c r="I3714" s="1">
        <v>0</v>
      </c>
      <c r="J3714" s="1">
        <v>0</v>
      </c>
      <c r="K3714" s="1">
        <v>1</v>
      </c>
      <c r="L3714" s="1">
        <v>0</v>
      </c>
      <c r="M3714" s="1">
        <v>0</v>
      </c>
    </row>
    <row r="3715" spans="1:13">
      <c r="A3715" s="1">
        <v>3714</v>
      </c>
      <c r="B3715" s="1">
        <v>902998.6496</v>
      </c>
      <c r="C3715" s="1">
        <v>839587.63100839418</v>
      </c>
      <c r="D3715" s="1">
        <f t="shared" si="58"/>
        <v>63411.018591605825</v>
      </c>
      <c r="E3715" s="1">
        <v>7</v>
      </c>
      <c r="F3715" s="1">
        <v>26</v>
      </c>
      <c r="G3715" s="1">
        <v>2</v>
      </c>
      <c r="H3715" s="1">
        <v>1</v>
      </c>
      <c r="I3715" s="1">
        <v>0</v>
      </c>
      <c r="J3715" s="1">
        <v>1</v>
      </c>
      <c r="K3715" s="1">
        <v>1</v>
      </c>
      <c r="L3715" s="1">
        <v>0</v>
      </c>
      <c r="M3715" s="1">
        <v>0</v>
      </c>
    </row>
    <row r="3716" spans="1:13">
      <c r="A3716" s="1">
        <v>3715</v>
      </c>
      <c r="B3716" s="1">
        <v>925096.84510000004</v>
      </c>
      <c r="C3716" s="1">
        <v>1055362.2472045114</v>
      </c>
      <c r="D3716" s="1">
        <f t="shared" si="58"/>
        <v>-130265.40210451139</v>
      </c>
      <c r="E3716" s="1">
        <v>6</v>
      </c>
      <c r="F3716" s="1">
        <v>20</v>
      </c>
      <c r="G3716" s="1">
        <v>9</v>
      </c>
      <c r="H3716" s="1">
        <v>1</v>
      </c>
      <c r="I3716" s="1">
        <v>0</v>
      </c>
      <c r="J3716" s="1">
        <v>0</v>
      </c>
      <c r="K3716" s="1">
        <v>1</v>
      </c>
      <c r="L3716" s="1">
        <v>0</v>
      </c>
      <c r="M3716" s="1">
        <v>0</v>
      </c>
    </row>
    <row r="3717" spans="1:13">
      <c r="A3717" s="1">
        <v>3716</v>
      </c>
      <c r="B3717" s="1">
        <v>884313.51379999996</v>
      </c>
      <c r="C3717" s="1">
        <v>846832.12363400066</v>
      </c>
      <c r="D3717" s="1">
        <f t="shared" si="58"/>
        <v>37481.390165999299</v>
      </c>
      <c r="E3717" s="1">
        <v>15</v>
      </c>
      <c r="F3717" s="1">
        <v>14</v>
      </c>
      <c r="G3717" s="1">
        <v>6</v>
      </c>
      <c r="H3717" s="1">
        <v>1</v>
      </c>
      <c r="I3717" s="1">
        <v>0</v>
      </c>
      <c r="J3717" s="1">
        <v>0</v>
      </c>
      <c r="K3717" s="1">
        <v>2</v>
      </c>
      <c r="L3717" s="1">
        <v>0</v>
      </c>
      <c r="M3717" s="1">
        <v>1</v>
      </c>
    </row>
    <row r="3718" spans="1:13">
      <c r="A3718" s="1">
        <v>3717</v>
      </c>
      <c r="B3718" s="1">
        <v>1028668.0183999999</v>
      </c>
      <c r="C3718" s="1">
        <v>747750.34129419131</v>
      </c>
      <c r="D3718" s="1">
        <f t="shared" si="58"/>
        <v>280917.67710580863</v>
      </c>
      <c r="E3718" s="1">
        <v>12</v>
      </c>
      <c r="F3718" s="1">
        <v>17</v>
      </c>
      <c r="G3718" s="1">
        <v>6</v>
      </c>
      <c r="H3718" s="1">
        <v>0</v>
      </c>
      <c r="I3718" s="1">
        <v>0</v>
      </c>
      <c r="J3718" s="1">
        <v>0</v>
      </c>
      <c r="K3718" s="1">
        <v>1</v>
      </c>
      <c r="L3718" s="1">
        <v>0</v>
      </c>
      <c r="M3718" s="1">
        <v>0</v>
      </c>
    </row>
    <row r="3719" spans="1:13">
      <c r="A3719" s="1">
        <v>3718</v>
      </c>
      <c r="B3719" s="1">
        <v>849836.71290000004</v>
      </c>
      <c r="C3719" s="1">
        <v>630274.68072324514</v>
      </c>
      <c r="D3719" s="1">
        <f t="shared" si="58"/>
        <v>219562.0321767549</v>
      </c>
      <c r="E3719" s="1">
        <v>11</v>
      </c>
      <c r="F3719" s="1">
        <v>19</v>
      </c>
      <c r="G3719" s="1">
        <v>5</v>
      </c>
      <c r="H3719" s="1">
        <v>2</v>
      </c>
      <c r="I3719" s="1">
        <v>0</v>
      </c>
      <c r="J3719" s="1">
        <v>2</v>
      </c>
      <c r="K3719" s="1">
        <v>0</v>
      </c>
      <c r="L3719" s="1">
        <v>0</v>
      </c>
      <c r="M3719" s="1">
        <v>0</v>
      </c>
    </row>
    <row r="3720" spans="1:13">
      <c r="A3720" s="1">
        <v>3719</v>
      </c>
      <c r="B3720" s="1">
        <v>934785.18189999997</v>
      </c>
      <c r="C3720" s="1">
        <v>776215.1361040083</v>
      </c>
      <c r="D3720" s="1">
        <f t="shared" si="58"/>
        <v>158570.04579599167</v>
      </c>
      <c r="E3720" s="1">
        <v>15</v>
      </c>
      <c r="F3720" s="1">
        <v>16</v>
      </c>
      <c r="G3720" s="1">
        <v>4</v>
      </c>
      <c r="H3720" s="1">
        <v>0</v>
      </c>
      <c r="I3720" s="1">
        <v>0</v>
      </c>
      <c r="J3720" s="1">
        <v>0</v>
      </c>
      <c r="K3720" s="1">
        <v>0</v>
      </c>
      <c r="L3720" s="1">
        <v>0</v>
      </c>
      <c r="M3720" s="1">
        <v>0</v>
      </c>
    </row>
    <row r="3721" spans="1:13">
      <c r="A3721" s="1">
        <v>3720</v>
      </c>
      <c r="B3721" s="1">
        <v>907468.55370000005</v>
      </c>
      <c r="C3721" s="1">
        <v>937334.14578780392</v>
      </c>
      <c r="D3721" s="1">
        <f t="shared" si="58"/>
        <v>-29865.592087803874</v>
      </c>
      <c r="E3721" s="1">
        <v>18</v>
      </c>
      <c r="F3721" s="1">
        <v>14</v>
      </c>
      <c r="G3721" s="1">
        <v>3</v>
      </c>
      <c r="H3721" s="1">
        <v>2</v>
      </c>
      <c r="I3721" s="1">
        <v>0</v>
      </c>
      <c r="J3721" s="1">
        <v>0</v>
      </c>
      <c r="K3721" s="1">
        <v>0</v>
      </c>
      <c r="L3721" s="1">
        <v>0</v>
      </c>
      <c r="M3721" s="1">
        <v>1</v>
      </c>
    </row>
    <row r="3722" spans="1:13">
      <c r="A3722" s="1">
        <v>3721</v>
      </c>
      <c r="B3722" s="1">
        <v>986862.53610000003</v>
      </c>
      <c r="C3722" s="1">
        <v>845192.88855351927</v>
      </c>
      <c r="D3722" s="1">
        <f t="shared" si="58"/>
        <v>141669.64754648076</v>
      </c>
      <c r="E3722" s="1">
        <v>10</v>
      </c>
      <c r="F3722" s="1">
        <v>20</v>
      </c>
      <c r="G3722" s="1">
        <v>5</v>
      </c>
      <c r="H3722" s="1">
        <v>1</v>
      </c>
      <c r="I3722" s="1">
        <v>0</v>
      </c>
      <c r="J3722" s="1">
        <v>0</v>
      </c>
      <c r="K3722" s="1">
        <v>0</v>
      </c>
      <c r="L3722" s="1">
        <v>0</v>
      </c>
      <c r="M3722" s="1">
        <v>0</v>
      </c>
    </row>
    <row r="3723" spans="1:13">
      <c r="A3723" s="1">
        <v>3722</v>
      </c>
      <c r="B3723" s="1">
        <v>903245.43149999995</v>
      </c>
      <c r="C3723" s="1">
        <v>596533.987282446</v>
      </c>
      <c r="D3723" s="1">
        <f t="shared" si="58"/>
        <v>306711.44421755394</v>
      </c>
      <c r="E3723" s="1">
        <v>13</v>
      </c>
      <c r="F3723" s="1">
        <v>17</v>
      </c>
      <c r="G3723" s="1">
        <v>5</v>
      </c>
      <c r="H3723" s="1">
        <v>0</v>
      </c>
      <c r="I3723" s="1">
        <v>0</v>
      </c>
      <c r="J3723" s="1">
        <v>1</v>
      </c>
      <c r="K3723" s="1">
        <v>1</v>
      </c>
      <c r="L3723" s="1">
        <v>0</v>
      </c>
      <c r="M3723" s="1">
        <v>0</v>
      </c>
    </row>
    <row r="3724" spans="1:13">
      <c r="A3724" s="1">
        <v>3723</v>
      </c>
      <c r="B3724" s="1">
        <v>952494.30630000005</v>
      </c>
      <c r="C3724" s="1">
        <v>762953.42776262853</v>
      </c>
      <c r="D3724" s="1">
        <f t="shared" si="58"/>
        <v>189540.87853737152</v>
      </c>
      <c r="E3724" s="1">
        <v>12</v>
      </c>
      <c r="F3724" s="1">
        <v>17</v>
      </c>
      <c r="G3724" s="1">
        <v>6</v>
      </c>
      <c r="H3724" s="1">
        <v>2</v>
      </c>
      <c r="I3724" s="1">
        <v>0</v>
      </c>
      <c r="J3724" s="1">
        <v>1</v>
      </c>
      <c r="K3724" s="1">
        <v>1</v>
      </c>
      <c r="L3724" s="1">
        <v>0</v>
      </c>
      <c r="M3724" s="1">
        <v>0</v>
      </c>
    </row>
    <row r="3725" spans="1:13">
      <c r="A3725" s="1">
        <v>3724</v>
      </c>
      <c r="B3725" s="1">
        <v>857167.9915</v>
      </c>
      <c r="C3725" s="1">
        <v>772923.01628609584</v>
      </c>
      <c r="D3725" s="1">
        <f t="shared" si="58"/>
        <v>84244.975213904167</v>
      </c>
      <c r="E3725" s="1">
        <v>12</v>
      </c>
      <c r="F3725" s="1">
        <v>20</v>
      </c>
      <c r="G3725" s="1">
        <v>3</v>
      </c>
      <c r="H3725" s="1">
        <v>2</v>
      </c>
      <c r="I3725" s="1">
        <v>0</v>
      </c>
      <c r="J3725" s="1">
        <v>0</v>
      </c>
      <c r="K3725" s="1">
        <v>0</v>
      </c>
      <c r="L3725" s="1">
        <v>1</v>
      </c>
      <c r="M3725" s="1">
        <v>0</v>
      </c>
    </row>
    <row r="3726" spans="1:13">
      <c r="A3726" s="1">
        <v>3725</v>
      </c>
      <c r="B3726" s="1">
        <v>926110.08510000003</v>
      </c>
      <c r="C3726" s="1">
        <v>720580.52110827668</v>
      </c>
      <c r="D3726" s="1">
        <f t="shared" si="58"/>
        <v>205529.56399172335</v>
      </c>
      <c r="E3726" s="1">
        <v>12</v>
      </c>
      <c r="F3726" s="1">
        <v>20</v>
      </c>
      <c r="G3726" s="1">
        <v>3</v>
      </c>
      <c r="H3726" s="1">
        <v>0</v>
      </c>
      <c r="I3726" s="1">
        <v>1</v>
      </c>
      <c r="J3726" s="1">
        <v>2</v>
      </c>
      <c r="K3726" s="1">
        <v>0</v>
      </c>
      <c r="L3726" s="1">
        <v>0</v>
      </c>
      <c r="M3726" s="1">
        <v>1</v>
      </c>
    </row>
    <row r="3727" spans="1:13">
      <c r="A3727" s="1">
        <v>3726</v>
      </c>
      <c r="B3727" s="1">
        <v>869653.32350000006</v>
      </c>
      <c r="C3727" s="1">
        <v>836667.1194039468</v>
      </c>
      <c r="D3727" s="1">
        <f t="shared" si="58"/>
        <v>32986.204096053261</v>
      </c>
      <c r="E3727" s="1">
        <v>24</v>
      </c>
      <c r="F3727" s="1">
        <v>7</v>
      </c>
      <c r="G3727" s="1">
        <v>4</v>
      </c>
      <c r="H3727" s="1">
        <v>0</v>
      </c>
      <c r="I3727" s="1">
        <v>0</v>
      </c>
      <c r="J3727" s="1">
        <v>0</v>
      </c>
      <c r="K3727" s="1">
        <v>0</v>
      </c>
      <c r="L3727" s="1">
        <v>0</v>
      </c>
      <c r="M3727" s="1">
        <v>0</v>
      </c>
    </row>
    <row r="3728" spans="1:13">
      <c r="A3728" s="1">
        <v>3727</v>
      </c>
      <c r="B3728" s="1">
        <v>878380.70640000002</v>
      </c>
      <c r="C3728" s="1">
        <v>734490.85127547616</v>
      </c>
      <c r="D3728" s="1">
        <f t="shared" si="58"/>
        <v>143889.85512452386</v>
      </c>
      <c r="E3728" s="1">
        <v>21</v>
      </c>
      <c r="F3728" s="1">
        <v>8</v>
      </c>
      <c r="G3728" s="1">
        <v>6</v>
      </c>
      <c r="H3728" s="1">
        <v>1</v>
      </c>
      <c r="I3728" s="1">
        <v>0</v>
      </c>
      <c r="J3728" s="1">
        <v>1</v>
      </c>
      <c r="K3728" s="1">
        <v>0</v>
      </c>
      <c r="L3728" s="1">
        <v>0</v>
      </c>
      <c r="M3728" s="1">
        <v>1</v>
      </c>
    </row>
    <row r="3729" spans="1:13">
      <c r="A3729" s="1">
        <v>3728</v>
      </c>
      <c r="B3729" s="1">
        <v>901865.26190000004</v>
      </c>
      <c r="C3729" s="1">
        <v>1135142.1507792519</v>
      </c>
      <c r="D3729" s="1">
        <f t="shared" si="58"/>
        <v>-233276.8888792519</v>
      </c>
      <c r="E3729" s="1">
        <v>17</v>
      </c>
      <c r="F3729" s="1">
        <v>13</v>
      </c>
      <c r="G3729" s="1">
        <v>5</v>
      </c>
      <c r="H3729" s="1">
        <v>0</v>
      </c>
      <c r="I3729" s="1">
        <v>0</v>
      </c>
      <c r="J3729" s="1">
        <v>0</v>
      </c>
      <c r="K3729" s="1">
        <v>1</v>
      </c>
      <c r="L3729" s="1">
        <v>0</v>
      </c>
      <c r="M3729" s="1">
        <v>1</v>
      </c>
    </row>
    <row r="3730" spans="1:13">
      <c r="A3730" s="1">
        <v>3729</v>
      </c>
      <c r="B3730" s="1">
        <v>927860.21109999996</v>
      </c>
      <c r="C3730" s="1">
        <v>1325691.1483701183</v>
      </c>
      <c r="D3730" s="1">
        <f t="shared" si="58"/>
        <v>-397830.93727011839</v>
      </c>
      <c r="E3730" s="1">
        <v>14</v>
      </c>
      <c r="F3730" s="1">
        <v>15</v>
      </c>
      <c r="G3730" s="1">
        <v>6</v>
      </c>
      <c r="H3730" s="1">
        <v>0</v>
      </c>
      <c r="I3730" s="1">
        <v>1</v>
      </c>
      <c r="J3730" s="1">
        <v>0</v>
      </c>
      <c r="K3730" s="1">
        <v>0</v>
      </c>
      <c r="L3730" s="1">
        <v>0</v>
      </c>
      <c r="M3730" s="1">
        <v>1</v>
      </c>
    </row>
    <row r="3731" spans="1:13">
      <c r="A3731" s="1">
        <v>3730</v>
      </c>
      <c r="B3731" s="1">
        <v>867952.93079999997</v>
      </c>
      <c r="C3731" s="1">
        <v>1222494.9172106618</v>
      </c>
      <c r="D3731" s="1">
        <f t="shared" si="58"/>
        <v>-354541.98641066183</v>
      </c>
      <c r="E3731" s="1">
        <v>15</v>
      </c>
      <c r="F3731" s="1">
        <v>16</v>
      </c>
      <c r="G3731" s="1">
        <v>4</v>
      </c>
      <c r="H3731" s="1">
        <v>0</v>
      </c>
      <c r="I3731" s="1">
        <v>0</v>
      </c>
      <c r="J3731" s="1">
        <v>1</v>
      </c>
      <c r="K3731" s="1">
        <v>1</v>
      </c>
      <c r="L3731" s="1">
        <v>0</v>
      </c>
      <c r="M3731" s="1">
        <v>0</v>
      </c>
    </row>
    <row r="3732" spans="1:13">
      <c r="A3732" s="1">
        <v>3731</v>
      </c>
      <c r="B3732" s="1">
        <v>837080.66220000002</v>
      </c>
      <c r="C3732" s="1">
        <v>814589.78719655552</v>
      </c>
      <c r="D3732" s="1">
        <f t="shared" si="58"/>
        <v>22490.875003444497</v>
      </c>
      <c r="E3732" s="1">
        <v>15</v>
      </c>
      <c r="F3732" s="1">
        <v>14</v>
      </c>
      <c r="G3732" s="1">
        <v>6</v>
      </c>
      <c r="H3732" s="1">
        <v>2</v>
      </c>
      <c r="I3732" s="1">
        <v>0</v>
      </c>
      <c r="J3732" s="1">
        <v>1</v>
      </c>
      <c r="K3732" s="1">
        <v>0</v>
      </c>
      <c r="L3732" s="1">
        <v>1</v>
      </c>
      <c r="M3732" s="1">
        <v>1</v>
      </c>
    </row>
    <row r="3733" spans="1:13">
      <c r="A3733" s="1">
        <v>3732</v>
      </c>
      <c r="B3733" s="1">
        <v>905944.39480000001</v>
      </c>
      <c r="C3733" s="1">
        <v>921059.47252187761</v>
      </c>
      <c r="D3733" s="1">
        <f t="shared" si="58"/>
        <v>-15115.077721877606</v>
      </c>
      <c r="E3733" s="1">
        <v>16</v>
      </c>
      <c r="F3733" s="1">
        <v>13</v>
      </c>
      <c r="G3733" s="1">
        <v>6</v>
      </c>
      <c r="H3733" s="1">
        <v>0</v>
      </c>
      <c r="I3733" s="1">
        <v>0</v>
      </c>
      <c r="J3733" s="1">
        <v>1</v>
      </c>
      <c r="K3733" s="1">
        <v>0</v>
      </c>
      <c r="L3733" s="1">
        <v>0</v>
      </c>
      <c r="M3733" s="1">
        <v>0</v>
      </c>
    </row>
    <row r="3734" spans="1:13">
      <c r="A3734" s="1">
        <v>3733</v>
      </c>
      <c r="B3734" s="1">
        <v>940321.7648</v>
      </c>
      <c r="C3734" s="1">
        <v>754227.9374142685</v>
      </c>
      <c r="D3734" s="1">
        <f t="shared" si="58"/>
        <v>186093.82738573151</v>
      </c>
      <c r="E3734" s="1">
        <v>21</v>
      </c>
      <c r="F3734" s="1">
        <v>9</v>
      </c>
      <c r="G3734" s="1">
        <v>5</v>
      </c>
      <c r="H3734" s="1">
        <v>0</v>
      </c>
      <c r="I3734" s="1">
        <v>0</v>
      </c>
      <c r="J3734" s="1">
        <v>0</v>
      </c>
      <c r="K3734" s="1">
        <v>1</v>
      </c>
      <c r="L3734" s="1">
        <v>0</v>
      </c>
      <c r="M3734" s="1">
        <v>1</v>
      </c>
    </row>
    <row r="3735" spans="1:13">
      <c r="A3735" s="1">
        <v>3734</v>
      </c>
      <c r="B3735" s="1">
        <v>820114.30660000001</v>
      </c>
      <c r="C3735" s="1">
        <v>1918655.4397207869</v>
      </c>
      <c r="D3735" s="1">
        <f t="shared" si="58"/>
        <v>-1098541.1331207869</v>
      </c>
      <c r="E3735" s="1">
        <v>22</v>
      </c>
      <c r="F3735" s="1">
        <v>9</v>
      </c>
      <c r="G3735" s="1">
        <v>4</v>
      </c>
      <c r="H3735" s="1">
        <v>2</v>
      </c>
      <c r="I3735" s="1">
        <v>0</v>
      </c>
      <c r="J3735" s="1">
        <v>0</v>
      </c>
      <c r="K3735" s="1">
        <v>1</v>
      </c>
      <c r="L3735" s="1">
        <v>0</v>
      </c>
      <c r="M3735" s="1">
        <v>1</v>
      </c>
    </row>
    <row r="3736" spans="1:13">
      <c r="A3736" s="1">
        <v>3735</v>
      </c>
      <c r="B3736" s="1">
        <v>983162.66099999996</v>
      </c>
      <c r="C3736" s="1">
        <v>1539374.0794259929</v>
      </c>
      <c r="D3736" s="1">
        <f t="shared" si="58"/>
        <v>-556211.41842599295</v>
      </c>
      <c r="E3736" s="1">
        <v>10</v>
      </c>
      <c r="F3736" s="1">
        <v>19</v>
      </c>
      <c r="G3736" s="1">
        <v>6</v>
      </c>
      <c r="H3736" s="1">
        <v>0</v>
      </c>
      <c r="I3736" s="1">
        <v>0</v>
      </c>
      <c r="J3736" s="1">
        <v>0</v>
      </c>
      <c r="K3736" s="1">
        <v>1</v>
      </c>
      <c r="L3736" s="1">
        <v>0</v>
      </c>
      <c r="M3736" s="1">
        <v>1</v>
      </c>
    </row>
    <row r="3737" spans="1:13">
      <c r="A3737" s="1">
        <v>3736</v>
      </c>
      <c r="B3737" s="1">
        <v>930120.86589999998</v>
      </c>
      <c r="C3737" s="1">
        <v>1089316.4230859266</v>
      </c>
      <c r="D3737" s="1">
        <f t="shared" si="58"/>
        <v>-159195.55718592659</v>
      </c>
      <c r="E3737" s="1">
        <v>13</v>
      </c>
      <c r="F3737" s="1">
        <v>17</v>
      </c>
      <c r="G3737" s="1">
        <v>5</v>
      </c>
      <c r="H3737" s="1">
        <v>0</v>
      </c>
      <c r="I3737" s="1">
        <v>0</v>
      </c>
      <c r="J3737" s="1">
        <v>0</v>
      </c>
      <c r="K3737" s="1">
        <v>1</v>
      </c>
      <c r="L3737" s="1">
        <v>0</v>
      </c>
      <c r="M3737" s="1">
        <v>1</v>
      </c>
    </row>
    <row r="3738" spans="1:13">
      <c r="A3738" s="1">
        <v>3737</v>
      </c>
      <c r="B3738" s="1">
        <v>1031507.6037</v>
      </c>
      <c r="C3738" s="1">
        <v>428223.52710287354</v>
      </c>
      <c r="D3738" s="1">
        <f t="shared" si="58"/>
        <v>603284.07659712643</v>
      </c>
      <c r="E3738" s="1">
        <v>2</v>
      </c>
      <c r="F3738" s="1">
        <v>26</v>
      </c>
      <c r="G3738" s="1">
        <v>7</v>
      </c>
      <c r="H3738" s="1">
        <v>2</v>
      </c>
      <c r="I3738" s="1">
        <v>0</v>
      </c>
      <c r="J3738" s="1">
        <v>0</v>
      </c>
      <c r="K3738" s="1">
        <v>1</v>
      </c>
      <c r="L3738" s="1">
        <v>0</v>
      </c>
      <c r="M3738" s="1">
        <v>0</v>
      </c>
    </row>
    <row r="3739" spans="1:13">
      <c r="A3739" s="1">
        <v>3738</v>
      </c>
      <c r="B3739" s="1">
        <v>937038.05260000005</v>
      </c>
      <c r="C3739" s="1">
        <v>662408.85786801064</v>
      </c>
      <c r="D3739" s="1">
        <f t="shared" si="58"/>
        <v>274629.19473198941</v>
      </c>
      <c r="E3739" s="1">
        <v>13</v>
      </c>
      <c r="F3739" s="1">
        <v>18</v>
      </c>
      <c r="G3739" s="1">
        <v>4</v>
      </c>
      <c r="H3739" s="1">
        <v>0</v>
      </c>
      <c r="I3739" s="1">
        <v>1</v>
      </c>
      <c r="J3739" s="1">
        <v>0</v>
      </c>
      <c r="K3739" s="1">
        <v>0</v>
      </c>
      <c r="L3739" s="1">
        <v>1</v>
      </c>
      <c r="M3739" s="1">
        <v>0</v>
      </c>
    </row>
    <row r="3740" spans="1:13">
      <c r="A3740" s="1">
        <v>3739</v>
      </c>
      <c r="B3740" s="1">
        <v>933769.10589999997</v>
      </c>
      <c r="C3740" s="1">
        <v>618945.48550479626</v>
      </c>
      <c r="D3740" s="1">
        <f t="shared" si="58"/>
        <v>314823.6203952037</v>
      </c>
      <c r="E3740" s="1">
        <v>11</v>
      </c>
      <c r="F3740" s="1">
        <v>17</v>
      </c>
      <c r="G3740" s="1">
        <v>7</v>
      </c>
      <c r="H3740" s="1">
        <v>2</v>
      </c>
      <c r="I3740" s="1">
        <v>0</v>
      </c>
      <c r="J3740" s="1">
        <v>1</v>
      </c>
      <c r="K3740" s="1">
        <v>1</v>
      </c>
      <c r="L3740" s="1">
        <v>0</v>
      </c>
      <c r="M3740" s="1">
        <v>0</v>
      </c>
    </row>
    <row r="3741" spans="1:13">
      <c r="A3741" s="1">
        <v>3740</v>
      </c>
      <c r="B3741" s="1">
        <v>1033316.542</v>
      </c>
      <c r="C3741" s="1">
        <v>1068641.8512521426</v>
      </c>
      <c r="D3741" s="1">
        <f t="shared" si="58"/>
        <v>-35325.309252142557</v>
      </c>
      <c r="E3741" s="1">
        <v>10</v>
      </c>
      <c r="F3741" s="1">
        <v>16</v>
      </c>
      <c r="G3741" s="1">
        <v>9</v>
      </c>
      <c r="H3741" s="1">
        <v>2</v>
      </c>
      <c r="I3741" s="1">
        <v>0</v>
      </c>
      <c r="J3741" s="1">
        <v>1</v>
      </c>
      <c r="K3741" s="1">
        <v>1</v>
      </c>
      <c r="L3741" s="1">
        <v>0</v>
      </c>
      <c r="M3741" s="1">
        <v>0</v>
      </c>
    </row>
    <row r="3742" spans="1:13">
      <c r="A3742" s="1">
        <v>3741</v>
      </c>
      <c r="B3742" s="1">
        <v>943363.33759999997</v>
      </c>
      <c r="C3742" s="1">
        <v>627104.97058002837</v>
      </c>
      <c r="D3742" s="1">
        <f t="shared" si="58"/>
        <v>316258.3670199716</v>
      </c>
      <c r="E3742" s="1">
        <v>21</v>
      </c>
      <c r="F3742" s="1">
        <v>10</v>
      </c>
      <c r="G3742" s="1">
        <v>4</v>
      </c>
      <c r="H3742" s="1">
        <v>1</v>
      </c>
      <c r="I3742" s="1">
        <v>1</v>
      </c>
      <c r="J3742" s="1">
        <v>2</v>
      </c>
      <c r="K3742" s="1">
        <v>0</v>
      </c>
      <c r="L3742" s="1">
        <v>0</v>
      </c>
      <c r="M3742" s="1">
        <v>0</v>
      </c>
    </row>
    <row r="3743" spans="1:13">
      <c r="A3743" s="1">
        <v>3742</v>
      </c>
      <c r="B3743" s="1">
        <v>906599.81440000003</v>
      </c>
      <c r="C3743" s="1">
        <v>493713.38270344341</v>
      </c>
      <c r="D3743" s="1">
        <f t="shared" si="58"/>
        <v>412886.43169655662</v>
      </c>
      <c r="E3743" s="1">
        <v>16</v>
      </c>
      <c r="F3743" s="1">
        <v>15</v>
      </c>
      <c r="G3743" s="1">
        <v>4</v>
      </c>
      <c r="H3743" s="1">
        <v>2</v>
      </c>
      <c r="I3743" s="1">
        <v>0</v>
      </c>
      <c r="J3743" s="1">
        <v>1</v>
      </c>
      <c r="K3743" s="1">
        <v>1</v>
      </c>
      <c r="L3743" s="1">
        <v>0</v>
      </c>
      <c r="M3743" s="1">
        <v>1</v>
      </c>
    </row>
    <row r="3744" spans="1:13">
      <c r="A3744" s="1">
        <v>3743</v>
      </c>
      <c r="B3744" s="1">
        <v>888619.85160000005</v>
      </c>
      <c r="C3744" s="1">
        <v>731869.11278811109</v>
      </c>
      <c r="D3744" s="1">
        <f t="shared" si="58"/>
        <v>156750.73881188896</v>
      </c>
      <c r="E3744" s="1">
        <v>9</v>
      </c>
      <c r="F3744" s="1">
        <v>24</v>
      </c>
      <c r="G3744" s="1">
        <v>2</v>
      </c>
      <c r="H3744" s="1">
        <v>1</v>
      </c>
      <c r="I3744" s="1">
        <v>0</v>
      </c>
      <c r="J3744" s="1">
        <v>0</v>
      </c>
      <c r="K3744" s="1">
        <v>1</v>
      </c>
      <c r="L3744" s="1">
        <v>0</v>
      </c>
      <c r="M3744" s="1">
        <v>0</v>
      </c>
    </row>
    <row r="3745" spans="1:13">
      <c r="A3745" s="1">
        <v>3744</v>
      </c>
      <c r="B3745" s="1">
        <v>1016224.3539</v>
      </c>
      <c r="C3745" s="1">
        <v>927716.67408231064</v>
      </c>
      <c r="D3745" s="1">
        <f t="shared" si="58"/>
        <v>88507.67981768935</v>
      </c>
      <c r="E3745" s="1">
        <v>12</v>
      </c>
      <c r="F3745" s="1">
        <v>16</v>
      </c>
      <c r="G3745" s="1">
        <v>7</v>
      </c>
      <c r="H3745" s="1">
        <v>1</v>
      </c>
      <c r="I3745" s="1">
        <v>1</v>
      </c>
      <c r="J3745" s="1">
        <v>0</v>
      </c>
      <c r="K3745" s="1">
        <v>1</v>
      </c>
      <c r="L3745" s="1">
        <v>0</v>
      </c>
      <c r="M3745" s="1">
        <v>0</v>
      </c>
    </row>
    <row r="3746" spans="1:13">
      <c r="A3746" s="1">
        <v>3745</v>
      </c>
      <c r="B3746" s="1">
        <v>957469.98679999996</v>
      </c>
      <c r="C3746" s="1">
        <v>775052.60629238794</v>
      </c>
      <c r="D3746" s="1">
        <f t="shared" si="58"/>
        <v>182417.38050761202</v>
      </c>
      <c r="E3746" s="1">
        <v>13</v>
      </c>
      <c r="F3746" s="1">
        <v>14</v>
      </c>
      <c r="G3746" s="1">
        <v>8</v>
      </c>
      <c r="H3746" s="1">
        <v>2</v>
      </c>
      <c r="I3746" s="1">
        <v>0</v>
      </c>
      <c r="J3746" s="1">
        <v>1</v>
      </c>
      <c r="K3746" s="1">
        <v>0</v>
      </c>
      <c r="L3746" s="1">
        <v>0</v>
      </c>
      <c r="M3746" s="1">
        <v>0</v>
      </c>
    </row>
    <row r="3747" spans="1:13">
      <c r="A3747" s="1">
        <v>3746</v>
      </c>
      <c r="B3747" s="1">
        <v>823290.50699999998</v>
      </c>
      <c r="C3747" s="1">
        <v>3161149.8945567659</v>
      </c>
      <c r="D3747" s="1">
        <f t="shared" si="58"/>
        <v>-2337859.3875567662</v>
      </c>
      <c r="E3747" s="1">
        <v>19</v>
      </c>
      <c r="F3747" s="1">
        <v>12</v>
      </c>
      <c r="G3747" s="1">
        <v>4</v>
      </c>
      <c r="H3747" s="1">
        <v>0</v>
      </c>
      <c r="I3747" s="1">
        <v>0</v>
      </c>
      <c r="J3747" s="1">
        <v>1</v>
      </c>
      <c r="K3747" s="1">
        <v>1</v>
      </c>
      <c r="L3747" s="1">
        <v>0</v>
      </c>
      <c r="M3747" s="1">
        <v>0</v>
      </c>
    </row>
    <row r="3748" spans="1:13">
      <c r="A3748" s="1">
        <v>3747</v>
      </c>
      <c r="B3748" s="1">
        <v>947960.81189999997</v>
      </c>
      <c r="C3748" s="1">
        <v>1136767.3731683781</v>
      </c>
      <c r="D3748" s="1">
        <f t="shared" si="58"/>
        <v>-188806.56126837817</v>
      </c>
      <c r="E3748" s="1">
        <v>11</v>
      </c>
      <c r="F3748" s="1">
        <v>18</v>
      </c>
      <c r="G3748" s="1">
        <v>6</v>
      </c>
      <c r="H3748" s="1">
        <v>1</v>
      </c>
      <c r="I3748" s="1">
        <v>0</v>
      </c>
      <c r="J3748" s="1">
        <v>0</v>
      </c>
      <c r="K3748" s="1">
        <v>0</v>
      </c>
      <c r="L3748" s="1">
        <v>0</v>
      </c>
      <c r="M3748" s="1">
        <v>0</v>
      </c>
    </row>
    <row r="3749" spans="1:13">
      <c r="A3749" s="1">
        <v>3748</v>
      </c>
      <c r="B3749" s="1">
        <v>862459.68799999997</v>
      </c>
      <c r="C3749" s="1">
        <v>560044.58148186735</v>
      </c>
      <c r="D3749" s="1">
        <f t="shared" si="58"/>
        <v>302415.10651813261</v>
      </c>
      <c r="E3749" s="1">
        <v>11</v>
      </c>
      <c r="F3749" s="1">
        <v>20</v>
      </c>
      <c r="G3749" s="1">
        <v>4</v>
      </c>
      <c r="H3749" s="1">
        <v>1</v>
      </c>
      <c r="I3749" s="1">
        <v>1</v>
      </c>
      <c r="J3749" s="1">
        <v>0</v>
      </c>
      <c r="K3749" s="1">
        <v>0</v>
      </c>
      <c r="L3749" s="1">
        <v>0</v>
      </c>
      <c r="M3749" s="1">
        <v>1</v>
      </c>
    </row>
    <row r="3750" spans="1:13">
      <c r="A3750" s="1">
        <v>3749</v>
      </c>
      <c r="B3750" s="1">
        <v>935156.10230000003</v>
      </c>
      <c r="C3750" s="1">
        <v>1038355.0323925974</v>
      </c>
      <c r="D3750" s="1">
        <f t="shared" si="58"/>
        <v>-103198.93009259738</v>
      </c>
      <c r="E3750" s="1">
        <v>18</v>
      </c>
      <c r="F3750" s="1">
        <v>14</v>
      </c>
      <c r="G3750" s="1">
        <v>3</v>
      </c>
      <c r="H3750" s="1">
        <v>0</v>
      </c>
      <c r="I3750" s="1">
        <v>2</v>
      </c>
      <c r="J3750" s="1">
        <v>0</v>
      </c>
      <c r="K3750" s="1">
        <v>0</v>
      </c>
      <c r="L3750" s="1">
        <v>0</v>
      </c>
      <c r="M3750" s="1">
        <v>0</v>
      </c>
    </row>
    <row r="3751" spans="1:13">
      <c r="A3751" s="1">
        <v>3750</v>
      </c>
      <c r="B3751" s="1">
        <v>922692.34669999999</v>
      </c>
      <c r="C3751" s="1">
        <v>1003919.1884680942</v>
      </c>
      <c r="D3751" s="1">
        <f t="shared" si="58"/>
        <v>-81226.841768094222</v>
      </c>
      <c r="E3751" s="1">
        <v>9</v>
      </c>
      <c r="F3751" s="1">
        <v>23</v>
      </c>
      <c r="G3751" s="1">
        <v>3</v>
      </c>
      <c r="H3751" s="1">
        <v>0</v>
      </c>
      <c r="I3751" s="1">
        <v>0</v>
      </c>
      <c r="J3751" s="1">
        <v>1</v>
      </c>
      <c r="K3751" s="1">
        <v>0</v>
      </c>
      <c r="L3751" s="1">
        <v>0</v>
      </c>
      <c r="M3751" s="1">
        <v>1</v>
      </c>
    </row>
    <row r="3752" spans="1:13">
      <c r="A3752" s="1">
        <v>3751</v>
      </c>
      <c r="B3752" s="1">
        <v>913789.91059999994</v>
      </c>
      <c r="C3752" s="1">
        <v>992242.30118472583</v>
      </c>
      <c r="D3752" s="1">
        <f t="shared" si="58"/>
        <v>-78452.390584725887</v>
      </c>
      <c r="E3752" s="1">
        <v>18</v>
      </c>
      <c r="F3752" s="1">
        <v>14</v>
      </c>
      <c r="G3752" s="1">
        <v>3</v>
      </c>
      <c r="H3752" s="1">
        <v>1</v>
      </c>
      <c r="I3752" s="1">
        <v>1</v>
      </c>
      <c r="J3752" s="1">
        <v>0</v>
      </c>
      <c r="K3752" s="1">
        <v>1</v>
      </c>
      <c r="L3752" s="1">
        <v>0</v>
      </c>
      <c r="M3752" s="1">
        <v>1</v>
      </c>
    </row>
    <row r="3753" spans="1:13">
      <c r="A3753" s="1">
        <v>3752</v>
      </c>
      <c r="B3753" s="1">
        <v>920644.13670000003</v>
      </c>
      <c r="C3753" s="1">
        <v>1653743.0716976752</v>
      </c>
      <c r="D3753" s="1">
        <f t="shared" si="58"/>
        <v>-733098.93499767513</v>
      </c>
      <c r="E3753" s="1">
        <v>15</v>
      </c>
      <c r="F3753" s="1">
        <v>13</v>
      </c>
      <c r="G3753" s="1">
        <v>7</v>
      </c>
      <c r="H3753" s="1">
        <v>0</v>
      </c>
      <c r="I3753" s="1">
        <v>0</v>
      </c>
      <c r="J3753" s="1">
        <v>0</v>
      </c>
      <c r="K3753" s="1">
        <v>1</v>
      </c>
      <c r="L3753" s="1">
        <v>1</v>
      </c>
      <c r="M3753" s="1">
        <v>0</v>
      </c>
    </row>
    <row r="3754" spans="1:13">
      <c r="A3754" s="1">
        <v>3753</v>
      </c>
      <c r="B3754" s="1">
        <v>950047.22069999995</v>
      </c>
      <c r="C3754" s="1">
        <v>757551.66701689246</v>
      </c>
      <c r="D3754" s="1">
        <f t="shared" si="58"/>
        <v>192495.55368310749</v>
      </c>
      <c r="E3754" s="1">
        <v>12</v>
      </c>
      <c r="F3754" s="1">
        <v>17</v>
      </c>
      <c r="G3754" s="1">
        <v>6</v>
      </c>
      <c r="H3754" s="1">
        <v>1</v>
      </c>
      <c r="I3754" s="1">
        <v>0</v>
      </c>
      <c r="J3754" s="1">
        <v>1</v>
      </c>
      <c r="K3754" s="1">
        <v>0</v>
      </c>
      <c r="L3754" s="1">
        <v>0</v>
      </c>
      <c r="M3754" s="1">
        <v>0</v>
      </c>
    </row>
    <row r="3755" spans="1:13">
      <c r="A3755" s="1">
        <v>3754</v>
      </c>
      <c r="B3755" s="1">
        <v>1006659.9896</v>
      </c>
      <c r="C3755" s="1">
        <v>491593.82658144156</v>
      </c>
      <c r="D3755" s="1">
        <f t="shared" si="58"/>
        <v>515066.16301855841</v>
      </c>
      <c r="E3755" s="1">
        <v>10</v>
      </c>
      <c r="F3755" s="1">
        <v>21</v>
      </c>
      <c r="G3755" s="1">
        <v>4</v>
      </c>
      <c r="H3755" s="1">
        <v>2</v>
      </c>
      <c r="I3755" s="1">
        <v>0</v>
      </c>
      <c r="J3755" s="1">
        <v>1</v>
      </c>
      <c r="K3755" s="1">
        <v>0</v>
      </c>
      <c r="L3755" s="1">
        <v>0</v>
      </c>
      <c r="M3755" s="1">
        <v>1</v>
      </c>
    </row>
    <row r="3756" spans="1:13">
      <c r="A3756" s="1">
        <v>3755</v>
      </c>
      <c r="B3756" s="1">
        <v>936144.45799999998</v>
      </c>
      <c r="C3756" s="1">
        <v>996703.81860464776</v>
      </c>
      <c r="D3756" s="1">
        <f t="shared" si="58"/>
        <v>-60559.36060464778</v>
      </c>
      <c r="E3756" s="1">
        <v>10</v>
      </c>
      <c r="F3756" s="1">
        <v>21</v>
      </c>
      <c r="G3756" s="1">
        <v>4</v>
      </c>
      <c r="H3756" s="1">
        <v>2</v>
      </c>
      <c r="I3756" s="1">
        <v>0</v>
      </c>
      <c r="J3756" s="1">
        <v>1</v>
      </c>
      <c r="K3756" s="1">
        <v>0</v>
      </c>
      <c r="L3756" s="1">
        <v>0</v>
      </c>
      <c r="M3756" s="1">
        <v>0</v>
      </c>
    </row>
    <row r="3757" spans="1:13">
      <c r="A3757" s="1">
        <v>3756</v>
      </c>
      <c r="B3757" s="1">
        <v>970325.56940000004</v>
      </c>
      <c r="C3757" s="1">
        <v>620749.3209664888</v>
      </c>
      <c r="D3757" s="1">
        <f t="shared" si="58"/>
        <v>349576.24843351124</v>
      </c>
      <c r="E3757" s="1">
        <v>9</v>
      </c>
      <c r="F3757" s="1">
        <v>18</v>
      </c>
      <c r="G3757" s="1">
        <v>8</v>
      </c>
      <c r="H3757" s="1">
        <v>2</v>
      </c>
      <c r="I3757" s="1">
        <v>0</v>
      </c>
      <c r="J3757" s="1">
        <v>0</v>
      </c>
      <c r="K3757" s="1">
        <v>2</v>
      </c>
      <c r="L3757" s="1">
        <v>0</v>
      </c>
      <c r="M3757" s="1">
        <v>0</v>
      </c>
    </row>
    <row r="3758" spans="1:13">
      <c r="A3758" s="1">
        <v>3757</v>
      </c>
      <c r="B3758" s="1">
        <v>947180.64139999996</v>
      </c>
      <c r="C3758" s="1">
        <v>775817.25036392536</v>
      </c>
      <c r="D3758" s="1">
        <f t="shared" si="58"/>
        <v>171363.39103607461</v>
      </c>
      <c r="E3758" s="1">
        <v>10</v>
      </c>
      <c r="F3758" s="1">
        <v>18</v>
      </c>
      <c r="G3758" s="1">
        <v>7</v>
      </c>
      <c r="H3758" s="1">
        <v>0</v>
      </c>
      <c r="I3758" s="1">
        <v>0</v>
      </c>
      <c r="J3758" s="1">
        <v>1</v>
      </c>
      <c r="K3758" s="1">
        <v>1</v>
      </c>
      <c r="L3758" s="1">
        <v>0</v>
      </c>
      <c r="M3758" s="1">
        <v>0</v>
      </c>
    </row>
    <row r="3759" spans="1:13">
      <c r="A3759" s="1">
        <v>3758</v>
      </c>
      <c r="B3759" s="1">
        <v>860000.47340000002</v>
      </c>
      <c r="C3759" s="1">
        <v>752085.45825104066</v>
      </c>
      <c r="D3759" s="1">
        <f t="shared" si="58"/>
        <v>107915.01514895936</v>
      </c>
      <c r="E3759" s="1">
        <v>17</v>
      </c>
      <c r="F3759" s="1">
        <v>16</v>
      </c>
      <c r="G3759" s="1">
        <v>2</v>
      </c>
      <c r="H3759" s="1">
        <v>0</v>
      </c>
      <c r="I3759" s="1">
        <v>2</v>
      </c>
      <c r="J3759" s="1">
        <v>0</v>
      </c>
      <c r="K3759" s="1">
        <v>2</v>
      </c>
      <c r="L3759" s="1">
        <v>0</v>
      </c>
      <c r="M3759" s="1">
        <v>1</v>
      </c>
    </row>
    <row r="3760" spans="1:13">
      <c r="A3760" s="1">
        <v>3759</v>
      </c>
      <c r="B3760" s="1">
        <v>949316.56960000005</v>
      </c>
      <c r="C3760" s="1">
        <v>1564475.6254032282</v>
      </c>
      <c r="D3760" s="1">
        <f t="shared" si="58"/>
        <v>-615159.05580322817</v>
      </c>
      <c r="E3760" s="1">
        <v>12</v>
      </c>
      <c r="F3760" s="1">
        <v>16</v>
      </c>
      <c r="G3760" s="1">
        <v>7</v>
      </c>
      <c r="H3760" s="1">
        <v>1</v>
      </c>
      <c r="I3760" s="1">
        <v>1</v>
      </c>
      <c r="J3760" s="1">
        <v>2</v>
      </c>
      <c r="K3760" s="1">
        <v>0</v>
      </c>
      <c r="L3760" s="1">
        <v>0</v>
      </c>
      <c r="M3760" s="1">
        <v>1</v>
      </c>
    </row>
    <row r="3761" spans="1:13">
      <c r="A3761" s="1">
        <v>3760</v>
      </c>
      <c r="B3761" s="1">
        <v>1027035.3778</v>
      </c>
      <c r="C3761" s="1">
        <v>4814098.1552092703</v>
      </c>
      <c r="D3761" s="1">
        <f t="shared" si="58"/>
        <v>-3787062.7774092704</v>
      </c>
      <c r="E3761" s="1">
        <v>4</v>
      </c>
      <c r="F3761" s="1">
        <v>27</v>
      </c>
      <c r="G3761" s="1">
        <v>4</v>
      </c>
      <c r="H3761" s="1">
        <v>2</v>
      </c>
      <c r="I3761" s="1">
        <v>0</v>
      </c>
      <c r="J3761" s="1">
        <v>1</v>
      </c>
      <c r="K3761" s="1">
        <v>0</v>
      </c>
      <c r="L3761" s="1">
        <v>0</v>
      </c>
      <c r="M3761" s="1">
        <v>0</v>
      </c>
    </row>
    <row r="3762" spans="1:13">
      <c r="A3762" s="1">
        <v>3761</v>
      </c>
      <c r="B3762" s="1">
        <v>1031708.9337000001</v>
      </c>
      <c r="C3762" s="1">
        <v>399144.95660731953</v>
      </c>
      <c r="D3762" s="1">
        <f t="shared" si="58"/>
        <v>632563.97709268052</v>
      </c>
      <c r="E3762" s="1">
        <v>12</v>
      </c>
      <c r="F3762" s="1">
        <v>16</v>
      </c>
      <c r="G3762" s="1">
        <v>7</v>
      </c>
      <c r="H3762" s="1">
        <v>2</v>
      </c>
      <c r="I3762" s="1">
        <v>0</v>
      </c>
      <c r="J3762" s="1">
        <v>0</v>
      </c>
      <c r="K3762" s="1">
        <v>2</v>
      </c>
      <c r="L3762" s="1">
        <v>0</v>
      </c>
      <c r="M3762" s="1">
        <v>0</v>
      </c>
    </row>
    <row r="3763" spans="1:13">
      <c r="A3763" s="1">
        <v>3762</v>
      </c>
      <c r="B3763" s="1">
        <v>974819.92240000004</v>
      </c>
      <c r="C3763" s="1">
        <v>909426.69912270003</v>
      </c>
      <c r="D3763" s="1">
        <f t="shared" si="58"/>
        <v>65393.223277300014</v>
      </c>
      <c r="E3763" s="1">
        <v>8</v>
      </c>
      <c r="F3763" s="1">
        <v>24</v>
      </c>
      <c r="G3763" s="1">
        <v>3</v>
      </c>
      <c r="H3763" s="1">
        <v>1</v>
      </c>
      <c r="I3763" s="1">
        <v>1</v>
      </c>
      <c r="J3763" s="1">
        <v>1</v>
      </c>
      <c r="K3763" s="1">
        <v>1</v>
      </c>
      <c r="L3763" s="1">
        <v>0</v>
      </c>
      <c r="M3763" s="1">
        <v>1</v>
      </c>
    </row>
    <row r="3764" spans="1:13">
      <c r="A3764" s="1">
        <v>3763</v>
      </c>
      <c r="B3764" s="1">
        <v>924364.27060000005</v>
      </c>
      <c r="C3764" s="1">
        <v>765647.85203503235</v>
      </c>
      <c r="D3764" s="1">
        <f t="shared" si="58"/>
        <v>158716.41856496769</v>
      </c>
      <c r="E3764" s="1">
        <v>14</v>
      </c>
      <c r="F3764" s="1">
        <v>16</v>
      </c>
      <c r="G3764" s="1">
        <v>5</v>
      </c>
      <c r="H3764" s="1">
        <v>0</v>
      </c>
      <c r="I3764" s="1">
        <v>0</v>
      </c>
      <c r="J3764" s="1">
        <v>0</v>
      </c>
      <c r="K3764" s="1">
        <v>0</v>
      </c>
      <c r="L3764" s="1">
        <v>0</v>
      </c>
      <c r="M3764" s="1">
        <v>1</v>
      </c>
    </row>
    <row r="3765" spans="1:13">
      <c r="A3765" s="1">
        <v>3764</v>
      </c>
      <c r="B3765" s="1">
        <v>908883.75349999999</v>
      </c>
      <c r="C3765" s="1">
        <v>786211.34586142027</v>
      </c>
      <c r="D3765" s="1">
        <f t="shared" si="58"/>
        <v>122672.40763857972</v>
      </c>
      <c r="E3765" s="1">
        <v>21</v>
      </c>
      <c r="F3765" s="1">
        <v>11</v>
      </c>
      <c r="G3765" s="1">
        <v>3</v>
      </c>
      <c r="H3765" s="1">
        <v>2</v>
      </c>
      <c r="I3765" s="1">
        <v>0</v>
      </c>
      <c r="J3765" s="1">
        <v>0</v>
      </c>
      <c r="K3765" s="1">
        <v>2</v>
      </c>
      <c r="L3765" s="1">
        <v>0</v>
      </c>
      <c r="M3765" s="1">
        <v>1</v>
      </c>
    </row>
    <row r="3766" spans="1:13">
      <c r="A3766" s="1">
        <v>3765</v>
      </c>
      <c r="B3766" s="1">
        <v>1028165.8803</v>
      </c>
      <c r="C3766" s="1">
        <v>14697148.714999896</v>
      </c>
      <c r="D3766" s="1">
        <f t="shared" si="58"/>
        <v>-13668982.834699895</v>
      </c>
      <c r="E3766" s="1">
        <v>6</v>
      </c>
      <c r="F3766" s="1">
        <v>26</v>
      </c>
      <c r="G3766" s="1">
        <v>3</v>
      </c>
      <c r="H3766" s="1">
        <v>0</v>
      </c>
      <c r="I3766" s="1">
        <v>0</v>
      </c>
      <c r="J3766" s="1">
        <v>0</v>
      </c>
      <c r="K3766" s="1">
        <v>0</v>
      </c>
      <c r="L3766" s="1">
        <v>0</v>
      </c>
      <c r="M3766" s="1">
        <v>0</v>
      </c>
    </row>
    <row r="3767" spans="1:13">
      <c r="A3767" s="1">
        <v>3766</v>
      </c>
      <c r="B3767" s="1">
        <v>874461.53289999999</v>
      </c>
      <c r="C3767" s="1">
        <v>1248024.264743421</v>
      </c>
      <c r="D3767" s="1">
        <f t="shared" si="58"/>
        <v>-373562.731843421</v>
      </c>
      <c r="E3767" s="1">
        <v>20</v>
      </c>
      <c r="F3767" s="1">
        <v>10</v>
      </c>
      <c r="G3767" s="1">
        <v>5</v>
      </c>
      <c r="H3767" s="1">
        <v>0</v>
      </c>
      <c r="I3767" s="1">
        <v>0</v>
      </c>
      <c r="J3767" s="1">
        <v>1</v>
      </c>
      <c r="K3767" s="1">
        <v>1</v>
      </c>
      <c r="L3767" s="1">
        <v>0</v>
      </c>
      <c r="M3767" s="1">
        <v>0</v>
      </c>
    </row>
    <row r="3768" spans="1:13">
      <c r="A3768" s="1">
        <v>3767</v>
      </c>
      <c r="B3768" s="1">
        <v>1026666.6562</v>
      </c>
      <c r="C3768" s="1">
        <v>1096020.1362740877</v>
      </c>
      <c r="D3768" s="1">
        <f t="shared" si="58"/>
        <v>-69353.48007408774</v>
      </c>
      <c r="E3768" s="1">
        <v>14</v>
      </c>
      <c r="F3768" s="1">
        <v>17</v>
      </c>
      <c r="G3768" s="1">
        <v>4</v>
      </c>
      <c r="H3768" s="1">
        <v>1</v>
      </c>
      <c r="I3768" s="1">
        <v>0</v>
      </c>
      <c r="J3768" s="1">
        <v>1</v>
      </c>
      <c r="K3768" s="1">
        <v>0</v>
      </c>
      <c r="L3768" s="1">
        <v>0</v>
      </c>
      <c r="M3768" s="1">
        <v>0</v>
      </c>
    </row>
    <row r="3769" spans="1:13">
      <c r="A3769" s="1">
        <v>3768</v>
      </c>
      <c r="B3769" s="1">
        <v>896753.272</v>
      </c>
      <c r="C3769" s="1">
        <v>906329.54830419668</v>
      </c>
      <c r="D3769" s="1">
        <f t="shared" si="58"/>
        <v>-9576.2763041966828</v>
      </c>
      <c r="E3769" s="1">
        <v>10</v>
      </c>
      <c r="F3769" s="1">
        <v>19</v>
      </c>
      <c r="G3769" s="1">
        <v>6</v>
      </c>
      <c r="H3769" s="1">
        <v>1</v>
      </c>
      <c r="I3769" s="1">
        <v>1</v>
      </c>
      <c r="J3769" s="1">
        <v>0</v>
      </c>
      <c r="K3769" s="1">
        <v>0</v>
      </c>
      <c r="L3769" s="1">
        <v>0</v>
      </c>
      <c r="M3769" s="1">
        <v>0</v>
      </c>
    </row>
    <row r="3770" spans="1:13">
      <c r="A3770" s="1">
        <v>3769</v>
      </c>
      <c r="B3770" s="1">
        <v>1033285.1028</v>
      </c>
      <c r="C3770" s="1">
        <v>808926.72418516083</v>
      </c>
      <c r="D3770" s="1">
        <f t="shared" si="58"/>
        <v>224358.37861483917</v>
      </c>
      <c r="E3770" s="1">
        <v>14</v>
      </c>
      <c r="F3770" s="1">
        <v>12</v>
      </c>
      <c r="G3770" s="1">
        <v>9</v>
      </c>
      <c r="H3770" s="1">
        <v>1</v>
      </c>
      <c r="I3770" s="1">
        <v>1</v>
      </c>
      <c r="J3770" s="1">
        <v>0</v>
      </c>
      <c r="K3770" s="1">
        <v>2</v>
      </c>
      <c r="L3770" s="1">
        <v>0</v>
      </c>
      <c r="M3770" s="1">
        <v>0</v>
      </c>
    </row>
    <row r="3771" spans="1:13">
      <c r="A3771" s="1">
        <v>3770</v>
      </c>
      <c r="B3771" s="1">
        <v>848445.30900000001</v>
      </c>
      <c r="C3771" s="1">
        <v>1230860.304126156</v>
      </c>
      <c r="D3771" s="1">
        <f t="shared" si="58"/>
        <v>-382414.99512615602</v>
      </c>
      <c r="E3771" s="1">
        <v>16</v>
      </c>
      <c r="F3771" s="1">
        <v>16</v>
      </c>
      <c r="G3771" s="1">
        <v>3</v>
      </c>
      <c r="H3771" s="1">
        <v>1</v>
      </c>
      <c r="I3771" s="1">
        <v>1</v>
      </c>
      <c r="J3771" s="1">
        <v>1</v>
      </c>
      <c r="K3771" s="1">
        <v>1</v>
      </c>
      <c r="L3771" s="1">
        <v>0</v>
      </c>
      <c r="M3771" s="1">
        <v>1</v>
      </c>
    </row>
    <row r="3772" spans="1:13">
      <c r="A3772" s="1">
        <v>3771</v>
      </c>
      <c r="B3772" s="1">
        <v>1004983.5257</v>
      </c>
      <c r="C3772" s="1">
        <v>938678.29117422923</v>
      </c>
      <c r="D3772" s="1">
        <f t="shared" si="58"/>
        <v>66305.234525770764</v>
      </c>
      <c r="E3772" s="1">
        <v>9</v>
      </c>
      <c r="F3772" s="1">
        <v>21</v>
      </c>
      <c r="G3772" s="1">
        <v>5</v>
      </c>
      <c r="H3772" s="1">
        <v>2</v>
      </c>
      <c r="I3772" s="1">
        <v>0</v>
      </c>
      <c r="J3772" s="1">
        <v>0</v>
      </c>
      <c r="K3772" s="1">
        <v>1</v>
      </c>
      <c r="L3772" s="1">
        <v>0</v>
      </c>
      <c r="M3772" s="1">
        <v>1</v>
      </c>
    </row>
    <row r="3773" spans="1:13">
      <c r="A3773" s="1">
        <v>3772</v>
      </c>
      <c r="B3773" s="1">
        <v>928687.97459999996</v>
      </c>
      <c r="C3773" s="1">
        <v>532921.69920807984</v>
      </c>
      <c r="D3773" s="1">
        <f t="shared" si="58"/>
        <v>395766.27539192012</v>
      </c>
      <c r="E3773" s="1">
        <v>10</v>
      </c>
      <c r="F3773" s="1">
        <v>17</v>
      </c>
      <c r="G3773" s="1">
        <v>8</v>
      </c>
      <c r="H3773" s="1">
        <v>1</v>
      </c>
      <c r="I3773" s="1">
        <v>0</v>
      </c>
      <c r="J3773" s="1">
        <v>0</v>
      </c>
      <c r="K3773" s="1">
        <v>1</v>
      </c>
      <c r="L3773" s="1">
        <v>1</v>
      </c>
      <c r="M3773" s="1">
        <v>0</v>
      </c>
    </row>
    <row r="3774" spans="1:13">
      <c r="A3774" s="1">
        <v>3773</v>
      </c>
      <c r="B3774" s="1">
        <v>933583.1348</v>
      </c>
      <c r="C3774" s="1">
        <v>761421.4713599704</v>
      </c>
      <c r="D3774" s="1">
        <f t="shared" si="58"/>
        <v>172161.6634400296</v>
      </c>
      <c r="E3774" s="1">
        <v>19</v>
      </c>
      <c r="F3774" s="1">
        <v>12</v>
      </c>
      <c r="G3774" s="1">
        <v>4</v>
      </c>
      <c r="H3774" s="1">
        <v>1</v>
      </c>
      <c r="I3774" s="1">
        <v>0</v>
      </c>
      <c r="J3774" s="1">
        <v>0</v>
      </c>
      <c r="K3774" s="1">
        <v>2</v>
      </c>
      <c r="L3774" s="1">
        <v>0</v>
      </c>
      <c r="M3774" s="1">
        <v>1</v>
      </c>
    </row>
    <row r="3775" spans="1:13">
      <c r="A3775" s="1">
        <v>3774</v>
      </c>
      <c r="B3775" s="1">
        <v>994970.92319999996</v>
      </c>
      <c r="C3775" s="1">
        <v>1044445.1033984966</v>
      </c>
      <c r="D3775" s="1">
        <f t="shared" si="58"/>
        <v>-49474.180198496673</v>
      </c>
      <c r="E3775" s="1">
        <v>14</v>
      </c>
      <c r="F3775" s="1">
        <v>15</v>
      </c>
      <c r="G3775" s="1">
        <v>6</v>
      </c>
      <c r="H3775" s="1">
        <v>0</v>
      </c>
      <c r="I3775" s="1">
        <v>1</v>
      </c>
      <c r="J3775" s="1">
        <v>0</v>
      </c>
      <c r="K3775" s="1">
        <v>2</v>
      </c>
      <c r="L3775" s="1">
        <v>0</v>
      </c>
      <c r="M3775" s="1">
        <v>0</v>
      </c>
    </row>
    <row r="3776" spans="1:13">
      <c r="A3776" s="1">
        <v>3775</v>
      </c>
      <c r="B3776" s="1">
        <v>852311.87320000003</v>
      </c>
      <c r="C3776" s="1">
        <v>682295.55284504953</v>
      </c>
      <c r="D3776" s="1">
        <f t="shared" si="58"/>
        <v>170016.3203549505</v>
      </c>
      <c r="E3776" s="1">
        <v>16</v>
      </c>
      <c r="F3776" s="1">
        <v>12</v>
      </c>
      <c r="G3776" s="1">
        <v>7</v>
      </c>
      <c r="H3776" s="1">
        <v>2</v>
      </c>
      <c r="I3776" s="1">
        <v>0</v>
      </c>
      <c r="J3776" s="1">
        <v>1</v>
      </c>
      <c r="K3776" s="1">
        <v>0</v>
      </c>
      <c r="L3776" s="1">
        <v>0</v>
      </c>
      <c r="M3776" s="1">
        <v>1</v>
      </c>
    </row>
    <row r="3777" spans="1:13">
      <c r="A3777" s="1">
        <v>3776</v>
      </c>
      <c r="B3777" s="1">
        <v>928273.33039999998</v>
      </c>
      <c r="C3777" s="1">
        <v>642713.64326188574</v>
      </c>
      <c r="D3777" s="1">
        <f t="shared" si="58"/>
        <v>285559.68713811424</v>
      </c>
      <c r="E3777" s="1">
        <v>12</v>
      </c>
      <c r="F3777" s="1">
        <v>17</v>
      </c>
      <c r="G3777" s="1">
        <v>6</v>
      </c>
      <c r="H3777" s="1">
        <v>0</v>
      </c>
      <c r="I3777" s="1">
        <v>0</v>
      </c>
      <c r="J3777" s="1">
        <v>0</v>
      </c>
      <c r="K3777" s="1">
        <v>1</v>
      </c>
      <c r="L3777" s="1">
        <v>0</v>
      </c>
      <c r="M3777" s="1">
        <v>1</v>
      </c>
    </row>
    <row r="3778" spans="1:13">
      <c r="A3778" s="1">
        <v>3777</v>
      </c>
      <c r="B3778" s="1">
        <v>907303.96840000001</v>
      </c>
      <c r="C3778" s="1">
        <v>720686.04073832242</v>
      </c>
      <c r="D3778" s="1">
        <f t="shared" ref="D3778:D3841" si="59">B3778-C3778</f>
        <v>186617.92766167759</v>
      </c>
      <c r="E3778" s="1">
        <v>14</v>
      </c>
      <c r="F3778" s="1">
        <v>16</v>
      </c>
      <c r="G3778" s="1">
        <v>5</v>
      </c>
      <c r="H3778" s="1">
        <v>2</v>
      </c>
      <c r="I3778" s="1">
        <v>0</v>
      </c>
      <c r="J3778" s="1">
        <v>1</v>
      </c>
      <c r="K3778" s="1">
        <v>1</v>
      </c>
      <c r="L3778" s="1">
        <v>0</v>
      </c>
      <c r="M3778" s="1">
        <v>0</v>
      </c>
    </row>
    <row r="3779" spans="1:13">
      <c r="A3779" s="1">
        <v>3778</v>
      </c>
      <c r="B3779" s="1">
        <v>973183.80429999996</v>
      </c>
      <c r="C3779" s="1">
        <v>1213908.1015722491</v>
      </c>
      <c r="D3779" s="1">
        <f t="shared" si="59"/>
        <v>-240724.29727224912</v>
      </c>
      <c r="E3779" s="1">
        <v>14</v>
      </c>
      <c r="F3779" s="1">
        <v>16</v>
      </c>
      <c r="G3779" s="1">
        <v>5</v>
      </c>
      <c r="H3779" s="1">
        <v>0</v>
      </c>
      <c r="I3779" s="1">
        <v>1</v>
      </c>
      <c r="J3779" s="1">
        <v>1</v>
      </c>
      <c r="K3779" s="1">
        <v>0</v>
      </c>
      <c r="L3779" s="1">
        <v>0</v>
      </c>
      <c r="M3779" s="1">
        <v>1</v>
      </c>
    </row>
    <row r="3780" spans="1:13">
      <c r="A3780" s="1">
        <v>3779</v>
      </c>
      <c r="B3780" s="1">
        <v>780015.54489999998</v>
      </c>
      <c r="C3780" s="1">
        <v>851524.23154258647</v>
      </c>
      <c r="D3780" s="1">
        <f t="shared" si="59"/>
        <v>-71508.686642586486</v>
      </c>
      <c r="E3780" s="1">
        <v>16</v>
      </c>
      <c r="F3780" s="1">
        <v>11</v>
      </c>
      <c r="G3780" s="1">
        <v>8</v>
      </c>
      <c r="H3780" s="1">
        <v>1</v>
      </c>
      <c r="I3780" s="1">
        <v>0</v>
      </c>
      <c r="J3780" s="1">
        <v>0</v>
      </c>
      <c r="K3780" s="1">
        <v>1</v>
      </c>
      <c r="L3780" s="1">
        <v>0</v>
      </c>
      <c r="M3780" s="1">
        <v>0</v>
      </c>
    </row>
    <row r="3781" spans="1:13">
      <c r="A3781" s="1">
        <v>3780</v>
      </c>
      <c r="B3781" s="1">
        <v>1040847.5330000001</v>
      </c>
      <c r="C3781" s="1">
        <v>791619.68249136081</v>
      </c>
      <c r="D3781" s="1">
        <f t="shared" si="59"/>
        <v>249227.85050863924</v>
      </c>
      <c r="E3781" s="1">
        <v>13</v>
      </c>
      <c r="F3781" s="1">
        <v>18</v>
      </c>
      <c r="G3781" s="1">
        <v>4</v>
      </c>
      <c r="H3781" s="1">
        <v>2</v>
      </c>
      <c r="I3781" s="1">
        <v>0</v>
      </c>
      <c r="J3781" s="1">
        <v>0</v>
      </c>
      <c r="K3781" s="1">
        <v>0</v>
      </c>
      <c r="L3781" s="1">
        <v>1</v>
      </c>
      <c r="M3781" s="1">
        <v>0</v>
      </c>
    </row>
    <row r="3782" spans="1:13">
      <c r="A3782" s="1">
        <v>3781</v>
      </c>
      <c r="B3782" s="1">
        <v>1007338.9824</v>
      </c>
      <c r="C3782" s="1">
        <v>827447.425943824</v>
      </c>
      <c r="D3782" s="1">
        <f t="shared" si="59"/>
        <v>179891.55645617598</v>
      </c>
      <c r="E3782" s="1">
        <v>9</v>
      </c>
      <c r="F3782" s="1">
        <v>20</v>
      </c>
      <c r="G3782" s="1">
        <v>6</v>
      </c>
      <c r="H3782" s="1">
        <v>0</v>
      </c>
      <c r="I3782" s="1">
        <v>1</v>
      </c>
      <c r="J3782" s="1">
        <v>0</v>
      </c>
      <c r="K3782" s="1">
        <v>1</v>
      </c>
      <c r="L3782" s="1">
        <v>0</v>
      </c>
      <c r="M3782" s="1">
        <v>1</v>
      </c>
    </row>
    <row r="3783" spans="1:13">
      <c r="A3783" s="1">
        <v>3782</v>
      </c>
      <c r="B3783" s="1">
        <v>1088006.649</v>
      </c>
      <c r="C3783" s="1">
        <v>618045.57815821585</v>
      </c>
      <c r="D3783" s="1">
        <f t="shared" si="59"/>
        <v>469961.07084178412</v>
      </c>
      <c r="E3783" s="1">
        <v>8</v>
      </c>
      <c r="F3783" s="1">
        <v>19</v>
      </c>
      <c r="G3783" s="1">
        <v>8</v>
      </c>
      <c r="H3783" s="1">
        <v>0</v>
      </c>
      <c r="I3783" s="1">
        <v>0</v>
      </c>
      <c r="J3783" s="1">
        <v>2</v>
      </c>
      <c r="K3783" s="1">
        <v>0</v>
      </c>
      <c r="L3783" s="1">
        <v>0</v>
      </c>
      <c r="M3783" s="1">
        <v>1</v>
      </c>
    </row>
    <row r="3784" spans="1:13">
      <c r="A3784" s="1">
        <v>3783</v>
      </c>
      <c r="B3784" s="1">
        <v>889362.62459999998</v>
      </c>
      <c r="C3784" s="1">
        <v>1601120.0083855863</v>
      </c>
      <c r="D3784" s="1">
        <f t="shared" si="59"/>
        <v>-711757.38378558634</v>
      </c>
      <c r="E3784" s="1">
        <v>12</v>
      </c>
      <c r="F3784" s="1">
        <v>19</v>
      </c>
      <c r="G3784" s="1">
        <v>4</v>
      </c>
      <c r="H3784" s="1">
        <v>1</v>
      </c>
      <c r="I3784" s="1">
        <v>0</v>
      </c>
      <c r="J3784" s="1">
        <v>0</v>
      </c>
      <c r="K3784" s="1">
        <v>2</v>
      </c>
      <c r="L3784" s="1">
        <v>0</v>
      </c>
      <c r="M3784" s="1">
        <v>0</v>
      </c>
    </row>
    <row r="3785" spans="1:13">
      <c r="A3785" s="1">
        <v>3784</v>
      </c>
      <c r="B3785" s="1">
        <v>913325.49679999996</v>
      </c>
      <c r="C3785" s="1">
        <v>1970917.3568326537</v>
      </c>
      <c r="D3785" s="1">
        <f t="shared" si="59"/>
        <v>-1057591.8600326539</v>
      </c>
      <c r="E3785" s="1">
        <v>10</v>
      </c>
      <c r="F3785" s="1">
        <v>21</v>
      </c>
      <c r="G3785" s="1">
        <v>4</v>
      </c>
      <c r="H3785" s="1">
        <v>1</v>
      </c>
      <c r="I3785" s="1">
        <v>0</v>
      </c>
      <c r="J3785" s="1">
        <v>0</v>
      </c>
      <c r="K3785" s="1">
        <v>2</v>
      </c>
      <c r="L3785" s="1">
        <v>0</v>
      </c>
      <c r="M3785" s="1">
        <v>0</v>
      </c>
    </row>
    <row r="3786" spans="1:13">
      <c r="A3786" s="1">
        <v>3785</v>
      </c>
      <c r="B3786" s="1">
        <v>977791.43700000003</v>
      </c>
      <c r="C3786" s="1">
        <v>805135.33073571709</v>
      </c>
      <c r="D3786" s="1">
        <f t="shared" si="59"/>
        <v>172656.10626428295</v>
      </c>
      <c r="E3786" s="1">
        <v>10</v>
      </c>
      <c r="F3786" s="1">
        <v>21</v>
      </c>
      <c r="G3786" s="1">
        <v>4</v>
      </c>
      <c r="H3786" s="1">
        <v>0</v>
      </c>
      <c r="I3786" s="1">
        <v>0</v>
      </c>
      <c r="J3786" s="1">
        <v>0</v>
      </c>
      <c r="K3786" s="1">
        <v>0</v>
      </c>
      <c r="L3786" s="1">
        <v>0</v>
      </c>
      <c r="M3786" s="1">
        <v>0</v>
      </c>
    </row>
    <row r="3787" spans="1:13">
      <c r="A3787" s="1">
        <v>3786</v>
      </c>
      <c r="B3787" s="1">
        <v>922881.04680000001</v>
      </c>
      <c r="C3787" s="1">
        <v>505922.05110785493</v>
      </c>
      <c r="D3787" s="1">
        <f t="shared" si="59"/>
        <v>416958.99569214508</v>
      </c>
      <c r="E3787" s="1">
        <v>13</v>
      </c>
      <c r="F3787" s="1">
        <v>20</v>
      </c>
      <c r="G3787" s="1">
        <v>2</v>
      </c>
      <c r="H3787" s="1">
        <v>0</v>
      </c>
      <c r="I3787" s="1">
        <v>0</v>
      </c>
      <c r="J3787" s="1">
        <v>1</v>
      </c>
      <c r="K3787" s="1">
        <v>1</v>
      </c>
      <c r="L3787" s="1">
        <v>0</v>
      </c>
      <c r="M3787" s="1">
        <v>1</v>
      </c>
    </row>
    <row r="3788" spans="1:13">
      <c r="A3788" s="1">
        <v>3787</v>
      </c>
      <c r="B3788" s="1">
        <v>865636.41639999999</v>
      </c>
      <c r="C3788" s="1">
        <v>1706400.3637799998</v>
      </c>
      <c r="D3788" s="1">
        <f t="shared" si="59"/>
        <v>-840763.94737999979</v>
      </c>
      <c r="E3788" s="1">
        <v>7</v>
      </c>
      <c r="F3788" s="1">
        <v>25</v>
      </c>
      <c r="G3788" s="1">
        <v>3</v>
      </c>
      <c r="H3788" s="1">
        <v>0</v>
      </c>
      <c r="I3788" s="1">
        <v>0</v>
      </c>
      <c r="J3788" s="1">
        <v>0</v>
      </c>
      <c r="K3788" s="1">
        <v>1</v>
      </c>
      <c r="L3788" s="1">
        <v>0</v>
      </c>
      <c r="M3788" s="1">
        <v>1</v>
      </c>
    </row>
    <row r="3789" spans="1:13">
      <c r="A3789" s="1">
        <v>3788</v>
      </c>
      <c r="B3789" s="1">
        <v>949049.00190000003</v>
      </c>
      <c r="C3789" s="1">
        <v>952160.09719318245</v>
      </c>
      <c r="D3789" s="1">
        <f t="shared" si="59"/>
        <v>-3111.095293182414</v>
      </c>
      <c r="E3789" s="1">
        <v>11</v>
      </c>
      <c r="F3789" s="1">
        <v>19</v>
      </c>
      <c r="G3789" s="1">
        <v>5</v>
      </c>
      <c r="H3789" s="1">
        <v>2</v>
      </c>
      <c r="I3789" s="1">
        <v>0</v>
      </c>
      <c r="J3789" s="1">
        <v>2</v>
      </c>
      <c r="K3789" s="1">
        <v>0</v>
      </c>
      <c r="L3789" s="1">
        <v>0</v>
      </c>
      <c r="M3789" s="1">
        <v>0</v>
      </c>
    </row>
    <row r="3790" spans="1:13">
      <c r="A3790" s="1">
        <v>3789</v>
      </c>
      <c r="B3790" s="1">
        <v>947999.42</v>
      </c>
      <c r="C3790" s="1">
        <v>1182899.0893241861</v>
      </c>
      <c r="D3790" s="1">
        <f t="shared" si="59"/>
        <v>-234899.66932418605</v>
      </c>
      <c r="E3790" s="1">
        <v>5</v>
      </c>
      <c r="F3790" s="1">
        <v>26</v>
      </c>
      <c r="G3790" s="1">
        <v>4</v>
      </c>
      <c r="H3790" s="1">
        <v>0</v>
      </c>
      <c r="I3790" s="1">
        <v>0</v>
      </c>
      <c r="J3790" s="1">
        <v>2</v>
      </c>
      <c r="K3790" s="1">
        <v>0</v>
      </c>
      <c r="L3790" s="1">
        <v>0</v>
      </c>
      <c r="M3790" s="1">
        <v>1</v>
      </c>
    </row>
    <row r="3791" spans="1:13">
      <c r="A3791" s="1">
        <v>3790</v>
      </c>
      <c r="B3791" s="1">
        <v>1086572.6322000001</v>
      </c>
      <c r="C3791" s="1">
        <v>699047.36281223875</v>
      </c>
      <c r="D3791" s="1">
        <f t="shared" si="59"/>
        <v>387525.26938776136</v>
      </c>
      <c r="E3791" s="1">
        <v>7</v>
      </c>
      <c r="F3791" s="1">
        <v>21</v>
      </c>
      <c r="G3791" s="1">
        <v>7</v>
      </c>
      <c r="H3791" s="1">
        <v>0</v>
      </c>
      <c r="I3791" s="1">
        <v>1</v>
      </c>
      <c r="J3791" s="1">
        <v>0</v>
      </c>
      <c r="K3791" s="1">
        <v>1</v>
      </c>
      <c r="L3791" s="1">
        <v>0</v>
      </c>
      <c r="M3791" s="1">
        <v>0</v>
      </c>
    </row>
    <row r="3792" spans="1:13">
      <c r="A3792" s="1">
        <v>3791</v>
      </c>
      <c r="B3792" s="1">
        <v>958684.875</v>
      </c>
      <c r="C3792" s="1">
        <v>882612.99883067573</v>
      </c>
      <c r="D3792" s="1">
        <f t="shared" si="59"/>
        <v>76071.87616932427</v>
      </c>
      <c r="E3792" s="1">
        <v>18</v>
      </c>
      <c r="F3792" s="1">
        <v>12</v>
      </c>
      <c r="G3792" s="1">
        <v>5</v>
      </c>
      <c r="H3792" s="1">
        <v>0</v>
      </c>
      <c r="I3792" s="1">
        <v>1</v>
      </c>
      <c r="J3792" s="1">
        <v>2</v>
      </c>
      <c r="K3792" s="1">
        <v>0</v>
      </c>
      <c r="L3792" s="1">
        <v>0</v>
      </c>
      <c r="M3792" s="1">
        <v>0</v>
      </c>
    </row>
    <row r="3793" spans="1:13">
      <c r="A3793" s="1">
        <v>3792</v>
      </c>
      <c r="B3793" s="1">
        <v>921877.2916</v>
      </c>
      <c r="C3793" s="1">
        <v>973257.59679597081</v>
      </c>
      <c r="D3793" s="1">
        <f t="shared" si="59"/>
        <v>-51380.30519597081</v>
      </c>
      <c r="E3793" s="1">
        <v>14</v>
      </c>
      <c r="F3793" s="1">
        <v>15</v>
      </c>
      <c r="G3793" s="1">
        <v>6</v>
      </c>
      <c r="H3793" s="1">
        <v>1</v>
      </c>
      <c r="I3793" s="1">
        <v>1</v>
      </c>
      <c r="J3793" s="1">
        <v>0</v>
      </c>
      <c r="K3793" s="1">
        <v>1</v>
      </c>
      <c r="L3793" s="1">
        <v>0</v>
      </c>
      <c r="M3793" s="1">
        <v>0</v>
      </c>
    </row>
    <row r="3794" spans="1:13">
      <c r="A3794" s="1">
        <v>3793</v>
      </c>
      <c r="B3794" s="1">
        <v>859530.07960000006</v>
      </c>
      <c r="C3794" s="1">
        <v>1790673.9833056983</v>
      </c>
      <c r="D3794" s="1">
        <f t="shared" si="59"/>
        <v>-931143.90370569821</v>
      </c>
      <c r="E3794" s="1">
        <v>12</v>
      </c>
      <c r="F3794" s="1">
        <v>20</v>
      </c>
      <c r="G3794" s="1">
        <v>3</v>
      </c>
      <c r="H3794" s="1">
        <v>0</v>
      </c>
      <c r="I3794" s="1">
        <v>0</v>
      </c>
      <c r="J3794" s="1">
        <v>0</v>
      </c>
      <c r="K3794" s="1">
        <v>1</v>
      </c>
      <c r="L3794" s="1">
        <v>0</v>
      </c>
      <c r="M3794" s="1">
        <v>0</v>
      </c>
    </row>
    <row r="3795" spans="1:13">
      <c r="A3795" s="1">
        <v>3794</v>
      </c>
      <c r="B3795" s="1">
        <v>942277.08380000002</v>
      </c>
      <c r="C3795" s="1">
        <v>1239401.0804758789</v>
      </c>
      <c r="D3795" s="1">
        <f t="shared" si="59"/>
        <v>-297123.99667587888</v>
      </c>
      <c r="E3795" s="1">
        <v>18</v>
      </c>
      <c r="F3795" s="1">
        <v>8</v>
      </c>
      <c r="G3795" s="1">
        <v>9</v>
      </c>
      <c r="H3795" s="1">
        <v>0</v>
      </c>
      <c r="I3795" s="1">
        <v>1</v>
      </c>
      <c r="J3795" s="1">
        <v>1</v>
      </c>
      <c r="K3795" s="1">
        <v>0</v>
      </c>
      <c r="L3795" s="1">
        <v>0</v>
      </c>
      <c r="M3795" s="1">
        <v>0</v>
      </c>
    </row>
    <row r="3796" spans="1:13">
      <c r="A3796" s="1">
        <v>3795</v>
      </c>
      <c r="B3796" s="1">
        <v>944556.96770000004</v>
      </c>
      <c r="C3796" s="1">
        <v>677372.02559268556</v>
      </c>
      <c r="D3796" s="1">
        <f t="shared" si="59"/>
        <v>267184.94210731448</v>
      </c>
      <c r="E3796" s="1">
        <v>16</v>
      </c>
      <c r="F3796" s="1">
        <v>15</v>
      </c>
      <c r="G3796" s="1">
        <v>4</v>
      </c>
      <c r="H3796" s="1">
        <v>1</v>
      </c>
      <c r="I3796" s="1">
        <v>0</v>
      </c>
      <c r="J3796" s="1">
        <v>0</v>
      </c>
      <c r="K3796" s="1">
        <v>1</v>
      </c>
      <c r="L3796" s="1">
        <v>0</v>
      </c>
      <c r="M3796" s="1">
        <v>0</v>
      </c>
    </row>
    <row r="3797" spans="1:13">
      <c r="A3797" s="1">
        <v>3796</v>
      </c>
      <c r="B3797" s="1">
        <v>931619.61840000004</v>
      </c>
      <c r="C3797" s="1">
        <v>716822.18625015696</v>
      </c>
      <c r="D3797" s="1">
        <f t="shared" si="59"/>
        <v>214797.43214984308</v>
      </c>
      <c r="E3797" s="1">
        <v>11</v>
      </c>
      <c r="F3797" s="1">
        <v>16</v>
      </c>
      <c r="G3797" s="1">
        <v>8</v>
      </c>
      <c r="H3797" s="1">
        <v>1</v>
      </c>
      <c r="I3797" s="1">
        <v>0</v>
      </c>
      <c r="J3797" s="1">
        <v>2</v>
      </c>
      <c r="K3797" s="1">
        <v>0</v>
      </c>
      <c r="L3797" s="1">
        <v>0</v>
      </c>
      <c r="M3797" s="1">
        <v>0</v>
      </c>
    </row>
    <row r="3798" spans="1:13">
      <c r="A3798" s="1">
        <v>3797</v>
      </c>
      <c r="B3798" s="1">
        <v>940178.77399999998</v>
      </c>
      <c r="C3798" s="1">
        <v>1119192.2133292514</v>
      </c>
      <c r="D3798" s="1">
        <f t="shared" si="59"/>
        <v>-179013.43932925141</v>
      </c>
      <c r="E3798" s="1">
        <v>24</v>
      </c>
      <c r="F3798" s="1">
        <v>10</v>
      </c>
      <c r="G3798" s="1">
        <v>1</v>
      </c>
      <c r="H3798" s="1">
        <v>2</v>
      </c>
      <c r="I3798" s="1">
        <v>0</v>
      </c>
      <c r="J3798" s="1">
        <v>1</v>
      </c>
      <c r="K3798" s="1">
        <v>1</v>
      </c>
      <c r="L3798" s="1">
        <v>0</v>
      </c>
      <c r="M3798" s="1">
        <v>1</v>
      </c>
    </row>
    <row r="3799" spans="1:13">
      <c r="A3799" s="1">
        <v>3798</v>
      </c>
      <c r="B3799" s="1">
        <v>902815.53430000006</v>
      </c>
      <c r="C3799" s="1">
        <v>965799.1042541354</v>
      </c>
      <c r="D3799" s="1">
        <f t="shared" si="59"/>
        <v>-62983.569954135339</v>
      </c>
      <c r="E3799" s="1">
        <v>19</v>
      </c>
      <c r="F3799" s="1">
        <v>13</v>
      </c>
      <c r="G3799" s="1">
        <v>3</v>
      </c>
      <c r="H3799" s="1">
        <v>0</v>
      </c>
      <c r="I3799" s="1">
        <v>1</v>
      </c>
      <c r="J3799" s="1">
        <v>0</v>
      </c>
      <c r="K3799" s="1">
        <v>1</v>
      </c>
      <c r="L3799" s="1">
        <v>0</v>
      </c>
      <c r="M3799" s="1">
        <v>0</v>
      </c>
    </row>
    <row r="3800" spans="1:13">
      <c r="A3800" s="1">
        <v>3799</v>
      </c>
      <c r="B3800" s="1">
        <v>859755.7942</v>
      </c>
      <c r="C3800" s="1">
        <v>891167.07211665064</v>
      </c>
      <c r="D3800" s="1">
        <f t="shared" si="59"/>
        <v>-31411.277916650637</v>
      </c>
      <c r="E3800" s="1">
        <v>14</v>
      </c>
      <c r="F3800" s="1">
        <v>15</v>
      </c>
      <c r="G3800" s="1">
        <v>6</v>
      </c>
      <c r="H3800" s="1">
        <v>0</v>
      </c>
      <c r="I3800" s="1">
        <v>1</v>
      </c>
      <c r="J3800" s="1">
        <v>0</v>
      </c>
      <c r="K3800" s="1">
        <v>0</v>
      </c>
      <c r="L3800" s="1">
        <v>0</v>
      </c>
      <c r="M3800" s="1">
        <v>1</v>
      </c>
    </row>
    <row r="3801" spans="1:13">
      <c r="A3801" s="1">
        <v>3800</v>
      </c>
      <c r="B3801" s="1">
        <v>959496.50009999995</v>
      </c>
      <c r="C3801" s="1">
        <v>995436.28617767117</v>
      </c>
      <c r="D3801" s="1">
        <f t="shared" si="59"/>
        <v>-35939.786077671219</v>
      </c>
      <c r="E3801" s="1">
        <v>16</v>
      </c>
      <c r="F3801" s="1">
        <v>15</v>
      </c>
      <c r="G3801" s="1">
        <v>4</v>
      </c>
      <c r="H3801" s="1">
        <v>1</v>
      </c>
      <c r="I3801" s="1">
        <v>0</v>
      </c>
      <c r="J3801" s="1">
        <v>0</v>
      </c>
      <c r="K3801" s="1">
        <v>1</v>
      </c>
      <c r="L3801" s="1">
        <v>0</v>
      </c>
      <c r="M3801" s="1">
        <v>0</v>
      </c>
    </row>
    <row r="3802" spans="1:13">
      <c r="A3802" s="1">
        <v>3801</v>
      </c>
      <c r="B3802" s="1">
        <v>953071.65379999997</v>
      </c>
      <c r="C3802" s="1">
        <v>688701.86629252648</v>
      </c>
      <c r="D3802" s="1">
        <f t="shared" si="59"/>
        <v>264369.78750747349</v>
      </c>
      <c r="E3802" s="1">
        <v>10</v>
      </c>
      <c r="F3802" s="1">
        <v>18</v>
      </c>
      <c r="G3802" s="1">
        <v>7</v>
      </c>
      <c r="H3802" s="1">
        <v>0</v>
      </c>
      <c r="I3802" s="1">
        <v>1</v>
      </c>
      <c r="J3802" s="1">
        <v>1</v>
      </c>
      <c r="K3802" s="1">
        <v>0</v>
      </c>
      <c r="L3802" s="1">
        <v>0</v>
      </c>
      <c r="M3802" s="1">
        <v>0</v>
      </c>
    </row>
    <row r="3803" spans="1:13">
      <c r="A3803" s="1">
        <v>3802</v>
      </c>
      <c r="B3803" s="1">
        <v>827753.52309999999</v>
      </c>
      <c r="C3803" s="1">
        <v>749618.21539174917</v>
      </c>
      <c r="D3803" s="1">
        <f t="shared" si="59"/>
        <v>78135.307708250824</v>
      </c>
      <c r="E3803" s="1">
        <v>14</v>
      </c>
      <c r="F3803" s="1">
        <v>17</v>
      </c>
      <c r="G3803" s="1">
        <v>4</v>
      </c>
      <c r="H3803" s="1">
        <v>0</v>
      </c>
      <c r="I3803" s="1">
        <v>0</v>
      </c>
      <c r="J3803" s="1">
        <v>0</v>
      </c>
      <c r="K3803" s="1">
        <v>0</v>
      </c>
      <c r="L3803" s="1">
        <v>0</v>
      </c>
      <c r="M3803" s="1">
        <v>0</v>
      </c>
    </row>
    <row r="3804" spans="1:13">
      <c r="A3804" s="1">
        <v>3803</v>
      </c>
      <c r="B3804" s="1">
        <v>956748.93359999999</v>
      </c>
      <c r="C3804" s="1">
        <v>1246180.2518906286</v>
      </c>
      <c r="D3804" s="1">
        <f t="shared" si="59"/>
        <v>-289431.31829062861</v>
      </c>
      <c r="E3804" s="1">
        <v>8</v>
      </c>
      <c r="F3804" s="1">
        <v>24</v>
      </c>
      <c r="G3804" s="1">
        <v>3</v>
      </c>
      <c r="H3804" s="1">
        <v>2</v>
      </c>
      <c r="I3804" s="1">
        <v>0</v>
      </c>
      <c r="J3804" s="1">
        <v>0</v>
      </c>
      <c r="K3804" s="1">
        <v>0</v>
      </c>
      <c r="L3804" s="1">
        <v>1</v>
      </c>
      <c r="M3804" s="1">
        <v>1</v>
      </c>
    </row>
    <row r="3805" spans="1:13">
      <c r="A3805" s="1">
        <v>3804</v>
      </c>
      <c r="B3805" s="1">
        <v>890714.89630000002</v>
      </c>
      <c r="C3805" s="1">
        <v>922780.36747234548</v>
      </c>
      <c r="D3805" s="1">
        <f t="shared" si="59"/>
        <v>-32065.471172345453</v>
      </c>
      <c r="E3805" s="1">
        <v>9</v>
      </c>
      <c r="F3805" s="1">
        <v>23</v>
      </c>
      <c r="G3805" s="1">
        <v>3</v>
      </c>
      <c r="H3805" s="1">
        <v>1</v>
      </c>
      <c r="I3805" s="1">
        <v>1</v>
      </c>
      <c r="J3805" s="1">
        <v>0</v>
      </c>
      <c r="K3805" s="1">
        <v>0</v>
      </c>
      <c r="L3805" s="1">
        <v>1</v>
      </c>
      <c r="M3805" s="1">
        <v>0</v>
      </c>
    </row>
    <row r="3806" spans="1:13">
      <c r="A3806" s="1">
        <v>3805</v>
      </c>
      <c r="B3806" s="1">
        <v>967138.87450000003</v>
      </c>
      <c r="C3806" s="1">
        <v>997978.66363527114</v>
      </c>
      <c r="D3806" s="1">
        <f t="shared" si="59"/>
        <v>-30839.789135271101</v>
      </c>
      <c r="E3806" s="1">
        <v>16</v>
      </c>
      <c r="F3806" s="1">
        <v>16</v>
      </c>
      <c r="G3806" s="1">
        <v>3</v>
      </c>
      <c r="H3806" s="1">
        <v>2</v>
      </c>
      <c r="I3806" s="1">
        <v>0</v>
      </c>
      <c r="J3806" s="1">
        <v>1</v>
      </c>
      <c r="K3806" s="1">
        <v>1</v>
      </c>
      <c r="L3806" s="1">
        <v>0</v>
      </c>
      <c r="M3806" s="1">
        <v>1</v>
      </c>
    </row>
    <row r="3807" spans="1:13">
      <c r="A3807" s="1">
        <v>3806</v>
      </c>
      <c r="B3807" s="1">
        <v>965120.1594</v>
      </c>
      <c r="C3807" s="1">
        <v>898915.55647402094</v>
      </c>
      <c r="D3807" s="1">
        <f t="shared" si="59"/>
        <v>66204.602925979067</v>
      </c>
      <c r="E3807" s="1">
        <v>11</v>
      </c>
      <c r="F3807" s="1">
        <v>17</v>
      </c>
      <c r="G3807" s="1">
        <v>7</v>
      </c>
      <c r="H3807" s="1">
        <v>2</v>
      </c>
      <c r="I3807" s="1">
        <v>0</v>
      </c>
      <c r="J3807" s="1">
        <v>2</v>
      </c>
      <c r="K3807" s="1">
        <v>0</v>
      </c>
      <c r="L3807" s="1">
        <v>0</v>
      </c>
      <c r="M3807" s="1">
        <v>0</v>
      </c>
    </row>
    <row r="3808" spans="1:13">
      <c r="A3808" s="1">
        <v>3807</v>
      </c>
      <c r="B3808" s="1">
        <v>1031632.8257</v>
      </c>
      <c r="C3808" s="1">
        <v>665777.51773869805</v>
      </c>
      <c r="D3808" s="1">
        <f t="shared" si="59"/>
        <v>365855.30796130199</v>
      </c>
      <c r="E3808" s="1">
        <v>15</v>
      </c>
      <c r="F3808" s="1">
        <v>10</v>
      </c>
      <c r="G3808" s="1">
        <v>10</v>
      </c>
      <c r="H3808" s="1">
        <v>1</v>
      </c>
      <c r="I3808" s="1">
        <v>0</v>
      </c>
      <c r="J3808" s="1">
        <v>1</v>
      </c>
      <c r="K3808" s="1">
        <v>0</v>
      </c>
      <c r="L3808" s="1">
        <v>0</v>
      </c>
      <c r="M3808" s="1">
        <v>1</v>
      </c>
    </row>
    <row r="3809" spans="1:13">
      <c r="A3809" s="1">
        <v>3808</v>
      </c>
      <c r="B3809" s="1">
        <v>947409.61869999999</v>
      </c>
      <c r="C3809" s="1">
        <v>690651.63646090985</v>
      </c>
      <c r="D3809" s="1">
        <f t="shared" si="59"/>
        <v>256757.98223909014</v>
      </c>
      <c r="E3809" s="1">
        <v>16</v>
      </c>
      <c r="F3809" s="1">
        <v>13</v>
      </c>
      <c r="G3809" s="1">
        <v>6</v>
      </c>
      <c r="H3809" s="1">
        <v>0</v>
      </c>
      <c r="I3809" s="1">
        <v>0</v>
      </c>
      <c r="J3809" s="1">
        <v>1</v>
      </c>
      <c r="K3809" s="1">
        <v>0</v>
      </c>
      <c r="L3809" s="1">
        <v>0</v>
      </c>
      <c r="M3809" s="1">
        <v>0</v>
      </c>
    </row>
    <row r="3810" spans="1:13">
      <c r="A3810" s="1">
        <v>3809</v>
      </c>
      <c r="B3810" s="1">
        <v>989441.36109999998</v>
      </c>
      <c r="C3810" s="1">
        <v>2455371.8010288579</v>
      </c>
      <c r="D3810" s="1">
        <f t="shared" si="59"/>
        <v>-1465930.4399288581</v>
      </c>
      <c r="E3810" s="1">
        <v>15</v>
      </c>
      <c r="F3810" s="1">
        <v>17</v>
      </c>
      <c r="G3810" s="1">
        <v>3</v>
      </c>
      <c r="H3810" s="1">
        <v>0</v>
      </c>
      <c r="I3810" s="1">
        <v>0</v>
      </c>
      <c r="J3810" s="1">
        <v>1</v>
      </c>
      <c r="K3810" s="1">
        <v>1</v>
      </c>
      <c r="L3810" s="1">
        <v>0</v>
      </c>
      <c r="M3810" s="1">
        <v>0</v>
      </c>
    </row>
    <row r="3811" spans="1:13">
      <c r="A3811" s="1">
        <v>3810</v>
      </c>
      <c r="B3811" s="1">
        <v>964809.48329999996</v>
      </c>
      <c r="C3811" s="1">
        <v>629223.56092695787</v>
      </c>
      <c r="D3811" s="1">
        <f t="shared" si="59"/>
        <v>335585.92237304209</v>
      </c>
      <c r="E3811" s="1">
        <v>13</v>
      </c>
      <c r="F3811" s="1">
        <v>17</v>
      </c>
      <c r="G3811" s="1">
        <v>5</v>
      </c>
      <c r="H3811" s="1">
        <v>1</v>
      </c>
      <c r="I3811" s="1">
        <v>1</v>
      </c>
      <c r="J3811" s="1">
        <v>0</v>
      </c>
      <c r="K3811" s="1">
        <v>2</v>
      </c>
      <c r="L3811" s="1">
        <v>0</v>
      </c>
      <c r="M3811" s="1">
        <v>0</v>
      </c>
    </row>
    <row r="3812" spans="1:13">
      <c r="A3812" s="1">
        <v>3811</v>
      </c>
      <c r="B3812" s="1">
        <v>912702.65610000002</v>
      </c>
      <c r="C3812" s="1">
        <v>1149650.70294597</v>
      </c>
      <c r="D3812" s="1">
        <f t="shared" si="59"/>
        <v>-236948.04684596998</v>
      </c>
      <c r="E3812" s="1">
        <v>8</v>
      </c>
      <c r="F3812" s="1">
        <v>26</v>
      </c>
      <c r="G3812" s="1">
        <v>1</v>
      </c>
      <c r="H3812" s="1">
        <v>0</v>
      </c>
      <c r="I3812" s="1">
        <v>0</v>
      </c>
      <c r="J3812" s="1">
        <v>0</v>
      </c>
      <c r="K3812" s="1">
        <v>2</v>
      </c>
      <c r="L3812" s="1">
        <v>0</v>
      </c>
      <c r="M3812" s="1">
        <v>0</v>
      </c>
    </row>
    <row r="3813" spans="1:13">
      <c r="A3813" s="1">
        <v>3812</v>
      </c>
      <c r="B3813" s="1">
        <v>916742.30429999996</v>
      </c>
      <c r="C3813" s="1">
        <v>723644.967041258</v>
      </c>
      <c r="D3813" s="1">
        <f t="shared" si="59"/>
        <v>193097.33725874196</v>
      </c>
      <c r="E3813" s="1">
        <v>7</v>
      </c>
      <c r="F3813" s="1">
        <v>21</v>
      </c>
      <c r="G3813" s="1">
        <v>7</v>
      </c>
      <c r="H3813" s="1">
        <v>0</v>
      </c>
      <c r="I3813" s="1">
        <v>0</v>
      </c>
      <c r="J3813" s="1">
        <v>0</v>
      </c>
      <c r="K3813" s="1">
        <v>2</v>
      </c>
      <c r="L3813" s="1">
        <v>0</v>
      </c>
      <c r="M3813" s="1">
        <v>0</v>
      </c>
    </row>
    <row r="3814" spans="1:13">
      <c r="A3814" s="1">
        <v>3813</v>
      </c>
      <c r="B3814" s="1">
        <v>1061232.1305</v>
      </c>
      <c r="C3814" s="1">
        <v>999856.04958744114</v>
      </c>
      <c r="D3814" s="1">
        <f t="shared" si="59"/>
        <v>61376.080912558828</v>
      </c>
      <c r="E3814" s="1">
        <v>15</v>
      </c>
      <c r="F3814" s="1">
        <v>15</v>
      </c>
      <c r="G3814" s="1">
        <v>5</v>
      </c>
      <c r="H3814" s="1">
        <v>2</v>
      </c>
      <c r="I3814" s="1">
        <v>0</v>
      </c>
      <c r="J3814" s="1">
        <v>0</v>
      </c>
      <c r="K3814" s="1">
        <v>0</v>
      </c>
      <c r="L3814" s="1">
        <v>1</v>
      </c>
      <c r="M3814" s="1">
        <v>0</v>
      </c>
    </row>
    <row r="3815" spans="1:13">
      <c r="A3815" s="1">
        <v>3814</v>
      </c>
      <c r="B3815" s="1">
        <v>1026375.2842</v>
      </c>
      <c r="C3815" s="1">
        <v>1112850.3176186753</v>
      </c>
      <c r="D3815" s="1">
        <f t="shared" si="59"/>
        <v>-86475.033418675303</v>
      </c>
      <c r="E3815" s="1">
        <v>9</v>
      </c>
      <c r="F3815" s="1">
        <v>21</v>
      </c>
      <c r="G3815" s="1">
        <v>5</v>
      </c>
      <c r="H3815" s="1">
        <v>1</v>
      </c>
      <c r="I3815" s="1">
        <v>0</v>
      </c>
      <c r="J3815" s="1">
        <v>0</v>
      </c>
      <c r="K3815" s="1">
        <v>0</v>
      </c>
      <c r="L3815" s="1">
        <v>1</v>
      </c>
      <c r="M3815" s="1">
        <v>1</v>
      </c>
    </row>
    <row r="3816" spans="1:13">
      <c r="A3816" s="1">
        <v>3815</v>
      </c>
      <c r="B3816" s="1">
        <v>971328.21970000002</v>
      </c>
      <c r="C3816" s="1">
        <v>892505.06087866169</v>
      </c>
      <c r="D3816" s="1">
        <f t="shared" si="59"/>
        <v>78823.158821338322</v>
      </c>
      <c r="E3816" s="1">
        <v>10</v>
      </c>
      <c r="F3816" s="1">
        <v>19</v>
      </c>
      <c r="G3816" s="1">
        <v>6</v>
      </c>
      <c r="H3816" s="1">
        <v>0</v>
      </c>
      <c r="I3816" s="1">
        <v>0</v>
      </c>
      <c r="J3816" s="1">
        <v>1</v>
      </c>
      <c r="K3816" s="1">
        <v>0</v>
      </c>
      <c r="L3816" s="1">
        <v>0</v>
      </c>
      <c r="M3816" s="1">
        <v>0</v>
      </c>
    </row>
    <row r="3817" spans="1:13">
      <c r="A3817" s="1">
        <v>3816</v>
      </c>
      <c r="B3817" s="1">
        <v>1045871.9664</v>
      </c>
      <c r="C3817" s="1">
        <v>883839.6153626173</v>
      </c>
      <c r="D3817" s="1">
        <f t="shared" si="59"/>
        <v>162032.35103738273</v>
      </c>
      <c r="E3817" s="1">
        <v>5</v>
      </c>
      <c r="F3817" s="1">
        <v>21</v>
      </c>
      <c r="G3817" s="1">
        <v>9</v>
      </c>
      <c r="H3817" s="1">
        <v>2</v>
      </c>
      <c r="I3817" s="1">
        <v>0</v>
      </c>
      <c r="J3817" s="1">
        <v>1</v>
      </c>
      <c r="K3817" s="1">
        <v>1</v>
      </c>
      <c r="L3817" s="1">
        <v>0</v>
      </c>
      <c r="M3817" s="1">
        <v>0</v>
      </c>
    </row>
    <row r="3818" spans="1:13">
      <c r="A3818" s="1">
        <v>3817</v>
      </c>
      <c r="B3818" s="1">
        <v>906577.92559999996</v>
      </c>
      <c r="C3818" s="1">
        <v>916691.48365042289</v>
      </c>
      <c r="D3818" s="1">
        <f t="shared" si="59"/>
        <v>-10113.558050422929</v>
      </c>
      <c r="E3818" s="1">
        <v>15</v>
      </c>
      <c r="F3818" s="1">
        <v>16</v>
      </c>
      <c r="G3818" s="1">
        <v>4</v>
      </c>
      <c r="H3818" s="1">
        <v>1</v>
      </c>
      <c r="I3818" s="1">
        <v>0</v>
      </c>
      <c r="J3818" s="1">
        <v>0</v>
      </c>
      <c r="K3818" s="1">
        <v>1</v>
      </c>
      <c r="L3818" s="1">
        <v>0</v>
      </c>
      <c r="M3818" s="1">
        <v>0</v>
      </c>
    </row>
    <row r="3819" spans="1:13">
      <c r="A3819" s="1">
        <v>3818</v>
      </c>
      <c r="B3819" s="1">
        <v>951222.39350000001</v>
      </c>
      <c r="C3819" s="1">
        <v>356979.49747100216</v>
      </c>
      <c r="D3819" s="1">
        <f t="shared" si="59"/>
        <v>594242.89602899784</v>
      </c>
      <c r="E3819" s="1">
        <v>7</v>
      </c>
      <c r="F3819" s="1">
        <v>22</v>
      </c>
      <c r="G3819" s="1">
        <v>6</v>
      </c>
      <c r="H3819" s="1">
        <v>0</v>
      </c>
      <c r="I3819" s="1">
        <v>1</v>
      </c>
      <c r="J3819" s="1">
        <v>0</v>
      </c>
      <c r="K3819" s="1">
        <v>0</v>
      </c>
      <c r="L3819" s="1">
        <v>0</v>
      </c>
      <c r="M3819" s="1">
        <v>1</v>
      </c>
    </row>
    <row r="3820" spans="1:13">
      <c r="A3820" s="1">
        <v>3819</v>
      </c>
      <c r="B3820" s="1">
        <v>923564.58920000005</v>
      </c>
      <c r="C3820" s="1">
        <v>1172990.1735473727</v>
      </c>
      <c r="D3820" s="1">
        <f t="shared" si="59"/>
        <v>-249425.58434737264</v>
      </c>
      <c r="E3820" s="1">
        <v>5</v>
      </c>
      <c r="F3820" s="1">
        <v>24</v>
      </c>
      <c r="G3820" s="1">
        <v>6</v>
      </c>
      <c r="H3820" s="1">
        <v>1</v>
      </c>
      <c r="I3820" s="1">
        <v>1</v>
      </c>
      <c r="J3820" s="1">
        <v>1</v>
      </c>
      <c r="K3820" s="1">
        <v>0</v>
      </c>
      <c r="L3820" s="1">
        <v>0</v>
      </c>
      <c r="M3820" s="1">
        <v>1</v>
      </c>
    </row>
    <row r="3821" spans="1:13">
      <c r="A3821" s="1">
        <v>3820</v>
      </c>
      <c r="B3821" s="1">
        <v>990391.00719999999</v>
      </c>
      <c r="C3821" s="1">
        <v>1073577.9468286852</v>
      </c>
      <c r="D3821" s="1">
        <f t="shared" si="59"/>
        <v>-83186.939628685242</v>
      </c>
      <c r="E3821" s="1">
        <v>18</v>
      </c>
      <c r="F3821" s="1">
        <v>12</v>
      </c>
      <c r="G3821" s="1">
        <v>5</v>
      </c>
      <c r="H3821" s="1">
        <v>1</v>
      </c>
      <c r="I3821" s="1">
        <v>0</v>
      </c>
      <c r="J3821" s="1">
        <v>0</v>
      </c>
      <c r="K3821" s="1">
        <v>0</v>
      </c>
      <c r="L3821" s="1">
        <v>0</v>
      </c>
      <c r="M3821" s="1">
        <v>0</v>
      </c>
    </row>
    <row r="3822" spans="1:13">
      <c r="A3822" s="1">
        <v>3821</v>
      </c>
      <c r="B3822" s="1">
        <v>947928.91879999998</v>
      </c>
      <c r="C3822" s="1">
        <v>1499438.1186791055</v>
      </c>
      <c r="D3822" s="1">
        <f t="shared" si="59"/>
        <v>-551509.19987910555</v>
      </c>
      <c r="E3822" s="1">
        <v>18</v>
      </c>
      <c r="F3822" s="1">
        <v>14</v>
      </c>
      <c r="G3822" s="1">
        <v>3</v>
      </c>
      <c r="H3822" s="1">
        <v>2</v>
      </c>
      <c r="I3822" s="1">
        <v>0</v>
      </c>
      <c r="J3822" s="1">
        <v>1</v>
      </c>
      <c r="K3822" s="1">
        <v>1</v>
      </c>
      <c r="L3822" s="1">
        <v>0</v>
      </c>
      <c r="M3822" s="1">
        <v>0</v>
      </c>
    </row>
    <row r="3823" spans="1:13">
      <c r="A3823" s="1">
        <v>3822</v>
      </c>
      <c r="B3823" s="1">
        <v>957820.62230000005</v>
      </c>
      <c r="C3823" s="1">
        <v>1080172.5882398959</v>
      </c>
      <c r="D3823" s="1">
        <f t="shared" si="59"/>
        <v>-122351.96593989583</v>
      </c>
      <c r="E3823" s="1">
        <v>16</v>
      </c>
      <c r="F3823" s="1">
        <v>16</v>
      </c>
      <c r="G3823" s="1">
        <v>3</v>
      </c>
      <c r="H3823" s="1">
        <v>2</v>
      </c>
      <c r="I3823" s="1">
        <v>0</v>
      </c>
      <c r="J3823" s="1">
        <v>1</v>
      </c>
      <c r="K3823" s="1">
        <v>0</v>
      </c>
      <c r="L3823" s="1">
        <v>0</v>
      </c>
      <c r="M3823" s="1">
        <v>0</v>
      </c>
    </row>
    <row r="3824" spans="1:13">
      <c r="A3824" s="1">
        <v>3823</v>
      </c>
      <c r="B3824" s="1">
        <v>996428.97869999998</v>
      </c>
      <c r="C3824" s="1">
        <v>878914.27704747475</v>
      </c>
      <c r="D3824" s="1">
        <f t="shared" si="59"/>
        <v>117514.70165252523</v>
      </c>
      <c r="E3824" s="1">
        <v>13</v>
      </c>
      <c r="F3824" s="1">
        <v>20</v>
      </c>
      <c r="G3824" s="1">
        <v>2</v>
      </c>
      <c r="H3824" s="1">
        <v>0</v>
      </c>
      <c r="I3824" s="1">
        <v>0</v>
      </c>
      <c r="J3824" s="1">
        <v>1</v>
      </c>
      <c r="K3824" s="1">
        <v>0</v>
      </c>
      <c r="L3824" s="1">
        <v>0</v>
      </c>
      <c r="M3824" s="1">
        <v>0</v>
      </c>
    </row>
    <row r="3825" spans="1:13">
      <c r="A3825" s="1">
        <v>3824</v>
      </c>
      <c r="B3825" s="1">
        <v>896552.48690000002</v>
      </c>
      <c r="C3825" s="1">
        <v>735856.13342427555</v>
      </c>
      <c r="D3825" s="1">
        <f t="shared" si="59"/>
        <v>160696.35347572446</v>
      </c>
      <c r="E3825" s="1">
        <v>10</v>
      </c>
      <c r="F3825" s="1">
        <v>22</v>
      </c>
      <c r="G3825" s="1">
        <v>3</v>
      </c>
      <c r="H3825" s="1">
        <v>2</v>
      </c>
      <c r="I3825" s="1">
        <v>0</v>
      </c>
      <c r="J3825" s="1">
        <v>1</v>
      </c>
      <c r="K3825" s="1">
        <v>1</v>
      </c>
      <c r="L3825" s="1">
        <v>0</v>
      </c>
      <c r="M3825" s="1">
        <v>0</v>
      </c>
    </row>
    <row r="3826" spans="1:13">
      <c r="A3826" s="1">
        <v>3825</v>
      </c>
      <c r="B3826" s="1">
        <v>956078.01</v>
      </c>
      <c r="C3826" s="1">
        <v>876671.28733168624</v>
      </c>
      <c r="D3826" s="1">
        <f t="shared" si="59"/>
        <v>79406.722668313771</v>
      </c>
      <c r="E3826" s="1">
        <v>8</v>
      </c>
      <c r="F3826" s="1">
        <v>22</v>
      </c>
      <c r="G3826" s="1">
        <v>5</v>
      </c>
      <c r="H3826" s="1">
        <v>0</v>
      </c>
      <c r="I3826" s="1">
        <v>1</v>
      </c>
      <c r="J3826" s="1">
        <v>0</v>
      </c>
      <c r="K3826" s="1">
        <v>0</v>
      </c>
      <c r="L3826" s="1">
        <v>0</v>
      </c>
      <c r="M3826" s="1">
        <v>1</v>
      </c>
    </row>
    <row r="3827" spans="1:13">
      <c r="A3827" s="1">
        <v>3826</v>
      </c>
      <c r="B3827" s="1">
        <v>1018593.1551</v>
      </c>
      <c r="C3827" s="1">
        <v>697537.46187914361</v>
      </c>
      <c r="D3827" s="1">
        <f t="shared" si="59"/>
        <v>321055.69322085637</v>
      </c>
      <c r="E3827" s="1">
        <v>4</v>
      </c>
      <c r="F3827" s="1">
        <v>24</v>
      </c>
      <c r="G3827" s="1">
        <v>7</v>
      </c>
      <c r="H3827" s="1">
        <v>0</v>
      </c>
      <c r="I3827" s="1">
        <v>0</v>
      </c>
      <c r="J3827" s="1">
        <v>0</v>
      </c>
      <c r="K3827" s="1">
        <v>0</v>
      </c>
      <c r="L3827" s="1">
        <v>0</v>
      </c>
      <c r="M3827" s="1">
        <v>0</v>
      </c>
    </row>
    <row r="3828" spans="1:13">
      <c r="A3828" s="1">
        <v>3827</v>
      </c>
      <c r="B3828" s="1">
        <v>900140.18810000003</v>
      </c>
      <c r="C3828" s="1">
        <v>1209400.9938363624</v>
      </c>
      <c r="D3828" s="1">
        <f t="shared" si="59"/>
        <v>-309260.80573636235</v>
      </c>
      <c r="E3828" s="1">
        <v>17</v>
      </c>
      <c r="F3828" s="1">
        <v>12</v>
      </c>
      <c r="G3828" s="1">
        <v>6</v>
      </c>
      <c r="H3828" s="1">
        <v>1</v>
      </c>
      <c r="I3828" s="1">
        <v>0</v>
      </c>
      <c r="J3828" s="1">
        <v>1</v>
      </c>
      <c r="K3828" s="1">
        <v>1</v>
      </c>
      <c r="L3828" s="1">
        <v>0</v>
      </c>
      <c r="M3828" s="1">
        <v>1</v>
      </c>
    </row>
    <row r="3829" spans="1:13">
      <c r="A3829" s="1">
        <v>3828</v>
      </c>
      <c r="B3829" s="1">
        <v>891539.98820000002</v>
      </c>
      <c r="C3829" s="1">
        <v>1175621.1755626048</v>
      </c>
      <c r="D3829" s="1">
        <f t="shared" si="59"/>
        <v>-284081.18736260477</v>
      </c>
      <c r="E3829" s="1">
        <v>14</v>
      </c>
      <c r="F3829" s="1">
        <v>16</v>
      </c>
      <c r="G3829" s="1">
        <v>5</v>
      </c>
      <c r="H3829" s="1">
        <v>0</v>
      </c>
      <c r="I3829" s="1">
        <v>1</v>
      </c>
      <c r="J3829" s="1">
        <v>0</v>
      </c>
      <c r="K3829" s="1">
        <v>2</v>
      </c>
      <c r="L3829" s="1">
        <v>0</v>
      </c>
      <c r="M3829" s="1">
        <v>0</v>
      </c>
    </row>
    <row r="3830" spans="1:13">
      <c r="A3830" s="1">
        <v>3829</v>
      </c>
      <c r="B3830" s="1">
        <v>910711.50459999999</v>
      </c>
      <c r="C3830" s="1">
        <v>903639.41214851523</v>
      </c>
      <c r="D3830" s="1">
        <f t="shared" si="59"/>
        <v>7072.0924514847575</v>
      </c>
      <c r="E3830" s="1">
        <v>6</v>
      </c>
      <c r="F3830" s="1">
        <v>24</v>
      </c>
      <c r="G3830" s="1">
        <v>5</v>
      </c>
      <c r="H3830" s="1">
        <v>0</v>
      </c>
      <c r="I3830" s="1">
        <v>0</v>
      </c>
      <c r="J3830" s="1">
        <v>1</v>
      </c>
      <c r="K3830" s="1">
        <v>1</v>
      </c>
      <c r="L3830" s="1">
        <v>0</v>
      </c>
      <c r="M3830" s="1">
        <v>0</v>
      </c>
    </row>
    <row r="3831" spans="1:13">
      <c r="A3831" s="1">
        <v>3830</v>
      </c>
      <c r="B3831" s="1">
        <v>871765.05779999995</v>
      </c>
      <c r="C3831" s="1">
        <v>710006.6882627256</v>
      </c>
      <c r="D3831" s="1">
        <f t="shared" si="59"/>
        <v>161758.36953727435</v>
      </c>
      <c r="E3831" s="1">
        <v>11</v>
      </c>
      <c r="F3831" s="1">
        <v>22</v>
      </c>
      <c r="G3831" s="1">
        <v>2</v>
      </c>
      <c r="H3831" s="1">
        <v>1</v>
      </c>
      <c r="I3831" s="1">
        <v>0</v>
      </c>
      <c r="J3831" s="1">
        <v>2</v>
      </c>
      <c r="K3831" s="1">
        <v>0</v>
      </c>
      <c r="L3831" s="1">
        <v>0</v>
      </c>
      <c r="M3831" s="1">
        <v>0</v>
      </c>
    </row>
    <row r="3832" spans="1:13">
      <c r="A3832" s="1">
        <v>3831</v>
      </c>
      <c r="B3832" s="1">
        <v>955470.96030000004</v>
      </c>
      <c r="C3832" s="1">
        <v>2001336.2234914869</v>
      </c>
      <c r="D3832" s="1">
        <f t="shared" si="59"/>
        <v>-1045865.2631914868</v>
      </c>
      <c r="E3832" s="1">
        <v>13</v>
      </c>
      <c r="F3832" s="1">
        <v>16</v>
      </c>
      <c r="G3832" s="1">
        <v>6</v>
      </c>
      <c r="H3832" s="1">
        <v>1</v>
      </c>
      <c r="I3832" s="1">
        <v>0</v>
      </c>
      <c r="J3832" s="1">
        <v>0</v>
      </c>
      <c r="K3832" s="1">
        <v>0</v>
      </c>
      <c r="L3832" s="1">
        <v>0</v>
      </c>
      <c r="M3832" s="1">
        <v>0</v>
      </c>
    </row>
    <row r="3833" spans="1:13">
      <c r="A3833" s="1">
        <v>3832</v>
      </c>
      <c r="B3833" s="1">
        <v>906029.29579999996</v>
      </c>
      <c r="C3833" s="1">
        <v>1176295.4526425283</v>
      </c>
      <c r="D3833" s="1">
        <f t="shared" si="59"/>
        <v>-270266.15684252838</v>
      </c>
      <c r="E3833" s="1">
        <v>21</v>
      </c>
      <c r="F3833" s="1">
        <v>12</v>
      </c>
      <c r="G3833" s="1">
        <v>2</v>
      </c>
      <c r="H3833" s="1">
        <v>2</v>
      </c>
      <c r="I3833" s="1">
        <v>0</v>
      </c>
      <c r="J3833" s="1">
        <v>1</v>
      </c>
      <c r="K3833" s="1">
        <v>1</v>
      </c>
      <c r="L3833" s="1">
        <v>0</v>
      </c>
      <c r="M3833" s="1">
        <v>0</v>
      </c>
    </row>
    <row r="3834" spans="1:13">
      <c r="A3834" s="1">
        <v>3833</v>
      </c>
      <c r="B3834" s="1">
        <v>873495.88230000006</v>
      </c>
      <c r="C3834" s="1">
        <v>1239287.3454536914</v>
      </c>
      <c r="D3834" s="1">
        <f t="shared" si="59"/>
        <v>-365791.46315369138</v>
      </c>
      <c r="E3834" s="1">
        <v>16</v>
      </c>
      <c r="F3834" s="1">
        <v>15</v>
      </c>
      <c r="G3834" s="1">
        <v>4</v>
      </c>
      <c r="H3834" s="1">
        <v>1</v>
      </c>
      <c r="I3834" s="1">
        <v>0</v>
      </c>
      <c r="J3834" s="1">
        <v>0</v>
      </c>
      <c r="K3834" s="1">
        <v>2</v>
      </c>
      <c r="L3834" s="1">
        <v>0</v>
      </c>
      <c r="M3834" s="1">
        <v>0</v>
      </c>
    </row>
    <row r="3835" spans="1:13">
      <c r="A3835" s="1">
        <v>3834</v>
      </c>
      <c r="B3835" s="1">
        <v>982851.60499999998</v>
      </c>
      <c r="C3835" s="1">
        <v>785935.09509713436</v>
      </c>
      <c r="D3835" s="1">
        <f t="shared" si="59"/>
        <v>196916.50990286563</v>
      </c>
      <c r="E3835" s="1">
        <v>10</v>
      </c>
      <c r="F3835" s="1">
        <v>18</v>
      </c>
      <c r="G3835" s="1">
        <v>7</v>
      </c>
      <c r="H3835" s="1">
        <v>0</v>
      </c>
      <c r="I3835" s="1">
        <v>1</v>
      </c>
      <c r="J3835" s="1">
        <v>2</v>
      </c>
      <c r="K3835" s="1">
        <v>0</v>
      </c>
      <c r="L3835" s="1">
        <v>0</v>
      </c>
      <c r="M3835" s="1">
        <v>0</v>
      </c>
    </row>
    <row r="3836" spans="1:13">
      <c r="A3836" s="1">
        <v>3835</v>
      </c>
      <c r="B3836" s="1">
        <v>921260.19480000006</v>
      </c>
      <c r="C3836" s="1">
        <v>1328184.389530499</v>
      </c>
      <c r="D3836" s="1">
        <f t="shared" si="59"/>
        <v>-406924.19473049894</v>
      </c>
      <c r="E3836" s="1">
        <v>15</v>
      </c>
      <c r="F3836" s="1">
        <v>15</v>
      </c>
      <c r="G3836" s="1">
        <v>5</v>
      </c>
      <c r="H3836" s="1">
        <v>0</v>
      </c>
      <c r="I3836" s="1">
        <v>0</v>
      </c>
      <c r="J3836" s="1">
        <v>1</v>
      </c>
      <c r="K3836" s="1">
        <v>1</v>
      </c>
      <c r="L3836" s="1">
        <v>0</v>
      </c>
      <c r="M3836" s="1">
        <v>1</v>
      </c>
    </row>
    <row r="3837" spans="1:13">
      <c r="A3837" s="1">
        <v>3836</v>
      </c>
      <c r="B3837" s="1">
        <v>946910.95019999996</v>
      </c>
      <c r="C3837" s="1">
        <v>853214.6319158508</v>
      </c>
      <c r="D3837" s="1">
        <f t="shared" si="59"/>
        <v>93696.318284149165</v>
      </c>
      <c r="E3837" s="1">
        <v>14</v>
      </c>
      <c r="F3837" s="1">
        <v>17</v>
      </c>
      <c r="G3837" s="1">
        <v>4</v>
      </c>
      <c r="H3837" s="1">
        <v>0</v>
      </c>
      <c r="I3837" s="1">
        <v>1</v>
      </c>
      <c r="J3837" s="1">
        <v>1</v>
      </c>
      <c r="K3837" s="1">
        <v>1</v>
      </c>
      <c r="L3837" s="1">
        <v>0</v>
      </c>
      <c r="M3837" s="1">
        <v>0</v>
      </c>
    </row>
    <row r="3838" spans="1:13">
      <c r="A3838" s="1">
        <v>3837</v>
      </c>
      <c r="B3838" s="1">
        <v>906089.32779999997</v>
      </c>
      <c r="C3838" s="1">
        <v>647805.9967318204</v>
      </c>
      <c r="D3838" s="1">
        <f t="shared" si="59"/>
        <v>258283.33106817957</v>
      </c>
      <c r="E3838" s="1">
        <v>11</v>
      </c>
      <c r="F3838" s="1">
        <v>19</v>
      </c>
      <c r="G3838" s="1">
        <v>5</v>
      </c>
      <c r="H3838" s="1">
        <v>0</v>
      </c>
      <c r="I3838" s="1">
        <v>0</v>
      </c>
      <c r="J3838" s="1">
        <v>0</v>
      </c>
      <c r="K3838" s="1">
        <v>1</v>
      </c>
      <c r="L3838" s="1">
        <v>0</v>
      </c>
      <c r="M3838" s="1">
        <v>1</v>
      </c>
    </row>
    <row r="3839" spans="1:13">
      <c r="A3839" s="1">
        <v>3838</v>
      </c>
      <c r="B3839" s="1">
        <v>962803.89450000005</v>
      </c>
      <c r="C3839" s="1">
        <v>779413.32058193232</v>
      </c>
      <c r="D3839" s="1">
        <f t="shared" si="59"/>
        <v>183390.57391806773</v>
      </c>
      <c r="E3839" s="1">
        <v>11</v>
      </c>
      <c r="F3839" s="1">
        <v>18</v>
      </c>
      <c r="G3839" s="1">
        <v>6</v>
      </c>
      <c r="H3839" s="1">
        <v>0</v>
      </c>
      <c r="I3839" s="1">
        <v>0</v>
      </c>
      <c r="J3839" s="1">
        <v>0</v>
      </c>
      <c r="K3839" s="1">
        <v>0</v>
      </c>
      <c r="L3839" s="1">
        <v>0</v>
      </c>
      <c r="M3839" s="1">
        <v>1</v>
      </c>
    </row>
    <row r="3840" spans="1:13">
      <c r="A3840" s="1">
        <v>3839</v>
      </c>
      <c r="B3840" s="1">
        <v>1010644.5736999999</v>
      </c>
      <c r="C3840" s="1">
        <v>788472.91330060991</v>
      </c>
      <c r="D3840" s="1">
        <f t="shared" si="59"/>
        <v>222171.66039939004</v>
      </c>
      <c r="E3840" s="1">
        <v>13</v>
      </c>
      <c r="F3840" s="1">
        <v>16</v>
      </c>
      <c r="G3840" s="1">
        <v>6</v>
      </c>
      <c r="H3840" s="1">
        <v>1</v>
      </c>
      <c r="I3840" s="1">
        <v>0</v>
      </c>
      <c r="J3840" s="1">
        <v>0</v>
      </c>
      <c r="K3840" s="1">
        <v>1</v>
      </c>
      <c r="L3840" s="1">
        <v>0</v>
      </c>
      <c r="M3840" s="1">
        <v>0</v>
      </c>
    </row>
    <row r="3841" spans="1:13">
      <c r="A3841" s="1">
        <v>3840</v>
      </c>
      <c r="B3841" s="1">
        <v>886918.50020000001</v>
      </c>
      <c r="C3841" s="1">
        <v>919686.42040399346</v>
      </c>
      <c r="D3841" s="1">
        <f t="shared" si="59"/>
        <v>-32767.920203993446</v>
      </c>
      <c r="E3841" s="1">
        <v>6</v>
      </c>
      <c r="F3841" s="1">
        <v>22</v>
      </c>
      <c r="G3841" s="1">
        <v>7</v>
      </c>
      <c r="H3841" s="1">
        <v>1</v>
      </c>
      <c r="I3841" s="1">
        <v>0</v>
      </c>
      <c r="J3841" s="1">
        <v>0</v>
      </c>
      <c r="K3841" s="1">
        <v>1</v>
      </c>
      <c r="L3841" s="1">
        <v>0</v>
      </c>
      <c r="M3841" s="1">
        <v>0</v>
      </c>
    </row>
    <row r="3842" spans="1:13">
      <c r="A3842" s="1">
        <v>3841</v>
      </c>
      <c r="B3842" s="1">
        <v>945310.60589999997</v>
      </c>
      <c r="C3842" s="1">
        <v>637759.51226830925</v>
      </c>
      <c r="D3842" s="1">
        <f t="shared" ref="D3842:D3905" si="60">B3842-C3842</f>
        <v>307551.09363169072</v>
      </c>
      <c r="E3842" s="1">
        <v>12</v>
      </c>
      <c r="F3842" s="1">
        <v>16</v>
      </c>
      <c r="G3842" s="1">
        <v>7</v>
      </c>
      <c r="H3842" s="1">
        <v>2</v>
      </c>
      <c r="I3842" s="1">
        <v>0</v>
      </c>
      <c r="J3842" s="1">
        <v>1</v>
      </c>
      <c r="K3842" s="1">
        <v>1</v>
      </c>
      <c r="L3842" s="1">
        <v>0</v>
      </c>
      <c r="M3842" s="1">
        <v>0</v>
      </c>
    </row>
    <row r="3843" spans="1:13">
      <c r="A3843" s="1">
        <v>3842</v>
      </c>
      <c r="B3843" s="1">
        <v>867642.00459999999</v>
      </c>
      <c r="C3843" s="1">
        <v>697403.47230095591</v>
      </c>
      <c r="D3843" s="1">
        <f t="shared" si="60"/>
        <v>170238.53229904408</v>
      </c>
      <c r="E3843" s="1">
        <v>13</v>
      </c>
      <c r="F3843" s="1">
        <v>15</v>
      </c>
      <c r="G3843" s="1">
        <v>7</v>
      </c>
      <c r="H3843" s="1">
        <v>1</v>
      </c>
      <c r="I3843" s="1">
        <v>0</v>
      </c>
      <c r="J3843" s="1">
        <v>0</v>
      </c>
      <c r="K3843" s="1">
        <v>1</v>
      </c>
      <c r="L3843" s="1">
        <v>0</v>
      </c>
      <c r="M3843" s="1">
        <v>1</v>
      </c>
    </row>
    <row r="3844" spans="1:13">
      <c r="A3844" s="1">
        <v>3843</v>
      </c>
      <c r="B3844" s="1">
        <v>890719.34030000004</v>
      </c>
      <c r="C3844" s="1">
        <v>2632635.6909224885</v>
      </c>
      <c r="D3844" s="1">
        <f t="shared" si="60"/>
        <v>-1741916.3506224884</v>
      </c>
      <c r="E3844" s="1">
        <v>14</v>
      </c>
      <c r="F3844" s="1">
        <v>15</v>
      </c>
      <c r="G3844" s="1">
        <v>6</v>
      </c>
      <c r="H3844" s="1">
        <v>2</v>
      </c>
      <c r="I3844" s="1">
        <v>0</v>
      </c>
      <c r="J3844" s="1">
        <v>2</v>
      </c>
      <c r="K3844" s="1">
        <v>0</v>
      </c>
      <c r="L3844" s="1">
        <v>0</v>
      </c>
      <c r="M3844" s="1">
        <v>0</v>
      </c>
    </row>
    <row r="3845" spans="1:13">
      <c r="A3845" s="1">
        <v>3844</v>
      </c>
      <c r="B3845" s="1">
        <v>968545.1433</v>
      </c>
      <c r="C3845" s="1">
        <v>785772.00045322173</v>
      </c>
      <c r="D3845" s="1">
        <f t="shared" si="60"/>
        <v>182773.14284677827</v>
      </c>
      <c r="E3845" s="1">
        <v>9</v>
      </c>
      <c r="F3845" s="1">
        <v>20</v>
      </c>
      <c r="G3845" s="1">
        <v>6</v>
      </c>
      <c r="H3845" s="1">
        <v>1</v>
      </c>
      <c r="I3845" s="1">
        <v>1</v>
      </c>
      <c r="J3845" s="1">
        <v>0</v>
      </c>
      <c r="K3845" s="1">
        <v>0</v>
      </c>
      <c r="L3845" s="1">
        <v>0</v>
      </c>
      <c r="M3845" s="1">
        <v>1</v>
      </c>
    </row>
    <row r="3846" spans="1:13">
      <c r="A3846" s="1">
        <v>3845</v>
      </c>
      <c r="B3846" s="1">
        <v>1005660.9541</v>
      </c>
      <c r="C3846" s="1">
        <v>784829.22455646622</v>
      </c>
      <c r="D3846" s="1">
        <f t="shared" si="60"/>
        <v>220831.72954353376</v>
      </c>
      <c r="E3846" s="1">
        <v>11</v>
      </c>
      <c r="F3846" s="1">
        <v>16</v>
      </c>
      <c r="G3846" s="1">
        <v>8</v>
      </c>
      <c r="H3846" s="1">
        <v>0</v>
      </c>
      <c r="I3846" s="1">
        <v>0</v>
      </c>
      <c r="J3846" s="1">
        <v>2</v>
      </c>
      <c r="K3846" s="1">
        <v>0</v>
      </c>
      <c r="L3846" s="1">
        <v>0</v>
      </c>
      <c r="M3846" s="1">
        <v>0</v>
      </c>
    </row>
    <row r="3847" spans="1:13">
      <c r="A3847" s="1">
        <v>3846</v>
      </c>
      <c r="B3847" s="1">
        <v>850616.16890000005</v>
      </c>
      <c r="C3847" s="1">
        <v>1209283.0409528208</v>
      </c>
      <c r="D3847" s="1">
        <f t="shared" si="60"/>
        <v>-358666.87205282075</v>
      </c>
      <c r="E3847" s="1">
        <v>15</v>
      </c>
      <c r="F3847" s="1">
        <v>15</v>
      </c>
      <c r="G3847" s="1">
        <v>5</v>
      </c>
      <c r="H3847" s="1">
        <v>2</v>
      </c>
      <c r="I3847" s="1">
        <v>0</v>
      </c>
      <c r="J3847" s="1">
        <v>0</v>
      </c>
      <c r="K3847" s="1">
        <v>0</v>
      </c>
      <c r="L3847" s="1">
        <v>0</v>
      </c>
      <c r="M3847" s="1">
        <v>0</v>
      </c>
    </row>
    <row r="3848" spans="1:13">
      <c r="A3848" s="1">
        <v>3847</v>
      </c>
      <c r="B3848" s="1">
        <v>923786.20799999998</v>
      </c>
      <c r="C3848" s="1">
        <v>735071.61056073231</v>
      </c>
      <c r="D3848" s="1">
        <f t="shared" si="60"/>
        <v>188714.59743926767</v>
      </c>
      <c r="E3848" s="1">
        <v>15</v>
      </c>
      <c r="F3848" s="1">
        <v>12</v>
      </c>
      <c r="G3848" s="1">
        <v>8</v>
      </c>
      <c r="H3848" s="1">
        <v>0</v>
      </c>
      <c r="I3848" s="1">
        <v>1</v>
      </c>
      <c r="J3848" s="1">
        <v>1</v>
      </c>
      <c r="K3848" s="1">
        <v>1</v>
      </c>
      <c r="L3848" s="1">
        <v>0</v>
      </c>
      <c r="M3848" s="1">
        <v>0</v>
      </c>
    </row>
    <row r="3849" spans="1:13">
      <c r="A3849" s="1">
        <v>3848</v>
      </c>
      <c r="B3849" s="1">
        <v>944938.78989999997</v>
      </c>
      <c r="C3849" s="1">
        <v>660459.51766553544</v>
      </c>
      <c r="D3849" s="1">
        <f t="shared" si="60"/>
        <v>284479.27223446453</v>
      </c>
      <c r="E3849" s="1">
        <v>10</v>
      </c>
      <c r="F3849" s="1">
        <v>22</v>
      </c>
      <c r="G3849" s="1">
        <v>3</v>
      </c>
      <c r="H3849" s="1">
        <v>0</v>
      </c>
      <c r="I3849" s="1">
        <v>0</v>
      </c>
      <c r="J3849" s="1">
        <v>0</v>
      </c>
      <c r="K3849" s="1">
        <v>2</v>
      </c>
      <c r="L3849" s="1">
        <v>0</v>
      </c>
      <c r="M3849" s="1">
        <v>0</v>
      </c>
    </row>
    <row r="3850" spans="1:13">
      <c r="A3850" s="1">
        <v>3849</v>
      </c>
      <c r="B3850" s="1">
        <v>933960.74780000001</v>
      </c>
      <c r="C3850" s="1">
        <v>945930.66829945648</v>
      </c>
      <c r="D3850" s="1">
        <f t="shared" si="60"/>
        <v>-11969.920499456464</v>
      </c>
      <c r="E3850" s="1">
        <v>10</v>
      </c>
      <c r="F3850" s="1">
        <v>19</v>
      </c>
      <c r="G3850" s="1">
        <v>6</v>
      </c>
      <c r="H3850" s="1">
        <v>1</v>
      </c>
      <c r="I3850" s="1">
        <v>1</v>
      </c>
      <c r="J3850" s="1">
        <v>1</v>
      </c>
      <c r="K3850" s="1">
        <v>1</v>
      </c>
      <c r="L3850" s="1">
        <v>0</v>
      </c>
      <c r="M3850" s="1">
        <v>0</v>
      </c>
    </row>
    <row r="3851" spans="1:13">
      <c r="A3851" s="1">
        <v>3850</v>
      </c>
      <c r="B3851" s="1">
        <v>998093.41350000002</v>
      </c>
      <c r="C3851" s="1">
        <v>772934.15701498743</v>
      </c>
      <c r="D3851" s="1">
        <f t="shared" si="60"/>
        <v>225159.25648501259</v>
      </c>
      <c r="E3851" s="1">
        <v>11</v>
      </c>
      <c r="F3851" s="1">
        <v>20</v>
      </c>
      <c r="G3851" s="1">
        <v>4</v>
      </c>
      <c r="H3851" s="1">
        <v>1</v>
      </c>
      <c r="I3851" s="1">
        <v>0</v>
      </c>
      <c r="J3851" s="1">
        <v>2</v>
      </c>
      <c r="K3851" s="1">
        <v>0</v>
      </c>
      <c r="L3851" s="1">
        <v>0</v>
      </c>
      <c r="M3851" s="1">
        <v>0</v>
      </c>
    </row>
    <row r="3852" spans="1:13">
      <c r="A3852" s="1">
        <v>3851</v>
      </c>
      <c r="B3852" s="1">
        <v>1046342.8533</v>
      </c>
      <c r="C3852" s="1">
        <v>1394483.1188761904</v>
      </c>
      <c r="D3852" s="1">
        <f t="shared" si="60"/>
        <v>-348140.26557619043</v>
      </c>
      <c r="E3852" s="1">
        <v>16</v>
      </c>
      <c r="F3852" s="1">
        <v>13</v>
      </c>
      <c r="G3852" s="1">
        <v>6</v>
      </c>
      <c r="H3852" s="1">
        <v>1</v>
      </c>
      <c r="I3852" s="1">
        <v>0</v>
      </c>
      <c r="J3852" s="1">
        <v>0</v>
      </c>
      <c r="K3852" s="1">
        <v>2</v>
      </c>
      <c r="L3852" s="1">
        <v>0</v>
      </c>
      <c r="M3852" s="1">
        <v>1</v>
      </c>
    </row>
    <row r="3853" spans="1:13">
      <c r="A3853" s="1">
        <v>3852</v>
      </c>
      <c r="B3853" s="1">
        <v>974609.56920000003</v>
      </c>
      <c r="C3853" s="1">
        <v>905758.47280991543</v>
      </c>
      <c r="D3853" s="1">
        <f t="shared" si="60"/>
        <v>68851.096390084596</v>
      </c>
      <c r="E3853" s="1">
        <v>18</v>
      </c>
      <c r="F3853" s="1">
        <v>10</v>
      </c>
      <c r="G3853" s="1">
        <v>7</v>
      </c>
      <c r="H3853" s="1">
        <v>0</v>
      </c>
      <c r="I3853" s="1">
        <v>1</v>
      </c>
      <c r="J3853" s="1">
        <v>0</v>
      </c>
      <c r="K3853" s="1">
        <v>1</v>
      </c>
      <c r="L3853" s="1">
        <v>0</v>
      </c>
      <c r="M3853" s="1">
        <v>0</v>
      </c>
    </row>
    <row r="3854" spans="1:13">
      <c r="A3854" s="1">
        <v>3853</v>
      </c>
      <c r="B3854" s="1">
        <v>928962.45200000005</v>
      </c>
      <c r="C3854" s="1">
        <v>793790.34625127353</v>
      </c>
      <c r="D3854" s="1">
        <f t="shared" si="60"/>
        <v>135172.10574872652</v>
      </c>
      <c r="E3854" s="1">
        <v>14</v>
      </c>
      <c r="F3854" s="1">
        <v>12</v>
      </c>
      <c r="G3854" s="1">
        <v>9</v>
      </c>
      <c r="H3854" s="1">
        <v>0</v>
      </c>
      <c r="I3854" s="1">
        <v>0</v>
      </c>
      <c r="J3854" s="1">
        <v>2</v>
      </c>
      <c r="K3854" s="1">
        <v>0</v>
      </c>
      <c r="L3854" s="1">
        <v>0</v>
      </c>
      <c r="M3854" s="1">
        <v>0</v>
      </c>
    </row>
    <row r="3855" spans="1:13">
      <c r="A3855" s="1">
        <v>3854</v>
      </c>
      <c r="B3855" s="1">
        <v>899520.59129999997</v>
      </c>
      <c r="C3855" s="1">
        <v>1398926.5969591346</v>
      </c>
      <c r="D3855" s="1">
        <f t="shared" si="60"/>
        <v>-499406.00565913459</v>
      </c>
      <c r="E3855" s="1">
        <v>12</v>
      </c>
      <c r="F3855" s="1">
        <v>19</v>
      </c>
      <c r="G3855" s="1">
        <v>4</v>
      </c>
      <c r="H3855" s="1">
        <v>2</v>
      </c>
      <c r="I3855" s="1">
        <v>0</v>
      </c>
      <c r="J3855" s="1">
        <v>0</v>
      </c>
      <c r="K3855" s="1">
        <v>0</v>
      </c>
      <c r="L3855" s="1">
        <v>0</v>
      </c>
      <c r="M3855" s="1">
        <v>0</v>
      </c>
    </row>
    <row r="3856" spans="1:13">
      <c r="A3856" s="1">
        <v>3855</v>
      </c>
      <c r="B3856" s="1">
        <v>931726.51639999996</v>
      </c>
      <c r="C3856" s="1">
        <v>2060312.1470815246</v>
      </c>
      <c r="D3856" s="1">
        <f t="shared" si="60"/>
        <v>-1128585.6306815245</v>
      </c>
      <c r="E3856" s="1">
        <v>10</v>
      </c>
      <c r="F3856" s="1">
        <v>18</v>
      </c>
      <c r="G3856" s="1">
        <v>7</v>
      </c>
      <c r="H3856" s="1">
        <v>1</v>
      </c>
      <c r="I3856" s="1">
        <v>0</v>
      </c>
      <c r="J3856" s="1">
        <v>1</v>
      </c>
      <c r="K3856" s="1">
        <v>1</v>
      </c>
      <c r="L3856" s="1">
        <v>0</v>
      </c>
      <c r="M3856" s="1">
        <v>0</v>
      </c>
    </row>
    <row r="3857" spans="1:13">
      <c r="A3857" s="1">
        <v>3856</v>
      </c>
      <c r="B3857" s="1">
        <v>971977.93019999994</v>
      </c>
      <c r="C3857" s="1">
        <v>988872.41763012798</v>
      </c>
      <c r="D3857" s="1">
        <f t="shared" si="60"/>
        <v>-16894.487430128036</v>
      </c>
      <c r="E3857" s="1">
        <v>19</v>
      </c>
      <c r="F3857" s="1">
        <v>10</v>
      </c>
      <c r="G3857" s="1">
        <v>6</v>
      </c>
      <c r="H3857" s="1">
        <v>2</v>
      </c>
      <c r="I3857" s="1">
        <v>0</v>
      </c>
      <c r="J3857" s="1">
        <v>1</v>
      </c>
      <c r="K3857" s="1">
        <v>0</v>
      </c>
      <c r="L3857" s="1">
        <v>0</v>
      </c>
      <c r="M3857" s="1">
        <v>0</v>
      </c>
    </row>
    <row r="3858" spans="1:13">
      <c r="A3858" s="1">
        <v>3857</v>
      </c>
      <c r="B3858" s="1">
        <v>973164.3382</v>
      </c>
      <c r="C3858" s="1">
        <v>1413040.5229859855</v>
      </c>
      <c r="D3858" s="1">
        <f t="shared" si="60"/>
        <v>-439876.1847859855</v>
      </c>
      <c r="E3858" s="1">
        <v>16</v>
      </c>
      <c r="F3858" s="1">
        <v>11</v>
      </c>
      <c r="G3858" s="1">
        <v>8</v>
      </c>
      <c r="H3858" s="1">
        <v>0</v>
      </c>
      <c r="I3858" s="1">
        <v>0</v>
      </c>
      <c r="J3858" s="1">
        <v>1</v>
      </c>
      <c r="K3858" s="1">
        <v>0</v>
      </c>
      <c r="L3858" s="1">
        <v>0</v>
      </c>
      <c r="M3858" s="1">
        <v>0</v>
      </c>
    </row>
    <row r="3859" spans="1:13">
      <c r="A3859" s="1">
        <v>3858</v>
      </c>
      <c r="B3859" s="1">
        <v>917215.15209999995</v>
      </c>
      <c r="C3859" s="1">
        <v>961362.90344026976</v>
      </c>
      <c r="D3859" s="1">
        <f t="shared" si="60"/>
        <v>-44147.75134026981</v>
      </c>
      <c r="E3859" s="1">
        <v>17</v>
      </c>
      <c r="F3859" s="1">
        <v>11</v>
      </c>
      <c r="G3859" s="1">
        <v>7</v>
      </c>
      <c r="H3859" s="1">
        <v>0</v>
      </c>
      <c r="I3859" s="1">
        <v>2</v>
      </c>
      <c r="J3859" s="1">
        <v>0</v>
      </c>
      <c r="K3859" s="1">
        <v>1</v>
      </c>
      <c r="L3859" s="1">
        <v>0</v>
      </c>
      <c r="M3859" s="1">
        <v>0</v>
      </c>
    </row>
    <row r="3860" spans="1:13">
      <c r="A3860" s="1">
        <v>3859</v>
      </c>
      <c r="B3860" s="1">
        <v>930657.68130000005</v>
      </c>
      <c r="C3860" s="1">
        <v>869619.17774174828</v>
      </c>
      <c r="D3860" s="1">
        <f t="shared" si="60"/>
        <v>61038.503558251774</v>
      </c>
      <c r="E3860" s="1">
        <v>11</v>
      </c>
      <c r="F3860" s="1">
        <v>19</v>
      </c>
      <c r="G3860" s="1">
        <v>5</v>
      </c>
      <c r="H3860" s="1">
        <v>1</v>
      </c>
      <c r="I3860" s="1">
        <v>0</v>
      </c>
      <c r="J3860" s="1">
        <v>0</v>
      </c>
      <c r="K3860" s="1">
        <v>1</v>
      </c>
      <c r="L3860" s="1">
        <v>1</v>
      </c>
      <c r="M3860" s="1">
        <v>0</v>
      </c>
    </row>
    <row r="3861" spans="1:13">
      <c r="A3861" s="1">
        <v>3860</v>
      </c>
      <c r="B3861" s="1">
        <v>998373.51569999999</v>
      </c>
      <c r="C3861" s="1">
        <v>1468901.822878113</v>
      </c>
      <c r="D3861" s="1">
        <f t="shared" si="60"/>
        <v>-470528.30717811303</v>
      </c>
      <c r="E3861" s="1">
        <v>14</v>
      </c>
      <c r="F3861" s="1">
        <v>18</v>
      </c>
      <c r="G3861" s="1">
        <v>3</v>
      </c>
      <c r="H3861" s="1">
        <v>2</v>
      </c>
      <c r="I3861" s="1">
        <v>0</v>
      </c>
      <c r="J3861" s="1">
        <v>0</v>
      </c>
      <c r="K3861" s="1">
        <v>0</v>
      </c>
      <c r="L3861" s="1">
        <v>1</v>
      </c>
      <c r="M3861" s="1">
        <v>0</v>
      </c>
    </row>
    <row r="3862" spans="1:13">
      <c r="A3862" s="1">
        <v>3861</v>
      </c>
      <c r="B3862" s="1">
        <v>986462.35360000003</v>
      </c>
      <c r="C3862" s="1">
        <v>917500.03295006801</v>
      </c>
      <c r="D3862" s="1">
        <f t="shared" si="60"/>
        <v>68962.320649932022</v>
      </c>
      <c r="E3862" s="1">
        <v>10</v>
      </c>
      <c r="F3862" s="1">
        <v>20</v>
      </c>
      <c r="G3862" s="1">
        <v>5</v>
      </c>
      <c r="H3862" s="1">
        <v>2</v>
      </c>
      <c r="I3862" s="1">
        <v>0</v>
      </c>
      <c r="J3862" s="1">
        <v>1</v>
      </c>
      <c r="K3862" s="1">
        <v>1</v>
      </c>
      <c r="L3862" s="1">
        <v>0</v>
      </c>
      <c r="M3862" s="1">
        <v>0</v>
      </c>
    </row>
    <row r="3863" spans="1:13">
      <c r="A3863" s="1">
        <v>3862</v>
      </c>
      <c r="B3863" s="1">
        <v>920458.92209999997</v>
      </c>
      <c r="C3863" s="1">
        <v>601802.32945447078</v>
      </c>
      <c r="D3863" s="1">
        <f t="shared" si="60"/>
        <v>318656.59264552919</v>
      </c>
      <c r="E3863" s="1">
        <v>21</v>
      </c>
      <c r="F3863" s="1">
        <v>11</v>
      </c>
      <c r="G3863" s="1">
        <v>3</v>
      </c>
      <c r="H3863" s="1">
        <v>1</v>
      </c>
      <c r="I3863" s="1">
        <v>1</v>
      </c>
      <c r="J3863" s="1">
        <v>1</v>
      </c>
      <c r="K3863" s="1">
        <v>0</v>
      </c>
      <c r="L3863" s="1">
        <v>0</v>
      </c>
      <c r="M3863" s="1">
        <v>1</v>
      </c>
    </row>
    <row r="3864" spans="1:13">
      <c r="A3864" s="1">
        <v>3863</v>
      </c>
      <c r="B3864" s="1">
        <v>870575.45920000004</v>
      </c>
      <c r="C3864" s="1">
        <v>1060377.8143334845</v>
      </c>
      <c r="D3864" s="1">
        <f t="shared" si="60"/>
        <v>-189802.35513348447</v>
      </c>
      <c r="E3864" s="1">
        <v>22</v>
      </c>
      <c r="F3864" s="1">
        <v>10</v>
      </c>
      <c r="G3864" s="1">
        <v>3</v>
      </c>
      <c r="H3864" s="1">
        <v>0</v>
      </c>
      <c r="I3864" s="1">
        <v>1</v>
      </c>
      <c r="J3864" s="1">
        <v>0</v>
      </c>
      <c r="K3864" s="1">
        <v>0</v>
      </c>
      <c r="L3864" s="1">
        <v>0</v>
      </c>
      <c r="M3864" s="1">
        <v>1</v>
      </c>
    </row>
    <row r="3865" spans="1:13">
      <c r="A3865" s="1">
        <v>3864</v>
      </c>
      <c r="B3865" s="1">
        <v>950795.43779999996</v>
      </c>
      <c r="C3865" s="1">
        <v>625788.45155914477</v>
      </c>
      <c r="D3865" s="1">
        <f t="shared" si="60"/>
        <v>325006.98624085519</v>
      </c>
      <c r="E3865" s="1">
        <v>12</v>
      </c>
      <c r="F3865" s="1">
        <v>18</v>
      </c>
      <c r="G3865" s="1">
        <v>5</v>
      </c>
      <c r="H3865" s="1">
        <v>0</v>
      </c>
      <c r="I3865" s="1">
        <v>0</v>
      </c>
      <c r="J3865" s="1">
        <v>1</v>
      </c>
      <c r="K3865" s="1">
        <v>0</v>
      </c>
      <c r="L3865" s="1">
        <v>0</v>
      </c>
      <c r="M3865" s="1">
        <v>0</v>
      </c>
    </row>
    <row r="3866" spans="1:13">
      <c r="A3866" s="1">
        <v>3865</v>
      </c>
      <c r="B3866" s="1">
        <v>937404.21869999997</v>
      </c>
      <c r="C3866" s="1">
        <v>563582.499814676</v>
      </c>
      <c r="D3866" s="1">
        <f t="shared" si="60"/>
        <v>373821.71888532396</v>
      </c>
      <c r="E3866" s="1">
        <v>18</v>
      </c>
      <c r="F3866" s="1">
        <v>15</v>
      </c>
      <c r="G3866" s="1">
        <v>2</v>
      </c>
      <c r="H3866" s="1">
        <v>1</v>
      </c>
      <c r="I3866" s="1">
        <v>1</v>
      </c>
      <c r="J3866" s="1">
        <v>0</v>
      </c>
      <c r="K3866" s="1">
        <v>0</v>
      </c>
      <c r="L3866" s="1">
        <v>0</v>
      </c>
      <c r="M3866" s="1">
        <v>1</v>
      </c>
    </row>
    <row r="3867" spans="1:13">
      <c r="A3867" s="1">
        <v>3866</v>
      </c>
      <c r="B3867" s="1">
        <v>992058.1507</v>
      </c>
      <c r="C3867" s="1">
        <v>1178441.2268204903</v>
      </c>
      <c r="D3867" s="1">
        <f t="shared" si="60"/>
        <v>-186383.07612049032</v>
      </c>
      <c r="E3867" s="1">
        <v>4</v>
      </c>
      <c r="F3867" s="1">
        <v>25</v>
      </c>
      <c r="G3867" s="1">
        <v>6</v>
      </c>
      <c r="H3867" s="1">
        <v>1</v>
      </c>
      <c r="I3867" s="1">
        <v>0</v>
      </c>
      <c r="J3867" s="1">
        <v>1</v>
      </c>
      <c r="K3867" s="1">
        <v>1</v>
      </c>
      <c r="L3867" s="1">
        <v>0</v>
      </c>
      <c r="M3867" s="1">
        <v>1</v>
      </c>
    </row>
    <row r="3868" spans="1:13">
      <c r="A3868" s="1">
        <v>3867</v>
      </c>
      <c r="B3868" s="1">
        <v>966610.30649999995</v>
      </c>
      <c r="C3868" s="1">
        <v>912342.58359027933</v>
      </c>
      <c r="D3868" s="1">
        <f t="shared" si="60"/>
        <v>54267.722909720615</v>
      </c>
      <c r="E3868" s="1">
        <v>12</v>
      </c>
      <c r="F3868" s="1">
        <v>18</v>
      </c>
      <c r="G3868" s="1">
        <v>5</v>
      </c>
      <c r="H3868" s="1">
        <v>0</v>
      </c>
      <c r="I3868" s="1">
        <v>0</v>
      </c>
      <c r="J3868" s="1">
        <v>0</v>
      </c>
      <c r="K3868" s="1">
        <v>0</v>
      </c>
      <c r="L3868" s="1">
        <v>0</v>
      </c>
      <c r="M3868" s="1">
        <v>0</v>
      </c>
    </row>
    <row r="3869" spans="1:13">
      <c r="A3869" s="1">
        <v>3868</v>
      </c>
      <c r="B3869" s="1">
        <v>994311.33550000004</v>
      </c>
      <c r="C3869" s="1">
        <v>429868.40094495984</v>
      </c>
      <c r="D3869" s="1">
        <f t="shared" si="60"/>
        <v>564442.93455504021</v>
      </c>
      <c r="E3869" s="1">
        <v>5</v>
      </c>
      <c r="F3869" s="1">
        <v>23</v>
      </c>
      <c r="G3869" s="1">
        <v>7</v>
      </c>
      <c r="H3869" s="1">
        <v>0</v>
      </c>
      <c r="I3869" s="1">
        <v>1</v>
      </c>
      <c r="J3869" s="1">
        <v>0</v>
      </c>
      <c r="K3869" s="1">
        <v>1</v>
      </c>
      <c r="L3869" s="1">
        <v>0</v>
      </c>
      <c r="M3869" s="1">
        <v>1</v>
      </c>
    </row>
    <row r="3870" spans="1:13">
      <c r="A3870" s="1">
        <v>3869</v>
      </c>
      <c r="B3870" s="1">
        <v>914169.74659999995</v>
      </c>
      <c r="C3870" s="1">
        <v>1409501.514419036</v>
      </c>
      <c r="D3870" s="1">
        <f t="shared" si="60"/>
        <v>-495331.76781903603</v>
      </c>
      <c r="E3870" s="1">
        <v>14</v>
      </c>
      <c r="F3870" s="1">
        <v>18</v>
      </c>
      <c r="G3870" s="1">
        <v>3</v>
      </c>
      <c r="H3870" s="1">
        <v>0</v>
      </c>
      <c r="I3870" s="1">
        <v>0</v>
      </c>
      <c r="J3870" s="1">
        <v>0</v>
      </c>
      <c r="K3870" s="1">
        <v>1</v>
      </c>
      <c r="L3870" s="1">
        <v>1</v>
      </c>
      <c r="M3870" s="1">
        <v>0</v>
      </c>
    </row>
    <row r="3871" spans="1:13">
      <c r="A3871" s="1">
        <v>3870</v>
      </c>
      <c r="B3871" s="1">
        <v>915138.58109999995</v>
      </c>
      <c r="C3871" s="1">
        <v>837795.89190382138</v>
      </c>
      <c r="D3871" s="1">
        <f t="shared" si="60"/>
        <v>77342.689196178573</v>
      </c>
      <c r="E3871" s="1">
        <v>11</v>
      </c>
      <c r="F3871" s="1">
        <v>18</v>
      </c>
      <c r="G3871" s="1">
        <v>6</v>
      </c>
      <c r="H3871" s="1">
        <v>1</v>
      </c>
      <c r="I3871" s="1">
        <v>1</v>
      </c>
      <c r="J3871" s="1">
        <v>0</v>
      </c>
      <c r="K3871" s="1">
        <v>0</v>
      </c>
      <c r="L3871" s="1">
        <v>0</v>
      </c>
      <c r="M3871" s="1">
        <v>0</v>
      </c>
    </row>
    <row r="3872" spans="1:13">
      <c r="A3872" s="1">
        <v>3871</v>
      </c>
      <c r="B3872" s="1">
        <v>935222.96909999999</v>
      </c>
      <c r="C3872" s="1">
        <v>1004299.8230210384</v>
      </c>
      <c r="D3872" s="1">
        <f t="shared" si="60"/>
        <v>-69076.853921038448</v>
      </c>
      <c r="E3872" s="1">
        <v>21</v>
      </c>
      <c r="F3872" s="1">
        <v>11</v>
      </c>
      <c r="G3872" s="1">
        <v>3</v>
      </c>
      <c r="H3872" s="1">
        <v>1</v>
      </c>
      <c r="I3872" s="1">
        <v>0</v>
      </c>
      <c r="J3872" s="1">
        <v>0</v>
      </c>
      <c r="K3872" s="1">
        <v>1</v>
      </c>
      <c r="L3872" s="1">
        <v>0</v>
      </c>
      <c r="M3872" s="1">
        <v>0</v>
      </c>
    </row>
    <row r="3873" spans="1:13">
      <c r="A3873" s="1">
        <v>3872</v>
      </c>
      <c r="B3873" s="1">
        <v>927826.85880000005</v>
      </c>
      <c r="C3873" s="1">
        <v>603340.46509134141</v>
      </c>
      <c r="D3873" s="1">
        <f t="shared" si="60"/>
        <v>324486.39370865864</v>
      </c>
      <c r="E3873" s="1">
        <v>11</v>
      </c>
      <c r="F3873" s="1">
        <v>18</v>
      </c>
      <c r="G3873" s="1">
        <v>6</v>
      </c>
      <c r="H3873" s="1">
        <v>0</v>
      </c>
      <c r="I3873" s="1">
        <v>0</v>
      </c>
      <c r="J3873" s="1">
        <v>1</v>
      </c>
      <c r="K3873" s="1">
        <v>0</v>
      </c>
      <c r="L3873" s="1">
        <v>0</v>
      </c>
      <c r="M3873" s="1">
        <v>0</v>
      </c>
    </row>
    <row r="3874" spans="1:13">
      <c r="A3874" s="1">
        <v>3873</v>
      </c>
      <c r="B3874" s="1">
        <v>928891.98210000002</v>
      </c>
      <c r="C3874" s="1">
        <v>750942.03099223017</v>
      </c>
      <c r="D3874" s="1">
        <f t="shared" si="60"/>
        <v>177949.95110776986</v>
      </c>
      <c r="E3874" s="1">
        <v>17</v>
      </c>
      <c r="F3874" s="1">
        <v>13</v>
      </c>
      <c r="G3874" s="1">
        <v>5</v>
      </c>
      <c r="H3874" s="1">
        <v>0</v>
      </c>
      <c r="I3874" s="1">
        <v>0</v>
      </c>
      <c r="J3874" s="1">
        <v>0</v>
      </c>
      <c r="K3874" s="1">
        <v>0</v>
      </c>
      <c r="L3874" s="1">
        <v>0</v>
      </c>
      <c r="M3874" s="1">
        <v>0</v>
      </c>
    </row>
    <row r="3875" spans="1:13">
      <c r="A3875" s="1">
        <v>3874</v>
      </c>
      <c r="B3875" s="1">
        <v>808382.29980000004</v>
      </c>
      <c r="C3875" s="1">
        <v>692161.16854079405</v>
      </c>
      <c r="D3875" s="1">
        <f t="shared" si="60"/>
        <v>116221.13125920598</v>
      </c>
      <c r="E3875" s="1">
        <v>20</v>
      </c>
      <c r="F3875" s="1">
        <v>9</v>
      </c>
      <c r="G3875" s="1">
        <v>6</v>
      </c>
      <c r="H3875" s="1">
        <v>0</v>
      </c>
      <c r="I3875" s="1">
        <v>0</v>
      </c>
      <c r="J3875" s="1">
        <v>0</v>
      </c>
      <c r="K3875" s="1">
        <v>0</v>
      </c>
      <c r="L3875" s="1">
        <v>0</v>
      </c>
      <c r="M3875" s="1">
        <v>1</v>
      </c>
    </row>
    <row r="3876" spans="1:13">
      <c r="A3876" s="1">
        <v>3875</v>
      </c>
      <c r="B3876" s="1">
        <v>986043.71680000005</v>
      </c>
      <c r="C3876" s="1">
        <v>1010822.621830668</v>
      </c>
      <c r="D3876" s="1">
        <f t="shared" si="60"/>
        <v>-24778.905030667898</v>
      </c>
      <c r="E3876" s="1">
        <v>12</v>
      </c>
      <c r="F3876" s="1">
        <v>19</v>
      </c>
      <c r="G3876" s="1">
        <v>4</v>
      </c>
      <c r="H3876" s="1">
        <v>1</v>
      </c>
      <c r="I3876" s="1">
        <v>0</v>
      </c>
      <c r="J3876" s="1">
        <v>0</v>
      </c>
      <c r="K3876" s="1">
        <v>1</v>
      </c>
      <c r="L3876" s="1">
        <v>0</v>
      </c>
      <c r="M3876" s="1">
        <v>0</v>
      </c>
    </row>
    <row r="3877" spans="1:13">
      <c r="A3877" s="1">
        <v>3876</v>
      </c>
      <c r="B3877" s="1">
        <v>912811.43779999996</v>
      </c>
      <c r="C3877" s="1">
        <v>1828835.5234896387</v>
      </c>
      <c r="D3877" s="1">
        <f t="shared" si="60"/>
        <v>-916024.08568963874</v>
      </c>
      <c r="E3877" s="1">
        <v>11</v>
      </c>
      <c r="F3877" s="1">
        <v>19</v>
      </c>
      <c r="G3877" s="1">
        <v>5</v>
      </c>
      <c r="H3877" s="1">
        <v>1</v>
      </c>
      <c r="I3877" s="1">
        <v>0</v>
      </c>
      <c r="J3877" s="1">
        <v>2</v>
      </c>
      <c r="K3877" s="1">
        <v>0</v>
      </c>
      <c r="L3877" s="1">
        <v>0</v>
      </c>
      <c r="M3877" s="1">
        <v>1</v>
      </c>
    </row>
    <row r="3878" spans="1:13">
      <c r="A3878" s="1">
        <v>3877</v>
      </c>
      <c r="B3878" s="1">
        <v>936112.18720000004</v>
      </c>
      <c r="C3878" s="1">
        <v>766785.14638239203</v>
      </c>
      <c r="D3878" s="1">
        <f t="shared" si="60"/>
        <v>169327.04081760801</v>
      </c>
      <c r="E3878" s="1">
        <v>9</v>
      </c>
      <c r="F3878" s="1">
        <v>21</v>
      </c>
      <c r="G3878" s="1">
        <v>5</v>
      </c>
      <c r="H3878" s="1">
        <v>0</v>
      </c>
      <c r="I3878" s="1">
        <v>0</v>
      </c>
      <c r="J3878" s="1">
        <v>1</v>
      </c>
      <c r="K3878" s="1">
        <v>1</v>
      </c>
      <c r="L3878" s="1">
        <v>0</v>
      </c>
      <c r="M3878" s="1">
        <v>1</v>
      </c>
    </row>
    <row r="3879" spans="1:13">
      <c r="A3879" s="1">
        <v>3878</v>
      </c>
      <c r="B3879" s="1">
        <v>929518.55</v>
      </c>
      <c r="C3879" s="1">
        <v>760490.79983387457</v>
      </c>
      <c r="D3879" s="1">
        <f t="shared" si="60"/>
        <v>169027.75016612548</v>
      </c>
      <c r="E3879" s="1">
        <v>12</v>
      </c>
      <c r="F3879" s="1">
        <v>17</v>
      </c>
      <c r="G3879" s="1">
        <v>6</v>
      </c>
      <c r="H3879" s="1">
        <v>1</v>
      </c>
      <c r="I3879" s="1">
        <v>1</v>
      </c>
      <c r="J3879" s="1">
        <v>0</v>
      </c>
      <c r="K3879" s="1">
        <v>0</v>
      </c>
      <c r="L3879" s="1">
        <v>0</v>
      </c>
      <c r="M3879" s="1">
        <v>0</v>
      </c>
    </row>
    <row r="3880" spans="1:13">
      <c r="A3880" s="1">
        <v>3879</v>
      </c>
      <c r="B3880" s="1">
        <v>985170.84849999996</v>
      </c>
      <c r="C3880" s="1">
        <v>1459399.7532659769</v>
      </c>
      <c r="D3880" s="1">
        <f t="shared" si="60"/>
        <v>-474228.90476597694</v>
      </c>
      <c r="E3880" s="1">
        <v>16</v>
      </c>
      <c r="F3880" s="1">
        <v>12</v>
      </c>
      <c r="G3880" s="1">
        <v>7</v>
      </c>
      <c r="H3880" s="1">
        <v>2</v>
      </c>
      <c r="I3880" s="1">
        <v>0</v>
      </c>
      <c r="J3880" s="1">
        <v>1</v>
      </c>
      <c r="K3880" s="1">
        <v>0</v>
      </c>
      <c r="L3880" s="1">
        <v>0</v>
      </c>
      <c r="M3880" s="1">
        <v>1</v>
      </c>
    </row>
    <row r="3881" spans="1:13">
      <c r="A3881" s="1">
        <v>3880</v>
      </c>
      <c r="B3881" s="1">
        <v>1028545.8435</v>
      </c>
      <c r="C3881" s="1">
        <v>523467.93087657797</v>
      </c>
      <c r="D3881" s="1">
        <f t="shared" si="60"/>
        <v>505077.91262342199</v>
      </c>
      <c r="E3881" s="1">
        <v>15</v>
      </c>
      <c r="F3881" s="1">
        <v>15</v>
      </c>
      <c r="G3881" s="1">
        <v>5</v>
      </c>
      <c r="H3881" s="1">
        <v>1</v>
      </c>
      <c r="I3881" s="1">
        <v>1</v>
      </c>
      <c r="J3881" s="1">
        <v>0</v>
      </c>
      <c r="K3881" s="1">
        <v>0</v>
      </c>
      <c r="L3881" s="1">
        <v>0</v>
      </c>
      <c r="M3881" s="1">
        <v>0</v>
      </c>
    </row>
    <row r="3882" spans="1:13">
      <c r="A3882" s="1">
        <v>3881</v>
      </c>
      <c r="B3882" s="1">
        <v>932787.70109999995</v>
      </c>
      <c r="C3882" s="1">
        <v>965743.47107085085</v>
      </c>
      <c r="D3882" s="1">
        <f t="shared" si="60"/>
        <v>-32955.769970850903</v>
      </c>
      <c r="E3882" s="1">
        <v>15</v>
      </c>
      <c r="F3882" s="1">
        <v>19</v>
      </c>
      <c r="G3882" s="1">
        <v>1</v>
      </c>
      <c r="H3882" s="1">
        <v>0</v>
      </c>
      <c r="I3882" s="1">
        <v>0</v>
      </c>
      <c r="J3882" s="1">
        <v>0</v>
      </c>
      <c r="K3882" s="1">
        <v>0</v>
      </c>
      <c r="L3882" s="1">
        <v>1</v>
      </c>
      <c r="M3882" s="1">
        <v>0</v>
      </c>
    </row>
    <row r="3883" spans="1:13">
      <c r="A3883" s="1">
        <v>3882</v>
      </c>
      <c r="B3883" s="1">
        <v>874222.10560000001</v>
      </c>
      <c r="C3883" s="1">
        <v>539473.58520583285</v>
      </c>
      <c r="D3883" s="1">
        <f t="shared" si="60"/>
        <v>334748.52039416716</v>
      </c>
      <c r="E3883" s="1">
        <v>13</v>
      </c>
      <c r="F3883" s="1">
        <v>16</v>
      </c>
      <c r="G3883" s="1">
        <v>6</v>
      </c>
      <c r="H3883" s="1">
        <v>1</v>
      </c>
      <c r="I3883" s="1">
        <v>0</v>
      </c>
      <c r="J3883" s="1">
        <v>0</v>
      </c>
      <c r="K3883" s="1">
        <v>2</v>
      </c>
      <c r="L3883" s="1">
        <v>0</v>
      </c>
      <c r="M3883" s="1">
        <v>0</v>
      </c>
    </row>
    <row r="3884" spans="1:13">
      <c r="A3884" s="1">
        <v>3883</v>
      </c>
      <c r="B3884" s="1">
        <v>962572.32479999994</v>
      </c>
      <c r="C3884" s="1">
        <v>1082622.7530486926</v>
      </c>
      <c r="D3884" s="1">
        <f t="shared" si="60"/>
        <v>-120050.42824869265</v>
      </c>
      <c r="E3884" s="1">
        <v>8</v>
      </c>
      <c r="F3884" s="1">
        <v>20</v>
      </c>
      <c r="G3884" s="1">
        <v>7</v>
      </c>
      <c r="H3884" s="1">
        <v>1</v>
      </c>
      <c r="I3884" s="1">
        <v>0</v>
      </c>
      <c r="J3884" s="1">
        <v>1</v>
      </c>
      <c r="K3884" s="1">
        <v>0</v>
      </c>
      <c r="L3884" s="1">
        <v>0</v>
      </c>
      <c r="M3884" s="1">
        <v>0</v>
      </c>
    </row>
    <row r="3885" spans="1:13">
      <c r="A3885" s="1">
        <v>3884</v>
      </c>
      <c r="B3885" s="1">
        <v>907325.02379999997</v>
      </c>
      <c r="C3885" s="1">
        <v>669354.99248427118</v>
      </c>
      <c r="D3885" s="1">
        <f t="shared" si="60"/>
        <v>237970.03131572879</v>
      </c>
      <c r="E3885" s="1">
        <v>16</v>
      </c>
      <c r="F3885" s="1">
        <v>15</v>
      </c>
      <c r="G3885" s="1">
        <v>4</v>
      </c>
      <c r="H3885" s="1">
        <v>2</v>
      </c>
      <c r="I3885" s="1">
        <v>0</v>
      </c>
      <c r="J3885" s="1">
        <v>1</v>
      </c>
      <c r="K3885" s="1">
        <v>1</v>
      </c>
      <c r="L3885" s="1">
        <v>0</v>
      </c>
      <c r="M3885" s="1">
        <v>0</v>
      </c>
    </row>
    <row r="3886" spans="1:13">
      <c r="A3886" s="1">
        <v>3885</v>
      </c>
      <c r="B3886" s="1">
        <v>992356.30359999998</v>
      </c>
      <c r="C3886" s="1">
        <v>934339.65381474514</v>
      </c>
      <c r="D3886" s="1">
        <f t="shared" si="60"/>
        <v>58016.649785254849</v>
      </c>
      <c r="E3886" s="1">
        <v>14</v>
      </c>
      <c r="F3886" s="1">
        <v>14</v>
      </c>
      <c r="G3886" s="1">
        <v>7</v>
      </c>
      <c r="H3886" s="1">
        <v>1</v>
      </c>
      <c r="I3886" s="1">
        <v>0</v>
      </c>
      <c r="J3886" s="1">
        <v>0</v>
      </c>
      <c r="K3886" s="1">
        <v>0</v>
      </c>
      <c r="L3886" s="1">
        <v>0</v>
      </c>
      <c r="M3886" s="1">
        <v>0</v>
      </c>
    </row>
    <row r="3887" spans="1:13">
      <c r="A3887" s="1">
        <v>3886</v>
      </c>
      <c r="B3887" s="1">
        <v>855670.50450000004</v>
      </c>
      <c r="C3887" s="1">
        <v>833989.73130659689</v>
      </c>
      <c r="D3887" s="1">
        <f t="shared" si="60"/>
        <v>21680.773193403147</v>
      </c>
      <c r="E3887" s="1">
        <v>17</v>
      </c>
      <c r="F3887" s="1">
        <v>15</v>
      </c>
      <c r="G3887" s="1">
        <v>3</v>
      </c>
      <c r="H3887" s="1">
        <v>2</v>
      </c>
      <c r="I3887" s="1">
        <v>0</v>
      </c>
      <c r="J3887" s="1">
        <v>1</v>
      </c>
      <c r="K3887" s="1">
        <v>1</v>
      </c>
      <c r="L3887" s="1">
        <v>0</v>
      </c>
      <c r="M3887" s="1">
        <v>0</v>
      </c>
    </row>
    <row r="3888" spans="1:13">
      <c r="A3888" s="1">
        <v>3887</v>
      </c>
      <c r="B3888" s="1">
        <v>1005521.4697</v>
      </c>
      <c r="C3888" s="1">
        <v>946978.32526491373</v>
      </c>
      <c r="D3888" s="1">
        <f t="shared" si="60"/>
        <v>58543.144435086288</v>
      </c>
      <c r="E3888" s="1">
        <v>15</v>
      </c>
      <c r="F3888" s="1">
        <v>16</v>
      </c>
      <c r="G3888" s="1">
        <v>4</v>
      </c>
      <c r="H3888" s="1">
        <v>1</v>
      </c>
      <c r="I3888" s="1">
        <v>0</v>
      </c>
      <c r="J3888" s="1">
        <v>1</v>
      </c>
      <c r="K3888" s="1">
        <v>1</v>
      </c>
      <c r="L3888" s="1">
        <v>0</v>
      </c>
      <c r="M3888" s="1">
        <v>0</v>
      </c>
    </row>
    <row r="3889" spans="1:13">
      <c r="A3889" s="1">
        <v>3888</v>
      </c>
      <c r="B3889" s="1">
        <v>821861.35069999995</v>
      </c>
      <c r="C3889" s="1">
        <v>1489528.4735474435</v>
      </c>
      <c r="D3889" s="1">
        <f t="shared" si="60"/>
        <v>-667667.12284744356</v>
      </c>
      <c r="E3889" s="1">
        <v>23</v>
      </c>
      <c r="F3889" s="1">
        <v>7</v>
      </c>
      <c r="G3889" s="1">
        <v>5</v>
      </c>
      <c r="H3889" s="1">
        <v>1</v>
      </c>
      <c r="I3889" s="1">
        <v>0</v>
      </c>
      <c r="J3889" s="1">
        <v>0</v>
      </c>
      <c r="K3889" s="1">
        <v>0</v>
      </c>
      <c r="L3889" s="1">
        <v>0</v>
      </c>
      <c r="M3889" s="1">
        <v>1</v>
      </c>
    </row>
    <row r="3890" spans="1:13">
      <c r="A3890" s="1">
        <v>3889</v>
      </c>
      <c r="B3890" s="1">
        <v>966942.34210000001</v>
      </c>
      <c r="C3890" s="1">
        <v>1194877.989156713</v>
      </c>
      <c r="D3890" s="1">
        <f t="shared" si="60"/>
        <v>-227935.647056713</v>
      </c>
      <c r="E3890" s="1">
        <v>17</v>
      </c>
      <c r="F3890" s="1">
        <v>12</v>
      </c>
      <c r="G3890" s="1">
        <v>6</v>
      </c>
      <c r="H3890" s="1">
        <v>0</v>
      </c>
      <c r="I3890" s="1">
        <v>0</v>
      </c>
      <c r="J3890" s="1">
        <v>0</v>
      </c>
      <c r="K3890" s="1">
        <v>0</v>
      </c>
      <c r="L3890" s="1">
        <v>1</v>
      </c>
      <c r="M3890" s="1">
        <v>1</v>
      </c>
    </row>
    <row r="3891" spans="1:13">
      <c r="A3891" s="1">
        <v>3890</v>
      </c>
      <c r="B3891" s="1">
        <v>895301.01839999994</v>
      </c>
      <c r="C3891" s="1">
        <v>998042.33293598262</v>
      </c>
      <c r="D3891" s="1">
        <f t="shared" si="60"/>
        <v>-102741.31453598267</v>
      </c>
      <c r="E3891" s="1">
        <v>9</v>
      </c>
      <c r="F3891" s="1">
        <v>24</v>
      </c>
      <c r="G3891" s="1">
        <v>2</v>
      </c>
      <c r="H3891" s="1">
        <v>0</v>
      </c>
      <c r="I3891" s="1">
        <v>1</v>
      </c>
      <c r="J3891" s="1">
        <v>0</v>
      </c>
      <c r="K3891" s="1">
        <v>2</v>
      </c>
      <c r="L3891" s="1">
        <v>0</v>
      </c>
      <c r="M3891" s="1">
        <v>1</v>
      </c>
    </row>
    <row r="3892" spans="1:13">
      <c r="A3892" s="1">
        <v>3891</v>
      </c>
      <c r="B3892" s="1">
        <v>891681.82030000002</v>
      </c>
      <c r="C3892" s="1">
        <v>1042120.7100535096</v>
      </c>
      <c r="D3892" s="1">
        <f t="shared" si="60"/>
        <v>-150438.88975350955</v>
      </c>
      <c r="E3892" s="1">
        <v>16</v>
      </c>
      <c r="F3892" s="1">
        <v>15</v>
      </c>
      <c r="G3892" s="1">
        <v>4</v>
      </c>
      <c r="H3892" s="1">
        <v>0</v>
      </c>
      <c r="I3892" s="1">
        <v>0</v>
      </c>
      <c r="J3892" s="1">
        <v>0</v>
      </c>
      <c r="K3892" s="1">
        <v>2</v>
      </c>
      <c r="L3892" s="1">
        <v>0</v>
      </c>
      <c r="M3892" s="1">
        <v>1</v>
      </c>
    </row>
    <row r="3893" spans="1:13">
      <c r="A3893" s="1">
        <v>3892</v>
      </c>
      <c r="B3893" s="1">
        <v>947657.29339999997</v>
      </c>
      <c r="C3893" s="1">
        <v>999122.32645139098</v>
      </c>
      <c r="D3893" s="1">
        <f t="shared" si="60"/>
        <v>-51465.033051391016</v>
      </c>
      <c r="E3893" s="1">
        <v>13</v>
      </c>
      <c r="F3893" s="1">
        <v>14</v>
      </c>
      <c r="G3893" s="1">
        <v>8</v>
      </c>
      <c r="H3893" s="1">
        <v>1</v>
      </c>
      <c r="I3893" s="1">
        <v>0</v>
      </c>
      <c r="J3893" s="1">
        <v>0</v>
      </c>
      <c r="K3893" s="1">
        <v>0</v>
      </c>
      <c r="L3893" s="1">
        <v>0</v>
      </c>
      <c r="M3893" s="1">
        <v>0</v>
      </c>
    </row>
    <row r="3894" spans="1:13">
      <c r="A3894" s="1">
        <v>3893</v>
      </c>
      <c r="B3894" s="1">
        <v>895052.04579999996</v>
      </c>
      <c r="C3894" s="1">
        <v>1459988.4203913943</v>
      </c>
      <c r="D3894" s="1">
        <f t="shared" si="60"/>
        <v>-564936.37459139433</v>
      </c>
      <c r="E3894" s="1">
        <v>14</v>
      </c>
      <c r="F3894" s="1">
        <v>17</v>
      </c>
      <c r="G3894" s="1">
        <v>4</v>
      </c>
      <c r="H3894" s="1">
        <v>0</v>
      </c>
      <c r="I3894" s="1">
        <v>1</v>
      </c>
      <c r="J3894" s="1">
        <v>0</v>
      </c>
      <c r="K3894" s="1">
        <v>0</v>
      </c>
      <c r="L3894" s="1">
        <v>0</v>
      </c>
      <c r="M3894" s="1">
        <v>0</v>
      </c>
    </row>
    <row r="3895" spans="1:13">
      <c r="A3895" s="1">
        <v>3894</v>
      </c>
      <c r="B3895" s="1">
        <v>950169.60629999998</v>
      </c>
      <c r="C3895" s="1">
        <v>1192385.5224434289</v>
      </c>
      <c r="D3895" s="1">
        <f t="shared" si="60"/>
        <v>-242215.91614342888</v>
      </c>
      <c r="E3895" s="1">
        <v>10</v>
      </c>
      <c r="F3895" s="1">
        <v>17</v>
      </c>
      <c r="G3895" s="1">
        <v>8</v>
      </c>
      <c r="H3895" s="1">
        <v>2</v>
      </c>
      <c r="I3895" s="1">
        <v>0</v>
      </c>
      <c r="J3895" s="1">
        <v>2</v>
      </c>
      <c r="K3895" s="1">
        <v>0</v>
      </c>
      <c r="L3895" s="1">
        <v>0</v>
      </c>
      <c r="M3895" s="1">
        <v>1</v>
      </c>
    </row>
    <row r="3896" spans="1:13">
      <c r="A3896" s="1">
        <v>3895</v>
      </c>
      <c r="B3896" s="1">
        <v>900830.70400000003</v>
      </c>
      <c r="C3896" s="1">
        <v>1051522.8977608199</v>
      </c>
      <c r="D3896" s="1">
        <f t="shared" si="60"/>
        <v>-150692.19376081985</v>
      </c>
      <c r="E3896" s="1">
        <v>17</v>
      </c>
      <c r="F3896" s="1">
        <v>13</v>
      </c>
      <c r="G3896" s="1">
        <v>5</v>
      </c>
      <c r="H3896" s="1">
        <v>1</v>
      </c>
      <c r="I3896" s="1">
        <v>0</v>
      </c>
      <c r="J3896" s="1">
        <v>0</v>
      </c>
      <c r="K3896" s="1">
        <v>0</v>
      </c>
      <c r="L3896" s="1">
        <v>0</v>
      </c>
      <c r="M3896" s="1">
        <v>0</v>
      </c>
    </row>
    <row r="3897" spans="1:13">
      <c r="A3897" s="1">
        <v>3896</v>
      </c>
      <c r="B3897" s="1">
        <v>1025664.0984</v>
      </c>
      <c r="C3897" s="1">
        <v>592311.47776891897</v>
      </c>
      <c r="D3897" s="1">
        <f t="shared" si="60"/>
        <v>433352.62063108105</v>
      </c>
      <c r="E3897" s="1">
        <v>10</v>
      </c>
      <c r="F3897" s="1">
        <v>20</v>
      </c>
      <c r="G3897" s="1">
        <v>5</v>
      </c>
      <c r="H3897" s="1">
        <v>0</v>
      </c>
      <c r="I3897" s="1">
        <v>0</v>
      </c>
      <c r="J3897" s="1">
        <v>1</v>
      </c>
      <c r="K3897" s="1">
        <v>1</v>
      </c>
      <c r="L3897" s="1">
        <v>0</v>
      </c>
      <c r="M3897" s="1">
        <v>1</v>
      </c>
    </row>
    <row r="3898" spans="1:13">
      <c r="A3898" s="1">
        <v>3897</v>
      </c>
      <c r="B3898" s="1">
        <v>1118234.2592</v>
      </c>
      <c r="C3898" s="1">
        <v>641729.96313197783</v>
      </c>
      <c r="D3898" s="1">
        <f t="shared" si="60"/>
        <v>476504.29606802214</v>
      </c>
      <c r="E3898" s="1">
        <v>2</v>
      </c>
      <c r="F3898" s="1">
        <v>24</v>
      </c>
      <c r="G3898" s="1">
        <v>9</v>
      </c>
      <c r="H3898" s="1">
        <v>0</v>
      </c>
      <c r="I3898" s="1">
        <v>1</v>
      </c>
      <c r="J3898" s="1">
        <v>0</v>
      </c>
      <c r="K3898" s="1">
        <v>1</v>
      </c>
      <c r="L3898" s="1">
        <v>0</v>
      </c>
      <c r="M3898" s="1">
        <v>0</v>
      </c>
    </row>
    <row r="3899" spans="1:13">
      <c r="A3899" s="1">
        <v>3898</v>
      </c>
      <c r="B3899" s="1">
        <v>953883.50410000002</v>
      </c>
      <c r="C3899" s="1">
        <v>1164607.3775237561</v>
      </c>
      <c r="D3899" s="1">
        <f t="shared" si="60"/>
        <v>-210723.8734237561</v>
      </c>
      <c r="E3899" s="1">
        <v>13</v>
      </c>
      <c r="F3899" s="1">
        <v>17</v>
      </c>
      <c r="G3899" s="1">
        <v>5</v>
      </c>
      <c r="H3899" s="1">
        <v>0</v>
      </c>
      <c r="I3899" s="1">
        <v>0</v>
      </c>
      <c r="J3899" s="1">
        <v>1</v>
      </c>
      <c r="K3899" s="1">
        <v>1</v>
      </c>
      <c r="L3899" s="1">
        <v>0</v>
      </c>
      <c r="M3899" s="1">
        <v>0</v>
      </c>
    </row>
    <row r="3900" spans="1:13">
      <c r="A3900" s="1">
        <v>3899</v>
      </c>
      <c r="B3900" s="1">
        <v>973594.87159999995</v>
      </c>
      <c r="C3900" s="1">
        <v>588921.75727450685</v>
      </c>
      <c r="D3900" s="1">
        <f t="shared" si="60"/>
        <v>384673.11432549311</v>
      </c>
      <c r="E3900" s="1">
        <v>10</v>
      </c>
      <c r="F3900" s="1">
        <v>18</v>
      </c>
      <c r="G3900" s="1">
        <v>7</v>
      </c>
      <c r="H3900" s="1">
        <v>0</v>
      </c>
      <c r="I3900" s="1">
        <v>0</v>
      </c>
      <c r="J3900" s="1">
        <v>1</v>
      </c>
      <c r="K3900" s="1">
        <v>1</v>
      </c>
      <c r="L3900" s="1">
        <v>0</v>
      </c>
      <c r="M3900" s="1">
        <v>0</v>
      </c>
    </row>
    <row r="3901" spans="1:13">
      <c r="A3901" s="1">
        <v>3900</v>
      </c>
      <c r="B3901" s="1">
        <v>855661.75049999997</v>
      </c>
      <c r="C3901" s="1">
        <v>1474334.0355087577</v>
      </c>
      <c r="D3901" s="1">
        <f t="shared" si="60"/>
        <v>-618672.28500875772</v>
      </c>
      <c r="E3901" s="1">
        <v>16</v>
      </c>
      <c r="F3901" s="1">
        <v>15</v>
      </c>
      <c r="G3901" s="1">
        <v>4</v>
      </c>
      <c r="H3901" s="1">
        <v>2</v>
      </c>
      <c r="I3901" s="1">
        <v>0</v>
      </c>
      <c r="J3901" s="1">
        <v>0</v>
      </c>
      <c r="K3901" s="1">
        <v>1</v>
      </c>
      <c r="L3901" s="1">
        <v>0</v>
      </c>
      <c r="M3901" s="1">
        <v>0</v>
      </c>
    </row>
    <row r="3902" spans="1:13">
      <c r="A3902" s="1">
        <v>3901</v>
      </c>
      <c r="B3902" s="1">
        <v>944875.00170000002</v>
      </c>
      <c r="C3902" s="1">
        <v>823466.18775875797</v>
      </c>
      <c r="D3902" s="1">
        <f t="shared" si="60"/>
        <v>121408.81394124206</v>
      </c>
      <c r="E3902" s="1">
        <v>17</v>
      </c>
      <c r="F3902" s="1">
        <v>15</v>
      </c>
      <c r="G3902" s="1">
        <v>3</v>
      </c>
      <c r="H3902" s="1">
        <v>0</v>
      </c>
      <c r="I3902" s="1">
        <v>0</v>
      </c>
      <c r="J3902" s="1">
        <v>0</v>
      </c>
      <c r="K3902" s="1">
        <v>0</v>
      </c>
      <c r="L3902" s="1">
        <v>0</v>
      </c>
      <c r="M3902" s="1">
        <v>0</v>
      </c>
    </row>
    <row r="3903" spans="1:13">
      <c r="A3903" s="1">
        <v>3902</v>
      </c>
      <c r="B3903" s="1">
        <v>941822.12100000004</v>
      </c>
      <c r="C3903" s="1">
        <v>739238.80687982053</v>
      </c>
      <c r="D3903" s="1">
        <f t="shared" si="60"/>
        <v>202583.31412017951</v>
      </c>
      <c r="E3903" s="1">
        <v>14</v>
      </c>
      <c r="F3903" s="1">
        <v>14</v>
      </c>
      <c r="G3903" s="1">
        <v>7</v>
      </c>
      <c r="H3903" s="1">
        <v>2</v>
      </c>
      <c r="I3903" s="1">
        <v>0</v>
      </c>
      <c r="J3903" s="1">
        <v>0</v>
      </c>
      <c r="K3903" s="1">
        <v>2</v>
      </c>
      <c r="L3903" s="1">
        <v>0</v>
      </c>
      <c r="M3903" s="1">
        <v>0</v>
      </c>
    </row>
    <row r="3904" spans="1:13">
      <c r="A3904" s="1">
        <v>3903</v>
      </c>
      <c r="B3904" s="1">
        <v>1004868.2363</v>
      </c>
      <c r="C3904" s="1">
        <v>470792.03984008683</v>
      </c>
      <c r="D3904" s="1">
        <f t="shared" si="60"/>
        <v>534076.19645991316</v>
      </c>
      <c r="E3904" s="1">
        <v>10</v>
      </c>
      <c r="F3904" s="1">
        <v>19</v>
      </c>
      <c r="G3904" s="1">
        <v>6</v>
      </c>
      <c r="H3904" s="1">
        <v>1</v>
      </c>
      <c r="I3904" s="1">
        <v>0</v>
      </c>
      <c r="J3904" s="1">
        <v>1</v>
      </c>
      <c r="K3904" s="1">
        <v>0</v>
      </c>
      <c r="L3904" s="1">
        <v>0</v>
      </c>
      <c r="M3904" s="1">
        <v>0</v>
      </c>
    </row>
    <row r="3905" spans="1:13">
      <c r="A3905" s="1">
        <v>3904</v>
      </c>
      <c r="B3905" s="1">
        <v>881356.49959999998</v>
      </c>
      <c r="C3905" s="1">
        <v>1068813.8313362752</v>
      </c>
      <c r="D3905" s="1">
        <f t="shared" si="60"/>
        <v>-187457.33173627523</v>
      </c>
      <c r="E3905" s="1">
        <v>20</v>
      </c>
      <c r="F3905" s="1">
        <v>9</v>
      </c>
      <c r="G3905" s="1">
        <v>6</v>
      </c>
      <c r="H3905" s="1">
        <v>2</v>
      </c>
      <c r="I3905" s="1">
        <v>0</v>
      </c>
      <c r="J3905" s="1">
        <v>1</v>
      </c>
      <c r="K3905" s="1">
        <v>1</v>
      </c>
      <c r="L3905" s="1">
        <v>0</v>
      </c>
      <c r="M3905" s="1">
        <v>0</v>
      </c>
    </row>
    <row r="3906" spans="1:13">
      <c r="A3906" s="1">
        <v>3905</v>
      </c>
      <c r="B3906" s="1">
        <v>966940.06079999998</v>
      </c>
      <c r="C3906" s="1">
        <v>814626.5120461639</v>
      </c>
      <c r="D3906" s="1">
        <f t="shared" ref="D3906:D3969" si="61">B3906-C3906</f>
        <v>152313.54875383608</v>
      </c>
      <c r="E3906" s="1">
        <v>10</v>
      </c>
      <c r="F3906" s="1">
        <v>19</v>
      </c>
      <c r="G3906" s="1">
        <v>6</v>
      </c>
      <c r="H3906" s="1">
        <v>2</v>
      </c>
      <c r="I3906" s="1">
        <v>0</v>
      </c>
      <c r="J3906" s="1">
        <v>0</v>
      </c>
      <c r="K3906" s="1">
        <v>0</v>
      </c>
      <c r="L3906" s="1">
        <v>0</v>
      </c>
      <c r="M3906" s="1">
        <v>0</v>
      </c>
    </row>
    <row r="3907" spans="1:13">
      <c r="A3907" s="1">
        <v>3906</v>
      </c>
      <c r="B3907" s="1">
        <v>1089897.4358000001</v>
      </c>
      <c r="C3907" s="1">
        <v>1015895.6581476049</v>
      </c>
      <c r="D3907" s="1">
        <f t="shared" si="61"/>
        <v>74001.777652395191</v>
      </c>
      <c r="E3907" s="1">
        <v>13</v>
      </c>
      <c r="F3907" s="1">
        <v>17</v>
      </c>
      <c r="G3907" s="1">
        <v>5</v>
      </c>
      <c r="H3907" s="1">
        <v>1</v>
      </c>
      <c r="I3907" s="1">
        <v>0</v>
      </c>
      <c r="J3907" s="1">
        <v>1</v>
      </c>
      <c r="K3907" s="1">
        <v>1</v>
      </c>
      <c r="L3907" s="1">
        <v>0</v>
      </c>
      <c r="M3907" s="1">
        <v>1</v>
      </c>
    </row>
    <row r="3908" spans="1:13">
      <c r="A3908" s="1">
        <v>3907</v>
      </c>
      <c r="B3908" s="1">
        <v>899461.04960000003</v>
      </c>
      <c r="C3908" s="1">
        <v>1276412.3277368308</v>
      </c>
      <c r="D3908" s="1">
        <f t="shared" si="61"/>
        <v>-376951.27813683078</v>
      </c>
      <c r="E3908" s="1">
        <v>20</v>
      </c>
      <c r="F3908" s="1">
        <v>9</v>
      </c>
      <c r="G3908" s="1">
        <v>6</v>
      </c>
      <c r="H3908" s="1">
        <v>2</v>
      </c>
      <c r="I3908" s="1">
        <v>0</v>
      </c>
      <c r="J3908" s="1">
        <v>1</v>
      </c>
      <c r="K3908" s="1">
        <v>0</v>
      </c>
      <c r="L3908" s="1">
        <v>0</v>
      </c>
      <c r="M3908" s="1">
        <v>0</v>
      </c>
    </row>
    <row r="3909" spans="1:13">
      <c r="A3909" s="1">
        <v>3908</v>
      </c>
      <c r="B3909" s="1">
        <v>1039065.1121</v>
      </c>
      <c r="C3909" s="1">
        <v>600486.09730621963</v>
      </c>
      <c r="D3909" s="1">
        <f t="shared" si="61"/>
        <v>438579.0147937804</v>
      </c>
      <c r="E3909" s="1">
        <v>12</v>
      </c>
      <c r="F3909" s="1">
        <v>18</v>
      </c>
      <c r="G3909" s="1">
        <v>5</v>
      </c>
      <c r="H3909" s="1">
        <v>0</v>
      </c>
      <c r="I3909" s="1">
        <v>1</v>
      </c>
      <c r="J3909" s="1">
        <v>0</v>
      </c>
      <c r="K3909" s="1">
        <v>0</v>
      </c>
      <c r="L3909" s="1">
        <v>0</v>
      </c>
      <c r="M3909" s="1">
        <v>0</v>
      </c>
    </row>
    <row r="3910" spans="1:13">
      <c r="A3910" s="1">
        <v>3909</v>
      </c>
      <c r="B3910" s="1">
        <v>947634.3811</v>
      </c>
      <c r="C3910" s="1">
        <v>908184.79268715356</v>
      </c>
      <c r="D3910" s="1">
        <f t="shared" si="61"/>
        <v>39449.588412846439</v>
      </c>
      <c r="E3910" s="1">
        <v>20</v>
      </c>
      <c r="F3910" s="1">
        <v>10</v>
      </c>
      <c r="G3910" s="1">
        <v>5</v>
      </c>
      <c r="H3910" s="1">
        <v>0</v>
      </c>
      <c r="I3910" s="1">
        <v>0</v>
      </c>
      <c r="J3910" s="1">
        <v>2</v>
      </c>
      <c r="K3910" s="1">
        <v>0</v>
      </c>
      <c r="L3910" s="1">
        <v>0</v>
      </c>
      <c r="M3910" s="1">
        <v>0</v>
      </c>
    </row>
    <row r="3911" spans="1:13">
      <c r="A3911" s="1">
        <v>3910</v>
      </c>
      <c r="B3911" s="1">
        <v>832378.51610000001</v>
      </c>
      <c r="C3911" s="1">
        <v>984619.33920370613</v>
      </c>
      <c r="D3911" s="1">
        <f t="shared" si="61"/>
        <v>-152240.82310370612</v>
      </c>
      <c r="E3911" s="1">
        <v>13</v>
      </c>
      <c r="F3911" s="1">
        <v>17</v>
      </c>
      <c r="G3911" s="1">
        <v>5</v>
      </c>
      <c r="H3911" s="1">
        <v>1</v>
      </c>
      <c r="I3911" s="1">
        <v>0</v>
      </c>
      <c r="J3911" s="1">
        <v>0</v>
      </c>
      <c r="K3911" s="1">
        <v>0</v>
      </c>
      <c r="L3911" s="1">
        <v>0</v>
      </c>
      <c r="M3911" s="1">
        <v>0</v>
      </c>
    </row>
    <row r="3912" spans="1:13">
      <c r="A3912" s="1">
        <v>3911</v>
      </c>
      <c r="B3912" s="1">
        <v>847179.24</v>
      </c>
      <c r="C3912" s="1">
        <v>1040773.0914586206</v>
      </c>
      <c r="D3912" s="1">
        <f t="shared" si="61"/>
        <v>-193593.85145862063</v>
      </c>
      <c r="E3912" s="1">
        <v>17</v>
      </c>
      <c r="F3912" s="1">
        <v>12</v>
      </c>
      <c r="G3912" s="1">
        <v>6</v>
      </c>
      <c r="H3912" s="1">
        <v>0</v>
      </c>
      <c r="I3912" s="1">
        <v>0</v>
      </c>
      <c r="J3912" s="1">
        <v>1</v>
      </c>
      <c r="K3912" s="1">
        <v>0</v>
      </c>
      <c r="L3912" s="1">
        <v>0</v>
      </c>
      <c r="M3912" s="1">
        <v>1</v>
      </c>
    </row>
    <row r="3913" spans="1:13">
      <c r="A3913" s="1">
        <v>3912</v>
      </c>
      <c r="B3913" s="1">
        <v>900914.68469999998</v>
      </c>
      <c r="C3913" s="1">
        <v>969467.2758198129</v>
      </c>
      <c r="D3913" s="1">
        <f t="shared" si="61"/>
        <v>-68552.591119812918</v>
      </c>
      <c r="E3913" s="1">
        <v>13</v>
      </c>
      <c r="F3913" s="1">
        <v>16</v>
      </c>
      <c r="G3913" s="1">
        <v>6</v>
      </c>
      <c r="H3913" s="1">
        <v>0</v>
      </c>
      <c r="I3913" s="1">
        <v>0</v>
      </c>
      <c r="J3913" s="1">
        <v>2</v>
      </c>
      <c r="K3913" s="1">
        <v>0</v>
      </c>
      <c r="L3913" s="1">
        <v>0</v>
      </c>
      <c r="M3913" s="1">
        <v>0</v>
      </c>
    </row>
    <row r="3914" spans="1:13">
      <c r="A3914" s="1">
        <v>3913</v>
      </c>
      <c r="B3914" s="1">
        <v>952438.35340000002</v>
      </c>
      <c r="C3914" s="1">
        <v>937977.57271521818</v>
      </c>
      <c r="D3914" s="1">
        <f t="shared" si="61"/>
        <v>14460.780684781843</v>
      </c>
      <c r="E3914" s="1">
        <v>14</v>
      </c>
      <c r="F3914" s="1">
        <v>13</v>
      </c>
      <c r="G3914" s="1">
        <v>8</v>
      </c>
      <c r="H3914" s="1">
        <v>0</v>
      </c>
      <c r="I3914" s="1">
        <v>0</v>
      </c>
      <c r="J3914" s="1">
        <v>1</v>
      </c>
      <c r="K3914" s="1">
        <v>1</v>
      </c>
      <c r="L3914" s="1">
        <v>0</v>
      </c>
      <c r="M3914" s="1">
        <v>0</v>
      </c>
    </row>
    <row r="3915" spans="1:13">
      <c r="A3915" s="1">
        <v>3914</v>
      </c>
      <c r="B3915" s="1">
        <v>931829.70070000004</v>
      </c>
      <c r="C3915" s="1">
        <v>914369.59336769138</v>
      </c>
      <c r="D3915" s="1">
        <f t="shared" si="61"/>
        <v>17460.10733230866</v>
      </c>
      <c r="E3915" s="1">
        <v>7</v>
      </c>
      <c r="F3915" s="1">
        <v>20</v>
      </c>
      <c r="G3915" s="1">
        <v>8</v>
      </c>
      <c r="H3915" s="1">
        <v>1</v>
      </c>
      <c r="I3915" s="1">
        <v>0</v>
      </c>
      <c r="J3915" s="1">
        <v>1</v>
      </c>
      <c r="K3915" s="1">
        <v>1</v>
      </c>
      <c r="L3915" s="1">
        <v>0</v>
      </c>
      <c r="M3915" s="1">
        <v>0</v>
      </c>
    </row>
    <row r="3916" spans="1:13">
      <c r="A3916" s="1">
        <v>3915</v>
      </c>
      <c r="B3916" s="1">
        <v>889067.74419999996</v>
      </c>
      <c r="C3916" s="1">
        <v>1062435.1947471993</v>
      </c>
      <c r="D3916" s="1">
        <f t="shared" si="61"/>
        <v>-173367.45054719935</v>
      </c>
      <c r="E3916" s="1">
        <v>22</v>
      </c>
      <c r="F3916" s="1">
        <v>11</v>
      </c>
      <c r="G3916" s="1">
        <v>2</v>
      </c>
      <c r="H3916" s="1">
        <v>0</v>
      </c>
      <c r="I3916" s="1">
        <v>0</v>
      </c>
      <c r="J3916" s="1">
        <v>0</v>
      </c>
      <c r="K3916" s="1">
        <v>0</v>
      </c>
      <c r="L3916" s="1">
        <v>0</v>
      </c>
      <c r="M3916" s="1">
        <v>0</v>
      </c>
    </row>
    <row r="3917" spans="1:13">
      <c r="A3917" s="1">
        <v>3916</v>
      </c>
      <c r="B3917" s="1">
        <v>923594.4608</v>
      </c>
      <c r="C3917" s="1">
        <v>744610.10098939913</v>
      </c>
      <c r="D3917" s="1">
        <f t="shared" si="61"/>
        <v>178984.35981060087</v>
      </c>
      <c r="E3917" s="1">
        <v>17</v>
      </c>
      <c r="F3917" s="1">
        <v>12</v>
      </c>
      <c r="G3917" s="1">
        <v>6</v>
      </c>
      <c r="H3917" s="1">
        <v>1</v>
      </c>
      <c r="I3917" s="1">
        <v>0</v>
      </c>
      <c r="J3917" s="1">
        <v>0</v>
      </c>
      <c r="K3917" s="1">
        <v>2</v>
      </c>
      <c r="L3917" s="1">
        <v>0</v>
      </c>
      <c r="M3917" s="1">
        <v>1</v>
      </c>
    </row>
    <row r="3918" spans="1:13">
      <c r="A3918" s="1">
        <v>3917</v>
      </c>
      <c r="B3918" s="1">
        <v>988124.77359999996</v>
      </c>
      <c r="C3918" s="1">
        <v>1673660.419221139</v>
      </c>
      <c r="D3918" s="1">
        <f t="shared" si="61"/>
        <v>-685535.64562113909</v>
      </c>
      <c r="E3918" s="1">
        <v>5</v>
      </c>
      <c r="F3918" s="1">
        <v>25</v>
      </c>
      <c r="G3918" s="1">
        <v>5</v>
      </c>
      <c r="H3918" s="1">
        <v>0</v>
      </c>
      <c r="I3918" s="1">
        <v>0</v>
      </c>
      <c r="J3918" s="1">
        <v>1</v>
      </c>
      <c r="K3918" s="1">
        <v>1</v>
      </c>
      <c r="L3918" s="1">
        <v>0</v>
      </c>
      <c r="M3918" s="1">
        <v>0</v>
      </c>
    </row>
    <row r="3919" spans="1:13">
      <c r="A3919" s="1">
        <v>3918</v>
      </c>
      <c r="B3919" s="1">
        <v>821090.32270000002</v>
      </c>
      <c r="C3919" s="1">
        <v>726321.47104005527</v>
      </c>
      <c r="D3919" s="1">
        <f t="shared" si="61"/>
        <v>94768.851659944747</v>
      </c>
      <c r="E3919" s="1">
        <v>18</v>
      </c>
      <c r="F3919" s="1">
        <v>14</v>
      </c>
      <c r="G3919" s="1">
        <v>3</v>
      </c>
      <c r="H3919" s="1">
        <v>0</v>
      </c>
      <c r="I3919" s="1">
        <v>0</v>
      </c>
      <c r="J3919" s="1">
        <v>2</v>
      </c>
      <c r="K3919" s="1">
        <v>0</v>
      </c>
      <c r="L3919" s="1">
        <v>0</v>
      </c>
      <c r="M3919" s="1">
        <v>1</v>
      </c>
    </row>
    <row r="3920" spans="1:13">
      <c r="A3920" s="1">
        <v>3919</v>
      </c>
      <c r="B3920" s="1">
        <v>902809.22149999999</v>
      </c>
      <c r="C3920" s="1">
        <v>694297.37455315224</v>
      </c>
      <c r="D3920" s="1">
        <f t="shared" si="61"/>
        <v>208511.84694684774</v>
      </c>
      <c r="E3920" s="1">
        <v>22</v>
      </c>
      <c r="F3920" s="1">
        <v>9</v>
      </c>
      <c r="G3920" s="1">
        <v>4</v>
      </c>
      <c r="H3920" s="1">
        <v>0</v>
      </c>
      <c r="I3920" s="1">
        <v>0</v>
      </c>
      <c r="J3920" s="1">
        <v>1</v>
      </c>
      <c r="K3920" s="1">
        <v>0</v>
      </c>
      <c r="L3920" s="1">
        <v>0</v>
      </c>
      <c r="M3920" s="1">
        <v>0</v>
      </c>
    </row>
    <row r="3921" spans="1:13">
      <c r="A3921" s="1">
        <v>3920</v>
      </c>
      <c r="B3921" s="1">
        <v>954834.27749999997</v>
      </c>
      <c r="C3921" s="1">
        <v>1238656.8539435361</v>
      </c>
      <c r="D3921" s="1">
        <f t="shared" si="61"/>
        <v>-283822.57644353609</v>
      </c>
      <c r="E3921" s="1">
        <v>5</v>
      </c>
      <c r="F3921" s="1">
        <v>21</v>
      </c>
      <c r="G3921" s="1">
        <v>9</v>
      </c>
      <c r="H3921" s="1">
        <v>0</v>
      </c>
      <c r="I3921" s="1">
        <v>0</v>
      </c>
      <c r="J3921" s="1">
        <v>0</v>
      </c>
      <c r="K3921" s="1">
        <v>1</v>
      </c>
      <c r="L3921" s="1">
        <v>0</v>
      </c>
      <c r="M3921" s="1">
        <v>0</v>
      </c>
    </row>
    <row r="3922" spans="1:13">
      <c r="A3922" s="1">
        <v>3921</v>
      </c>
      <c r="B3922" s="1">
        <v>904687.08849999995</v>
      </c>
      <c r="C3922" s="1">
        <v>1683424.9254852533</v>
      </c>
      <c r="D3922" s="1">
        <f t="shared" si="61"/>
        <v>-778737.83698525338</v>
      </c>
      <c r="E3922" s="1">
        <v>13</v>
      </c>
      <c r="F3922" s="1">
        <v>15</v>
      </c>
      <c r="G3922" s="1">
        <v>7</v>
      </c>
      <c r="H3922" s="1">
        <v>0</v>
      </c>
      <c r="I3922" s="1">
        <v>0</v>
      </c>
      <c r="J3922" s="1">
        <v>1</v>
      </c>
      <c r="K3922" s="1">
        <v>0</v>
      </c>
      <c r="L3922" s="1">
        <v>0</v>
      </c>
      <c r="M3922" s="1">
        <v>0</v>
      </c>
    </row>
    <row r="3923" spans="1:13">
      <c r="A3923" s="1">
        <v>3922</v>
      </c>
      <c r="B3923" s="1">
        <v>917439.1838</v>
      </c>
      <c r="C3923" s="1">
        <v>839168.84252080135</v>
      </c>
      <c r="D3923" s="1">
        <f t="shared" si="61"/>
        <v>78270.341279198648</v>
      </c>
      <c r="E3923" s="1">
        <v>15</v>
      </c>
      <c r="F3923" s="1">
        <v>13</v>
      </c>
      <c r="G3923" s="1">
        <v>7</v>
      </c>
      <c r="H3923" s="1">
        <v>1</v>
      </c>
      <c r="I3923" s="1">
        <v>0</v>
      </c>
      <c r="J3923" s="1">
        <v>2</v>
      </c>
      <c r="K3923" s="1">
        <v>0</v>
      </c>
      <c r="L3923" s="1">
        <v>0</v>
      </c>
      <c r="M3923" s="1">
        <v>1</v>
      </c>
    </row>
    <row r="3924" spans="1:13">
      <c r="A3924" s="1">
        <v>3923</v>
      </c>
      <c r="B3924" s="1">
        <v>947212.12520000001</v>
      </c>
      <c r="C3924" s="1">
        <v>788482.07544247794</v>
      </c>
      <c r="D3924" s="1">
        <f t="shared" si="61"/>
        <v>158730.04975752207</v>
      </c>
      <c r="E3924" s="1">
        <v>10</v>
      </c>
      <c r="F3924" s="1">
        <v>20</v>
      </c>
      <c r="G3924" s="1">
        <v>5</v>
      </c>
      <c r="H3924" s="1">
        <v>0</v>
      </c>
      <c r="I3924" s="1">
        <v>0</v>
      </c>
      <c r="J3924" s="1">
        <v>0</v>
      </c>
      <c r="K3924" s="1">
        <v>0</v>
      </c>
      <c r="L3924" s="1">
        <v>0</v>
      </c>
      <c r="M3924" s="1">
        <v>0</v>
      </c>
    </row>
    <row r="3925" spans="1:13">
      <c r="A3925" s="1">
        <v>3924</v>
      </c>
      <c r="B3925" s="1">
        <v>988077.73950000003</v>
      </c>
      <c r="C3925" s="1">
        <v>913457.23093144991</v>
      </c>
      <c r="D3925" s="1">
        <f t="shared" si="61"/>
        <v>74620.508568550111</v>
      </c>
      <c r="E3925" s="1">
        <v>18</v>
      </c>
      <c r="F3925" s="1">
        <v>11</v>
      </c>
      <c r="G3925" s="1">
        <v>6</v>
      </c>
      <c r="H3925" s="1">
        <v>0</v>
      </c>
      <c r="I3925" s="1">
        <v>0</v>
      </c>
      <c r="J3925" s="1">
        <v>2</v>
      </c>
      <c r="K3925" s="1">
        <v>0</v>
      </c>
      <c r="L3925" s="1">
        <v>0</v>
      </c>
      <c r="M3925" s="1">
        <v>0</v>
      </c>
    </row>
    <row r="3926" spans="1:13">
      <c r="A3926" s="1">
        <v>3925</v>
      </c>
      <c r="B3926" s="1">
        <v>1019091.4983</v>
      </c>
      <c r="C3926" s="1">
        <v>922530.64758587361</v>
      </c>
      <c r="D3926" s="1">
        <f t="shared" si="61"/>
        <v>96560.850714126369</v>
      </c>
      <c r="E3926" s="1">
        <v>12</v>
      </c>
      <c r="F3926" s="1">
        <v>18</v>
      </c>
      <c r="G3926" s="1">
        <v>5</v>
      </c>
      <c r="H3926" s="1">
        <v>2</v>
      </c>
      <c r="I3926" s="1">
        <v>0</v>
      </c>
      <c r="J3926" s="1">
        <v>0</v>
      </c>
      <c r="K3926" s="1">
        <v>1</v>
      </c>
      <c r="L3926" s="1">
        <v>0</v>
      </c>
      <c r="M3926" s="1">
        <v>0</v>
      </c>
    </row>
    <row r="3927" spans="1:13">
      <c r="A3927" s="1">
        <v>3926</v>
      </c>
      <c r="B3927" s="1">
        <v>849136.4656</v>
      </c>
      <c r="C3927" s="1">
        <v>428556.38839792181</v>
      </c>
      <c r="D3927" s="1">
        <f t="shared" si="61"/>
        <v>420580.07720207819</v>
      </c>
      <c r="E3927" s="1">
        <v>12</v>
      </c>
      <c r="F3927" s="1">
        <v>18</v>
      </c>
      <c r="G3927" s="1">
        <v>5</v>
      </c>
      <c r="H3927" s="1">
        <v>1</v>
      </c>
      <c r="I3927" s="1">
        <v>1</v>
      </c>
      <c r="J3927" s="1">
        <v>1</v>
      </c>
      <c r="K3927" s="1">
        <v>0</v>
      </c>
      <c r="L3927" s="1">
        <v>0</v>
      </c>
      <c r="M3927" s="1">
        <v>0</v>
      </c>
    </row>
    <row r="3928" spans="1:13">
      <c r="A3928" s="1">
        <v>3927</v>
      </c>
      <c r="B3928" s="1">
        <v>970900.02300000004</v>
      </c>
      <c r="C3928" s="1">
        <v>1069729.980844588</v>
      </c>
      <c r="D3928" s="1">
        <f t="shared" si="61"/>
        <v>-98829.957844587974</v>
      </c>
      <c r="E3928" s="1">
        <v>13</v>
      </c>
      <c r="F3928" s="1">
        <v>18</v>
      </c>
      <c r="G3928" s="1">
        <v>4</v>
      </c>
      <c r="H3928" s="1">
        <v>0</v>
      </c>
      <c r="I3928" s="1">
        <v>1</v>
      </c>
      <c r="J3928" s="1">
        <v>2</v>
      </c>
      <c r="K3928" s="1">
        <v>0</v>
      </c>
      <c r="L3928" s="1">
        <v>0</v>
      </c>
      <c r="M3928" s="1">
        <v>0</v>
      </c>
    </row>
    <row r="3929" spans="1:13">
      <c r="A3929" s="1">
        <v>3928</v>
      </c>
      <c r="B3929" s="1">
        <v>911488.63280000002</v>
      </c>
      <c r="C3929" s="1">
        <v>823934.05041740788</v>
      </c>
      <c r="D3929" s="1">
        <f t="shared" si="61"/>
        <v>87554.58238259214</v>
      </c>
      <c r="E3929" s="1">
        <v>16</v>
      </c>
      <c r="F3929" s="1">
        <v>12</v>
      </c>
      <c r="G3929" s="1">
        <v>7</v>
      </c>
      <c r="H3929" s="1">
        <v>0</v>
      </c>
      <c r="I3929" s="1">
        <v>1</v>
      </c>
      <c r="J3929" s="1">
        <v>0</v>
      </c>
      <c r="K3929" s="1">
        <v>0</v>
      </c>
      <c r="L3929" s="1">
        <v>0</v>
      </c>
      <c r="M3929" s="1">
        <v>1</v>
      </c>
    </row>
    <row r="3930" spans="1:13">
      <c r="A3930" s="1">
        <v>3929</v>
      </c>
      <c r="B3930" s="1">
        <v>945611.93180000002</v>
      </c>
      <c r="C3930" s="1">
        <v>393954.55891648913</v>
      </c>
      <c r="D3930" s="1">
        <f t="shared" si="61"/>
        <v>551657.37288351089</v>
      </c>
      <c r="E3930" s="1">
        <v>17</v>
      </c>
      <c r="F3930" s="1">
        <v>13</v>
      </c>
      <c r="G3930" s="1">
        <v>5</v>
      </c>
      <c r="H3930" s="1">
        <v>1</v>
      </c>
      <c r="I3930" s="1">
        <v>0</v>
      </c>
      <c r="J3930" s="1">
        <v>0</v>
      </c>
      <c r="K3930" s="1">
        <v>1</v>
      </c>
      <c r="L3930" s="1">
        <v>0</v>
      </c>
      <c r="M3930" s="1">
        <v>1</v>
      </c>
    </row>
    <row r="3931" spans="1:13">
      <c r="A3931" s="1">
        <v>3930</v>
      </c>
      <c r="B3931" s="1">
        <v>840096.80070000002</v>
      </c>
      <c r="C3931" s="1">
        <v>908338.17931510555</v>
      </c>
      <c r="D3931" s="1">
        <f t="shared" si="61"/>
        <v>-68241.378615105525</v>
      </c>
      <c r="E3931" s="1">
        <v>18</v>
      </c>
      <c r="F3931" s="1">
        <v>12</v>
      </c>
      <c r="G3931" s="1">
        <v>5</v>
      </c>
      <c r="H3931" s="1">
        <v>1</v>
      </c>
      <c r="I3931" s="1">
        <v>1</v>
      </c>
      <c r="J3931" s="1">
        <v>0</v>
      </c>
      <c r="K3931" s="1">
        <v>1</v>
      </c>
      <c r="L3931" s="1">
        <v>0</v>
      </c>
      <c r="M3931" s="1">
        <v>0</v>
      </c>
    </row>
    <row r="3932" spans="1:13">
      <c r="A3932" s="1">
        <v>3931</v>
      </c>
      <c r="B3932" s="1">
        <v>945319.70880000002</v>
      </c>
      <c r="C3932" s="1">
        <v>803380.44622094638</v>
      </c>
      <c r="D3932" s="1">
        <f t="shared" si="61"/>
        <v>141939.26257905364</v>
      </c>
      <c r="E3932" s="1">
        <v>18</v>
      </c>
      <c r="F3932" s="1">
        <v>13</v>
      </c>
      <c r="G3932" s="1">
        <v>4</v>
      </c>
      <c r="H3932" s="1">
        <v>0</v>
      </c>
      <c r="I3932" s="1">
        <v>0</v>
      </c>
      <c r="J3932" s="1">
        <v>0</v>
      </c>
      <c r="K3932" s="1">
        <v>1</v>
      </c>
      <c r="L3932" s="1">
        <v>0</v>
      </c>
      <c r="M3932" s="1">
        <v>1</v>
      </c>
    </row>
    <row r="3933" spans="1:13">
      <c r="A3933" s="1">
        <v>3932</v>
      </c>
      <c r="B3933" s="1">
        <v>934004.46620000002</v>
      </c>
      <c r="C3933" s="1">
        <v>1160900.4739628118</v>
      </c>
      <c r="D3933" s="1">
        <f t="shared" si="61"/>
        <v>-226896.00776281173</v>
      </c>
      <c r="E3933" s="1">
        <v>9</v>
      </c>
      <c r="F3933" s="1">
        <v>21</v>
      </c>
      <c r="G3933" s="1">
        <v>5</v>
      </c>
      <c r="H3933" s="1">
        <v>0</v>
      </c>
      <c r="I3933" s="1">
        <v>1</v>
      </c>
      <c r="J3933" s="1">
        <v>0</v>
      </c>
      <c r="K3933" s="1">
        <v>1</v>
      </c>
      <c r="L3933" s="1">
        <v>1</v>
      </c>
      <c r="M3933" s="1">
        <v>0</v>
      </c>
    </row>
    <row r="3934" spans="1:13">
      <c r="A3934" s="1">
        <v>3933</v>
      </c>
      <c r="B3934" s="1">
        <v>915209.8983</v>
      </c>
      <c r="C3934" s="1">
        <v>924167.35007794236</v>
      </c>
      <c r="D3934" s="1">
        <f t="shared" si="61"/>
        <v>-8957.4517779423622</v>
      </c>
      <c r="E3934" s="1">
        <v>14</v>
      </c>
      <c r="F3934" s="1">
        <v>15</v>
      </c>
      <c r="G3934" s="1">
        <v>6</v>
      </c>
      <c r="H3934" s="1">
        <v>1</v>
      </c>
      <c r="I3934" s="1">
        <v>0</v>
      </c>
      <c r="J3934" s="1">
        <v>0</v>
      </c>
      <c r="K3934" s="1">
        <v>0</v>
      </c>
      <c r="L3934" s="1">
        <v>0</v>
      </c>
      <c r="M3934" s="1">
        <v>1</v>
      </c>
    </row>
    <row r="3935" spans="1:13">
      <c r="A3935" s="1">
        <v>3934</v>
      </c>
      <c r="B3935" s="1">
        <v>943248.1017</v>
      </c>
      <c r="C3935" s="1">
        <v>1251742.9188156812</v>
      </c>
      <c r="D3935" s="1">
        <f t="shared" si="61"/>
        <v>-308494.81711568125</v>
      </c>
      <c r="E3935" s="1">
        <v>3</v>
      </c>
      <c r="F3935" s="1">
        <v>27</v>
      </c>
      <c r="G3935" s="1">
        <v>5</v>
      </c>
      <c r="H3935" s="1">
        <v>1</v>
      </c>
      <c r="I3935" s="1">
        <v>1</v>
      </c>
      <c r="J3935" s="1">
        <v>0</v>
      </c>
      <c r="K3935" s="1">
        <v>0</v>
      </c>
      <c r="L3935" s="1">
        <v>0</v>
      </c>
      <c r="M3935" s="1">
        <v>0</v>
      </c>
    </row>
    <row r="3936" spans="1:13">
      <c r="A3936" s="1">
        <v>3935</v>
      </c>
      <c r="B3936" s="1">
        <v>933411.27679999999</v>
      </c>
      <c r="C3936" s="1">
        <v>514000.17822410306</v>
      </c>
      <c r="D3936" s="1">
        <f t="shared" si="61"/>
        <v>419411.09857589693</v>
      </c>
      <c r="E3936" s="1">
        <v>9</v>
      </c>
      <c r="F3936" s="1">
        <v>18</v>
      </c>
      <c r="G3936" s="1">
        <v>8</v>
      </c>
      <c r="H3936" s="1">
        <v>2</v>
      </c>
      <c r="I3936" s="1">
        <v>0</v>
      </c>
      <c r="J3936" s="1">
        <v>1</v>
      </c>
      <c r="K3936" s="1">
        <v>0</v>
      </c>
      <c r="L3936" s="1">
        <v>0</v>
      </c>
      <c r="M3936" s="1">
        <v>1</v>
      </c>
    </row>
    <row r="3937" spans="1:13">
      <c r="A3937" s="1">
        <v>3936</v>
      </c>
      <c r="B3937" s="1">
        <v>956164.51989999996</v>
      </c>
      <c r="C3937" s="1">
        <v>1031934.7346727559</v>
      </c>
      <c r="D3937" s="1">
        <f t="shared" si="61"/>
        <v>-75770.214772755979</v>
      </c>
      <c r="E3937" s="1">
        <v>18</v>
      </c>
      <c r="F3937" s="1">
        <v>15</v>
      </c>
      <c r="G3937" s="1">
        <v>2</v>
      </c>
      <c r="H3937" s="1">
        <v>2</v>
      </c>
      <c r="I3937" s="1">
        <v>0</v>
      </c>
      <c r="J3937" s="1">
        <v>2</v>
      </c>
      <c r="K3937" s="1">
        <v>0</v>
      </c>
      <c r="L3937" s="1">
        <v>0</v>
      </c>
      <c r="M3937" s="1">
        <v>1</v>
      </c>
    </row>
    <row r="3938" spans="1:13">
      <c r="A3938" s="1">
        <v>3937</v>
      </c>
      <c r="B3938" s="1">
        <v>842527.45180000004</v>
      </c>
      <c r="C3938" s="1">
        <v>580247.95011261478</v>
      </c>
      <c r="D3938" s="1">
        <f t="shared" si="61"/>
        <v>262279.50168738526</v>
      </c>
      <c r="E3938" s="1">
        <v>24</v>
      </c>
      <c r="F3938" s="1">
        <v>8</v>
      </c>
      <c r="G3938" s="1">
        <v>3</v>
      </c>
      <c r="H3938" s="1">
        <v>2</v>
      </c>
      <c r="I3938" s="1">
        <v>0</v>
      </c>
      <c r="J3938" s="1">
        <v>1</v>
      </c>
      <c r="K3938" s="1">
        <v>0</v>
      </c>
      <c r="L3938" s="1">
        <v>0</v>
      </c>
      <c r="M3938" s="1">
        <v>0</v>
      </c>
    </row>
    <row r="3939" spans="1:13">
      <c r="A3939" s="1">
        <v>3938</v>
      </c>
      <c r="B3939" s="1">
        <v>947386.79570000002</v>
      </c>
      <c r="C3939" s="1">
        <v>809479.94557185448</v>
      </c>
      <c r="D3939" s="1">
        <f t="shared" si="61"/>
        <v>137906.85012814554</v>
      </c>
      <c r="E3939" s="1">
        <v>10</v>
      </c>
      <c r="F3939" s="1">
        <v>21</v>
      </c>
      <c r="G3939" s="1">
        <v>4</v>
      </c>
      <c r="H3939" s="1">
        <v>2</v>
      </c>
      <c r="I3939" s="1">
        <v>0</v>
      </c>
      <c r="J3939" s="1">
        <v>0</v>
      </c>
      <c r="K3939" s="1">
        <v>1</v>
      </c>
      <c r="L3939" s="1">
        <v>0</v>
      </c>
      <c r="M3939" s="1">
        <v>0</v>
      </c>
    </row>
    <row r="3940" spans="1:13">
      <c r="A3940" s="1">
        <v>3939</v>
      </c>
      <c r="B3940" s="1">
        <v>885738.47710000002</v>
      </c>
      <c r="C3940" s="1">
        <v>820011.42795024195</v>
      </c>
      <c r="D3940" s="1">
        <f t="shared" si="61"/>
        <v>65727.049149758066</v>
      </c>
      <c r="E3940" s="1">
        <v>14</v>
      </c>
      <c r="F3940" s="1">
        <v>17</v>
      </c>
      <c r="G3940" s="1">
        <v>4</v>
      </c>
      <c r="H3940" s="1">
        <v>0</v>
      </c>
      <c r="I3940" s="1">
        <v>0</v>
      </c>
      <c r="J3940" s="1">
        <v>0</v>
      </c>
      <c r="K3940" s="1">
        <v>0</v>
      </c>
      <c r="L3940" s="1">
        <v>0</v>
      </c>
      <c r="M3940" s="1">
        <v>0</v>
      </c>
    </row>
    <row r="3941" spans="1:13">
      <c r="A3941" s="1">
        <v>3940</v>
      </c>
      <c r="B3941" s="1">
        <v>985853.35259999998</v>
      </c>
      <c r="C3941" s="1">
        <v>1268969.7042480619</v>
      </c>
      <c r="D3941" s="1">
        <f t="shared" si="61"/>
        <v>-283116.35164806189</v>
      </c>
      <c r="E3941" s="1">
        <v>15</v>
      </c>
      <c r="F3941" s="1">
        <v>15</v>
      </c>
      <c r="G3941" s="1">
        <v>5</v>
      </c>
      <c r="H3941" s="1">
        <v>1</v>
      </c>
      <c r="I3941" s="1">
        <v>0</v>
      </c>
      <c r="J3941" s="1">
        <v>2</v>
      </c>
      <c r="K3941" s="1">
        <v>0</v>
      </c>
      <c r="L3941" s="1">
        <v>0</v>
      </c>
      <c r="M3941" s="1">
        <v>0</v>
      </c>
    </row>
    <row r="3942" spans="1:13">
      <c r="A3942" s="1">
        <v>3941</v>
      </c>
      <c r="B3942" s="1">
        <v>869630.91110000003</v>
      </c>
      <c r="C3942" s="1">
        <v>985108.91267309163</v>
      </c>
      <c r="D3942" s="1">
        <f t="shared" si="61"/>
        <v>-115478.00157309161</v>
      </c>
      <c r="E3942" s="1">
        <v>10</v>
      </c>
      <c r="F3942" s="1">
        <v>20</v>
      </c>
      <c r="G3942" s="1">
        <v>5</v>
      </c>
      <c r="H3942" s="1">
        <v>1</v>
      </c>
      <c r="I3942" s="1">
        <v>0</v>
      </c>
      <c r="J3942" s="1">
        <v>0</v>
      </c>
      <c r="K3942" s="1">
        <v>0</v>
      </c>
      <c r="L3942" s="1">
        <v>0</v>
      </c>
      <c r="M3942" s="1">
        <v>1</v>
      </c>
    </row>
    <row r="3943" spans="1:13">
      <c r="A3943" s="1">
        <v>3942</v>
      </c>
      <c r="B3943" s="1">
        <v>963522.3199</v>
      </c>
      <c r="C3943" s="1">
        <v>983759.73396866198</v>
      </c>
      <c r="D3943" s="1">
        <f t="shared" si="61"/>
        <v>-20237.414068661979</v>
      </c>
      <c r="E3943" s="1">
        <v>12</v>
      </c>
      <c r="F3943" s="1">
        <v>18</v>
      </c>
      <c r="G3943" s="1">
        <v>5</v>
      </c>
      <c r="H3943" s="1">
        <v>1</v>
      </c>
      <c r="I3943" s="1">
        <v>1</v>
      </c>
      <c r="J3943" s="1">
        <v>0</v>
      </c>
      <c r="K3943" s="1">
        <v>2</v>
      </c>
      <c r="L3943" s="1">
        <v>0</v>
      </c>
      <c r="M3943" s="1">
        <v>0</v>
      </c>
    </row>
    <row r="3944" spans="1:13">
      <c r="A3944" s="1">
        <v>3943</v>
      </c>
      <c r="B3944" s="1">
        <v>1057473.6294</v>
      </c>
      <c r="C3944" s="1">
        <v>2468312.1433692323</v>
      </c>
      <c r="D3944" s="1">
        <f t="shared" si="61"/>
        <v>-1410838.5139692323</v>
      </c>
      <c r="E3944" s="1">
        <v>7</v>
      </c>
      <c r="F3944" s="1">
        <v>21</v>
      </c>
      <c r="G3944" s="1">
        <v>7</v>
      </c>
      <c r="H3944" s="1">
        <v>1</v>
      </c>
      <c r="I3944" s="1">
        <v>0</v>
      </c>
      <c r="J3944" s="1">
        <v>0</v>
      </c>
      <c r="K3944" s="1">
        <v>0</v>
      </c>
      <c r="L3944" s="1">
        <v>0</v>
      </c>
      <c r="M3944" s="1">
        <v>0</v>
      </c>
    </row>
    <row r="3945" spans="1:13">
      <c r="A3945" s="1">
        <v>3944</v>
      </c>
      <c r="B3945" s="1">
        <v>977899.08279999997</v>
      </c>
      <c r="C3945" s="1">
        <v>1195983.5065250457</v>
      </c>
      <c r="D3945" s="1">
        <f t="shared" si="61"/>
        <v>-218084.42372504575</v>
      </c>
      <c r="E3945" s="1">
        <v>18</v>
      </c>
      <c r="F3945" s="1">
        <v>10</v>
      </c>
      <c r="G3945" s="1">
        <v>7</v>
      </c>
      <c r="H3945" s="1">
        <v>1</v>
      </c>
      <c r="I3945" s="1">
        <v>0</v>
      </c>
      <c r="J3945" s="1">
        <v>0</v>
      </c>
      <c r="K3945" s="1">
        <v>2</v>
      </c>
      <c r="L3945" s="1">
        <v>0</v>
      </c>
      <c r="M3945" s="1">
        <v>0</v>
      </c>
    </row>
    <row r="3946" spans="1:13">
      <c r="A3946" s="1">
        <v>3945</v>
      </c>
      <c r="B3946" s="1">
        <v>884419.54509999999</v>
      </c>
      <c r="C3946" s="1">
        <v>954392.74221816356</v>
      </c>
      <c r="D3946" s="1">
        <f t="shared" si="61"/>
        <v>-69973.197118163574</v>
      </c>
      <c r="E3946" s="1">
        <v>12</v>
      </c>
      <c r="F3946" s="1">
        <v>15</v>
      </c>
      <c r="G3946" s="1">
        <v>8</v>
      </c>
      <c r="H3946" s="1">
        <v>0</v>
      </c>
      <c r="I3946" s="1">
        <v>0</v>
      </c>
      <c r="J3946" s="1">
        <v>0</v>
      </c>
      <c r="K3946" s="1">
        <v>0</v>
      </c>
      <c r="L3946" s="1">
        <v>1</v>
      </c>
      <c r="M3946" s="1">
        <v>0</v>
      </c>
    </row>
    <row r="3947" spans="1:13">
      <c r="A3947" s="1">
        <v>3946</v>
      </c>
      <c r="B3947" s="1">
        <v>920040.93030000001</v>
      </c>
      <c r="C3947" s="1">
        <v>1143592.1825775357</v>
      </c>
      <c r="D3947" s="1">
        <f t="shared" si="61"/>
        <v>-223551.25227753574</v>
      </c>
      <c r="E3947" s="1">
        <v>16</v>
      </c>
      <c r="F3947" s="1">
        <v>13</v>
      </c>
      <c r="G3947" s="1">
        <v>6</v>
      </c>
      <c r="H3947" s="1">
        <v>0</v>
      </c>
      <c r="I3947" s="1">
        <v>0</v>
      </c>
      <c r="J3947" s="1">
        <v>1</v>
      </c>
      <c r="K3947" s="1">
        <v>1</v>
      </c>
      <c r="L3947" s="1">
        <v>0</v>
      </c>
      <c r="M3947" s="1">
        <v>0</v>
      </c>
    </row>
    <row r="3948" spans="1:13">
      <c r="A3948" s="1">
        <v>3947</v>
      </c>
      <c r="B3948" s="1">
        <v>917327.65150000004</v>
      </c>
      <c r="C3948" s="1">
        <v>681127.02687462105</v>
      </c>
      <c r="D3948" s="1">
        <f t="shared" si="61"/>
        <v>236200.62462537899</v>
      </c>
      <c r="E3948" s="1">
        <v>14</v>
      </c>
      <c r="F3948" s="1">
        <v>15</v>
      </c>
      <c r="G3948" s="1">
        <v>6</v>
      </c>
      <c r="H3948" s="1">
        <v>2</v>
      </c>
      <c r="I3948" s="1">
        <v>0</v>
      </c>
      <c r="J3948" s="1">
        <v>1</v>
      </c>
      <c r="K3948" s="1">
        <v>0</v>
      </c>
      <c r="L3948" s="1">
        <v>0</v>
      </c>
      <c r="M3948" s="1">
        <v>0</v>
      </c>
    </row>
    <row r="3949" spans="1:13">
      <c r="A3949" s="1">
        <v>3948</v>
      </c>
      <c r="B3949" s="1">
        <v>944715.86569999997</v>
      </c>
      <c r="C3949" s="1">
        <v>909006.73410198069</v>
      </c>
      <c r="D3949" s="1">
        <f t="shared" si="61"/>
        <v>35709.131598019274</v>
      </c>
      <c r="E3949" s="1">
        <v>9</v>
      </c>
      <c r="F3949" s="1">
        <v>22</v>
      </c>
      <c r="G3949" s="1">
        <v>4</v>
      </c>
      <c r="H3949" s="1">
        <v>2</v>
      </c>
      <c r="I3949" s="1">
        <v>0</v>
      </c>
      <c r="J3949" s="1">
        <v>0</v>
      </c>
      <c r="K3949" s="1">
        <v>1</v>
      </c>
      <c r="L3949" s="1">
        <v>0</v>
      </c>
      <c r="M3949" s="1">
        <v>0</v>
      </c>
    </row>
    <row r="3950" spans="1:13">
      <c r="A3950" s="1">
        <v>3949</v>
      </c>
      <c r="B3950" s="1">
        <v>965595.12159999995</v>
      </c>
      <c r="C3950" s="1">
        <v>779341.1346167064</v>
      </c>
      <c r="D3950" s="1">
        <f t="shared" si="61"/>
        <v>186253.98698329355</v>
      </c>
      <c r="E3950" s="1">
        <v>11</v>
      </c>
      <c r="F3950" s="1">
        <v>19</v>
      </c>
      <c r="G3950" s="1">
        <v>5</v>
      </c>
      <c r="H3950" s="1">
        <v>1</v>
      </c>
      <c r="I3950" s="1">
        <v>1</v>
      </c>
      <c r="J3950" s="1">
        <v>1</v>
      </c>
      <c r="K3950" s="1">
        <v>1</v>
      </c>
      <c r="L3950" s="1">
        <v>0</v>
      </c>
      <c r="M3950" s="1">
        <v>0</v>
      </c>
    </row>
    <row r="3951" spans="1:13">
      <c r="A3951" s="1">
        <v>3950</v>
      </c>
      <c r="B3951" s="1">
        <v>918715.47230000002</v>
      </c>
      <c r="C3951" s="1">
        <v>361614.96221042681</v>
      </c>
      <c r="D3951" s="1">
        <f t="shared" si="61"/>
        <v>557100.51008957322</v>
      </c>
      <c r="E3951" s="1">
        <v>11</v>
      </c>
      <c r="F3951" s="1">
        <v>17</v>
      </c>
      <c r="G3951" s="1">
        <v>7</v>
      </c>
      <c r="H3951" s="1">
        <v>0</v>
      </c>
      <c r="I3951" s="1">
        <v>0</v>
      </c>
      <c r="J3951" s="1">
        <v>1</v>
      </c>
      <c r="K3951" s="1">
        <v>0</v>
      </c>
      <c r="L3951" s="1">
        <v>1</v>
      </c>
      <c r="M3951" s="1">
        <v>0</v>
      </c>
    </row>
    <row r="3952" spans="1:13">
      <c r="A3952" s="1">
        <v>3951</v>
      </c>
      <c r="B3952" s="1">
        <v>812189.21380000003</v>
      </c>
      <c r="C3952" s="1">
        <v>984212.3039157287</v>
      </c>
      <c r="D3952" s="1">
        <f t="shared" si="61"/>
        <v>-172023.09011572867</v>
      </c>
      <c r="E3952" s="1">
        <v>20</v>
      </c>
      <c r="F3952" s="1">
        <v>13</v>
      </c>
      <c r="G3952" s="1">
        <v>2</v>
      </c>
      <c r="H3952" s="1">
        <v>1</v>
      </c>
      <c r="I3952" s="1">
        <v>0</v>
      </c>
      <c r="J3952" s="1">
        <v>1</v>
      </c>
      <c r="K3952" s="1">
        <v>1</v>
      </c>
      <c r="L3952" s="1">
        <v>0</v>
      </c>
      <c r="M3952" s="1">
        <v>1</v>
      </c>
    </row>
    <row r="3953" spans="1:13">
      <c r="A3953" s="1">
        <v>3952</v>
      </c>
      <c r="B3953" s="1">
        <v>873652.81449999998</v>
      </c>
      <c r="C3953" s="1">
        <v>757159.25331838301</v>
      </c>
      <c r="D3953" s="1">
        <f t="shared" si="61"/>
        <v>116493.56118161697</v>
      </c>
      <c r="E3953" s="1">
        <v>19</v>
      </c>
      <c r="F3953" s="1">
        <v>12</v>
      </c>
      <c r="G3953" s="1">
        <v>4</v>
      </c>
      <c r="H3953" s="1">
        <v>1</v>
      </c>
      <c r="I3953" s="1">
        <v>0</v>
      </c>
      <c r="J3953" s="1">
        <v>1</v>
      </c>
      <c r="K3953" s="1">
        <v>0</v>
      </c>
      <c r="L3953" s="1">
        <v>1</v>
      </c>
      <c r="M3953" s="1">
        <v>0</v>
      </c>
    </row>
    <row r="3954" spans="1:13">
      <c r="A3954" s="1">
        <v>3953</v>
      </c>
      <c r="B3954" s="1">
        <v>868893.07830000005</v>
      </c>
      <c r="C3954" s="1">
        <v>951764.20290809113</v>
      </c>
      <c r="D3954" s="1">
        <f t="shared" si="61"/>
        <v>-82871.124608091079</v>
      </c>
      <c r="E3954" s="1">
        <v>9</v>
      </c>
      <c r="F3954" s="1">
        <v>20</v>
      </c>
      <c r="G3954" s="1">
        <v>6</v>
      </c>
      <c r="H3954" s="1">
        <v>2</v>
      </c>
      <c r="I3954" s="1">
        <v>0</v>
      </c>
      <c r="J3954" s="1">
        <v>0</v>
      </c>
      <c r="K3954" s="1">
        <v>2</v>
      </c>
      <c r="L3954" s="1">
        <v>0</v>
      </c>
      <c r="M3954" s="1">
        <v>1</v>
      </c>
    </row>
    <row r="3955" spans="1:13">
      <c r="A3955" s="1">
        <v>3954</v>
      </c>
      <c r="B3955" s="1">
        <v>950848.63190000004</v>
      </c>
      <c r="C3955" s="1">
        <v>758759.54370840779</v>
      </c>
      <c r="D3955" s="1">
        <f t="shared" si="61"/>
        <v>192089.08819159225</v>
      </c>
      <c r="E3955" s="1">
        <v>7</v>
      </c>
      <c r="F3955" s="1">
        <v>24</v>
      </c>
      <c r="G3955" s="1">
        <v>4</v>
      </c>
      <c r="H3955" s="1">
        <v>1</v>
      </c>
      <c r="I3955" s="1">
        <v>0</v>
      </c>
      <c r="J3955" s="1">
        <v>0</v>
      </c>
      <c r="K3955" s="1">
        <v>2</v>
      </c>
      <c r="L3955" s="1">
        <v>0</v>
      </c>
      <c r="M3955" s="1">
        <v>0</v>
      </c>
    </row>
    <row r="3956" spans="1:13">
      <c r="A3956" s="1">
        <v>3955</v>
      </c>
      <c r="B3956" s="1">
        <v>1043781.2258</v>
      </c>
      <c r="C3956" s="1">
        <v>913354.58528294344</v>
      </c>
      <c r="D3956" s="1">
        <f t="shared" si="61"/>
        <v>130426.64051705657</v>
      </c>
      <c r="E3956" s="1">
        <v>2</v>
      </c>
      <c r="F3956" s="1">
        <v>28</v>
      </c>
      <c r="G3956" s="1">
        <v>5</v>
      </c>
      <c r="H3956" s="1">
        <v>1</v>
      </c>
      <c r="I3956" s="1">
        <v>0</v>
      </c>
      <c r="J3956" s="1">
        <v>2</v>
      </c>
      <c r="K3956" s="1">
        <v>0</v>
      </c>
      <c r="L3956" s="1">
        <v>0</v>
      </c>
      <c r="M3956" s="1">
        <v>1</v>
      </c>
    </row>
    <row r="3957" spans="1:13">
      <c r="A3957" s="1">
        <v>3956</v>
      </c>
      <c r="B3957" s="1">
        <v>1106287.1026000001</v>
      </c>
      <c r="C3957" s="1">
        <v>779644.49376667489</v>
      </c>
      <c r="D3957" s="1">
        <f t="shared" si="61"/>
        <v>326642.60883332521</v>
      </c>
      <c r="E3957" s="1">
        <v>8</v>
      </c>
      <c r="F3957" s="1">
        <v>19</v>
      </c>
      <c r="G3957" s="1">
        <v>8</v>
      </c>
      <c r="H3957" s="1">
        <v>2</v>
      </c>
      <c r="I3957" s="1">
        <v>0</v>
      </c>
      <c r="J3957" s="1">
        <v>2</v>
      </c>
      <c r="K3957" s="1">
        <v>0</v>
      </c>
      <c r="L3957" s="1">
        <v>0</v>
      </c>
      <c r="M3957" s="1">
        <v>0</v>
      </c>
    </row>
    <row r="3958" spans="1:13">
      <c r="A3958" s="1">
        <v>3957</v>
      </c>
      <c r="B3958" s="1">
        <v>842103.32079999999</v>
      </c>
      <c r="C3958" s="1">
        <v>814145.67716677382</v>
      </c>
      <c r="D3958" s="1">
        <f t="shared" si="61"/>
        <v>27957.643633226166</v>
      </c>
      <c r="E3958" s="1">
        <v>14</v>
      </c>
      <c r="F3958" s="1">
        <v>16</v>
      </c>
      <c r="G3958" s="1">
        <v>5</v>
      </c>
      <c r="H3958" s="1">
        <v>0</v>
      </c>
      <c r="I3958" s="1">
        <v>0</v>
      </c>
      <c r="J3958" s="1">
        <v>1</v>
      </c>
      <c r="K3958" s="1">
        <v>1</v>
      </c>
      <c r="L3958" s="1">
        <v>0</v>
      </c>
      <c r="M3958" s="1">
        <v>1</v>
      </c>
    </row>
    <row r="3959" spans="1:13">
      <c r="A3959" s="1">
        <v>3958</v>
      </c>
      <c r="B3959" s="1">
        <v>913976.49650000001</v>
      </c>
      <c r="C3959" s="1">
        <v>1014711.865870937</v>
      </c>
      <c r="D3959" s="1">
        <f t="shared" si="61"/>
        <v>-100735.369370937</v>
      </c>
      <c r="E3959" s="1">
        <v>9</v>
      </c>
      <c r="F3959" s="1">
        <v>22</v>
      </c>
      <c r="G3959" s="1">
        <v>4</v>
      </c>
      <c r="H3959" s="1">
        <v>2</v>
      </c>
      <c r="I3959" s="1">
        <v>0</v>
      </c>
      <c r="J3959" s="1">
        <v>0</v>
      </c>
      <c r="K3959" s="1">
        <v>2</v>
      </c>
      <c r="L3959" s="1">
        <v>0</v>
      </c>
      <c r="M3959" s="1">
        <v>1</v>
      </c>
    </row>
    <row r="3960" spans="1:13">
      <c r="A3960" s="1">
        <v>3959</v>
      </c>
      <c r="B3960" s="1">
        <v>876190.29630000005</v>
      </c>
      <c r="C3960" s="1">
        <v>526136.17884625227</v>
      </c>
      <c r="D3960" s="1">
        <f t="shared" si="61"/>
        <v>350054.11745374778</v>
      </c>
      <c r="E3960" s="1">
        <v>14</v>
      </c>
      <c r="F3960" s="1">
        <v>16</v>
      </c>
      <c r="G3960" s="1">
        <v>5</v>
      </c>
      <c r="H3960" s="1">
        <v>2</v>
      </c>
      <c r="I3960" s="1">
        <v>0</v>
      </c>
      <c r="J3960" s="1">
        <v>0</v>
      </c>
      <c r="K3960" s="1">
        <v>1</v>
      </c>
      <c r="L3960" s="1">
        <v>0</v>
      </c>
      <c r="M3960" s="1">
        <v>0</v>
      </c>
    </row>
    <row r="3961" spans="1:13">
      <c r="A3961" s="1">
        <v>3960</v>
      </c>
      <c r="B3961" s="1">
        <v>996720.08299999998</v>
      </c>
      <c r="C3961" s="1">
        <v>885173.74815451878</v>
      </c>
      <c r="D3961" s="1">
        <f t="shared" si="61"/>
        <v>111546.33484548121</v>
      </c>
      <c r="E3961" s="1">
        <v>14</v>
      </c>
      <c r="F3961" s="1">
        <v>15</v>
      </c>
      <c r="G3961" s="1">
        <v>6</v>
      </c>
      <c r="H3961" s="1">
        <v>1</v>
      </c>
      <c r="I3961" s="1">
        <v>0</v>
      </c>
      <c r="J3961" s="1">
        <v>1</v>
      </c>
      <c r="K3961" s="1">
        <v>0</v>
      </c>
      <c r="L3961" s="1">
        <v>0</v>
      </c>
      <c r="M3961" s="1">
        <v>1</v>
      </c>
    </row>
    <row r="3962" spans="1:13">
      <c r="A3962" s="1">
        <v>3961</v>
      </c>
      <c r="B3962" s="1">
        <v>972212.2892</v>
      </c>
      <c r="C3962" s="1">
        <v>982615.32009376085</v>
      </c>
      <c r="D3962" s="1">
        <f t="shared" si="61"/>
        <v>-10403.03089376085</v>
      </c>
      <c r="E3962" s="1">
        <v>14</v>
      </c>
      <c r="F3962" s="1">
        <v>16</v>
      </c>
      <c r="G3962" s="1">
        <v>5</v>
      </c>
      <c r="H3962" s="1">
        <v>0</v>
      </c>
      <c r="I3962" s="1">
        <v>0</v>
      </c>
      <c r="J3962" s="1">
        <v>1</v>
      </c>
      <c r="K3962" s="1">
        <v>0</v>
      </c>
      <c r="L3962" s="1">
        <v>0</v>
      </c>
      <c r="M3962" s="1">
        <v>0</v>
      </c>
    </row>
    <row r="3963" spans="1:13">
      <c r="A3963" s="1">
        <v>3962</v>
      </c>
      <c r="B3963" s="1">
        <v>955843.60660000006</v>
      </c>
      <c r="C3963" s="1">
        <v>568238.36366685189</v>
      </c>
      <c r="D3963" s="1">
        <f t="shared" si="61"/>
        <v>387605.24293314817</v>
      </c>
      <c r="E3963" s="1">
        <v>10</v>
      </c>
      <c r="F3963" s="1">
        <v>20</v>
      </c>
      <c r="G3963" s="1">
        <v>5</v>
      </c>
      <c r="H3963" s="1">
        <v>1</v>
      </c>
      <c r="I3963" s="1">
        <v>0</v>
      </c>
      <c r="J3963" s="1">
        <v>0</v>
      </c>
      <c r="K3963" s="1">
        <v>0</v>
      </c>
      <c r="L3963" s="1">
        <v>1</v>
      </c>
      <c r="M3963" s="1">
        <v>0</v>
      </c>
    </row>
    <row r="3964" spans="1:13">
      <c r="A3964" s="1">
        <v>3963</v>
      </c>
      <c r="B3964" s="1">
        <v>1034694.0791</v>
      </c>
      <c r="C3964" s="1">
        <v>1255353.922458743</v>
      </c>
      <c r="D3964" s="1">
        <f t="shared" si="61"/>
        <v>-220659.843358743</v>
      </c>
      <c r="E3964" s="1">
        <v>11</v>
      </c>
      <c r="F3964" s="1">
        <v>16</v>
      </c>
      <c r="G3964" s="1">
        <v>8</v>
      </c>
      <c r="H3964" s="1">
        <v>1</v>
      </c>
      <c r="I3964" s="1">
        <v>1</v>
      </c>
      <c r="J3964" s="1">
        <v>0</v>
      </c>
      <c r="K3964" s="1">
        <v>1</v>
      </c>
      <c r="L3964" s="1">
        <v>0</v>
      </c>
      <c r="M3964" s="1">
        <v>0</v>
      </c>
    </row>
    <row r="3965" spans="1:13">
      <c r="A3965" s="1">
        <v>3964</v>
      </c>
      <c r="B3965" s="1">
        <v>949042.33790000004</v>
      </c>
      <c r="C3965" s="1">
        <v>1162286.3829643538</v>
      </c>
      <c r="D3965" s="1">
        <f t="shared" si="61"/>
        <v>-213244.04506435373</v>
      </c>
      <c r="E3965" s="1">
        <v>8</v>
      </c>
      <c r="F3965" s="1">
        <v>23</v>
      </c>
      <c r="G3965" s="1">
        <v>4</v>
      </c>
      <c r="H3965" s="1">
        <v>1</v>
      </c>
      <c r="I3965" s="1">
        <v>0</v>
      </c>
      <c r="J3965" s="1">
        <v>1</v>
      </c>
      <c r="K3965" s="1">
        <v>0</v>
      </c>
      <c r="L3965" s="1">
        <v>0</v>
      </c>
      <c r="M3965" s="1">
        <v>0</v>
      </c>
    </row>
    <row r="3966" spans="1:13">
      <c r="A3966" s="1">
        <v>3965</v>
      </c>
      <c r="B3966" s="1">
        <v>1004254.9215000001</v>
      </c>
      <c r="C3966" s="1">
        <v>1021187.0509284161</v>
      </c>
      <c r="D3966" s="1">
        <f t="shared" si="61"/>
        <v>-16932.129428416025</v>
      </c>
      <c r="E3966" s="1">
        <v>10</v>
      </c>
      <c r="F3966" s="1">
        <v>23</v>
      </c>
      <c r="G3966" s="1">
        <v>2</v>
      </c>
      <c r="H3966" s="1">
        <v>1</v>
      </c>
      <c r="I3966" s="1">
        <v>0</v>
      </c>
      <c r="J3966" s="1">
        <v>1</v>
      </c>
      <c r="K3966" s="1">
        <v>1</v>
      </c>
      <c r="L3966" s="1">
        <v>0</v>
      </c>
      <c r="M3966" s="1">
        <v>1</v>
      </c>
    </row>
    <row r="3967" spans="1:13">
      <c r="A3967" s="1">
        <v>3966</v>
      </c>
      <c r="B3967" s="1">
        <v>800528.79260000004</v>
      </c>
      <c r="C3967" s="1">
        <v>2316968.7272855826</v>
      </c>
      <c r="D3967" s="1">
        <f t="shared" si="61"/>
        <v>-1516439.9346855825</v>
      </c>
      <c r="E3967" s="1">
        <v>16</v>
      </c>
      <c r="F3967" s="1">
        <v>14</v>
      </c>
      <c r="G3967" s="1">
        <v>5</v>
      </c>
      <c r="H3967" s="1">
        <v>1</v>
      </c>
      <c r="I3967" s="1">
        <v>0</v>
      </c>
      <c r="J3967" s="1">
        <v>0</v>
      </c>
      <c r="K3967" s="1">
        <v>1</v>
      </c>
      <c r="L3967" s="1">
        <v>0</v>
      </c>
      <c r="M3967" s="1">
        <v>0</v>
      </c>
    </row>
    <row r="3968" spans="1:13">
      <c r="A3968" s="1">
        <v>3967</v>
      </c>
      <c r="B3968" s="1">
        <v>922602.39800000004</v>
      </c>
      <c r="C3968" s="1">
        <v>939886.54574068065</v>
      </c>
      <c r="D3968" s="1">
        <f t="shared" si="61"/>
        <v>-17284.147740680608</v>
      </c>
      <c r="E3968" s="1">
        <v>11</v>
      </c>
      <c r="F3968" s="1">
        <v>22</v>
      </c>
      <c r="G3968" s="1">
        <v>2</v>
      </c>
      <c r="H3968" s="1">
        <v>0</v>
      </c>
      <c r="I3968" s="1">
        <v>0</v>
      </c>
      <c r="J3968" s="1">
        <v>1</v>
      </c>
      <c r="K3968" s="1">
        <v>1</v>
      </c>
      <c r="L3968" s="1">
        <v>0</v>
      </c>
      <c r="M3968" s="1">
        <v>0</v>
      </c>
    </row>
    <row r="3969" spans="1:13">
      <c r="A3969" s="1">
        <v>3968</v>
      </c>
      <c r="B3969" s="1">
        <v>863539.07990000001</v>
      </c>
      <c r="C3969" s="1">
        <v>455324.48991516989</v>
      </c>
      <c r="D3969" s="1">
        <f t="shared" si="61"/>
        <v>408214.58998483012</v>
      </c>
      <c r="E3969" s="1">
        <v>11</v>
      </c>
      <c r="F3969" s="1">
        <v>19</v>
      </c>
      <c r="G3969" s="1">
        <v>5</v>
      </c>
      <c r="H3969" s="1">
        <v>1</v>
      </c>
      <c r="I3969" s="1">
        <v>0</v>
      </c>
      <c r="J3969" s="1">
        <v>0</v>
      </c>
      <c r="K3969" s="1">
        <v>1</v>
      </c>
      <c r="L3969" s="1">
        <v>0</v>
      </c>
      <c r="M3969" s="1">
        <v>0</v>
      </c>
    </row>
    <row r="3970" spans="1:13">
      <c r="A3970" s="1">
        <v>3969</v>
      </c>
      <c r="B3970" s="1">
        <v>892123.03319999995</v>
      </c>
      <c r="C3970" s="1">
        <v>1126352.2396609581</v>
      </c>
      <c r="D3970" s="1">
        <f t="shared" ref="D3970:D4033" si="62">B3970-C3970</f>
        <v>-234229.20646095811</v>
      </c>
      <c r="E3970" s="1">
        <v>8</v>
      </c>
      <c r="F3970" s="1">
        <v>21</v>
      </c>
      <c r="G3970" s="1">
        <v>6</v>
      </c>
      <c r="H3970" s="1">
        <v>2</v>
      </c>
      <c r="I3970" s="1">
        <v>0</v>
      </c>
      <c r="J3970" s="1">
        <v>0</v>
      </c>
      <c r="K3970" s="1">
        <v>0</v>
      </c>
      <c r="L3970" s="1">
        <v>0</v>
      </c>
      <c r="M3970" s="1">
        <v>0</v>
      </c>
    </row>
    <row r="3971" spans="1:13">
      <c r="A3971" s="1">
        <v>3970</v>
      </c>
      <c r="B3971" s="1">
        <v>947816.37879999995</v>
      </c>
      <c r="C3971" s="1">
        <v>700532.91691853269</v>
      </c>
      <c r="D3971" s="1">
        <f t="shared" si="62"/>
        <v>247283.46188146726</v>
      </c>
      <c r="E3971" s="1">
        <v>16</v>
      </c>
      <c r="F3971" s="1">
        <v>11</v>
      </c>
      <c r="G3971" s="1">
        <v>8</v>
      </c>
      <c r="H3971" s="1">
        <v>2</v>
      </c>
      <c r="I3971" s="1">
        <v>0</v>
      </c>
      <c r="J3971" s="1">
        <v>1</v>
      </c>
      <c r="K3971" s="1">
        <v>0</v>
      </c>
      <c r="L3971" s="1">
        <v>0</v>
      </c>
      <c r="M3971" s="1">
        <v>0</v>
      </c>
    </row>
    <row r="3972" spans="1:13">
      <c r="A3972" s="1">
        <v>3971</v>
      </c>
      <c r="B3972" s="1">
        <v>909295.62879999995</v>
      </c>
      <c r="C3972" s="1">
        <v>878167.49597901548</v>
      </c>
      <c r="D3972" s="1">
        <f t="shared" si="62"/>
        <v>31128.132820984465</v>
      </c>
      <c r="E3972" s="1">
        <v>14</v>
      </c>
      <c r="F3972" s="1">
        <v>19</v>
      </c>
      <c r="G3972" s="1">
        <v>2</v>
      </c>
      <c r="H3972" s="1">
        <v>0</v>
      </c>
      <c r="I3972" s="1">
        <v>1</v>
      </c>
      <c r="J3972" s="1">
        <v>0</v>
      </c>
      <c r="K3972" s="1">
        <v>2</v>
      </c>
      <c r="L3972" s="1">
        <v>0</v>
      </c>
      <c r="M3972" s="1">
        <v>0</v>
      </c>
    </row>
    <row r="3973" spans="1:13">
      <c r="A3973" s="1">
        <v>3972</v>
      </c>
      <c r="B3973" s="1">
        <v>947825.65760000004</v>
      </c>
      <c r="C3973" s="1">
        <v>567634.2464821086</v>
      </c>
      <c r="D3973" s="1">
        <f t="shared" si="62"/>
        <v>380191.41111789143</v>
      </c>
      <c r="E3973" s="1">
        <v>15</v>
      </c>
      <c r="F3973" s="1">
        <v>11</v>
      </c>
      <c r="G3973" s="1">
        <v>9</v>
      </c>
      <c r="H3973" s="1">
        <v>0</v>
      </c>
      <c r="I3973" s="1">
        <v>1</v>
      </c>
      <c r="J3973" s="1">
        <v>0</v>
      </c>
      <c r="K3973" s="1">
        <v>2</v>
      </c>
      <c r="L3973" s="1">
        <v>0</v>
      </c>
      <c r="M3973" s="1">
        <v>0</v>
      </c>
    </row>
    <row r="3974" spans="1:13">
      <c r="A3974" s="1">
        <v>3973</v>
      </c>
      <c r="B3974" s="1">
        <v>934019.93720000004</v>
      </c>
      <c r="C3974" s="1">
        <v>760142.84579414385</v>
      </c>
      <c r="D3974" s="1">
        <f t="shared" si="62"/>
        <v>173877.09140585619</v>
      </c>
      <c r="E3974" s="1">
        <v>18</v>
      </c>
      <c r="F3974" s="1">
        <v>13</v>
      </c>
      <c r="G3974" s="1">
        <v>4</v>
      </c>
      <c r="H3974" s="1">
        <v>0</v>
      </c>
      <c r="I3974" s="1">
        <v>0</v>
      </c>
      <c r="J3974" s="1">
        <v>0</v>
      </c>
      <c r="K3974" s="1">
        <v>1</v>
      </c>
      <c r="L3974" s="1">
        <v>0</v>
      </c>
      <c r="M3974" s="1">
        <v>1</v>
      </c>
    </row>
    <row r="3975" spans="1:13">
      <c r="A3975" s="1">
        <v>3974</v>
      </c>
      <c r="B3975" s="1">
        <v>1078782.6362999999</v>
      </c>
      <c r="C3975" s="1">
        <v>834775.54655997443</v>
      </c>
      <c r="D3975" s="1">
        <f t="shared" si="62"/>
        <v>244007.08974002546</v>
      </c>
      <c r="E3975" s="1">
        <v>5</v>
      </c>
      <c r="F3975" s="1">
        <v>24</v>
      </c>
      <c r="G3975" s="1">
        <v>6</v>
      </c>
      <c r="H3975" s="1">
        <v>1</v>
      </c>
      <c r="I3975" s="1">
        <v>0</v>
      </c>
      <c r="J3975" s="1">
        <v>1</v>
      </c>
      <c r="K3975" s="1">
        <v>1</v>
      </c>
      <c r="L3975" s="1">
        <v>0</v>
      </c>
      <c r="M3975" s="1">
        <v>0</v>
      </c>
    </row>
    <row r="3976" spans="1:13">
      <c r="A3976" s="1">
        <v>3975</v>
      </c>
      <c r="B3976" s="1">
        <v>1000664.0186</v>
      </c>
      <c r="C3976" s="1">
        <v>785348.14691075194</v>
      </c>
      <c r="D3976" s="1">
        <f t="shared" si="62"/>
        <v>215315.87168924802</v>
      </c>
      <c r="E3976" s="1">
        <v>7</v>
      </c>
      <c r="F3976" s="1">
        <v>21</v>
      </c>
      <c r="G3976" s="1">
        <v>7</v>
      </c>
      <c r="H3976" s="1">
        <v>0</v>
      </c>
      <c r="I3976" s="1">
        <v>0</v>
      </c>
      <c r="J3976" s="1">
        <v>0</v>
      </c>
      <c r="K3976" s="1">
        <v>1</v>
      </c>
      <c r="L3976" s="1">
        <v>0</v>
      </c>
      <c r="M3976" s="1">
        <v>0</v>
      </c>
    </row>
    <row r="3977" spans="1:13">
      <c r="A3977" s="1">
        <v>3976</v>
      </c>
      <c r="B3977" s="1">
        <v>1087227.9982</v>
      </c>
      <c r="C3977" s="1">
        <v>756718.86589057464</v>
      </c>
      <c r="D3977" s="1">
        <f t="shared" si="62"/>
        <v>330509.13230942539</v>
      </c>
      <c r="E3977" s="1">
        <v>5</v>
      </c>
      <c r="F3977" s="1">
        <v>23</v>
      </c>
      <c r="G3977" s="1">
        <v>7</v>
      </c>
      <c r="H3977" s="1">
        <v>2</v>
      </c>
      <c r="I3977" s="1">
        <v>0</v>
      </c>
      <c r="J3977" s="1">
        <v>1</v>
      </c>
      <c r="K3977" s="1">
        <v>0</v>
      </c>
      <c r="L3977" s="1">
        <v>1</v>
      </c>
      <c r="M3977" s="1">
        <v>1</v>
      </c>
    </row>
    <row r="3978" spans="1:13">
      <c r="A3978" s="1">
        <v>3977</v>
      </c>
      <c r="B3978" s="1">
        <v>889161.55830000003</v>
      </c>
      <c r="C3978" s="1">
        <v>789212.46523740282</v>
      </c>
      <c r="D3978" s="1">
        <f t="shared" si="62"/>
        <v>99949.093062597211</v>
      </c>
      <c r="E3978" s="1">
        <v>18</v>
      </c>
      <c r="F3978" s="1">
        <v>13</v>
      </c>
      <c r="G3978" s="1">
        <v>4</v>
      </c>
      <c r="H3978" s="1">
        <v>0</v>
      </c>
      <c r="I3978" s="1">
        <v>2</v>
      </c>
      <c r="J3978" s="1">
        <v>0</v>
      </c>
      <c r="K3978" s="1">
        <v>1</v>
      </c>
      <c r="L3978" s="1">
        <v>0</v>
      </c>
      <c r="M3978" s="1">
        <v>1</v>
      </c>
    </row>
    <row r="3979" spans="1:13">
      <c r="A3979" s="1">
        <v>3978</v>
      </c>
      <c r="B3979" s="1">
        <v>873815.35360000003</v>
      </c>
      <c r="C3979" s="1">
        <v>1113256.652758271</v>
      </c>
      <c r="D3979" s="1">
        <f t="shared" si="62"/>
        <v>-239441.29915827094</v>
      </c>
      <c r="E3979" s="1">
        <v>12</v>
      </c>
      <c r="F3979" s="1">
        <v>15</v>
      </c>
      <c r="G3979" s="1">
        <v>8</v>
      </c>
      <c r="H3979" s="1">
        <v>2</v>
      </c>
      <c r="I3979" s="1">
        <v>0</v>
      </c>
      <c r="J3979" s="1">
        <v>0</v>
      </c>
      <c r="K3979" s="1">
        <v>1</v>
      </c>
      <c r="L3979" s="1">
        <v>0</v>
      </c>
      <c r="M3979" s="1">
        <v>1</v>
      </c>
    </row>
    <row r="3980" spans="1:13">
      <c r="A3980" s="1">
        <v>3979</v>
      </c>
      <c r="B3980" s="1">
        <v>900267.38049999997</v>
      </c>
      <c r="C3980" s="1">
        <v>690115.5164936363</v>
      </c>
      <c r="D3980" s="1">
        <f t="shared" si="62"/>
        <v>210151.86400636367</v>
      </c>
      <c r="E3980" s="1">
        <v>19</v>
      </c>
      <c r="F3980" s="1">
        <v>12</v>
      </c>
      <c r="G3980" s="1">
        <v>4</v>
      </c>
      <c r="H3980" s="1">
        <v>0</v>
      </c>
      <c r="I3980" s="1">
        <v>0</v>
      </c>
      <c r="J3980" s="1">
        <v>0</v>
      </c>
      <c r="K3980" s="1">
        <v>1</v>
      </c>
      <c r="L3980" s="1">
        <v>0</v>
      </c>
      <c r="M3980" s="1">
        <v>0</v>
      </c>
    </row>
    <row r="3981" spans="1:13">
      <c r="A3981" s="1">
        <v>3980</v>
      </c>
      <c r="B3981" s="1">
        <v>939717.28090000001</v>
      </c>
      <c r="C3981" s="1">
        <v>1333438.237996036</v>
      </c>
      <c r="D3981" s="1">
        <f t="shared" si="62"/>
        <v>-393720.95709603594</v>
      </c>
      <c r="E3981" s="1">
        <v>6</v>
      </c>
      <c r="F3981" s="1">
        <v>22</v>
      </c>
      <c r="G3981" s="1">
        <v>7</v>
      </c>
      <c r="H3981" s="1">
        <v>0</v>
      </c>
      <c r="I3981" s="1">
        <v>0</v>
      </c>
      <c r="J3981" s="1">
        <v>0</v>
      </c>
      <c r="K3981" s="1">
        <v>2</v>
      </c>
      <c r="L3981" s="1">
        <v>0</v>
      </c>
      <c r="M3981" s="1">
        <v>0</v>
      </c>
    </row>
    <row r="3982" spans="1:13">
      <c r="A3982" s="1">
        <v>3981</v>
      </c>
      <c r="B3982" s="1">
        <v>963874.16319999995</v>
      </c>
      <c r="C3982" s="1">
        <v>998867.82070593338</v>
      </c>
      <c r="D3982" s="1">
        <f t="shared" si="62"/>
        <v>-34993.657505933428</v>
      </c>
      <c r="E3982" s="1">
        <v>13</v>
      </c>
      <c r="F3982" s="1">
        <v>17</v>
      </c>
      <c r="G3982" s="1">
        <v>5</v>
      </c>
      <c r="H3982" s="1">
        <v>0</v>
      </c>
      <c r="I3982" s="1">
        <v>1</v>
      </c>
      <c r="J3982" s="1">
        <v>1</v>
      </c>
      <c r="K3982" s="1">
        <v>0</v>
      </c>
      <c r="L3982" s="1">
        <v>0</v>
      </c>
      <c r="M3982" s="1">
        <v>0</v>
      </c>
    </row>
    <row r="3983" spans="1:13">
      <c r="A3983" s="1">
        <v>3982</v>
      </c>
      <c r="B3983" s="1">
        <v>1006948.9783</v>
      </c>
      <c r="C3983" s="1">
        <v>940308.84782423498</v>
      </c>
      <c r="D3983" s="1">
        <f t="shared" si="62"/>
        <v>66640.130475764978</v>
      </c>
      <c r="E3983" s="1">
        <v>13</v>
      </c>
      <c r="F3983" s="1">
        <v>19</v>
      </c>
      <c r="G3983" s="1">
        <v>3</v>
      </c>
      <c r="H3983" s="1">
        <v>2</v>
      </c>
      <c r="I3983" s="1">
        <v>0</v>
      </c>
      <c r="J3983" s="1">
        <v>2</v>
      </c>
      <c r="K3983" s="1">
        <v>0</v>
      </c>
      <c r="L3983" s="1">
        <v>0</v>
      </c>
      <c r="M3983" s="1">
        <v>0</v>
      </c>
    </row>
    <row r="3984" spans="1:13">
      <c r="A3984" s="1">
        <v>3983</v>
      </c>
      <c r="B3984" s="1">
        <v>915697.99860000005</v>
      </c>
      <c r="C3984" s="1">
        <v>753522.68692380935</v>
      </c>
      <c r="D3984" s="1">
        <f t="shared" si="62"/>
        <v>162175.3116761907</v>
      </c>
      <c r="E3984" s="1">
        <v>15</v>
      </c>
      <c r="F3984" s="1">
        <v>12</v>
      </c>
      <c r="G3984" s="1">
        <v>8</v>
      </c>
      <c r="H3984" s="1">
        <v>0</v>
      </c>
      <c r="I3984" s="1">
        <v>0</v>
      </c>
      <c r="J3984" s="1">
        <v>0</v>
      </c>
      <c r="K3984" s="1">
        <v>0</v>
      </c>
      <c r="L3984" s="1">
        <v>0</v>
      </c>
      <c r="M3984" s="1">
        <v>0</v>
      </c>
    </row>
    <row r="3985" spans="1:13">
      <c r="A3985" s="1">
        <v>3984</v>
      </c>
      <c r="B3985" s="1">
        <v>1006071.1886</v>
      </c>
      <c r="C3985" s="1">
        <v>727626.22468948318</v>
      </c>
      <c r="D3985" s="1">
        <f t="shared" si="62"/>
        <v>278444.96391051682</v>
      </c>
      <c r="E3985" s="1">
        <v>13</v>
      </c>
      <c r="F3985" s="1">
        <v>17</v>
      </c>
      <c r="G3985" s="1">
        <v>5</v>
      </c>
      <c r="H3985" s="1">
        <v>1</v>
      </c>
      <c r="I3985" s="1">
        <v>0</v>
      </c>
      <c r="J3985" s="1">
        <v>1</v>
      </c>
      <c r="K3985" s="1">
        <v>1</v>
      </c>
      <c r="L3985" s="1">
        <v>0</v>
      </c>
      <c r="M3985" s="1">
        <v>0</v>
      </c>
    </row>
    <row r="3986" spans="1:13">
      <c r="A3986" s="1">
        <v>3985</v>
      </c>
      <c r="B3986" s="1">
        <v>906305.90099999995</v>
      </c>
      <c r="C3986" s="1">
        <v>835559.30944643286</v>
      </c>
      <c r="D3986" s="1">
        <f t="shared" si="62"/>
        <v>70746.591553567094</v>
      </c>
      <c r="E3986" s="1">
        <v>12</v>
      </c>
      <c r="F3986" s="1">
        <v>19</v>
      </c>
      <c r="G3986" s="1">
        <v>4</v>
      </c>
      <c r="H3986" s="1">
        <v>1</v>
      </c>
      <c r="I3986" s="1">
        <v>0</v>
      </c>
      <c r="J3986" s="1">
        <v>1</v>
      </c>
      <c r="K3986" s="1">
        <v>1</v>
      </c>
      <c r="L3986" s="1">
        <v>0</v>
      </c>
      <c r="M3986" s="1">
        <v>0</v>
      </c>
    </row>
    <row r="3987" spans="1:13">
      <c r="A3987" s="1">
        <v>3986</v>
      </c>
      <c r="B3987" s="1">
        <v>926651.0882</v>
      </c>
      <c r="C3987" s="1">
        <v>578032.79173283023</v>
      </c>
      <c r="D3987" s="1">
        <f t="shared" si="62"/>
        <v>348618.29646716977</v>
      </c>
      <c r="E3987" s="1">
        <v>8</v>
      </c>
      <c r="F3987" s="1">
        <v>24</v>
      </c>
      <c r="G3987" s="1">
        <v>3</v>
      </c>
      <c r="H3987" s="1">
        <v>0</v>
      </c>
      <c r="I3987" s="1">
        <v>0</v>
      </c>
      <c r="J3987" s="1">
        <v>0</v>
      </c>
      <c r="K3987" s="1">
        <v>2</v>
      </c>
      <c r="L3987" s="1">
        <v>0</v>
      </c>
      <c r="M3987" s="1">
        <v>0</v>
      </c>
    </row>
    <row r="3988" spans="1:13">
      <c r="A3988" s="1">
        <v>3987</v>
      </c>
      <c r="B3988" s="1">
        <v>880664.49300000002</v>
      </c>
      <c r="C3988" s="1">
        <v>1016452.9366807359</v>
      </c>
      <c r="D3988" s="1">
        <f t="shared" si="62"/>
        <v>-135788.44368073589</v>
      </c>
      <c r="E3988" s="1">
        <v>11</v>
      </c>
      <c r="F3988" s="1">
        <v>20</v>
      </c>
      <c r="G3988" s="1">
        <v>4</v>
      </c>
      <c r="H3988" s="1">
        <v>1</v>
      </c>
      <c r="I3988" s="1">
        <v>1</v>
      </c>
      <c r="J3988" s="1">
        <v>2</v>
      </c>
      <c r="K3988" s="1">
        <v>0</v>
      </c>
      <c r="L3988" s="1">
        <v>0</v>
      </c>
      <c r="M3988" s="1">
        <v>0</v>
      </c>
    </row>
    <row r="3989" spans="1:13">
      <c r="A3989" s="1">
        <v>3988</v>
      </c>
      <c r="B3989" s="1">
        <v>871639.45979999995</v>
      </c>
      <c r="C3989" s="1">
        <v>1502793.6651605121</v>
      </c>
      <c r="D3989" s="1">
        <f t="shared" si="62"/>
        <v>-631154.20536051213</v>
      </c>
      <c r="E3989" s="1">
        <v>21</v>
      </c>
      <c r="F3989" s="1">
        <v>12</v>
      </c>
      <c r="G3989" s="1">
        <v>2</v>
      </c>
      <c r="H3989" s="1">
        <v>2</v>
      </c>
      <c r="I3989" s="1">
        <v>0</v>
      </c>
      <c r="J3989" s="1">
        <v>0</v>
      </c>
      <c r="K3989" s="1">
        <v>0</v>
      </c>
      <c r="L3989" s="1">
        <v>1</v>
      </c>
      <c r="M3989" s="1">
        <v>0</v>
      </c>
    </row>
    <row r="3990" spans="1:13">
      <c r="A3990" s="1">
        <v>3989</v>
      </c>
      <c r="B3990" s="1">
        <v>939863.33600000001</v>
      </c>
      <c r="C3990" s="1">
        <v>633454.3555062043</v>
      </c>
      <c r="D3990" s="1">
        <f t="shared" si="62"/>
        <v>306408.98049379571</v>
      </c>
      <c r="E3990" s="1">
        <v>18</v>
      </c>
      <c r="F3990" s="1">
        <v>13</v>
      </c>
      <c r="G3990" s="1">
        <v>4</v>
      </c>
      <c r="H3990" s="1">
        <v>2</v>
      </c>
      <c r="I3990" s="1">
        <v>0</v>
      </c>
      <c r="J3990" s="1">
        <v>2</v>
      </c>
      <c r="K3990" s="1">
        <v>0</v>
      </c>
      <c r="L3990" s="1">
        <v>0</v>
      </c>
      <c r="M3990" s="1">
        <v>0</v>
      </c>
    </row>
    <row r="3991" spans="1:13">
      <c r="A3991" s="1">
        <v>3990</v>
      </c>
      <c r="B3991" s="1">
        <v>962921.79799999995</v>
      </c>
      <c r="C3991" s="1">
        <v>526659.71197726997</v>
      </c>
      <c r="D3991" s="1">
        <f t="shared" si="62"/>
        <v>436262.08602272999</v>
      </c>
      <c r="E3991" s="1">
        <v>14</v>
      </c>
      <c r="F3991" s="1">
        <v>19</v>
      </c>
      <c r="G3991" s="1">
        <v>2</v>
      </c>
      <c r="H3991" s="1">
        <v>1</v>
      </c>
      <c r="I3991" s="1">
        <v>1</v>
      </c>
      <c r="J3991" s="1">
        <v>1</v>
      </c>
      <c r="K3991" s="1">
        <v>0</v>
      </c>
      <c r="L3991" s="1">
        <v>0</v>
      </c>
      <c r="M3991" s="1">
        <v>1</v>
      </c>
    </row>
    <row r="3992" spans="1:13">
      <c r="A3992" s="1">
        <v>3991</v>
      </c>
      <c r="B3992" s="1">
        <v>915317.79240000003</v>
      </c>
      <c r="C3992" s="1">
        <v>944264.37557437085</v>
      </c>
      <c r="D3992" s="1">
        <f t="shared" si="62"/>
        <v>-28946.583174370811</v>
      </c>
      <c r="E3992" s="1">
        <v>17</v>
      </c>
      <c r="F3992" s="1">
        <v>12</v>
      </c>
      <c r="G3992" s="1">
        <v>6</v>
      </c>
      <c r="H3992" s="1">
        <v>0</v>
      </c>
      <c r="I3992" s="1">
        <v>0</v>
      </c>
      <c r="J3992" s="1">
        <v>0</v>
      </c>
      <c r="K3992" s="1">
        <v>1</v>
      </c>
      <c r="L3992" s="1">
        <v>0</v>
      </c>
      <c r="M3992" s="1">
        <v>0</v>
      </c>
    </row>
    <row r="3993" spans="1:13">
      <c r="A3993" s="1">
        <v>3992</v>
      </c>
      <c r="B3993" s="1">
        <v>881794.62890000001</v>
      </c>
      <c r="C3993" s="1">
        <v>888409.95071382215</v>
      </c>
      <c r="D3993" s="1">
        <f t="shared" si="62"/>
        <v>-6615.3218138221418</v>
      </c>
      <c r="E3993" s="1">
        <v>10</v>
      </c>
      <c r="F3993" s="1">
        <v>19</v>
      </c>
      <c r="G3993" s="1">
        <v>6</v>
      </c>
      <c r="H3993" s="1">
        <v>2</v>
      </c>
      <c r="I3993" s="1">
        <v>0</v>
      </c>
      <c r="J3993" s="1">
        <v>0</v>
      </c>
      <c r="K3993" s="1">
        <v>1</v>
      </c>
      <c r="L3993" s="1">
        <v>0</v>
      </c>
      <c r="M3993" s="1">
        <v>0</v>
      </c>
    </row>
    <row r="3994" spans="1:13">
      <c r="A3994" s="1">
        <v>3993</v>
      </c>
      <c r="B3994" s="1">
        <v>859504.78419999999</v>
      </c>
      <c r="C3994" s="1">
        <v>659523.48069253459</v>
      </c>
      <c r="D3994" s="1">
        <f t="shared" si="62"/>
        <v>199981.3035074654</v>
      </c>
      <c r="E3994" s="1">
        <v>19</v>
      </c>
      <c r="F3994" s="1">
        <v>10</v>
      </c>
      <c r="G3994" s="1">
        <v>6</v>
      </c>
      <c r="H3994" s="1">
        <v>2</v>
      </c>
      <c r="I3994" s="1">
        <v>0</v>
      </c>
      <c r="J3994" s="1">
        <v>0</v>
      </c>
      <c r="K3994" s="1">
        <v>0</v>
      </c>
      <c r="L3994" s="1">
        <v>0</v>
      </c>
      <c r="M3994" s="1">
        <v>1</v>
      </c>
    </row>
    <row r="3995" spans="1:13">
      <c r="A3995" s="1">
        <v>3994</v>
      </c>
      <c r="B3995" s="1">
        <v>876600.99699999997</v>
      </c>
      <c r="C3995" s="1">
        <v>708391.25488193519</v>
      </c>
      <c r="D3995" s="1">
        <f t="shared" si="62"/>
        <v>168209.74211806478</v>
      </c>
      <c r="E3995" s="1">
        <v>11</v>
      </c>
      <c r="F3995" s="1">
        <v>21</v>
      </c>
      <c r="G3995" s="1">
        <v>3</v>
      </c>
      <c r="H3995" s="1">
        <v>0</v>
      </c>
      <c r="I3995" s="1">
        <v>0</v>
      </c>
      <c r="J3995" s="1">
        <v>0</v>
      </c>
      <c r="K3995" s="1">
        <v>0</v>
      </c>
      <c r="L3995" s="1">
        <v>0</v>
      </c>
      <c r="M3995" s="1">
        <v>1</v>
      </c>
    </row>
    <row r="3996" spans="1:13">
      <c r="A3996" s="1">
        <v>3995</v>
      </c>
      <c r="B3996" s="1">
        <v>914299.30319999997</v>
      </c>
      <c r="C3996" s="1">
        <v>745811.14907883306</v>
      </c>
      <c r="D3996" s="1">
        <f t="shared" si="62"/>
        <v>168488.15412116691</v>
      </c>
      <c r="E3996" s="1">
        <v>9</v>
      </c>
      <c r="F3996" s="1">
        <v>17</v>
      </c>
      <c r="G3996" s="1">
        <v>9</v>
      </c>
      <c r="H3996" s="1">
        <v>0</v>
      </c>
      <c r="I3996" s="1">
        <v>1</v>
      </c>
      <c r="J3996" s="1">
        <v>1</v>
      </c>
      <c r="K3996" s="1">
        <v>0</v>
      </c>
      <c r="L3996" s="1">
        <v>0</v>
      </c>
      <c r="M3996" s="1">
        <v>1</v>
      </c>
    </row>
    <row r="3997" spans="1:13">
      <c r="A3997" s="1">
        <v>3996</v>
      </c>
      <c r="B3997" s="1">
        <v>932841.25950000004</v>
      </c>
      <c r="C3997" s="1">
        <v>989179.57251897966</v>
      </c>
      <c r="D3997" s="1">
        <f t="shared" si="62"/>
        <v>-56338.313018979621</v>
      </c>
      <c r="E3997" s="1">
        <v>8</v>
      </c>
      <c r="F3997" s="1">
        <v>20</v>
      </c>
      <c r="G3997" s="1">
        <v>7</v>
      </c>
      <c r="H3997" s="1">
        <v>1</v>
      </c>
      <c r="I3997" s="1">
        <v>1</v>
      </c>
      <c r="J3997" s="1">
        <v>2</v>
      </c>
      <c r="K3997" s="1">
        <v>0</v>
      </c>
      <c r="L3997" s="1">
        <v>0</v>
      </c>
      <c r="M3997" s="1">
        <v>0</v>
      </c>
    </row>
    <row r="3998" spans="1:13">
      <c r="A3998" s="1">
        <v>3997</v>
      </c>
      <c r="B3998" s="1">
        <v>961612.97779999999</v>
      </c>
      <c r="C3998" s="1">
        <v>1723638.3301117134</v>
      </c>
      <c r="D3998" s="1">
        <f t="shared" si="62"/>
        <v>-762025.35231171339</v>
      </c>
      <c r="E3998" s="1">
        <v>7</v>
      </c>
      <c r="F3998" s="1">
        <v>25</v>
      </c>
      <c r="G3998" s="1">
        <v>3</v>
      </c>
      <c r="H3998" s="1">
        <v>2</v>
      </c>
      <c r="I3998" s="1">
        <v>0</v>
      </c>
      <c r="J3998" s="1">
        <v>0</v>
      </c>
      <c r="K3998" s="1">
        <v>0</v>
      </c>
      <c r="L3998" s="1">
        <v>0</v>
      </c>
      <c r="M3998" s="1">
        <v>1</v>
      </c>
    </row>
    <row r="3999" spans="1:13">
      <c r="A3999" s="1">
        <v>3998</v>
      </c>
      <c r="B3999" s="1">
        <v>1081600.683</v>
      </c>
      <c r="C3999" s="1">
        <v>765531.62110552425</v>
      </c>
      <c r="D3999" s="1">
        <f t="shared" si="62"/>
        <v>316069.06189447572</v>
      </c>
      <c r="E3999" s="1">
        <v>12</v>
      </c>
      <c r="F3999" s="1">
        <v>16</v>
      </c>
      <c r="G3999" s="1">
        <v>7</v>
      </c>
      <c r="H3999" s="1">
        <v>1</v>
      </c>
      <c r="I3999" s="1">
        <v>0</v>
      </c>
      <c r="J3999" s="1">
        <v>0</v>
      </c>
      <c r="K3999" s="1">
        <v>1</v>
      </c>
      <c r="L3999" s="1">
        <v>0</v>
      </c>
      <c r="M3999" s="1">
        <v>0</v>
      </c>
    </row>
    <row r="4000" spans="1:13">
      <c r="A4000" s="1">
        <v>3999</v>
      </c>
      <c r="B4000" s="1">
        <v>909994.42050000001</v>
      </c>
      <c r="C4000" s="1">
        <v>825279.4831558906</v>
      </c>
      <c r="D4000" s="1">
        <f t="shared" si="62"/>
        <v>84714.937344109407</v>
      </c>
      <c r="E4000" s="1">
        <v>11</v>
      </c>
      <c r="F4000" s="1">
        <v>20</v>
      </c>
      <c r="G4000" s="1">
        <v>4</v>
      </c>
      <c r="H4000" s="1">
        <v>1</v>
      </c>
      <c r="I4000" s="1">
        <v>0</v>
      </c>
      <c r="J4000" s="1">
        <v>0</v>
      </c>
      <c r="K4000" s="1">
        <v>1</v>
      </c>
      <c r="L4000" s="1">
        <v>0</v>
      </c>
      <c r="M4000" s="1">
        <v>0</v>
      </c>
    </row>
    <row r="4001" spans="1:13">
      <c r="A4001" s="1">
        <v>4000</v>
      </c>
      <c r="B4001" s="1">
        <v>961837.17810000002</v>
      </c>
      <c r="C4001" s="1">
        <v>645346.36065339285</v>
      </c>
      <c r="D4001" s="1">
        <f t="shared" si="62"/>
        <v>316490.81744660717</v>
      </c>
      <c r="E4001" s="1">
        <v>16</v>
      </c>
      <c r="F4001" s="1">
        <v>12</v>
      </c>
      <c r="G4001" s="1">
        <v>7</v>
      </c>
      <c r="H4001" s="1">
        <v>1</v>
      </c>
      <c r="I4001" s="1">
        <v>0</v>
      </c>
      <c r="J4001" s="1">
        <v>1</v>
      </c>
      <c r="K4001" s="1">
        <v>1</v>
      </c>
      <c r="L4001" s="1">
        <v>0</v>
      </c>
      <c r="M4001" s="1">
        <v>0</v>
      </c>
    </row>
    <row r="4002" spans="1:13">
      <c r="A4002" s="1">
        <v>4001</v>
      </c>
      <c r="B4002" s="1">
        <v>949645.7879</v>
      </c>
      <c r="C4002" s="1">
        <v>623348.29103654216</v>
      </c>
      <c r="D4002" s="1">
        <f t="shared" si="62"/>
        <v>326297.49686345784</v>
      </c>
      <c r="E4002" s="1">
        <v>8</v>
      </c>
      <c r="F4002" s="1">
        <v>20</v>
      </c>
      <c r="G4002" s="1">
        <v>7</v>
      </c>
      <c r="H4002" s="1">
        <v>0</v>
      </c>
      <c r="I4002" s="1">
        <v>1</v>
      </c>
      <c r="J4002" s="1">
        <v>1</v>
      </c>
      <c r="K4002" s="1">
        <v>0</v>
      </c>
      <c r="L4002" s="1">
        <v>0</v>
      </c>
      <c r="M4002" s="1">
        <v>1</v>
      </c>
    </row>
    <row r="4003" spans="1:13">
      <c r="A4003" s="1">
        <v>4002</v>
      </c>
      <c r="B4003" s="1">
        <v>890016.446</v>
      </c>
      <c r="C4003" s="1">
        <v>789224.39288339647</v>
      </c>
      <c r="D4003" s="1">
        <f t="shared" si="62"/>
        <v>100792.05311660352</v>
      </c>
      <c r="E4003" s="1">
        <v>18</v>
      </c>
      <c r="F4003" s="1">
        <v>12</v>
      </c>
      <c r="G4003" s="1">
        <v>5</v>
      </c>
      <c r="H4003" s="1">
        <v>1</v>
      </c>
      <c r="I4003" s="1">
        <v>0</v>
      </c>
      <c r="J4003" s="1">
        <v>0</v>
      </c>
      <c r="K4003" s="1">
        <v>1</v>
      </c>
      <c r="L4003" s="1">
        <v>0</v>
      </c>
      <c r="M4003" s="1">
        <v>0</v>
      </c>
    </row>
    <row r="4004" spans="1:13">
      <c r="A4004" s="1">
        <v>4003</v>
      </c>
      <c r="B4004" s="1">
        <v>925861.33129999996</v>
      </c>
      <c r="C4004" s="1">
        <v>610588.61338403111</v>
      </c>
      <c r="D4004" s="1">
        <f t="shared" si="62"/>
        <v>315272.71791596885</v>
      </c>
      <c r="E4004" s="1">
        <v>13</v>
      </c>
      <c r="F4004" s="1">
        <v>20</v>
      </c>
      <c r="G4004" s="1">
        <v>2</v>
      </c>
      <c r="H4004" s="1">
        <v>1</v>
      </c>
      <c r="I4004" s="1">
        <v>0</v>
      </c>
      <c r="J4004" s="1">
        <v>0</v>
      </c>
      <c r="K4004" s="1">
        <v>2</v>
      </c>
      <c r="L4004" s="1">
        <v>0</v>
      </c>
      <c r="M4004" s="1">
        <v>1</v>
      </c>
    </row>
    <row r="4005" spans="1:13">
      <c r="A4005" s="1">
        <v>4004</v>
      </c>
      <c r="B4005" s="1">
        <v>854696.29009999998</v>
      </c>
      <c r="C4005" s="1">
        <v>1081742.765714128</v>
      </c>
      <c r="D4005" s="1">
        <f t="shared" si="62"/>
        <v>-227046.47561412805</v>
      </c>
      <c r="E4005" s="1">
        <v>6</v>
      </c>
      <c r="F4005" s="1">
        <v>25</v>
      </c>
      <c r="G4005" s="1">
        <v>4</v>
      </c>
      <c r="H4005" s="1">
        <v>1</v>
      </c>
      <c r="I4005" s="1">
        <v>0</v>
      </c>
      <c r="J4005" s="1">
        <v>0</v>
      </c>
      <c r="K4005" s="1">
        <v>1</v>
      </c>
      <c r="L4005" s="1">
        <v>1</v>
      </c>
      <c r="M4005" s="1">
        <v>0</v>
      </c>
    </row>
    <row r="4006" spans="1:13">
      <c r="A4006" s="1">
        <v>4005</v>
      </c>
      <c r="B4006" s="1">
        <v>924000.26040000003</v>
      </c>
      <c r="C4006" s="1">
        <v>695860.38770588301</v>
      </c>
      <c r="D4006" s="1">
        <f t="shared" si="62"/>
        <v>228139.87269411702</v>
      </c>
      <c r="E4006" s="1">
        <v>11</v>
      </c>
      <c r="F4006" s="1">
        <v>18</v>
      </c>
      <c r="G4006" s="1">
        <v>6</v>
      </c>
      <c r="H4006" s="1">
        <v>0</v>
      </c>
      <c r="I4006" s="1">
        <v>1</v>
      </c>
      <c r="J4006" s="1">
        <v>1</v>
      </c>
      <c r="K4006" s="1">
        <v>1</v>
      </c>
      <c r="L4006" s="1">
        <v>0</v>
      </c>
      <c r="M4006" s="1">
        <v>1</v>
      </c>
    </row>
    <row r="4007" spans="1:13">
      <c r="A4007" s="1">
        <v>4006</v>
      </c>
      <c r="B4007" s="1">
        <v>977168.46950000001</v>
      </c>
      <c r="C4007" s="1">
        <v>731205.84634702012</v>
      </c>
      <c r="D4007" s="1">
        <f t="shared" si="62"/>
        <v>245962.62315297988</v>
      </c>
      <c r="E4007" s="1">
        <v>16</v>
      </c>
      <c r="F4007" s="1">
        <v>16</v>
      </c>
      <c r="G4007" s="1">
        <v>3</v>
      </c>
      <c r="H4007" s="1">
        <v>1</v>
      </c>
      <c r="I4007" s="1">
        <v>0</v>
      </c>
      <c r="J4007" s="1">
        <v>1</v>
      </c>
      <c r="K4007" s="1">
        <v>0</v>
      </c>
      <c r="L4007" s="1">
        <v>0</v>
      </c>
      <c r="M4007" s="1">
        <v>0</v>
      </c>
    </row>
    <row r="4008" spans="1:13">
      <c r="A4008" s="1">
        <v>4007</v>
      </c>
      <c r="B4008" s="1">
        <v>978728.46889999998</v>
      </c>
      <c r="C4008" s="1">
        <v>671445.60358612903</v>
      </c>
      <c r="D4008" s="1">
        <f t="shared" si="62"/>
        <v>307282.86531387095</v>
      </c>
      <c r="E4008" s="1">
        <v>14</v>
      </c>
      <c r="F4008" s="1">
        <v>18</v>
      </c>
      <c r="G4008" s="1">
        <v>3</v>
      </c>
      <c r="H4008" s="1">
        <v>2</v>
      </c>
      <c r="I4008" s="1">
        <v>0</v>
      </c>
      <c r="J4008" s="1">
        <v>1</v>
      </c>
      <c r="K4008" s="1">
        <v>1</v>
      </c>
      <c r="L4008" s="1">
        <v>0</v>
      </c>
      <c r="M4008" s="1">
        <v>0</v>
      </c>
    </row>
    <row r="4009" spans="1:13">
      <c r="A4009" s="1">
        <v>4008</v>
      </c>
      <c r="B4009" s="1">
        <v>932205.20609999995</v>
      </c>
      <c r="C4009" s="1">
        <v>1197870.8620383777</v>
      </c>
      <c r="D4009" s="1">
        <f t="shared" si="62"/>
        <v>-265665.65593837772</v>
      </c>
      <c r="E4009" s="1">
        <v>12</v>
      </c>
      <c r="F4009" s="1">
        <v>15</v>
      </c>
      <c r="G4009" s="1">
        <v>8</v>
      </c>
      <c r="H4009" s="1">
        <v>2</v>
      </c>
      <c r="I4009" s="1">
        <v>0</v>
      </c>
      <c r="J4009" s="1">
        <v>0</v>
      </c>
      <c r="K4009" s="1">
        <v>1</v>
      </c>
      <c r="L4009" s="1">
        <v>0</v>
      </c>
      <c r="M4009" s="1">
        <v>0</v>
      </c>
    </row>
    <row r="4010" spans="1:13">
      <c r="A4010" s="1">
        <v>4009</v>
      </c>
      <c r="B4010" s="1">
        <v>974631.50520000001</v>
      </c>
      <c r="C4010" s="1">
        <v>414840.25166079681</v>
      </c>
      <c r="D4010" s="1">
        <f t="shared" si="62"/>
        <v>559791.2535392032</v>
      </c>
      <c r="E4010" s="1">
        <v>10</v>
      </c>
      <c r="F4010" s="1">
        <v>20</v>
      </c>
      <c r="G4010" s="1">
        <v>5</v>
      </c>
      <c r="H4010" s="1">
        <v>1</v>
      </c>
      <c r="I4010" s="1">
        <v>0</v>
      </c>
      <c r="J4010" s="1">
        <v>0</v>
      </c>
      <c r="K4010" s="1">
        <v>1</v>
      </c>
      <c r="L4010" s="1">
        <v>0</v>
      </c>
      <c r="M4010" s="1">
        <v>0</v>
      </c>
    </row>
    <row r="4011" spans="1:13">
      <c r="A4011" s="1">
        <v>4010</v>
      </c>
      <c r="B4011" s="1">
        <v>879024.12930000003</v>
      </c>
      <c r="C4011" s="1">
        <v>832777.07095351326</v>
      </c>
      <c r="D4011" s="1">
        <f t="shared" si="62"/>
        <v>46247.058346486767</v>
      </c>
      <c r="E4011" s="1">
        <v>10</v>
      </c>
      <c r="F4011" s="1">
        <v>20</v>
      </c>
      <c r="G4011" s="1">
        <v>5</v>
      </c>
      <c r="H4011" s="1">
        <v>1</v>
      </c>
      <c r="I4011" s="1">
        <v>0</v>
      </c>
      <c r="J4011" s="1">
        <v>0</v>
      </c>
      <c r="K4011" s="1">
        <v>0</v>
      </c>
      <c r="L4011" s="1">
        <v>0</v>
      </c>
      <c r="M4011" s="1">
        <v>0</v>
      </c>
    </row>
    <row r="4012" spans="1:13">
      <c r="A4012" s="1">
        <v>4011</v>
      </c>
      <c r="B4012" s="1">
        <v>863345.18949999998</v>
      </c>
      <c r="C4012" s="1">
        <v>1059705.614646161</v>
      </c>
      <c r="D4012" s="1">
        <f t="shared" si="62"/>
        <v>-196360.425146161</v>
      </c>
      <c r="E4012" s="1">
        <v>16</v>
      </c>
      <c r="F4012" s="1">
        <v>15</v>
      </c>
      <c r="G4012" s="1">
        <v>4</v>
      </c>
      <c r="H4012" s="1">
        <v>1</v>
      </c>
      <c r="I4012" s="1">
        <v>0</v>
      </c>
      <c r="J4012" s="1">
        <v>0</v>
      </c>
      <c r="K4012" s="1">
        <v>0</v>
      </c>
      <c r="L4012" s="1">
        <v>1</v>
      </c>
      <c r="M4012" s="1">
        <v>0</v>
      </c>
    </row>
    <row r="4013" spans="1:13">
      <c r="A4013" s="1">
        <v>4012</v>
      </c>
      <c r="B4013" s="1">
        <v>1032901.4515</v>
      </c>
      <c r="C4013" s="1">
        <v>836583.29170103092</v>
      </c>
      <c r="D4013" s="1">
        <f t="shared" si="62"/>
        <v>196318.15979896905</v>
      </c>
      <c r="E4013" s="1">
        <v>10</v>
      </c>
      <c r="F4013" s="1">
        <v>20</v>
      </c>
      <c r="G4013" s="1">
        <v>5</v>
      </c>
      <c r="H4013" s="1">
        <v>2</v>
      </c>
      <c r="I4013" s="1">
        <v>0</v>
      </c>
      <c r="J4013" s="1">
        <v>1</v>
      </c>
      <c r="K4013" s="1">
        <v>1</v>
      </c>
      <c r="L4013" s="1">
        <v>0</v>
      </c>
      <c r="M4013" s="1">
        <v>0</v>
      </c>
    </row>
    <row r="4014" spans="1:13">
      <c r="A4014" s="1">
        <v>4013</v>
      </c>
      <c r="B4014" s="1">
        <v>895070.70420000004</v>
      </c>
      <c r="C4014" s="1">
        <v>1185550.9048071397</v>
      </c>
      <c r="D4014" s="1">
        <f t="shared" si="62"/>
        <v>-290480.20060713962</v>
      </c>
      <c r="E4014" s="1">
        <v>13</v>
      </c>
      <c r="F4014" s="1">
        <v>18</v>
      </c>
      <c r="G4014" s="1">
        <v>4</v>
      </c>
      <c r="H4014" s="1">
        <v>1</v>
      </c>
      <c r="I4014" s="1">
        <v>0</v>
      </c>
      <c r="J4014" s="1">
        <v>0</v>
      </c>
      <c r="K4014" s="1">
        <v>0</v>
      </c>
      <c r="L4014" s="1">
        <v>1</v>
      </c>
      <c r="M4014" s="1">
        <v>0</v>
      </c>
    </row>
    <row r="4015" spans="1:13">
      <c r="A4015" s="1">
        <v>4014</v>
      </c>
      <c r="B4015" s="1">
        <v>921611.83270000003</v>
      </c>
      <c r="C4015" s="1">
        <v>1034008.7161428756</v>
      </c>
      <c r="D4015" s="1">
        <f t="shared" si="62"/>
        <v>-112396.88344287558</v>
      </c>
      <c r="E4015" s="1">
        <v>15</v>
      </c>
      <c r="F4015" s="1">
        <v>14</v>
      </c>
      <c r="G4015" s="1">
        <v>6</v>
      </c>
      <c r="H4015" s="1">
        <v>2</v>
      </c>
      <c r="I4015" s="1">
        <v>0</v>
      </c>
      <c r="J4015" s="1">
        <v>1</v>
      </c>
      <c r="K4015" s="1">
        <v>0</v>
      </c>
      <c r="L4015" s="1">
        <v>0</v>
      </c>
      <c r="M4015" s="1">
        <v>1</v>
      </c>
    </row>
    <row r="4016" spans="1:13">
      <c r="A4016" s="1">
        <v>4015</v>
      </c>
      <c r="B4016" s="1">
        <v>999981.23750000005</v>
      </c>
      <c r="C4016" s="1">
        <v>1410403.3064601251</v>
      </c>
      <c r="D4016" s="1">
        <f t="shared" si="62"/>
        <v>-410422.06896012509</v>
      </c>
      <c r="E4016" s="1">
        <v>14</v>
      </c>
      <c r="F4016" s="1">
        <v>16</v>
      </c>
      <c r="G4016" s="1">
        <v>5</v>
      </c>
      <c r="H4016" s="1">
        <v>0</v>
      </c>
      <c r="I4016" s="1">
        <v>0</v>
      </c>
      <c r="J4016" s="1">
        <v>0</v>
      </c>
      <c r="K4016" s="1">
        <v>0</v>
      </c>
      <c r="L4016" s="1">
        <v>0</v>
      </c>
      <c r="M4016" s="1">
        <v>1</v>
      </c>
    </row>
    <row r="4017" spans="1:13">
      <c r="A4017" s="1">
        <v>4016</v>
      </c>
      <c r="B4017" s="1">
        <v>943834.99710000004</v>
      </c>
      <c r="C4017" s="1">
        <v>699326.23569163098</v>
      </c>
      <c r="D4017" s="1">
        <f t="shared" si="62"/>
        <v>244508.76140836906</v>
      </c>
      <c r="E4017" s="1">
        <v>18</v>
      </c>
      <c r="F4017" s="1">
        <v>11</v>
      </c>
      <c r="G4017" s="1">
        <v>6</v>
      </c>
      <c r="H4017" s="1">
        <v>1</v>
      </c>
      <c r="I4017" s="1">
        <v>1</v>
      </c>
      <c r="J4017" s="1">
        <v>0</v>
      </c>
      <c r="K4017" s="1">
        <v>1</v>
      </c>
      <c r="L4017" s="1">
        <v>0</v>
      </c>
      <c r="M4017" s="1">
        <v>0</v>
      </c>
    </row>
    <row r="4018" spans="1:13">
      <c r="A4018" s="1">
        <v>4017</v>
      </c>
      <c r="B4018" s="1">
        <v>918315.22629999998</v>
      </c>
      <c r="C4018" s="1">
        <v>876742.32628122333</v>
      </c>
      <c r="D4018" s="1">
        <f t="shared" si="62"/>
        <v>41572.900018776651</v>
      </c>
      <c r="E4018" s="1">
        <v>19</v>
      </c>
      <c r="F4018" s="1">
        <v>12</v>
      </c>
      <c r="G4018" s="1">
        <v>4</v>
      </c>
      <c r="H4018" s="1">
        <v>0</v>
      </c>
      <c r="I4018" s="1">
        <v>0</v>
      </c>
      <c r="J4018" s="1">
        <v>1</v>
      </c>
      <c r="K4018" s="1">
        <v>1</v>
      </c>
      <c r="L4018" s="1">
        <v>0</v>
      </c>
      <c r="M4018" s="1">
        <v>0</v>
      </c>
    </row>
    <row r="4019" spans="1:13">
      <c r="A4019" s="1">
        <v>4018</v>
      </c>
      <c r="B4019" s="1">
        <v>829504.58539999998</v>
      </c>
      <c r="C4019" s="1">
        <v>1243782.6654447245</v>
      </c>
      <c r="D4019" s="1">
        <f t="shared" si="62"/>
        <v>-414278.08004472451</v>
      </c>
      <c r="E4019" s="1">
        <v>18</v>
      </c>
      <c r="F4019" s="1">
        <v>14</v>
      </c>
      <c r="G4019" s="1">
        <v>3</v>
      </c>
      <c r="H4019" s="1">
        <v>2</v>
      </c>
      <c r="I4019" s="1">
        <v>0</v>
      </c>
      <c r="J4019" s="1">
        <v>0</v>
      </c>
      <c r="K4019" s="1">
        <v>1</v>
      </c>
      <c r="L4019" s="1">
        <v>0</v>
      </c>
      <c r="M4019" s="1">
        <v>0</v>
      </c>
    </row>
    <row r="4020" spans="1:13">
      <c r="A4020" s="1">
        <v>4019</v>
      </c>
      <c r="B4020" s="1">
        <v>866111.45079999999</v>
      </c>
      <c r="C4020" s="1">
        <v>527716.17968312546</v>
      </c>
      <c r="D4020" s="1">
        <f t="shared" si="62"/>
        <v>338395.27111687453</v>
      </c>
      <c r="E4020" s="1">
        <v>14</v>
      </c>
      <c r="F4020" s="1">
        <v>16</v>
      </c>
      <c r="G4020" s="1">
        <v>5</v>
      </c>
      <c r="H4020" s="1">
        <v>2</v>
      </c>
      <c r="I4020" s="1">
        <v>0</v>
      </c>
      <c r="J4020" s="1">
        <v>0</v>
      </c>
      <c r="K4020" s="1">
        <v>1</v>
      </c>
      <c r="L4020" s="1">
        <v>0</v>
      </c>
      <c r="M4020" s="1">
        <v>0</v>
      </c>
    </row>
    <row r="4021" spans="1:13">
      <c r="A4021" s="1">
        <v>4020</v>
      </c>
      <c r="B4021" s="1">
        <v>899601.9791</v>
      </c>
      <c r="C4021" s="1">
        <v>933061.68861963227</v>
      </c>
      <c r="D4021" s="1">
        <f t="shared" si="62"/>
        <v>-33459.709519632277</v>
      </c>
      <c r="E4021" s="1">
        <v>14</v>
      </c>
      <c r="F4021" s="1">
        <v>16</v>
      </c>
      <c r="G4021" s="1">
        <v>5</v>
      </c>
      <c r="H4021" s="1">
        <v>1</v>
      </c>
      <c r="I4021" s="1">
        <v>0</v>
      </c>
      <c r="J4021" s="1">
        <v>1</v>
      </c>
      <c r="K4021" s="1">
        <v>1</v>
      </c>
      <c r="L4021" s="1">
        <v>0</v>
      </c>
      <c r="M4021" s="1">
        <v>1</v>
      </c>
    </row>
    <row r="4022" spans="1:13">
      <c r="A4022" s="1">
        <v>4021</v>
      </c>
      <c r="B4022" s="1">
        <v>866542.23620000004</v>
      </c>
      <c r="C4022" s="1">
        <v>452324.67165553954</v>
      </c>
      <c r="D4022" s="1">
        <f t="shared" si="62"/>
        <v>414217.5645444605</v>
      </c>
      <c r="E4022" s="1">
        <v>17</v>
      </c>
      <c r="F4022" s="1">
        <v>15</v>
      </c>
      <c r="G4022" s="1">
        <v>3</v>
      </c>
      <c r="H4022" s="1">
        <v>2</v>
      </c>
      <c r="I4022" s="1">
        <v>0</v>
      </c>
      <c r="J4022" s="1">
        <v>0</v>
      </c>
      <c r="K4022" s="1">
        <v>0</v>
      </c>
      <c r="L4022" s="1">
        <v>0</v>
      </c>
      <c r="M4022" s="1">
        <v>0</v>
      </c>
    </row>
    <row r="4023" spans="1:13">
      <c r="A4023" s="1">
        <v>4022</v>
      </c>
      <c r="B4023" s="1">
        <v>932205.54</v>
      </c>
      <c r="C4023" s="1">
        <v>1091077.8689540462</v>
      </c>
      <c r="D4023" s="1">
        <f t="shared" si="62"/>
        <v>-158872.32895404613</v>
      </c>
      <c r="E4023" s="1">
        <v>8</v>
      </c>
      <c r="F4023" s="1">
        <v>22</v>
      </c>
      <c r="G4023" s="1">
        <v>5</v>
      </c>
      <c r="H4023" s="1">
        <v>0</v>
      </c>
      <c r="I4023" s="1">
        <v>0</v>
      </c>
      <c r="J4023" s="1">
        <v>1</v>
      </c>
      <c r="K4023" s="1">
        <v>0</v>
      </c>
      <c r="L4023" s="1">
        <v>0</v>
      </c>
      <c r="M4023" s="1">
        <v>0</v>
      </c>
    </row>
    <row r="4024" spans="1:13">
      <c r="A4024" s="1">
        <v>4023</v>
      </c>
      <c r="B4024" s="1">
        <v>1068865.9532999999</v>
      </c>
      <c r="C4024" s="1">
        <v>1643108.6526542087</v>
      </c>
      <c r="D4024" s="1">
        <f t="shared" si="62"/>
        <v>-574242.69935420877</v>
      </c>
      <c r="E4024" s="1">
        <v>11</v>
      </c>
      <c r="F4024" s="1">
        <v>17</v>
      </c>
      <c r="G4024" s="1">
        <v>7</v>
      </c>
      <c r="H4024" s="1">
        <v>1</v>
      </c>
      <c r="I4024" s="1">
        <v>0</v>
      </c>
      <c r="J4024" s="1">
        <v>0</v>
      </c>
      <c r="K4024" s="1">
        <v>0</v>
      </c>
      <c r="L4024" s="1">
        <v>0</v>
      </c>
      <c r="M4024" s="1">
        <v>0</v>
      </c>
    </row>
    <row r="4025" spans="1:13">
      <c r="A4025" s="1">
        <v>4024</v>
      </c>
      <c r="B4025" s="1">
        <v>937602.89130000002</v>
      </c>
      <c r="C4025" s="1">
        <v>898275.82028744742</v>
      </c>
      <c r="D4025" s="1">
        <f t="shared" si="62"/>
        <v>39327.071012552595</v>
      </c>
      <c r="E4025" s="1">
        <v>14</v>
      </c>
      <c r="F4025" s="1">
        <v>18</v>
      </c>
      <c r="G4025" s="1">
        <v>3</v>
      </c>
      <c r="H4025" s="1">
        <v>0</v>
      </c>
      <c r="I4025" s="1">
        <v>0</v>
      </c>
      <c r="J4025" s="1">
        <v>0</v>
      </c>
      <c r="K4025" s="1">
        <v>0</v>
      </c>
      <c r="L4025" s="1">
        <v>0</v>
      </c>
      <c r="M4025" s="1">
        <v>0</v>
      </c>
    </row>
    <row r="4026" spans="1:13">
      <c r="A4026" s="1">
        <v>4025</v>
      </c>
      <c r="B4026" s="1">
        <v>944046.86300000001</v>
      </c>
      <c r="C4026" s="1">
        <v>688668.74540772138</v>
      </c>
      <c r="D4026" s="1">
        <f t="shared" si="62"/>
        <v>255378.11759227864</v>
      </c>
      <c r="E4026" s="1">
        <v>11</v>
      </c>
      <c r="F4026" s="1">
        <v>21</v>
      </c>
      <c r="G4026" s="1">
        <v>3</v>
      </c>
      <c r="H4026" s="1">
        <v>1</v>
      </c>
      <c r="I4026" s="1">
        <v>0</v>
      </c>
      <c r="J4026" s="1">
        <v>1</v>
      </c>
      <c r="K4026" s="1">
        <v>1</v>
      </c>
      <c r="L4026" s="1">
        <v>0</v>
      </c>
      <c r="M4026" s="1">
        <v>1</v>
      </c>
    </row>
    <row r="4027" spans="1:13">
      <c r="A4027" s="1">
        <v>4026</v>
      </c>
      <c r="B4027" s="1">
        <v>1061818.8559000001</v>
      </c>
      <c r="C4027" s="1">
        <v>678850.70636926766</v>
      </c>
      <c r="D4027" s="1">
        <f t="shared" si="62"/>
        <v>382968.14953073242</v>
      </c>
      <c r="E4027" s="1">
        <v>8</v>
      </c>
      <c r="F4027" s="1">
        <v>21</v>
      </c>
      <c r="G4027" s="1">
        <v>6</v>
      </c>
      <c r="H4027" s="1">
        <v>2</v>
      </c>
      <c r="I4027" s="1">
        <v>0</v>
      </c>
      <c r="J4027" s="1">
        <v>0</v>
      </c>
      <c r="K4027" s="1">
        <v>2</v>
      </c>
      <c r="L4027" s="1">
        <v>0</v>
      </c>
      <c r="M4027" s="1">
        <v>0</v>
      </c>
    </row>
    <row r="4028" spans="1:13">
      <c r="A4028" s="1">
        <v>4027</v>
      </c>
      <c r="B4028" s="1">
        <v>993464.43559999997</v>
      </c>
      <c r="C4028" s="1">
        <v>760434.31815380615</v>
      </c>
      <c r="D4028" s="1">
        <f t="shared" si="62"/>
        <v>233030.11744619382</v>
      </c>
      <c r="E4028" s="1">
        <v>12</v>
      </c>
      <c r="F4028" s="1">
        <v>16</v>
      </c>
      <c r="G4028" s="1">
        <v>7</v>
      </c>
      <c r="H4028" s="1">
        <v>0</v>
      </c>
      <c r="I4028" s="1">
        <v>0</v>
      </c>
      <c r="J4028" s="1">
        <v>1</v>
      </c>
      <c r="K4028" s="1">
        <v>0</v>
      </c>
      <c r="L4028" s="1">
        <v>1</v>
      </c>
      <c r="M4028" s="1">
        <v>0</v>
      </c>
    </row>
    <row r="4029" spans="1:13">
      <c r="A4029" s="1">
        <v>4028</v>
      </c>
      <c r="B4029" s="1">
        <v>934387.14049999998</v>
      </c>
      <c r="C4029" s="1">
        <v>1498746.2451377879</v>
      </c>
      <c r="D4029" s="1">
        <f t="shared" si="62"/>
        <v>-564359.10463778791</v>
      </c>
      <c r="E4029" s="1">
        <v>12</v>
      </c>
      <c r="F4029" s="1">
        <v>17</v>
      </c>
      <c r="G4029" s="1">
        <v>6</v>
      </c>
      <c r="H4029" s="1">
        <v>1</v>
      </c>
      <c r="I4029" s="1">
        <v>0</v>
      </c>
      <c r="J4029" s="1">
        <v>1</v>
      </c>
      <c r="K4029" s="1">
        <v>0</v>
      </c>
      <c r="L4029" s="1">
        <v>0</v>
      </c>
      <c r="M4029" s="1">
        <v>1</v>
      </c>
    </row>
    <row r="4030" spans="1:13">
      <c r="A4030" s="1">
        <v>4029</v>
      </c>
      <c r="B4030" s="1">
        <v>846712.51489999995</v>
      </c>
      <c r="C4030" s="1">
        <v>723138.44153042976</v>
      </c>
      <c r="D4030" s="1">
        <f t="shared" si="62"/>
        <v>123574.07336957019</v>
      </c>
      <c r="E4030" s="1">
        <v>7</v>
      </c>
      <c r="F4030" s="1">
        <v>21</v>
      </c>
      <c r="G4030" s="1">
        <v>7</v>
      </c>
      <c r="H4030" s="1">
        <v>1</v>
      </c>
      <c r="I4030" s="1">
        <v>1</v>
      </c>
      <c r="J4030" s="1">
        <v>2</v>
      </c>
      <c r="K4030" s="1">
        <v>0</v>
      </c>
      <c r="L4030" s="1">
        <v>0</v>
      </c>
      <c r="M4030" s="1">
        <v>1</v>
      </c>
    </row>
    <row r="4031" spans="1:13">
      <c r="A4031" s="1">
        <v>4030</v>
      </c>
      <c r="B4031" s="1">
        <v>876037.79720000003</v>
      </c>
      <c r="C4031" s="1">
        <v>862022.43376885878</v>
      </c>
      <c r="D4031" s="1">
        <f t="shared" si="62"/>
        <v>14015.363431141246</v>
      </c>
      <c r="E4031" s="1">
        <v>16</v>
      </c>
      <c r="F4031" s="1">
        <v>15</v>
      </c>
      <c r="G4031" s="1">
        <v>4</v>
      </c>
      <c r="H4031" s="1">
        <v>2</v>
      </c>
      <c r="I4031" s="1">
        <v>0</v>
      </c>
      <c r="J4031" s="1">
        <v>1</v>
      </c>
      <c r="K4031" s="1">
        <v>0</v>
      </c>
      <c r="L4031" s="1">
        <v>0</v>
      </c>
      <c r="M4031" s="1">
        <v>0</v>
      </c>
    </row>
    <row r="4032" spans="1:13">
      <c r="A4032" s="1">
        <v>4031</v>
      </c>
      <c r="B4032" s="1">
        <v>903374.49879999994</v>
      </c>
      <c r="C4032" s="1">
        <v>863493.61465088686</v>
      </c>
      <c r="D4032" s="1">
        <f t="shared" si="62"/>
        <v>39880.884149113088</v>
      </c>
      <c r="E4032" s="1">
        <v>16</v>
      </c>
      <c r="F4032" s="1">
        <v>13</v>
      </c>
      <c r="G4032" s="1">
        <v>6</v>
      </c>
      <c r="H4032" s="1">
        <v>0</v>
      </c>
      <c r="I4032" s="1">
        <v>0</v>
      </c>
      <c r="J4032" s="1">
        <v>0</v>
      </c>
      <c r="K4032" s="1">
        <v>1</v>
      </c>
      <c r="L4032" s="1">
        <v>0</v>
      </c>
      <c r="M4032" s="1">
        <v>1</v>
      </c>
    </row>
    <row r="4033" spans="1:13">
      <c r="A4033" s="1">
        <v>4032</v>
      </c>
      <c r="B4033" s="1">
        <v>842831.90300000005</v>
      </c>
      <c r="C4033" s="1">
        <v>928091.69454789977</v>
      </c>
      <c r="D4033" s="1">
        <f t="shared" si="62"/>
        <v>-85259.791547899717</v>
      </c>
      <c r="E4033" s="1">
        <v>15</v>
      </c>
      <c r="F4033" s="1">
        <v>13</v>
      </c>
      <c r="G4033" s="1">
        <v>7</v>
      </c>
      <c r="H4033" s="1">
        <v>1</v>
      </c>
      <c r="I4033" s="1">
        <v>0</v>
      </c>
      <c r="J4033" s="1">
        <v>0</v>
      </c>
      <c r="K4033" s="1">
        <v>2</v>
      </c>
      <c r="L4033" s="1">
        <v>0</v>
      </c>
      <c r="M4033" s="1">
        <v>0</v>
      </c>
    </row>
    <row r="4034" spans="1:13">
      <c r="A4034" s="1">
        <v>4033</v>
      </c>
      <c r="B4034" s="1">
        <v>1051233.4664</v>
      </c>
      <c r="C4034" s="1">
        <v>1506023.1469027423</v>
      </c>
      <c r="D4034" s="1">
        <f t="shared" ref="D4034:D4097" si="63">B4034-C4034</f>
        <v>-454789.6805027423</v>
      </c>
      <c r="E4034" s="1">
        <v>9</v>
      </c>
      <c r="F4034" s="1">
        <v>20</v>
      </c>
      <c r="G4034" s="1">
        <v>6</v>
      </c>
      <c r="H4034" s="1">
        <v>1</v>
      </c>
      <c r="I4034" s="1">
        <v>0</v>
      </c>
      <c r="J4034" s="1">
        <v>0</v>
      </c>
      <c r="K4034" s="1">
        <v>0</v>
      </c>
      <c r="L4034" s="1">
        <v>0</v>
      </c>
      <c r="M4034" s="1">
        <v>0</v>
      </c>
    </row>
    <row r="4035" spans="1:13">
      <c r="A4035" s="1">
        <v>4034</v>
      </c>
      <c r="B4035" s="1">
        <v>960299.5</v>
      </c>
      <c r="C4035" s="1">
        <v>712825.20714990993</v>
      </c>
      <c r="D4035" s="1">
        <f t="shared" si="63"/>
        <v>247474.29285009007</v>
      </c>
      <c r="E4035" s="1">
        <v>15</v>
      </c>
      <c r="F4035" s="1">
        <v>16</v>
      </c>
      <c r="G4035" s="1">
        <v>4</v>
      </c>
      <c r="H4035" s="1">
        <v>1</v>
      </c>
      <c r="I4035" s="1">
        <v>0</v>
      </c>
      <c r="J4035" s="1">
        <v>1</v>
      </c>
      <c r="K4035" s="1">
        <v>1</v>
      </c>
      <c r="L4035" s="1">
        <v>0</v>
      </c>
      <c r="M4035" s="1">
        <v>0</v>
      </c>
    </row>
    <row r="4036" spans="1:13">
      <c r="A4036" s="1">
        <v>4035</v>
      </c>
      <c r="B4036" s="1">
        <v>859002.84140000003</v>
      </c>
      <c r="C4036" s="1">
        <v>730969.34847345424</v>
      </c>
      <c r="D4036" s="1">
        <f t="shared" si="63"/>
        <v>128033.49292654579</v>
      </c>
      <c r="E4036" s="1">
        <v>14</v>
      </c>
      <c r="F4036" s="1">
        <v>16</v>
      </c>
      <c r="G4036" s="1">
        <v>5</v>
      </c>
      <c r="H4036" s="1">
        <v>0</v>
      </c>
      <c r="I4036" s="1">
        <v>0</v>
      </c>
      <c r="J4036" s="1">
        <v>0</v>
      </c>
      <c r="K4036" s="1">
        <v>2</v>
      </c>
      <c r="L4036" s="1">
        <v>0</v>
      </c>
      <c r="M4036" s="1">
        <v>0</v>
      </c>
    </row>
    <row r="4037" spans="1:13">
      <c r="A4037" s="1">
        <v>4036</v>
      </c>
      <c r="B4037" s="1">
        <v>906316.18220000004</v>
      </c>
      <c r="C4037" s="1">
        <v>1865233.5183653212</v>
      </c>
      <c r="D4037" s="1">
        <f t="shared" si="63"/>
        <v>-958917.33616532118</v>
      </c>
      <c r="E4037" s="1">
        <v>8</v>
      </c>
      <c r="F4037" s="1">
        <v>23</v>
      </c>
      <c r="G4037" s="1">
        <v>4</v>
      </c>
      <c r="H4037" s="1">
        <v>1</v>
      </c>
      <c r="I4037" s="1">
        <v>0</v>
      </c>
      <c r="J4037" s="1">
        <v>1</v>
      </c>
      <c r="K4037" s="1">
        <v>0</v>
      </c>
      <c r="L4037" s="1">
        <v>0</v>
      </c>
      <c r="M4037" s="1">
        <v>0</v>
      </c>
    </row>
    <row r="4038" spans="1:13">
      <c r="A4038" s="1">
        <v>4037</v>
      </c>
      <c r="B4038" s="1">
        <v>1023437.2642</v>
      </c>
      <c r="C4038" s="1">
        <v>870657.98079023056</v>
      </c>
      <c r="D4038" s="1">
        <f t="shared" si="63"/>
        <v>152779.28340976941</v>
      </c>
      <c r="E4038" s="1">
        <v>11</v>
      </c>
      <c r="F4038" s="1">
        <v>16</v>
      </c>
      <c r="G4038" s="1">
        <v>8</v>
      </c>
      <c r="H4038" s="1">
        <v>1</v>
      </c>
      <c r="I4038" s="1">
        <v>0</v>
      </c>
      <c r="J4038" s="1">
        <v>1</v>
      </c>
      <c r="K4038" s="1">
        <v>0</v>
      </c>
      <c r="L4038" s="1">
        <v>0</v>
      </c>
      <c r="M4038" s="1">
        <v>0</v>
      </c>
    </row>
    <row r="4039" spans="1:13">
      <c r="A4039" s="1">
        <v>4038</v>
      </c>
      <c r="B4039" s="1">
        <v>906195.80940000003</v>
      </c>
      <c r="C4039" s="1">
        <v>1490658.8579537431</v>
      </c>
      <c r="D4039" s="1">
        <f t="shared" si="63"/>
        <v>-584463.04855374305</v>
      </c>
      <c r="E4039" s="1">
        <v>13</v>
      </c>
      <c r="F4039" s="1">
        <v>15</v>
      </c>
      <c r="G4039" s="1">
        <v>7</v>
      </c>
      <c r="H4039" s="1">
        <v>0</v>
      </c>
      <c r="I4039" s="1">
        <v>1</v>
      </c>
      <c r="J4039" s="1">
        <v>0</v>
      </c>
      <c r="K4039" s="1">
        <v>0</v>
      </c>
      <c r="L4039" s="1">
        <v>0</v>
      </c>
      <c r="M4039" s="1">
        <v>0</v>
      </c>
    </row>
    <row r="4040" spans="1:13">
      <c r="A4040" s="1">
        <v>4039</v>
      </c>
      <c r="B4040" s="1">
        <v>971769.32259999996</v>
      </c>
      <c r="C4040" s="1">
        <v>807839.05100180511</v>
      </c>
      <c r="D4040" s="1">
        <f t="shared" si="63"/>
        <v>163930.27159819484</v>
      </c>
      <c r="E4040" s="1">
        <v>11</v>
      </c>
      <c r="F4040" s="1">
        <v>21</v>
      </c>
      <c r="G4040" s="1">
        <v>3</v>
      </c>
      <c r="H4040" s="1">
        <v>1</v>
      </c>
      <c r="I4040" s="1">
        <v>0</v>
      </c>
      <c r="J4040" s="1">
        <v>0</v>
      </c>
      <c r="K4040" s="1">
        <v>1</v>
      </c>
      <c r="L4040" s="1">
        <v>0</v>
      </c>
      <c r="M4040" s="1">
        <v>0</v>
      </c>
    </row>
    <row r="4041" spans="1:13">
      <c r="A4041" s="1">
        <v>4040</v>
      </c>
      <c r="B4041" s="1">
        <v>958036.40079999994</v>
      </c>
      <c r="C4041" s="1">
        <v>1662108.4485227508</v>
      </c>
      <c r="D4041" s="1">
        <f t="shared" si="63"/>
        <v>-704072.04772275081</v>
      </c>
      <c r="E4041" s="1">
        <v>17</v>
      </c>
      <c r="F4041" s="1">
        <v>13</v>
      </c>
      <c r="G4041" s="1">
        <v>5</v>
      </c>
      <c r="H4041" s="1">
        <v>1</v>
      </c>
      <c r="I4041" s="1">
        <v>0</v>
      </c>
      <c r="J4041" s="1">
        <v>0</v>
      </c>
      <c r="K4041" s="1">
        <v>1</v>
      </c>
      <c r="L4041" s="1">
        <v>0</v>
      </c>
      <c r="M4041" s="1">
        <v>0</v>
      </c>
    </row>
    <row r="4042" spans="1:13">
      <c r="A4042" s="1">
        <v>4041</v>
      </c>
      <c r="B4042" s="1">
        <v>871819.94019999995</v>
      </c>
      <c r="C4042" s="1">
        <v>1293143.5683490508</v>
      </c>
      <c r="D4042" s="1">
        <f t="shared" si="63"/>
        <v>-421323.62814905087</v>
      </c>
      <c r="E4042" s="1">
        <v>13</v>
      </c>
      <c r="F4042" s="1">
        <v>16</v>
      </c>
      <c r="G4042" s="1">
        <v>6</v>
      </c>
      <c r="H4042" s="1">
        <v>1</v>
      </c>
      <c r="I4042" s="1">
        <v>1</v>
      </c>
      <c r="J4042" s="1">
        <v>1</v>
      </c>
      <c r="K4042" s="1">
        <v>0</v>
      </c>
      <c r="L4042" s="1">
        <v>0</v>
      </c>
      <c r="M4042" s="1">
        <v>1</v>
      </c>
    </row>
    <row r="4043" spans="1:13">
      <c r="A4043" s="1">
        <v>4042</v>
      </c>
      <c r="B4043" s="1">
        <v>1031122.1144</v>
      </c>
      <c r="C4043" s="1">
        <v>4223352.6119742487</v>
      </c>
      <c r="D4043" s="1">
        <f t="shared" si="63"/>
        <v>-3192230.4975742488</v>
      </c>
      <c r="E4043" s="1">
        <v>13</v>
      </c>
      <c r="F4043" s="1">
        <v>17</v>
      </c>
      <c r="G4043" s="1">
        <v>5</v>
      </c>
      <c r="H4043" s="1">
        <v>1</v>
      </c>
      <c r="I4043" s="1">
        <v>1</v>
      </c>
      <c r="J4043" s="1">
        <v>1</v>
      </c>
      <c r="K4043" s="1">
        <v>0</v>
      </c>
      <c r="L4043" s="1">
        <v>0</v>
      </c>
      <c r="M4043" s="1">
        <v>0</v>
      </c>
    </row>
    <row r="4044" spans="1:13">
      <c r="A4044" s="1">
        <v>4043</v>
      </c>
      <c r="B4044" s="1">
        <v>906717.48329999996</v>
      </c>
      <c r="C4044" s="1">
        <v>813869.41716681491</v>
      </c>
      <c r="D4044" s="1">
        <f t="shared" si="63"/>
        <v>92848.066133185057</v>
      </c>
      <c r="E4044" s="1">
        <v>20</v>
      </c>
      <c r="F4044" s="1">
        <v>9</v>
      </c>
      <c r="G4044" s="1">
        <v>6</v>
      </c>
      <c r="H4044" s="1">
        <v>0</v>
      </c>
      <c r="I4044" s="1">
        <v>0</v>
      </c>
      <c r="J4044" s="1">
        <v>2</v>
      </c>
      <c r="K4044" s="1">
        <v>0</v>
      </c>
      <c r="L4044" s="1">
        <v>0</v>
      </c>
      <c r="M4044" s="1">
        <v>1</v>
      </c>
    </row>
    <row r="4045" spans="1:13">
      <c r="A4045" s="1">
        <v>4044</v>
      </c>
      <c r="B4045" s="1">
        <v>911569.53890000004</v>
      </c>
      <c r="C4045" s="1">
        <v>760236.22651657427</v>
      </c>
      <c r="D4045" s="1">
        <f t="shared" si="63"/>
        <v>151333.31238342577</v>
      </c>
      <c r="E4045" s="1">
        <v>18</v>
      </c>
      <c r="F4045" s="1">
        <v>15</v>
      </c>
      <c r="G4045" s="1">
        <v>2</v>
      </c>
      <c r="H4045" s="1">
        <v>0</v>
      </c>
      <c r="I4045" s="1">
        <v>0</v>
      </c>
      <c r="J4045" s="1">
        <v>1</v>
      </c>
      <c r="K4045" s="1">
        <v>0</v>
      </c>
      <c r="L4045" s="1">
        <v>1</v>
      </c>
      <c r="M4045" s="1">
        <v>1</v>
      </c>
    </row>
    <row r="4046" spans="1:13">
      <c r="A4046" s="1">
        <v>4045</v>
      </c>
      <c r="B4046" s="1">
        <v>961422.42980000004</v>
      </c>
      <c r="C4046" s="1">
        <v>1002074.9880017774</v>
      </c>
      <c r="D4046" s="1">
        <f t="shared" si="63"/>
        <v>-40652.5582017774</v>
      </c>
      <c r="E4046" s="1">
        <v>8</v>
      </c>
      <c r="F4046" s="1">
        <v>22</v>
      </c>
      <c r="G4046" s="1">
        <v>5</v>
      </c>
      <c r="H4046" s="1">
        <v>1</v>
      </c>
      <c r="I4046" s="1">
        <v>0</v>
      </c>
      <c r="J4046" s="1">
        <v>0</v>
      </c>
      <c r="K4046" s="1">
        <v>1</v>
      </c>
      <c r="L4046" s="1">
        <v>0</v>
      </c>
      <c r="M4046" s="1">
        <v>0</v>
      </c>
    </row>
    <row r="4047" spans="1:13">
      <c r="A4047" s="1">
        <v>4046</v>
      </c>
      <c r="B4047" s="1">
        <v>828892.73230000003</v>
      </c>
      <c r="C4047" s="1">
        <v>684029.57120208803</v>
      </c>
      <c r="D4047" s="1">
        <f t="shared" si="63"/>
        <v>144863.161097912</v>
      </c>
      <c r="E4047" s="1">
        <v>14</v>
      </c>
      <c r="F4047" s="1">
        <v>19</v>
      </c>
      <c r="G4047" s="1">
        <v>2</v>
      </c>
      <c r="H4047" s="1">
        <v>2</v>
      </c>
      <c r="I4047" s="1">
        <v>0</v>
      </c>
      <c r="J4047" s="1">
        <v>1</v>
      </c>
      <c r="K4047" s="1">
        <v>1</v>
      </c>
      <c r="L4047" s="1">
        <v>0</v>
      </c>
      <c r="M4047" s="1">
        <v>0</v>
      </c>
    </row>
    <row r="4048" spans="1:13">
      <c r="A4048" s="1">
        <v>4047</v>
      </c>
      <c r="B4048" s="1">
        <v>935409.79879999999</v>
      </c>
      <c r="C4048" s="1">
        <v>1297532.9997167611</v>
      </c>
      <c r="D4048" s="1">
        <f t="shared" si="63"/>
        <v>-362123.20091676107</v>
      </c>
      <c r="E4048" s="1">
        <v>20</v>
      </c>
      <c r="F4048" s="1">
        <v>12</v>
      </c>
      <c r="G4048" s="1">
        <v>3</v>
      </c>
      <c r="H4048" s="1">
        <v>2</v>
      </c>
      <c r="I4048" s="1">
        <v>0</v>
      </c>
      <c r="J4048" s="1">
        <v>1</v>
      </c>
      <c r="K4048" s="1">
        <v>0</v>
      </c>
      <c r="L4048" s="1">
        <v>0</v>
      </c>
      <c r="M4048" s="1">
        <v>0</v>
      </c>
    </row>
    <row r="4049" spans="1:13">
      <c r="A4049" s="1">
        <v>4048</v>
      </c>
      <c r="B4049" s="1">
        <v>951195.08889999997</v>
      </c>
      <c r="C4049" s="1">
        <v>613978.9390910255</v>
      </c>
      <c r="D4049" s="1">
        <f t="shared" si="63"/>
        <v>337216.14980897447</v>
      </c>
      <c r="E4049" s="1">
        <v>8</v>
      </c>
      <c r="F4049" s="1">
        <v>20</v>
      </c>
      <c r="G4049" s="1">
        <v>7</v>
      </c>
      <c r="H4049" s="1">
        <v>0</v>
      </c>
      <c r="I4049" s="1">
        <v>0</v>
      </c>
      <c r="J4049" s="1">
        <v>2</v>
      </c>
      <c r="K4049" s="1">
        <v>0</v>
      </c>
      <c r="L4049" s="1">
        <v>0</v>
      </c>
      <c r="M4049" s="1">
        <v>0</v>
      </c>
    </row>
    <row r="4050" spans="1:13">
      <c r="A4050" s="1">
        <v>4049</v>
      </c>
      <c r="B4050" s="1">
        <v>884422.16</v>
      </c>
      <c r="C4050" s="1">
        <v>668257.09038180206</v>
      </c>
      <c r="D4050" s="1">
        <f t="shared" si="63"/>
        <v>216165.06961819797</v>
      </c>
      <c r="E4050" s="1">
        <v>18</v>
      </c>
      <c r="F4050" s="1">
        <v>12</v>
      </c>
      <c r="G4050" s="1">
        <v>5</v>
      </c>
      <c r="H4050" s="1">
        <v>1</v>
      </c>
      <c r="I4050" s="1">
        <v>0</v>
      </c>
      <c r="J4050" s="1">
        <v>0</v>
      </c>
      <c r="K4050" s="1">
        <v>0</v>
      </c>
      <c r="L4050" s="1">
        <v>0</v>
      </c>
      <c r="M4050" s="1">
        <v>0</v>
      </c>
    </row>
    <row r="4051" spans="1:13">
      <c r="A4051" s="1">
        <v>4050</v>
      </c>
      <c r="B4051" s="1">
        <v>970103.56019999995</v>
      </c>
      <c r="C4051" s="1">
        <v>914871.8353037606</v>
      </c>
      <c r="D4051" s="1">
        <f t="shared" si="63"/>
        <v>55231.72489623935</v>
      </c>
      <c r="E4051" s="1">
        <v>10</v>
      </c>
      <c r="F4051" s="1">
        <v>19</v>
      </c>
      <c r="G4051" s="1">
        <v>6</v>
      </c>
      <c r="H4051" s="1">
        <v>1</v>
      </c>
      <c r="I4051" s="1">
        <v>0</v>
      </c>
      <c r="J4051" s="1">
        <v>1</v>
      </c>
      <c r="K4051" s="1">
        <v>0</v>
      </c>
      <c r="L4051" s="1">
        <v>0</v>
      </c>
      <c r="M4051" s="1">
        <v>0</v>
      </c>
    </row>
    <row r="4052" spans="1:13">
      <c r="A4052" s="1">
        <v>4051</v>
      </c>
      <c r="B4052" s="1">
        <v>883129.72030000004</v>
      </c>
      <c r="C4052" s="1">
        <v>1033026.331271418</v>
      </c>
      <c r="D4052" s="1">
        <f t="shared" si="63"/>
        <v>-149896.61097141798</v>
      </c>
      <c r="E4052" s="1">
        <v>17</v>
      </c>
      <c r="F4052" s="1">
        <v>14</v>
      </c>
      <c r="G4052" s="1">
        <v>4</v>
      </c>
      <c r="H4052" s="1">
        <v>0</v>
      </c>
      <c r="I4052" s="1">
        <v>0</v>
      </c>
      <c r="J4052" s="1">
        <v>0</v>
      </c>
      <c r="K4052" s="1">
        <v>1</v>
      </c>
      <c r="L4052" s="1">
        <v>0</v>
      </c>
      <c r="M4052" s="1">
        <v>0</v>
      </c>
    </row>
    <row r="4053" spans="1:13">
      <c r="A4053" s="1">
        <v>4052</v>
      </c>
      <c r="B4053" s="1">
        <v>1019076.5934</v>
      </c>
      <c r="C4053" s="1">
        <v>776309.82707161224</v>
      </c>
      <c r="D4053" s="1">
        <f t="shared" si="63"/>
        <v>242766.76632838778</v>
      </c>
      <c r="E4053" s="1">
        <v>11</v>
      </c>
      <c r="F4053" s="1">
        <v>21</v>
      </c>
      <c r="G4053" s="1">
        <v>3</v>
      </c>
      <c r="H4053" s="1">
        <v>2</v>
      </c>
      <c r="I4053" s="1">
        <v>0</v>
      </c>
      <c r="J4053" s="1">
        <v>0</v>
      </c>
      <c r="K4053" s="1">
        <v>0</v>
      </c>
      <c r="L4053" s="1">
        <v>0</v>
      </c>
      <c r="M4053" s="1">
        <v>0</v>
      </c>
    </row>
    <row r="4054" spans="1:13">
      <c r="A4054" s="1">
        <v>4053</v>
      </c>
      <c r="B4054" s="1">
        <v>1036584.584</v>
      </c>
      <c r="C4054" s="1">
        <v>1653423.8669114495</v>
      </c>
      <c r="D4054" s="1">
        <f t="shared" si="63"/>
        <v>-616839.28291144944</v>
      </c>
      <c r="E4054" s="1">
        <v>6</v>
      </c>
      <c r="F4054" s="1">
        <v>23</v>
      </c>
      <c r="G4054" s="1">
        <v>6</v>
      </c>
      <c r="H4054" s="1">
        <v>1</v>
      </c>
      <c r="I4054" s="1">
        <v>0</v>
      </c>
      <c r="J4054" s="1">
        <v>1</v>
      </c>
      <c r="K4054" s="1">
        <v>0</v>
      </c>
      <c r="L4054" s="1">
        <v>0</v>
      </c>
      <c r="M4054" s="1">
        <v>1</v>
      </c>
    </row>
    <row r="4055" spans="1:13">
      <c r="A4055" s="1">
        <v>4054</v>
      </c>
      <c r="B4055" s="1">
        <v>932035.06680000003</v>
      </c>
      <c r="C4055" s="1">
        <v>776027.53487511596</v>
      </c>
      <c r="D4055" s="1">
        <f t="shared" si="63"/>
        <v>156007.53192488407</v>
      </c>
      <c r="E4055" s="1">
        <v>3</v>
      </c>
      <c r="F4055" s="1">
        <v>27</v>
      </c>
      <c r="G4055" s="1">
        <v>5</v>
      </c>
      <c r="H4055" s="1">
        <v>0</v>
      </c>
      <c r="I4055" s="1">
        <v>0</v>
      </c>
      <c r="J4055" s="1">
        <v>0</v>
      </c>
      <c r="K4055" s="1">
        <v>0</v>
      </c>
      <c r="L4055" s="1">
        <v>0</v>
      </c>
      <c r="M4055" s="1">
        <v>0</v>
      </c>
    </row>
    <row r="4056" spans="1:13">
      <c r="A4056" s="1">
        <v>4055</v>
      </c>
      <c r="B4056" s="1">
        <v>975277.72279999999</v>
      </c>
      <c r="C4056" s="1">
        <v>1142631.1907813633</v>
      </c>
      <c r="D4056" s="1">
        <f t="shared" si="63"/>
        <v>-167353.4679813633</v>
      </c>
      <c r="E4056" s="1">
        <v>17</v>
      </c>
      <c r="F4056" s="1">
        <v>13</v>
      </c>
      <c r="G4056" s="1">
        <v>5</v>
      </c>
      <c r="H4056" s="1">
        <v>1</v>
      </c>
      <c r="I4056" s="1">
        <v>0</v>
      </c>
      <c r="J4056" s="1">
        <v>0</v>
      </c>
      <c r="K4056" s="1">
        <v>1</v>
      </c>
      <c r="L4056" s="1">
        <v>0</v>
      </c>
      <c r="M4056" s="1">
        <v>1</v>
      </c>
    </row>
    <row r="4057" spans="1:13">
      <c r="A4057" s="1">
        <v>4056</v>
      </c>
      <c r="B4057" s="1">
        <v>952026.4486</v>
      </c>
      <c r="C4057" s="1">
        <v>809228.37009661365</v>
      </c>
      <c r="D4057" s="1">
        <f t="shared" si="63"/>
        <v>142798.07850338635</v>
      </c>
      <c r="E4057" s="1">
        <v>13</v>
      </c>
      <c r="F4057" s="1">
        <v>15</v>
      </c>
      <c r="G4057" s="1">
        <v>7</v>
      </c>
      <c r="H4057" s="1">
        <v>0</v>
      </c>
      <c r="I4057" s="1">
        <v>0</v>
      </c>
      <c r="J4057" s="1">
        <v>0</v>
      </c>
      <c r="K4057" s="1">
        <v>0</v>
      </c>
      <c r="L4057" s="1">
        <v>0</v>
      </c>
      <c r="M4057" s="1">
        <v>1</v>
      </c>
    </row>
    <row r="4058" spans="1:13">
      <c r="A4058" s="1">
        <v>4057</v>
      </c>
      <c r="B4058" s="1">
        <v>1020802.0733</v>
      </c>
      <c r="C4058" s="1">
        <v>811044.05343329278</v>
      </c>
      <c r="D4058" s="1">
        <f t="shared" si="63"/>
        <v>209758.01986670727</v>
      </c>
      <c r="E4058" s="1">
        <v>11</v>
      </c>
      <c r="F4058" s="1">
        <v>17</v>
      </c>
      <c r="G4058" s="1">
        <v>7</v>
      </c>
      <c r="H4058" s="1">
        <v>1</v>
      </c>
      <c r="I4058" s="1">
        <v>1</v>
      </c>
      <c r="J4058" s="1">
        <v>0</v>
      </c>
      <c r="K4058" s="1">
        <v>0</v>
      </c>
      <c r="L4058" s="1">
        <v>0</v>
      </c>
      <c r="M4058" s="1">
        <v>0</v>
      </c>
    </row>
    <row r="4059" spans="1:13">
      <c r="A4059" s="1">
        <v>4058</v>
      </c>
      <c r="B4059" s="1">
        <v>943850.27529999998</v>
      </c>
      <c r="C4059" s="1">
        <v>828745.76145427476</v>
      </c>
      <c r="D4059" s="1">
        <f t="shared" si="63"/>
        <v>115104.51384572522</v>
      </c>
      <c r="E4059" s="1">
        <v>13</v>
      </c>
      <c r="F4059" s="1">
        <v>15</v>
      </c>
      <c r="G4059" s="1">
        <v>7</v>
      </c>
      <c r="H4059" s="1">
        <v>0</v>
      </c>
      <c r="I4059" s="1">
        <v>1</v>
      </c>
      <c r="J4059" s="1">
        <v>1</v>
      </c>
      <c r="K4059" s="1">
        <v>0</v>
      </c>
      <c r="L4059" s="1">
        <v>0</v>
      </c>
      <c r="M4059" s="1">
        <v>0</v>
      </c>
    </row>
    <row r="4060" spans="1:13">
      <c r="A4060" s="1">
        <v>4059</v>
      </c>
      <c r="B4060" s="1">
        <v>977119.94660000002</v>
      </c>
      <c r="C4060" s="1">
        <v>1072988.3668784264</v>
      </c>
      <c r="D4060" s="1">
        <f t="shared" si="63"/>
        <v>-95868.420278426376</v>
      </c>
      <c r="E4060" s="1">
        <v>11</v>
      </c>
      <c r="F4060" s="1">
        <v>18</v>
      </c>
      <c r="G4060" s="1">
        <v>6</v>
      </c>
      <c r="H4060" s="1">
        <v>1</v>
      </c>
      <c r="I4060" s="1">
        <v>0</v>
      </c>
      <c r="J4060" s="1">
        <v>0</v>
      </c>
      <c r="K4060" s="1">
        <v>0</v>
      </c>
      <c r="L4060" s="1">
        <v>0</v>
      </c>
      <c r="M4060" s="1">
        <v>1</v>
      </c>
    </row>
    <row r="4061" spans="1:13">
      <c r="A4061" s="1">
        <v>4060</v>
      </c>
      <c r="B4061" s="1">
        <v>843873.77529999998</v>
      </c>
      <c r="C4061" s="1">
        <v>902515.05351691018</v>
      </c>
      <c r="D4061" s="1">
        <f t="shared" si="63"/>
        <v>-58641.278216910199</v>
      </c>
      <c r="E4061" s="1">
        <v>13</v>
      </c>
      <c r="F4061" s="1">
        <v>16</v>
      </c>
      <c r="G4061" s="1">
        <v>6</v>
      </c>
      <c r="H4061" s="1">
        <v>1</v>
      </c>
      <c r="I4061" s="1">
        <v>0</v>
      </c>
      <c r="J4061" s="1">
        <v>0</v>
      </c>
      <c r="K4061" s="1">
        <v>0</v>
      </c>
      <c r="L4061" s="1">
        <v>0</v>
      </c>
      <c r="M4061" s="1">
        <v>0</v>
      </c>
    </row>
    <row r="4062" spans="1:13">
      <c r="A4062" s="1">
        <v>4061</v>
      </c>
      <c r="B4062" s="1">
        <v>1020945.728</v>
      </c>
      <c r="C4062" s="1">
        <v>799528.72403225442</v>
      </c>
      <c r="D4062" s="1">
        <f t="shared" si="63"/>
        <v>221417.00396774558</v>
      </c>
      <c r="E4062" s="1">
        <v>9</v>
      </c>
      <c r="F4062" s="1">
        <v>22</v>
      </c>
      <c r="G4062" s="1">
        <v>4</v>
      </c>
      <c r="H4062" s="1">
        <v>0</v>
      </c>
      <c r="I4062" s="1">
        <v>0</v>
      </c>
      <c r="J4062" s="1">
        <v>0</v>
      </c>
      <c r="K4062" s="1">
        <v>1</v>
      </c>
      <c r="L4062" s="1">
        <v>0</v>
      </c>
      <c r="M4062" s="1">
        <v>1</v>
      </c>
    </row>
    <row r="4063" spans="1:13">
      <c r="A4063" s="1">
        <v>4062</v>
      </c>
      <c r="B4063" s="1">
        <v>988062.73380000005</v>
      </c>
      <c r="C4063" s="1">
        <v>1188064.4034988955</v>
      </c>
      <c r="D4063" s="1">
        <f t="shared" si="63"/>
        <v>-200001.66969889542</v>
      </c>
      <c r="E4063" s="1">
        <v>9</v>
      </c>
      <c r="F4063" s="1">
        <v>21</v>
      </c>
      <c r="G4063" s="1">
        <v>5</v>
      </c>
      <c r="H4063" s="1">
        <v>1</v>
      </c>
      <c r="I4063" s="1">
        <v>0</v>
      </c>
      <c r="J4063" s="1">
        <v>0</v>
      </c>
      <c r="K4063" s="1">
        <v>1</v>
      </c>
      <c r="L4063" s="1">
        <v>0</v>
      </c>
      <c r="M4063" s="1">
        <v>0</v>
      </c>
    </row>
    <row r="4064" spans="1:13">
      <c r="A4064" s="1">
        <v>4063</v>
      </c>
      <c r="B4064" s="1">
        <v>861948.23800000001</v>
      </c>
      <c r="C4064" s="1">
        <v>991555.46921069175</v>
      </c>
      <c r="D4064" s="1">
        <f t="shared" si="63"/>
        <v>-129607.23121069174</v>
      </c>
      <c r="E4064" s="1">
        <v>17</v>
      </c>
      <c r="F4064" s="1">
        <v>14</v>
      </c>
      <c r="G4064" s="1">
        <v>4</v>
      </c>
      <c r="H4064" s="1">
        <v>0</v>
      </c>
      <c r="I4064" s="1">
        <v>2</v>
      </c>
      <c r="J4064" s="1">
        <v>1</v>
      </c>
      <c r="K4064" s="1">
        <v>1</v>
      </c>
      <c r="L4064" s="1">
        <v>0</v>
      </c>
      <c r="M4064" s="1">
        <v>1</v>
      </c>
    </row>
    <row r="4065" spans="1:13">
      <c r="A4065" s="1">
        <v>4064</v>
      </c>
      <c r="B4065" s="1">
        <v>961743.44739999995</v>
      </c>
      <c r="C4065" s="1">
        <v>1495268.897274144</v>
      </c>
      <c r="D4065" s="1">
        <f t="shared" si="63"/>
        <v>-533525.44987414405</v>
      </c>
      <c r="E4065" s="1">
        <v>13</v>
      </c>
      <c r="F4065" s="1">
        <v>17</v>
      </c>
      <c r="G4065" s="1">
        <v>5</v>
      </c>
      <c r="H4065" s="1">
        <v>1</v>
      </c>
      <c r="I4065" s="1">
        <v>0</v>
      </c>
      <c r="J4065" s="1">
        <v>1</v>
      </c>
      <c r="K4065" s="1">
        <v>0</v>
      </c>
      <c r="L4065" s="1">
        <v>0</v>
      </c>
      <c r="M4065" s="1">
        <v>0</v>
      </c>
    </row>
    <row r="4066" spans="1:13">
      <c r="A4066" s="1">
        <v>4065</v>
      </c>
      <c r="B4066" s="1">
        <v>821108.58089999994</v>
      </c>
      <c r="C4066" s="1">
        <v>1529550.2798846185</v>
      </c>
      <c r="D4066" s="1">
        <f t="shared" si="63"/>
        <v>-708441.69898461853</v>
      </c>
      <c r="E4066" s="1">
        <v>15</v>
      </c>
      <c r="F4066" s="1">
        <v>17</v>
      </c>
      <c r="G4066" s="1">
        <v>3</v>
      </c>
      <c r="H4066" s="1">
        <v>2</v>
      </c>
      <c r="I4066" s="1">
        <v>0</v>
      </c>
      <c r="J4066" s="1">
        <v>1</v>
      </c>
      <c r="K4066" s="1">
        <v>1</v>
      </c>
      <c r="L4066" s="1">
        <v>0</v>
      </c>
      <c r="M4066" s="1">
        <v>1</v>
      </c>
    </row>
    <row r="4067" spans="1:13">
      <c r="A4067" s="1">
        <v>4066</v>
      </c>
      <c r="B4067" s="1">
        <v>903789.86459999997</v>
      </c>
      <c r="C4067" s="1">
        <v>933064.00816276763</v>
      </c>
      <c r="D4067" s="1">
        <f t="shared" si="63"/>
        <v>-29274.143562767655</v>
      </c>
      <c r="E4067" s="1">
        <v>16</v>
      </c>
      <c r="F4067" s="1">
        <v>15</v>
      </c>
      <c r="G4067" s="1">
        <v>4</v>
      </c>
      <c r="H4067" s="1">
        <v>0</v>
      </c>
      <c r="I4067" s="1">
        <v>0</v>
      </c>
      <c r="J4067" s="1">
        <v>1</v>
      </c>
      <c r="K4067" s="1">
        <v>0</v>
      </c>
      <c r="L4067" s="1">
        <v>1</v>
      </c>
      <c r="M4067" s="1">
        <v>0</v>
      </c>
    </row>
    <row r="4068" spans="1:13">
      <c r="A4068" s="1">
        <v>4067</v>
      </c>
      <c r="B4068" s="1">
        <v>1108182.1055999999</v>
      </c>
      <c r="C4068" s="1">
        <v>1053463.8947601947</v>
      </c>
      <c r="D4068" s="1">
        <f t="shared" si="63"/>
        <v>54718.210839805193</v>
      </c>
      <c r="E4068" s="1">
        <v>4</v>
      </c>
      <c r="F4068" s="1">
        <v>23</v>
      </c>
      <c r="G4068" s="1">
        <v>8</v>
      </c>
      <c r="H4068" s="1">
        <v>0</v>
      </c>
      <c r="I4068" s="1">
        <v>0</v>
      </c>
      <c r="J4068" s="1">
        <v>1</v>
      </c>
      <c r="K4068" s="1">
        <v>1</v>
      </c>
      <c r="L4068" s="1">
        <v>0</v>
      </c>
      <c r="M4068" s="1">
        <v>1</v>
      </c>
    </row>
    <row r="4069" spans="1:13">
      <c r="A4069" s="1">
        <v>4068</v>
      </c>
      <c r="B4069" s="1">
        <v>954891.00349999999</v>
      </c>
      <c r="C4069" s="1">
        <v>1124435.7933815015</v>
      </c>
      <c r="D4069" s="1">
        <f t="shared" si="63"/>
        <v>-169544.78988150146</v>
      </c>
      <c r="E4069" s="1">
        <v>8</v>
      </c>
      <c r="F4069" s="1">
        <v>24</v>
      </c>
      <c r="G4069" s="1">
        <v>3</v>
      </c>
      <c r="H4069" s="1">
        <v>0</v>
      </c>
      <c r="I4069" s="1">
        <v>0</v>
      </c>
      <c r="J4069" s="1">
        <v>2</v>
      </c>
      <c r="K4069" s="1">
        <v>0</v>
      </c>
      <c r="L4069" s="1">
        <v>0</v>
      </c>
      <c r="M4069" s="1">
        <v>1</v>
      </c>
    </row>
    <row r="4070" spans="1:13">
      <c r="A4070" s="1">
        <v>4069</v>
      </c>
      <c r="B4070" s="1">
        <v>985209.26340000005</v>
      </c>
      <c r="C4070" s="1">
        <v>1697354.9740128582</v>
      </c>
      <c r="D4070" s="1">
        <f t="shared" si="63"/>
        <v>-712145.71061285818</v>
      </c>
      <c r="E4070" s="1">
        <v>11</v>
      </c>
      <c r="F4070" s="1">
        <v>17</v>
      </c>
      <c r="G4070" s="1">
        <v>7</v>
      </c>
      <c r="H4070" s="1">
        <v>1</v>
      </c>
      <c r="I4070" s="1">
        <v>0</v>
      </c>
      <c r="J4070" s="1">
        <v>1</v>
      </c>
      <c r="K4070" s="1">
        <v>1</v>
      </c>
      <c r="L4070" s="1">
        <v>0</v>
      </c>
      <c r="M4070" s="1">
        <v>1</v>
      </c>
    </row>
    <row r="4071" spans="1:13">
      <c r="A4071" s="1">
        <v>4070</v>
      </c>
      <c r="B4071" s="1">
        <v>1033669.1419</v>
      </c>
      <c r="C4071" s="1">
        <v>1841265.2357882014</v>
      </c>
      <c r="D4071" s="1">
        <f t="shared" si="63"/>
        <v>-807596.0938882014</v>
      </c>
      <c r="E4071" s="1">
        <v>10</v>
      </c>
      <c r="F4071" s="1">
        <v>18</v>
      </c>
      <c r="G4071" s="1">
        <v>7</v>
      </c>
      <c r="H4071" s="1">
        <v>1</v>
      </c>
      <c r="I4071" s="1">
        <v>0</v>
      </c>
      <c r="J4071" s="1">
        <v>0</v>
      </c>
      <c r="K4071" s="1">
        <v>0</v>
      </c>
      <c r="L4071" s="1">
        <v>0</v>
      </c>
      <c r="M4071" s="1">
        <v>0</v>
      </c>
    </row>
    <row r="4072" spans="1:13">
      <c r="A4072" s="1">
        <v>4071</v>
      </c>
      <c r="B4072" s="1">
        <v>994788.88370000001</v>
      </c>
      <c r="C4072" s="1">
        <v>707442.24208714534</v>
      </c>
      <c r="D4072" s="1">
        <f t="shared" si="63"/>
        <v>287346.64161285467</v>
      </c>
      <c r="E4072" s="1">
        <v>10</v>
      </c>
      <c r="F4072" s="1">
        <v>19</v>
      </c>
      <c r="G4072" s="1">
        <v>6</v>
      </c>
      <c r="H4072" s="1">
        <v>1</v>
      </c>
      <c r="I4072" s="1">
        <v>0</v>
      </c>
      <c r="J4072" s="1">
        <v>0</v>
      </c>
      <c r="K4072" s="1">
        <v>1</v>
      </c>
      <c r="L4072" s="1">
        <v>0</v>
      </c>
      <c r="M4072" s="1">
        <v>0</v>
      </c>
    </row>
    <row r="4073" spans="1:13">
      <c r="A4073" s="1">
        <v>4072</v>
      </c>
      <c r="B4073" s="1">
        <v>867480.10360000003</v>
      </c>
      <c r="C4073" s="1">
        <v>975322.7426077096</v>
      </c>
      <c r="D4073" s="1">
        <f t="shared" si="63"/>
        <v>-107842.63900770957</v>
      </c>
      <c r="E4073" s="1">
        <v>16</v>
      </c>
      <c r="F4073" s="1">
        <v>14</v>
      </c>
      <c r="G4073" s="1">
        <v>5</v>
      </c>
      <c r="H4073" s="1">
        <v>2</v>
      </c>
      <c r="I4073" s="1">
        <v>0</v>
      </c>
      <c r="J4073" s="1">
        <v>1</v>
      </c>
      <c r="K4073" s="1">
        <v>0</v>
      </c>
      <c r="L4073" s="1">
        <v>0</v>
      </c>
      <c r="M4073" s="1">
        <v>0</v>
      </c>
    </row>
    <row r="4074" spans="1:13">
      <c r="A4074" s="1">
        <v>4073</v>
      </c>
      <c r="B4074" s="1">
        <v>994313.59089999995</v>
      </c>
      <c r="C4074" s="1">
        <v>1098801.7640077062</v>
      </c>
      <c r="D4074" s="1">
        <f t="shared" si="63"/>
        <v>-104488.17310770624</v>
      </c>
      <c r="E4074" s="1">
        <v>5</v>
      </c>
      <c r="F4074" s="1">
        <v>27</v>
      </c>
      <c r="G4074" s="1">
        <v>3</v>
      </c>
      <c r="H4074" s="1">
        <v>1</v>
      </c>
      <c r="I4074" s="1">
        <v>0</v>
      </c>
      <c r="J4074" s="1">
        <v>0</v>
      </c>
      <c r="K4074" s="1">
        <v>0</v>
      </c>
      <c r="L4074" s="1">
        <v>0</v>
      </c>
      <c r="M4074" s="1">
        <v>0</v>
      </c>
    </row>
    <row r="4075" spans="1:13">
      <c r="A4075" s="1">
        <v>4074</v>
      </c>
      <c r="B4075" s="1">
        <v>1034747.9934</v>
      </c>
      <c r="C4075" s="1">
        <v>506015.67202819465</v>
      </c>
      <c r="D4075" s="1">
        <f t="shared" si="63"/>
        <v>528732.32137180539</v>
      </c>
      <c r="E4075" s="1">
        <v>5</v>
      </c>
      <c r="F4075" s="1">
        <v>25</v>
      </c>
      <c r="G4075" s="1">
        <v>5</v>
      </c>
      <c r="H4075" s="1">
        <v>0</v>
      </c>
      <c r="I4075" s="1">
        <v>0</v>
      </c>
      <c r="J4075" s="1">
        <v>1</v>
      </c>
      <c r="K4075" s="1">
        <v>0</v>
      </c>
      <c r="L4075" s="1">
        <v>0</v>
      </c>
      <c r="M4075" s="1">
        <v>1</v>
      </c>
    </row>
    <row r="4076" spans="1:13">
      <c r="A4076" s="1">
        <v>4075</v>
      </c>
      <c r="B4076" s="1">
        <v>874849.55330000003</v>
      </c>
      <c r="C4076" s="1">
        <v>796669.48671263992</v>
      </c>
      <c r="D4076" s="1">
        <f t="shared" si="63"/>
        <v>78180.06658736011</v>
      </c>
      <c r="E4076" s="1">
        <v>15</v>
      </c>
      <c r="F4076" s="1">
        <v>16</v>
      </c>
      <c r="G4076" s="1">
        <v>4</v>
      </c>
      <c r="H4076" s="1">
        <v>1</v>
      </c>
      <c r="I4076" s="1">
        <v>0</v>
      </c>
      <c r="J4076" s="1">
        <v>1</v>
      </c>
      <c r="K4076" s="1">
        <v>0</v>
      </c>
      <c r="L4076" s="1">
        <v>0</v>
      </c>
      <c r="M4076" s="1">
        <v>0</v>
      </c>
    </row>
    <row r="4077" spans="1:13">
      <c r="A4077" s="1">
        <v>4076</v>
      </c>
      <c r="B4077" s="1">
        <v>898581.35080000001</v>
      </c>
      <c r="C4077" s="1">
        <v>503940.63263517269</v>
      </c>
      <c r="D4077" s="1">
        <f t="shared" si="63"/>
        <v>394640.71816482733</v>
      </c>
      <c r="E4077" s="1">
        <v>13</v>
      </c>
      <c r="F4077" s="1">
        <v>17</v>
      </c>
      <c r="G4077" s="1">
        <v>5</v>
      </c>
      <c r="H4077" s="1">
        <v>2</v>
      </c>
      <c r="I4077" s="1">
        <v>0</v>
      </c>
      <c r="J4077" s="1">
        <v>2</v>
      </c>
      <c r="K4077" s="1">
        <v>0</v>
      </c>
      <c r="L4077" s="1">
        <v>0</v>
      </c>
      <c r="M4077" s="1">
        <v>0</v>
      </c>
    </row>
    <row r="4078" spans="1:13">
      <c r="A4078" s="1">
        <v>4077</v>
      </c>
      <c r="B4078" s="1">
        <v>893408.93240000005</v>
      </c>
      <c r="C4078" s="1">
        <v>788710.94315220625</v>
      </c>
      <c r="D4078" s="1">
        <f t="shared" si="63"/>
        <v>104697.9892477938</v>
      </c>
      <c r="E4078" s="1">
        <v>17</v>
      </c>
      <c r="F4078" s="1">
        <v>13</v>
      </c>
      <c r="G4078" s="1">
        <v>5</v>
      </c>
      <c r="H4078" s="1">
        <v>0</v>
      </c>
      <c r="I4078" s="1">
        <v>0</v>
      </c>
      <c r="J4078" s="1">
        <v>1</v>
      </c>
      <c r="K4078" s="1">
        <v>1</v>
      </c>
      <c r="L4078" s="1">
        <v>0</v>
      </c>
      <c r="M4078" s="1">
        <v>1</v>
      </c>
    </row>
    <row r="4079" spans="1:13">
      <c r="A4079" s="1">
        <v>4078</v>
      </c>
      <c r="B4079" s="1">
        <v>1081524.9103999999</v>
      </c>
      <c r="C4079" s="1">
        <v>712958.01446832321</v>
      </c>
      <c r="D4079" s="1">
        <f t="shared" si="63"/>
        <v>368566.89593167673</v>
      </c>
      <c r="E4079" s="1">
        <v>8</v>
      </c>
      <c r="F4079" s="1">
        <v>21</v>
      </c>
      <c r="G4079" s="1">
        <v>6</v>
      </c>
      <c r="H4079" s="1">
        <v>1</v>
      </c>
      <c r="I4079" s="1">
        <v>0</v>
      </c>
      <c r="J4079" s="1">
        <v>0</v>
      </c>
      <c r="K4079" s="1">
        <v>1</v>
      </c>
      <c r="L4079" s="1">
        <v>1</v>
      </c>
      <c r="M4079" s="1">
        <v>0</v>
      </c>
    </row>
    <row r="4080" spans="1:13">
      <c r="A4080" s="1">
        <v>4079</v>
      </c>
      <c r="B4080" s="1">
        <v>916517.95479999995</v>
      </c>
      <c r="C4080" s="1">
        <v>559130.83507445361</v>
      </c>
      <c r="D4080" s="1">
        <f t="shared" si="63"/>
        <v>357387.11972554633</v>
      </c>
      <c r="E4080" s="1">
        <v>20</v>
      </c>
      <c r="F4080" s="1">
        <v>13</v>
      </c>
      <c r="G4080" s="1">
        <v>2</v>
      </c>
      <c r="H4080" s="1">
        <v>2</v>
      </c>
      <c r="I4080" s="1">
        <v>0</v>
      </c>
      <c r="J4080" s="1">
        <v>2</v>
      </c>
      <c r="K4080" s="1">
        <v>0</v>
      </c>
      <c r="L4080" s="1">
        <v>0</v>
      </c>
      <c r="M4080" s="1">
        <v>1</v>
      </c>
    </row>
    <row r="4081" spans="1:13">
      <c r="A4081" s="1">
        <v>4080</v>
      </c>
      <c r="B4081" s="1">
        <v>918497.22320000001</v>
      </c>
      <c r="C4081" s="1">
        <v>803264.03844674793</v>
      </c>
      <c r="D4081" s="1">
        <f t="shared" si="63"/>
        <v>115233.18475325208</v>
      </c>
      <c r="E4081" s="1">
        <v>21</v>
      </c>
      <c r="F4081" s="1">
        <v>11</v>
      </c>
      <c r="G4081" s="1">
        <v>3</v>
      </c>
      <c r="H4081" s="1">
        <v>0</v>
      </c>
      <c r="I4081" s="1">
        <v>0</v>
      </c>
      <c r="J4081" s="1">
        <v>2</v>
      </c>
      <c r="K4081" s="1">
        <v>0</v>
      </c>
      <c r="L4081" s="1">
        <v>0</v>
      </c>
      <c r="M4081" s="1">
        <v>1</v>
      </c>
    </row>
    <row r="4082" spans="1:13">
      <c r="A4082" s="1">
        <v>4081</v>
      </c>
      <c r="B4082" s="1">
        <v>861884.77280000004</v>
      </c>
      <c r="C4082" s="1">
        <v>1038124.2045819298</v>
      </c>
      <c r="D4082" s="1">
        <f t="shared" si="63"/>
        <v>-176239.4317819298</v>
      </c>
      <c r="E4082" s="1">
        <v>15</v>
      </c>
      <c r="F4082" s="1">
        <v>15</v>
      </c>
      <c r="G4082" s="1">
        <v>5</v>
      </c>
      <c r="H4082" s="1">
        <v>0</v>
      </c>
      <c r="I4082" s="1">
        <v>0</v>
      </c>
      <c r="J4082" s="1">
        <v>0</v>
      </c>
      <c r="K4082" s="1">
        <v>0</v>
      </c>
      <c r="L4082" s="1">
        <v>0</v>
      </c>
      <c r="M4082" s="1">
        <v>1</v>
      </c>
    </row>
    <row r="4083" spans="1:13">
      <c r="A4083" s="1">
        <v>4082</v>
      </c>
      <c r="B4083" s="1">
        <v>962258.23789999995</v>
      </c>
      <c r="C4083" s="1">
        <v>741302.66757387051</v>
      </c>
      <c r="D4083" s="1">
        <f t="shared" si="63"/>
        <v>220955.57032612944</v>
      </c>
      <c r="E4083" s="1">
        <v>14</v>
      </c>
      <c r="F4083" s="1">
        <v>18</v>
      </c>
      <c r="G4083" s="1">
        <v>3</v>
      </c>
      <c r="H4083" s="1">
        <v>1</v>
      </c>
      <c r="I4083" s="1">
        <v>1</v>
      </c>
      <c r="J4083" s="1">
        <v>2</v>
      </c>
      <c r="K4083" s="1">
        <v>0</v>
      </c>
      <c r="L4083" s="1">
        <v>0</v>
      </c>
      <c r="M4083" s="1">
        <v>1</v>
      </c>
    </row>
    <row r="4084" spans="1:13">
      <c r="A4084" s="1">
        <v>4083</v>
      </c>
      <c r="B4084" s="1">
        <v>885719.23060000001</v>
      </c>
      <c r="C4084" s="1">
        <v>963698.80983513175</v>
      </c>
      <c r="D4084" s="1">
        <f t="shared" si="63"/>
        <v>-77979.579235131736</v>
      </c>
      <c r="E4084" s="1">
        <v>15</v>
      </c>
      <c r="F4084" s="1">
        <v>13</v>
      </c>
      <c r="G4084" s="1">
        <v>7</v>
      </c>
      <c r="H4084" s="1">
        <v>0</v>
      </c>
      <c r="I4084" s="1">
        <v>0</v>
      </c>
      <c r="J4084" s="1">
        <v>0</v>
      </c>
      <c r="K4084" s="1">
        <v>2</v>
      </c>
      <c r="L4084" s="1">
        <v>0</v>
      </c>
      <c r="M4084" s="1">
        <v>1</v>
      </c>
    </row>
    <row r="4085" spans="1:13">
      <c r="A4085" s="1">
        <v>4084</v>
      </c>
      <c r="B4085" s="1">
        <v>984933.46400000004</v>
      </c>
      <c r="C4085" s="1">
        <v>1385789.284605742</v>
      </c>
      <c r="D4085" s="1">
        <f t="shared" si="63"/>
        <v>-400855.82060574193</v>
      </c>
      <c r="E4085" s="1">
        <v>16</v>
      </c>
      <c r="F4085" s="1">
        <v>14</v>
      </c>
      <c r="G4085" s="1">
        <v>5</v>
      </c>
      <c r="H4085" s="1">
        <v>0</v>
      </c>
      <c r="I4085" s="1">
        <v>0</v>
      </c>
      <c r="J4085" s="1">
        <v>0</v>
      </c>
      <c r="K4085" s="1">
        <v>0</v>
      </c>
      <c r="L4085" s="1">
        <v>0</v>
      </c>
      <c r="M4085" s="1">
        <v>0</v>
      </c>
    </row>
    <row r="4086" spans="1:13">
      <c r="A4086" s="1">
        <v>4085</v>
      </c>
      <c r="B4086" s="1">
        <v>888618.57849999995</v>
      </c>
      <c r="C4086" s="1">
        <v>1066509.4633114603</v>
      </c>
      <c r="D4086" s="1">
        <f t="shared" si="63"/>
        <v>-177890.88481146039</v>
      </c>
      <c r="E4086" s="1">
        <v>11</v>
      </c>
      <c r="F4086" s="1">
        <v>21</v>
      </c>
      <c r="G4086" s="1">
        <v>3</v>
      </c>
      <c r="H4086" s="1">
        <v>1</v>
      </c>
      <c r="I4086" s="1">
        <v>0</v>
      </c>
      <c r="J4086" s="1">
        <v>0</v>
      </c>
      <c r="K4086" s="1">
        <v>0</v>
      </c>
      <c r="L4086" s="1">
        <v>0</v>
      </c>
      <c r="M4086" s="1">
        <v>0</v>
      </c>
    </row>
    <row r="4087" spans="1:13">
      <c r="A4087" s="1">
        <v>4086</v>
      </c>
      <c r="B4087" s="1">
        <v>1004538.7335</v>
      </c>
      <c r="C4087" s="1">
        <v>1321053.7971771085</v>
      </c>
      <c r="D4087" s="1">
        <f t="shared" si="63"/>
        <v>-316515.0636771085</v>
      </c>
      <c r="E4087" s="1">
        <v>12</v>
      </c>
      <c r="F4087" s="1">
        <v>16</v>
      </c>
      <c r="G4087" s="1">
        <v>7</v>
      </c>
      <c r="H4087" s="1">
        <v>1</v>
      </c>
      <c r="I4087" s="1">
        <v>0</v>
      </c>
      <c r="J4087" s="1">
        <v>1</v>
      </c>
      <c r="K4087" s="1">
        <v>1</v>
      </c>
      <c r="L4087" s="1">
        <v>0</v>
      </c>
      <c r="M4087" s="1">
        <v>0</v>
      </c>
    </row>
    <row r="4088" spans="1:13">
      <c r="A4088" s="1">
        <v>4087</v>
      </c>
      <c r="B4088" s="1">
        <v>873437.08299999998</v>
      </c>
      <c r="C4088" s="1">
        <v>949458.03196375025</v>
      </c>
      <c r="D4088" s="1">
        <f t="shared" si="63"/>
        <v>-76020.94896375027</v>
      </c>
      <c r="E4088" s="1">
        <v>13</v>
      </c>
      <c r="F4088" s="1">
        <v>16</v>
      </c>
      <c r="G4088" s="1">
        <v>6</v>
      </c>
      <c r="H4088" s="1">
        <v>0</v>
      </c>
      <c r="I4088" s="1">
        <v>0</v>
      </c>
      <c r="J4088" s="1">
        <v>1</v>
      </c>
      <c r="K4088" s="1">
        <v>1</v>
      </c>
      <c r="L4088" s="1">
        <v>0</v>
      </c>
      <c r="M4088" s="1">
        <v>0</v>
      </c>
    </row>
    <row r="4089" spans="1:13">
      <c r="A4089" s="1">
        <v>4088</v>
      </c>
      <c r="B4089" s="1">
        <v>909690.83330000006</v>
      </c>
      <c r="C4089" s="1">
        <v>543276.64748516132</v>
      </c>
      <c r="D4089" s="1">
        <f t="shared" si="63"/>
        <v>366414.18581483874</v>
      </c>
      <c r="E4089" s="1">
        <v>17</v>
      </c>
      <c r="F4089" s="1">
        <v>11</v>
      </c>
      <c r="G4089" s="1">
        <v>7</v>
      </c>
      <c r="H4089" s="1">
        <v>1</v>
      </c>
      <c r="I4089" s="1">
        <v>0</v>
      </c>
      <c r="J4089" s="1">
        <v>0</v>
      </c>
      <c r="K4089" s="1">
        <v>1</v>
      </c>
      <c r="L4089" s="1">
        <v>0</v>
      </c>
      <c r="M4089" s="1">
        <v>1</v>
      </c>
    </row>
    <row r="4090" spans="1:13">
      <c r="A4090" s="1">
        <v>4089</v>
      </c>
      <c r="B4090" s="1">
        <v>940013.58299999998</v>
      </c>
      <c r="C4090" s="1">
        <v>531946.29564584431</v>
      </c>
      <c r="D4090" s="1">
        <f t="shared" si="63"/>
        <v>408067.28735415568</v>
      </c>
      <c r="E4090" s="1">
        <v>12</v>
      </c>
      <c r="F4090" s="1">
        <v>21</v>
      </c>
      <c r="G4090" s="1">
        <v>2</v>
      </c>
      <c r="H4090" s="1">
        <v>2</v>
      </c>
      <c r="I4090" s="1">
        <v>0</v>
      </c>
      <c r="J4090" s="1">
        <v>2</v>
      </c>
      <c r="K4090" s="1">
        <v>0</v>
      </c>
      <c r="L4090" s="1">
        <v>0</v>
      </c>
      <c r="M4090" s="1">
        <v>0</v>
      </c>
    </row>
    <row r="4091" spans="1:13">
      <c r="A4091" s="1">
        <v>4090</v>
      </c>
      <c r="B4091" s="1">
        <v>1019797.8869</v>
      </c>
      <c r="C4091" s="1">
        <v>1928276.2709780135</v>
      </c>
      <c r="D4091" s="1">
        <f t="shared" si="63"/>
        <v>-908478.38407801348</v>
      </c>
      <c r="E4091" s="1">
        <v>9</v>
      </c>
      <c r="F4091" s="1">
        <v>20</v>
      </c>
      <c r="G4091" s="1">
        <v>6</v>
      </c>
      <c r="H4091" s="1">
        <v>1</v>
      </c>
      <c r="I4091" s="1">
        <v>0</v>
      </c>
      <c r="J4091" s="1">
        <v>0</v>
      </c>
      <c r="K4091" s="1">
        <v>2</v>
      </c>
      <c r="L4091" s="1">
        <v>0</v>
      </c>
      <c r="M4091" s="1">
        <v>1</v>
      </c>
    </row>
    <row r="4092" spans="1:13">
      <c r="A4092" s="1">
        <v>4091</v>
      </c>
      <c r="B4092" s="1">
        <v>1002961.385</v>
      </c>
      <c r="C4092" s="1">
        <v>864556.03957695386</v>
      </c>
      <c r="D4092" s="1">
        <f t="shared" si="63"/>
        <v>138405.34542304615</v>
      </c>
      <c r="E4092" s="1">
        <v>5</v>
      </c>
      <c r="F4092" s="1">
        <v>22</v>
      </c>
      <c r="G4092" s="1">
        <v>8</v>
      </c>
      <c r="H4092" s="1">
        <v>0</v>
      </c>
      <c r="I4092" s="1">
        <v>0</v>
      </c>
      <c r="J4092" s="1">
        <v>1</v>
      </c>
      <c r="K4092" s="1">
        <v>1</v>
      </c>
      <c r="L4092" s="1">
        <v>0</v>
      </c>
      <c r="M4092" s="1">
        <v>0</v>
      </c>
    </row>
    <row r="4093" spans="1:13">
      <c r="A4093" s="1">
        <v>4092</v>
      </c>
      <c r="B4093" s="1">
        <v>946849.40910000005</v>
      </c>
      <c r="C4093" s="1">
        <v>573147.6305196071</v>
      </c>
      <c r="D4093" s="1">
        <f t="shared" si="63"/>
        <v>373701.77858039294</v>
      </c>
      <c r="E4093" s="1">
        <v>17</v>
      </c>
      <c r="F4093" s="1">
        <v>12</v>
      </c>
      <c r="G4093" s="1">
        <v>6</v>
      </c>
      <c r="H4093" s="1">
        <v>0</v>
      </c>
      <c r="I4093" s="1">
        <v>1</v>
      </c>
      <c r="J4093" s="1">
        <v>1</v>
      </c>
      <c r="K4093" s="1">
        <v>1</v>
      </c>
      <c r="L4093" s="1">
        <v>0</v>
      </c>
      <c r="M4093" s="1">
        <v>0</v>
      </c>
    </row>
    <row r="4094" spans="1:13">
      <c r="A4094" s="1">
        <v>4093</v>
      </c>
      <c r="B4094" s="1">
        <v>948101.76820000005</v>
      </c>
      <c r="C4094" s="1">
        <v>1470295.6645792695</v>
      </c>
      <c r="D4094" s="1">
        <f t="shared" si="63"/>
        <v>-522193.89637926943</v>
      </c>
      <c r="E4094" s="1">
        <v>15</v>
      </c>
      <c r="F4094" s="1">
        <v>14</v>
      </c>
      <c r="G4094" s="1">
        <v>6</v>
      </c>
      <c r="H4094" s="1">
        <v>1</v>
      </c>
      <c r="I4094" s="1">
        <v>0</v>
      </c>
      <c r="J4094" s="1">
        <v>1</v>
      </c>
      <c r="K4094" s="1">
        <v>0</v>
      </c>
      <c r="L4094" s="1">
        <v>1</v>
      </c>
      <c r="M4094" s="1">
        <v>0</v>
      </c>
    </row>
    <row r="4095" spans="1:13">
      <c r="A4095" s="1">
        <v>4094</v>
      </c>
      <c r="B4095" s="1">
        <v>1076493.0811999999</v>
      </c>
      <c r="C4095" s="1">
        <v>961574.42045822309</v>
      </c>
      <c r="D4095" s="1">
        <f t="shared" si="63"/>
        <v>114918.66074177681</v>
      </c>
      <c r="E4095" s="1">
        <v>7</v>
      </c>
      <c r="F4095" s="1">
        <v>21</v>
      </c>
      <c r="G4095" s="1">
        <v>7</v>
      </c>
      <c r="H4095" s="1">
        <v>0</v>
      </c>
      <c r="I4095" s="1">
        <v>0</v>
      </c>
      <c r="J4095" s="1">
        <v>0</v>
      </c>
      <c r="K4095" s="1">
        <v>0</v>
      </c>
      <c r="L4095" s="1">
        <v>0</v>
      </c>
      <c r="M4095" s="1">
        <v>0</v>
      </c>
    </row>
    <row r="4096" spans="1:13">
      <c r="A4096" s="1">
        <v>4095</v>
      </c>
      <c r="B4096" s="1">
        <v>895438.03480000002</v>
      </c>
      <c r="C4096" s="1">
        <v>795398.31056177546</v>
      </c>
      <c r="D4096" s="1">
        <f t="shared" si="63"/>
        <v>100039.72423822456</v>
      </c>
      <c r="E4096" s="1">
        <v>14</v>
      </c>
      <c r="F4096" s="1">
        <v>18</v>
      </c>
      <c r="G4096" s="1">
        <v>3</v>
      </c>
      <c r="H4096" s="1">
        <v>0</v>
      </c>
      <c r="I4096" s="1">
        <v>0</v>
      </c>
      <c r="J4096" s="1">
        <v>0</v>
      </c>
      <c r="K4096" s="1">
        <v>1</v>
      </c>
      <c r="L4096" s="1">
        <v>0</v>
      </c>
      <c r="M4096" s="1">
        <v>0</v>
      </c>
    </row>
    <row r="4097" spans="1:13">
      <c r="A4097" s="1">
        <v>4096</v>
      </c>
      <c r="B4097" s="1">
        <v>1026553.4357</v>
      </c>
      <c r="C4097" s="1">
        <v>876385.13484330627</v>
      </c>
      <c r="D4097" s="1">
        <f t="shared" si="63"/>
        <v>150168.30085669376</v>
      </c>
      <c r="E4097" s="1">
        <v>19</v>
      </c>
      <c r="F4097" s="1">
        <v>10</v>
      </c>
      <c r="G4097" s="1">
        <v>6</v>
      </c>
      <c r="H4097" s="1">
        <v>0</v>
      </c>
      <c r="I4097" s="1">
        <v>0</v>
      </c>
      <c r="J4097" s="1">
        <v>1</v>
      </c>
      <c r="K4097" s="1">
        <v>0</v>
      </c>
      <c r="L4097" s="1">
        <v>0</v>
      </c>
      <c r="M4097" s="1">
        <v>1</v>
      </c>
    </row>
    <row r="4098" spans="1:13">
      <c r="A4098" s="1">
        <v>4097</v>
      </c>
      <c r="B4098" s="1">
        <v>1009884.2718</v>
      </c>
      <c r="C4098" s="1">
        <v>757056.1892466353</v>
      </c>
      <c r="D4098" s="1">
        <f t="shared" ref="D4098:D4161" si="64">B4098-C4098</f>
        <v>252828.08255336469</v>
      </c>
      <c r="E4098" s="1">
        <v>5</v>
      </c>
      <c r="F4098" s="1">
        <v>24</v>
      </c>
      <c r="G4098" s="1">
        <v>6</v>
      </c>
      <c r="H4098" s="1">
        <v>1</v>
      </c>
      <c r="I4098" s="1">
        <v>0</v>
      </c>
      <c r="J4098" s="1">
        <v>1</v>
      </c>
      <c r="K4098" s="1">
        <v>1</v>
      </c>
      <c r="L4098" s="1">
        <v>0</v>
      </c>
      <c r="M4098" s="1">
        <v>1</v>
      </c>
    </row>
    <row r="4099" spans="1:13">
      <c r="A4099" s="1">
        <v>4098</v>
      </c>
      <c r="B4099" s="1">
        <v>1002388.0115</v>
      </c>
      <c r="C4099" s="1">
        <v>918374.95526243548</v>
      </c>
      <c r="D4099" s="1">
        <f t="shared" si="64"/>
        <v>84013.056237564539</v>
      </c>
      <c r="E4099" s="1">
        <v>9</v>
      </c>
      <c r="F4099" s="1">
        <v>20</v>
      </c>
      <c r="G4099" s="1">
        <v>6</v>
      </c>
      <c r="H4099" s="1">
        <v>0</v>
      </c>
      <c r="I4099" s="1">
        <v>1</v>
      </c>
      <c r="J4099" s="1">
        <v>0</v>
      </c>
      <c r="K4099" s="1">
        <v>1</v>
      </c>
      <c r="L4099" s="1">
        <v>0</v>
      </c>
      <c r="M4099" s="1">
        <v>1</v>
      </c>
    </row>
    <row r="4100" spans="1:13">
      <c r="A4100" s="1">
        <v>4099</v>
      </c>
      <c r="B4100" s="1">
        <v>938795.09900000005</v>
      </c>
      <c r="C4100" s="1">
        <v>1924994.2427740728</v>
      </c>
      <c r="D4100" s="1">
        <f t="shared" si="64"/>
        <v>-986199.14377407276</v>
      </c>
      <c r="E4100" s="1">
        <v>13</v>
      </c>
      <c r="F4100" s="1">
        <v>18</v>
      </c>
      <c r="G4100" s="1">
        <v>4</v>
      </c>
      <c r="H4100" s="1">
        <v>2</v>
      </c>
      <c r="I4100" s="1">
        <v>0</v>
      </c>
      <c r="J4100" s="1">
        <v>1</v>
      </c>
      <c r="K4100" s="1">
        <v>0</v>
      </c>
      <c r="L4100" s="1">
        <v>1</v>
      </c>
      <c r="M4100" s="1">
        <v>0</v>
      </c>
    </row>
    <row r="4101" spans="1:13">
      <c r="A4101" s="1">
        <v>4100</v>
      </c>
      <c r="B4101" s="1">
        <v>925562.77040000004</v>
      </c>
      <c r="C4101" s="1">
        <v>1007858.0230725044</v>
      </c>
      <c r="D4101" s="1">
        <f t="shared" si="64"/>
        <v>-82295.252672504401</v>
      </c>
      <c r="E4101" s="1">
        <v>9</v>
      </c>
      <c r="F4101" s="1">
        <v>24</v>
      </c>
      <c r="G4101" s="1">
        <v>2</v>
      </c>
      <c r="H4101" s="1">
        <v>1</v>
      </c>
      <c r="I4101" s="1">
        <v>0</v>
      </c>
      <c r="J4101" s="1">
        <v>0</v>
      </c>
      <c r="K4101" s="1">
        <v>1</v>
      </c>
      <c r="L4101" s="1">
        <v>0</v>
      </c>
      <c r="M4101" s="1">
        <v>0</v>
      </c>
    </row>
    <row r="4102" spans="1:13">
      <c r="A4102" s="1">
        <v>4101</v>
      </c>
      <c r="B4102" s="1">
        <v>887793.78570000001</v>
      </c>
      <c r="C4102" s="1">
        <v>410610.99866925308</v>
      </c>
      <c r="D4102" s="1">
        <f t="shared" si="64"/>
        <v>477182.78703074693</v>
      </c>
      <c r="E4102" s="1">
        <v>15</v>
      </c>
      <c r="F4102" s="1">
        <v>18</v>
      </c>
      <c r="G4102" s="1">
        <v>2</v>
      </c>
      <c r="H4102" s="1">
        <v>0</v>
      </c>
      <c r="I4102" s="1">
        <v>2</v>
      </c>
      <c r="J4102" s="1">
        <v>0</v>
      </c>
      <c r="K4102" s="1">
        <v>0</v>
      </c>
      <c r="L4102" s="1">
        <v>0</v>
      </c>
      <c r="M4102" s="1">
        <v>0</v>
      </c>
    </row>
    <row r="4103" spans="1:13">
      <c r="A4103" s="1">
        <v>4102</v>
      </c>
      <c r="B4103" s="1">
        <v>1017898.5122</v>
      </c>
      <c r="C4103" s="1">
        <v>1094614.108280529</v>
      </c>
      <c r="D4103" s="1">
        <f t="shared" si="64"/>
        <v>-76715.596080529038</v>
      </c>
      <c r="E4103" s="1">
        <v>15</v>
      </c>
      <c r="F4103" s="1">
        <v>13</v>
      </c>
      <c r="G4103" s="1">
        <v>7</v>
      </c>
      <c r="H4103" s="1">
        <v>1</v>
      </c>
      <c r="I4103" s="1">
        <v>1</v>
      </c>
      <c r="J4103" s="1">
        <v>0</v>
      </c>
      <c r="K4103" s="1">
        <v>1</v>
      </c>
      <c r="L4103" s="1">
        <v>0</v>
      </c>
      <c r="M4103" s="1">
        <v>0</v>
      </c>
    </row>
    <row r="4104" spans="1:13">
      <c r="A4104" s="1">
        <v>4103</v>
      </c>
      <c r="B4104" s="1">
        <v>890862.25970000005</v>
      </c>
      <c r="C4104" s="1">
        <v>1617367.7124715243</v>
      </c>
      <c r="D4104" s="1">
        <f t="shared" si="64"/>
        <v>-726505.4527715242</v>
      </c>
      <c r="E4104" s="1">
        <v>18</v>
      </c>
      <c r="F4104" s="1">
        <v>11</v>
      </c>
      <c r="G4104" s="1">
        <v>6</v>
      </c>
      <c r="H4104" s="1">
        <v>1</v>
      </c>
      <c r="I4104" s="1">
        <v>0</v>
      </c>
      <c r="J4104" s="1">
        <v>0</v>
      </c>
      <c r="K4104" s="1">
        <v>1</v>
      </c>
      <c r="L4104" s="1">
        <v>0</v>
      </c>
      <c r="M4104" s="1">
        <v>0</v>
      </c>
    </row>
    <row r="4105" spans="1:13">
      <c r="A4105" s="1">
        <v>4104</v>
      </c>
      <c r="B4105" s="1">
        <v>909242.52850000001</v>
      </c>
      <c r="C4105" s="1">
        <v>1232263.4406674497</v>
      </c>
      <c r="D4105" s="1">
        <f t="shared" si="64"/>
        <v>-323020.91216744971</v>
      </c>
      <c r="E4105" s="1">
        <v>15</v>
      </c>
      <c r="F4105" s="1">
        <v>16</v>
      </c>
      <c r="G4105" s="1">
        <v>4</v>
      </c>
      <c r="H4105" s="1">
        <v>0</v>
      </c>
      <c r="I4105" s="1">
        <v>0</v>
      </c>
      <c r="J4105" s="1">
        <v>1</v>
      </c>
      <c r="K4105" s="1">
        <v>0</v>
      </c>
      <c r="L4105" s="1">
        <v>0</v>
      </c>
      <c r="M4105" s="1">
        <v>0</v>
      </c>
    </row>
    <row r="4106" spans="1:13">
      <c r="A4106" s="1">
        <v>4105</v>
      </c>
      <c r="B4106" s="1">
        <v>905908.62430000002</v>
      </c>
      <c r="C4106" s="1">
        <v>805562.56025309081</v>
      </c>
      <c r="D4106" s="1">
        <f t="shared" si="64"/>
        <v>100346.06404690922</v>
      </c>
      <c r="E4106" s="1">
        <v>10</v>
      </c>
      <c r="F4106" s="1">
        <v>17</v>
      </c>
      <c r="G4106" s="1">
        <v>8</v>
      </c>
      <c r="H4106" s="1">
        <v>1</v>
      </c>
      <c r="I4106" s="1">
        <v>0</v>
      </c>
      <c r="J4106" s="1">
        <v>1</v>
      </c>
      <c r="K4106" s="1">
        <v>0</v>
      </c>
      <c r="L4106" s="1">
        <v>0</v>
      </c>
      <c r="M4106" s="1">
        <v>0</v>
      </c>
    </row>
    <row r="4107" spans="1:13">
      <c r="A4107" s="1">
        <v>4106</v>
      </c>
      <c r="B4107" s="1">
        <v>861422.39130000002</v>
      </c>
      <c r="C4107" s="1">
        <v>917460.4144808047</v>
      </c>
      <c r="D4107" s="1">
        <f t="shared" si="64"/>
        <v>-56038.023180804681</v>
      </c>
      <c r="E4107" s="1">
        <v>17</v>
      </c>
      <c r="F4107" s="1">
        <v>15</v>
      </c>
      <c r="G4107" s="1">
        <v>3</v>
      </c>
      <c r="H4107" s="1">
        <v>1</v>
      </c>
      <c r="I4107" s="1">
        <v>0</v>
      </c>
      <c r="J4107" s="1">
        <v>0</v>
      </c>
      <c r="K4107" s="1">
        <v>1</v>
      </c>
      <c r="L4107" s="1">
        <v>0</v>
      </c>
      <c r="M4107" s="1">
        <v>0</v>
      </c>
    </row>
    <row r="4108" spans="1:13">
      <c r="A4108" s="1">
        <v>4107</v>
      </c>
      <c r="B4108" s="1">
        <v>983734.23670000001</v>
      </c>
      <c r="C4108" s="1">
        <v>564032.10316192848</v>
      </c>
      <c r="D4108" s="1">
        <f t="shared" si="64"/>
        <v>419702.13353807153</v>
      </c>
      <c r="E4108" s="1">
        <v>15</v>
      </c>
      <c r="F4108" s="1">
        <v>10</v>
      </c>
      <c r="G4108" s="1">
        <v>10</v>
      </c>
      <c r="H4108" s="1">
        <v>2</v>
      </c>
      <c r="I4108" s="1">
        <v>0</v>
      </c>
      <c r="J4108" s="1">
        <v>1</v>
      </c>
      <c r="K4108" s="1">
        <v>1</v>
      </c>
      <c r="L4108" s="1">
        <v>0</v>
      </c>
      <c r="M4108" s="1">
        <v>0</v>
      </c>
    </row>
    <row r="4109" spans="1:13">
      <c r="A4109" s="1">
        <v>4108</v>
      </c>
      <c r="B4109" s="1">
        <v>1072795.7879000001</v>
      </c>
      <c r="C4109" s="1">
        <v>1466315.1009167908</v>
      </c>
      <c r="D4109" s="1">
        <f t="shared" si="64"/>
        <v>-393519.31301679066</v>
      </c>
      <c r="E4109" s="1">
        <v>11</v>
      </c>
      <c r="F4109" s="1">
        <v>15</v>
      </c>
      <c r="G4109" s="1">
        <v>9</v>
      </c>
      <c r="H4109" s="1">
        <v>1</v>
      </c>
      <c r="I4109" s="1">
        <v>0</v>
      </c>
      <c r="J4109" s="1">
        <v>2</v>
      </c>
      <c r="K4109" s="1">
        <v>0</v>
      </c>
      <c r="L4109" s="1">
        <v>0</v>
      </c>
      <c r="M4109" s="1">
        <v>1</v>
      </c>
    </row>
    <row r="4110" spans="1:13">
      <c r="A4110" s="1">
        <v>4109</v>
      </c>
      <c r="B4110" s="1">
        <v>881848.92</v>
      </c>
      <c r="C4110" s="1">
        <v>661211.69197588705</v>
      </c>
      <c r="D4110" s="1">
        <f t="shared" si="64"/>
        <v>220637.22802411299</v>
      </c>
      <c r="E4110" s="1">
        <v>17</v>
      </c>
      <c r="F4110" s="1">
        <v>13</v>
      </c>
      <c r="G4110" s="1">
        <v>5</v>
      </c>
      <c r="H4110" s="1">
        <v>2</v>
      </c>
      <c r="I4110" s="1">
        <v>0</v>
      </c>
      <c r="J4110" s="1">
        <v>0</v>
      </c>
      <c r="K4110" s="1">
        <v>2</v>
      </c>
      <c r="L4110" s="1">
        <v>0</v>
      </c>
      <c r="M4110" s="1">
        <v>0</v>
      </c>
    </row>
    <row r="4111" spans="1:13">
      <c r="A4111" s="1">
        <v>4110</v>
      </c>
      <c r="B4111" s="1">
        <v>915114.38450000004</v>
      </c>
      <c r="C4111" s="1">
        <v>657662.3677929322</v>
      </c>
      <c r="D4111" s="1">
        <f t="shared" si="64"/>
        <v>257452.01670706784</v>
      </c>
      <c r="E4111" s="1">
        <v>15</v>
      </c>
      <c r="F4111" s="1">
        <v>15</v>
      </c>
      <c r="G4111" s="1">
        <v>5</v>
      </c>
      <c r="H4111" s="1">
        <v>0</v>
      </c>
      <c r="I4111" s="1">
        <v>0</v>
      </c>
      <c r="J4111" s="1">
        <v>1</v>
      </c>
      <c r="K4111" s="1">
        <v>0</v>
      </c>
      <c r="L4111" s="1">
        <v>1</v>
      </c>
      <c r="M4111" s="1">
        <v>0</v>
      </c>
    </row>
    <row r="4112" spans="1:13">
      <c r="A4112" s="1">
        <v>4111</v>
      </c>
      <c r="B4112" s="1">
        <v>961897.1703</v>
      </c>
      <c r="C4112" s="1">
        <v>1096847.3065063562</v>
      </c>
      <c r="D4112" s="1">
        <f t="shared" si="64"/>
        <v>-134950.13620635623</v>
      </c>
      <c r="E4112" s="1">
        <v>9</v>
      </c>
      <c r="F4112" s="1">
        <v>19</v>
      </c>
      <c r="G4112" s="1">
        <v>7</v>
      </c>
      <c r="H4112" s="1">
        <v>1</v>
      </c>
      <c r="I4112" s="1">
        <v>0</v>
      </c>
      <c r="J4112" s="1">
        <v>2</v>
      </c>
      <c r="K4112" s="1">
        <v>0</v>
      </c>
      <c r="L4112" s="1">
        <v>0</v>
      </c>
      <c r="M4112" s="1">
        <v>1</v>
      </c>
    </row>
    <row r="4113" spans="1:13">
      <c r="A4113" s="1">
        <v>4112</v>
      </c>
      <c r="B4113" s="1">
        <v>1185456.0882000001</v>
      </c>
      <c r="C4113" s="1">
        <v>756318.4949547092</v>
      </c>
      <c r="D4113" s="1">
        <f t="shared" si="64"/>
        <v>429137.59324529092</v>
      </c>
      <c r="E4113" s="1">
        <v>5</v>
      </c>
      <c r="F4113" s="1">
        <v>21</v>
      </c>
      <c r="G4113" s="1">
        <v>9</v>
      </c>
      <c r="H4113" s="1">
        <v>2</v>
      </c>
      <c r="I4113" s="1">
        <v>0</v>
      </c>
      <c r="J4113" s="1">
        <v>0</v>
      </c>
      <c r="K4113" s="1">
        <v>0</v>
      </c>
      <c r="L4113" s="1">
        <v>0</v>
      </c>
      <c r="M4113" s="1">
        <v>0</v>
      </c>
    </row>
    <row r="4114" spans="1:13">
      <c r="A4114" s="1">
        <v>4113</v>
      </c>
      <c r="B4114" s="1">
        <v>966109.43200000003</v>
      </c>
      <c r="C4114" s="1">
        <v>1039159.3445242327</v>
      </c>
      <c r="D4114" s="1">
        <f t="shared" si="64"/>
        <v>-73049.912524232641</v>
      </c>
      <c r="E4114" s="1">
        <v>7</v>
      </c>
      <c r="F4114" s="1">
        <v>23</v>
      </c>
      <c r="G4114" s="1">
        <v>5</v>
      </c>
      <c r="H4114" s="1">
        <v>0</v>
      </c>
      <c r="I4114" s="1">
        <v>0</v>
      </c>
      <c r="J4114" s="1">
        <v>2</v>
      </c>
      <c r="K4114" s="1">
        <v>0</v>
      </c>
      <c r="L4114" s="1">
        <v>0</v>
      </c>
      <c r="M4114" s="1">
        <v>0</v>
      </c>
    </row>
    <row r="4115" spans="1:13">
      <c r="A4115" s="1">
        <v>4114</v>
      </c>
      <c r="B4115" s="1">
        <v>984236.1851</v>
      </c>
      <c r="C4115" s="1">
        <v>1002935.8748060919</v>
      </c>
      <c r="D4115" s="1">
        <f t="shared" si="64"/>
        <v>-18699.689706091885</v>
      </c>
      <c r="E4115" s="1">
        <v>12</v>
      </c>
      <c r="F4115" s="1">
        <v>19</v>
      </c>
      <c r="G4115" s="1">
        <v>4</v>
      </c>
      <c r="H4115" s="1">
        <v>0</v>
      </c>
      <c r="I4115" s="1">
        <v>0</v>
      </c>
      <c r="J4115" s="1">
        <v>0</v>
      </c>
      <c r="K4115" s="1">
        <v>1</v>
      </c>
      <c r="L4115" s="1">
        <v>0</v>
      </c>
      <c r="M4115" s="1">
        <v>0</v>
      </c>
    </row>
    <row r="4116" spans="1:13">
      <c r="A4116" s="1">
        <v>4115</v>
      </c>
      <c r="B4116" s="1">
        <v>912895.1213</v>
      </c>
      <c r="C4116" s="1">
        <v>632253.66019669187</v>
      </c>
      <c r="D4116" s="1">
        <f t="shared" si="64"/>
        <v>280641.46110330813</v>
      </c>
      <c r="E4116" s="1">
        <v>8</v>
      </c>
      <c r="F4116" s="1">
        <v>19</v>
      </c>
      <c r="G4116" s="1">
        <v>8</v>
      </c>
      <c r="H4116" s="1">
        <v>0</v>
      </c>
      <c r="I4116" s="1">
        <v>0</v>
      </c>
      <c r="J4116" s="1">
        <v>1</v>
      </c>
      <c r="K4116" s="1">
        <v>0</v>
      </c>
      <c r="L4116" s="1">
        <v>0</v>
      </c>
      <c r="M4116" s="1">
        <v>0</v>
      </c>
    </row>
    <row r="4117" spans="1:13">
      <c r="A4117" s="1">
        <v>4116</v>
      </c>
      <c r="B4117" s="1">
        <v>917520.79119999998</v>
      </c>
      <c r="C4117" s="1">
        <v>801411.26784214284</v>
      </c>
      <c r="D4117" s="1">
        <f t="shared" si="64"/>
        <v>116109.52335785714</v>
      </c>
      <c r="E4117" s="1">
        <v>9</v>
      </c>
      <c r="F4117" s="1">
        <v>22</v>
      </c>
      <c r="G4117" s="1">
        <v>4</v>
      </c>
      <c r="H4117" s="1">
        <v>0</v>
      </c>
      <c r="I4117" s="1">
        <v>0</v>
      </c>
      <c r="J4117" s="1">
        <v>2</v>
      </c>
      <c r="K4117" s="1">
        <v>0</v>
      </c>
      <c r="L4117" s="1">
        <v>0</v>
      </c>
      <c r="M4117" s="1">
        <v>0</v>
      </c>
    </row>
    <row r="4118" spans="1:13">
      <c r="A4118" s="1">
        <v>4117</v>
      </c>
      <c r="B4118" s="1">
        <v>910196.7108</v>
      </c>
      <c r="C4118" s="1">
        <v>1129528.9441091861</v>
      </c>
      <c r="D4118" s="1">
        <f t="shared" si="64"/>
        <v>-219332.23330918606</v>
      </c>
      <c r="E4118" s="1">
        <v>20</v>
      </c>
      <c r="F4118" s="1">
        <v>10</v>
      </c>
      <c r="G4118" s="1">
        <v>5</v>
      </c>
      <c r="H4118" s="1">
        <v>1</v>
      </c>
      <c r="I4118" s="1">
        <v>0</v>
      </c>
      <c r="J4118" s="1">
        <v>1</v>
      </c>
      <c r="K4118" s="1">
        <v>0</v>
      </c>
      <c r="L4118" s="1">
        <v>1</v>
      </c>
      <c r="M4118" s="1">
        <v>0</v>
      </c>
    </row>
    <row r="4119" spans="1:13">
      <c r="A4119" s="1">
        <v>4118</v>
      </c>
      <c r="B4119" s="1">
        <v>937521.36199999996</v>
      </c>
      <c r="C4119" s="1">
        <v>837489.33604792017</v>
      </c>
      <c r="D4119" s="1">
        <f t="shared" si="64"/>
        <v>100032.0259520798</v>
      </c>
      <c r="E4119" s="1">
        <v>6</v>
      </c>
      <c r="F4119" s="1">
        <v>24</v>
      </c>
      <c r="G4119" s="1">
        <v>5</v>
      </c>
      <c r="H4119" s="1">
        <v>2</v>
      </c>
      <c r="I4119" s="1">
        <v>0</v>
      </c>
      <c r="J4119" s="1">
        <v>0</v>
      </c>
      <c r="K4119" s="1">
        <v>0</v>
      </c>
      <c r="L4119" s="1">
        <v>0</v>
      </c>
      <c r="M4119" s="1">
        <v>0</v>
      </c>
    </row>
    <row r="4120" spans="1:13">
      <c r="A4120" s="1">
        <v>4119</v>
      </c>
      <c r="B4120" s="1">
        <v>870723.07990000001</v>
      </c>
      <c r="C4120" s="1">
        <v>765901.52043837798</v>
      </c>
      <c r="D4120" s="1">
        <f t="shared" si="64"/>
        <v>104821.55946162203</v>
      </c>
      <c r="E4120" s="1">
        <v>13</v>
      </c>
      <c r="F4120" s="1">
        <v>18</v>
      </c>
      <c r="G4120" s="1">
        <v>4</v>
      </c>
      <c r="H4120" s="1">
        <v>1</v>
      </c>
      <c r="I4120" s="1">
        <v>0</v>
      </c>
      <c r="J4120" s="1">
        <v>0</v>
      </c>
      <c r="K4120" s="1">
        <v>1</v>
      </c>
      <c r="L4120" s="1">
        <v>0</v>
      </c>
      <c r="M4120" s="1">
        <v>0</v>
      </c>
    </row>
    <row r="4121" spans="1:13">
      <c r="A4121" s="1">
        <v>4120</v>
      </c>
      <c r="B4121" s="1">
        <v>913506.13589999999</v>
      </c>
      <c r="C4121" s="1">
        <v>804902.36971663544</v>
      </c>
      <c r="D4121" s="1">
        <f t="shared" si="64"/>
        <v>108603.76618336455</v>
      </c>
      <c r="E4121" s="1">
        <v>19</v>
      </c>
      <c r="F4121" s="1">
        <v>15</v>
      </c>
      <c r="G4121" s="1">
        <v>1</v>
      </c>
      <c r="H4121" s="1">
        <v>2</v>
      </c>
      <c r="I4121" s="1">
        <v>0</v>
      </c>
      <c r="J4121" s="1">
        <v>0</v>
      </c>
      <c r="K4121" s="1">
        <v>2</v>
      </c>
      <c r="L4121" s="1">
        <v>0</v>
      </c>
      <c r="M4121" s="1">
        <v>0</v>
      </c>
    </row>
    <row r="4122" spans="1:13">
      <c r="A4122" s="1">
        <v>4121</v>
      </c>
      <c r="B4122" s="1">
        <v>1074945.8391</v>
      </c>
      <c r="C4122" s="1">
        <v>953242.48210115731</v>
      </c>
      <c r="D4122" s="1">
        <f t="shared" si="64"/>
        <v>121703.35699884268</v>
      </c>
      <c r="E4122" s="1">
        <v>15</v>
      </c>
      <c r="F4122" s="1">
        <v>15</v>
      </c>
      <c r="G4122" s="1">
        <v>5</v>
      </c>
      <c r="H4122" s="1">
        <v>1</v>
      </c>
      <c r="I4122" s="1">
        <v>0</v>
      </c>
      <c r="J4122" s="1">
        <v>1</v>
      </c>
      <c r="K4122" s="1">
        <v>0</v>
      </c>
      <c r="L4122" s="1">
        <v>0</v>
      </c>
      <c r="M4122" s="1">
        <v>0</v>
      </c>
    </row>
    <row r="4123" spans="1:13">
      <c r="A4123" s="1">
        <v>4122</v>
      </c>
      <c r="B4123" s="1">
        <v>1001625.1317</v>
      </c>
      <c r="C4123" s="1">
        <v>801094.42433978803</v>
      </c>
      <c r="D4123" s="1">
        <f t="shared" si="64"/>
        <v>200530.70736021199</v>
      </c>
      <c r="E4123" s="1">
        <v>4</v>
      </c>
      <c r="F4123" s="1">
        <v>25</v>
      </c>
      <c r="G4123" s="1">
        <v>6</v>
      </c>
      <c r="H4123" s="1">
        <v>0</v>
      </c>
      <c r="I4123" s="1">
        <v>0</v>
      </c>
      <c r="J4123" s="1">
        <v>1</v>
      </c>
      <c r="K4123" s="1">
        <v>1</v>
      </c>
      <c r="L4123" s="1">
        <v>0</v>
      </c>
      <c r="M4123" s="1">
        <v>1</v>
      </c>
    </row>
    <row r="4124" spans="1:13">
      <c r="A4124" s="1">
        <v>4123</v>
      </c>
      <c r="B4124" s="1">
        <v>841301.53110000002</v>
      </c>
      <c r="C4124" s="1">
        <v>963939.30125370482</v>
      </c>
      <c r="D4124" s="1">
        <f t="shared" si="64"/>
        <v>-122637.7701537048</v>
      </c>
      <c r="E4124" s="1">
        <v>12</v>
      </c>
      <c r="F4124" s="1">
        <v>16</v>
      </c>
      <c r="G4124" s="1">
        <v>7</v>
      </c>
      <c r="H4124" s="1">
        <v>2</v>
      </c>
      <c r="I4124" s="1">
        <v>0</v>
      </c>
      <c r="J4124" s="1">
        <v>0</v>
      </c>
      <c r="K4124" s="1">
        <v>1</v>
      </c>
      <c r="L4124" s="1">
        <v>0</v>
      </c>
      <c r="M4124" s="1">
        <v>0</v>
      </c>
    </row>
    <row r="4125" spans="1:13">
      <c r="A4125" s="1">
        <v>4124</v>
      </c>
      <c r="B4125" s="1">
        <v>910876.57900000003</v>
      </c>
      <c r="C4125" s="1">
        <v>488952.21734915709</v>
      </c>
      <c r="D4125" s="1">
        <f t="shared" si="64"/>
        <v>421924.36165084294</v>
      </c>
      <c r="E4125" s="1">
        <v>16</v>
      </c>
      <c r="F4125" s="1">
        <v>15</v>
      </c>
      <c r="G4125" s="1">
        <v>4</v>
      </c>
      <c r="H4125" s="1">
        <v>0</v>
      </c>
      <c r="I4125" s="1">
        <v>0</v>
      </c>
      <c r="J4125" s="1">
        <v>0</v>
      </c>
      <c r="K4125" s="1">
        <v>1</v>
      </c>
      <c r="L4125" s="1">
        <v>0</v>
      </c>
      <c r="M4125" s="1">
        <v>0</v>
      </c>
    </row>
    <row r="4126" spans="1:13">
      <c r="A4126" s="1">
        <v>4125</v>
      </c>
      <c r="B4126" s="1">
        <v>873684.05370000005</v>
      </c>
      <c r="C4126" s="1">
        <v>904565.74160721281</v>
      </c>
      <c r="D4126" s="1">
        <f t="shared" si="64"/>
        <v>-30881.687907212763</v>
      </c>
      <c r="E4126" s="1">
        <v>17</v>
      </c>
      <c r="F4126" s="1">
        <v>14</v>
      </c>
      <c r="G4126" s="1">
        <v>4</v>
      </c>
      <c r="H4126" s="1">
        <v>0</v>
      </c>
      <c r="I4126" s="1">
        <v>0</v>
      </c>
      <c r="J4126" s="1">
        <v>1</v>
      </c>
      <c r="K4126" s="1">
        <v>0</v>
      </c>
      <c r="L4126" s="1">
        <v>0</v>
      </c>
      <c r="M4126" s="1">
        <v>0</v>
      </c>
    </row>
    <row r="4127" spans="1:13">
      <c r="A4127" s="1">
        <v>4126</v>
      </c>
      <c r="B4127" s="1">
        <v>994601.17099999997</v>
      </c>
      <c r="C4127" s="1">
        <v>698114.58477637405</v>
      </c>
      <c r="D4127" s="1">
        <f t="shared" si="64"/>
        <v>296486.58622362593</v>
      </c>
      <c r="E4127" s="1">
        <v>17</v>
      </c>
      <c r="F4127" s="1">
        <v>9</v>
      </c>
      <c r="G4127" s="1">
        <v>9</v>
      </c>
      <c r="H4127" s="1">
        <v>2</v>
      </c>
      <c r="I4127" s="1">
        <v>0</v>
      </c>
      <c r="J4127" s="1">
        <v>1</v>
      </c>
      <c r="K4127" s="1">
        <v>1</v>
      </c>
      <c r="L4127" s="1">
        <v>0</v>
      </c>
      <c r="M4127" s="1">
        <v>0</v>
      </c>
    </row>
    <row r="4128" spans="1:13">
      <c r="A4128" s="1">
        <v>4127</v>
      </c>
      <c r="B4128" s="1">
        <v>890547.09730000002</v>
      </c>
      <c r="C4128" s="1">
        <v>935050.68689710821</v>
      </c>
      <c r="D4128" s="1">
        <f t="shared" si="64"/>
        <v>-44503.589597108192</v>
      </c>
      <c r="E4128" s="1">
        <v>8</v>
      </c>
      <c r="F4128" s="1">
        <v>23</v>
      </c>
      <c r="G4128" s="1">
        <v>4</v>
      </c>
      <c r="H4128" s="1">
        <v>1</v>
      </c>
      <c r="I4128" s="1">
        <v>0</v>
      </c>
      <c r="J4128" s="1">
        <v>2</v>
      </c>
      <c r="K4128" s="1">
        <v>0</v>
      </c>
      <c r="L4128" s="1">
        <v>0</v>
      </c>
      <c r="M4128" s="1">
        <v>0</v>
      </c>
    </row>
    <row r="4129" spans="1:13">
      <c r="A4129" s="1">
        <v>4128</v>
      </c>
      <c r="B4129" s="1">
        <v>963910.27590000001</v>
      </c>
      <c r="C4129" s="1">
        <v>1045417.0676648874</v>
      </c>
      <c r="D4129" s="1">
        <f t="shared" si="64"/>
        <v>-81506.791764887399</v>
      </c>
      <c r="E4129" s="1">
        <v>14</v>
      </c>
      <c r="F4129" s="1">
        <v>13</v>
      </c>
      <c r="G4129" s="1">
        <v>8</v>
      </c>
      <c r="H4129" s="1">
        <v>1</v>
      </c>
      <c r="I4129" s="1">
        <v>0</v>
      </c>
      <c r="J4129" s="1">
        <v>0</v>
      </c>
      <c r="K4129" s="1">
        <v>0</v>
      </c>
      <c r="L4129" s="1">
        <v>0</v>
      </c>
      <c r="M4129" s="1">
        <v>0</v>
      </c>
    </row>
    <row r="4130" spans="1:13">
      <c r="A4130" s="1">
        <v>4129</v>
      </c>
      <c r="B4130" s="1">
        <v>1026286.3338</v>
      </c>
      <c r="C4130" s="1">
        <v>827253.32881260023</v>
      </c>
      <c r="D4130" s="1">
        <f t="shared" si="64"/>
        <v>199033.00498739979</v>
      </c>
      <c r="E4130" s="1">
        <v>11</v>
      </c>
      <c r="F4130" s="1">
        <v>21</v>
      </c>
      <c r="G4130" s="1">
        <v>3</v>
      </c>
      <c r="H4130" s="1">
        <v>1</v>
      </c>
      <c r="I4130" s="1">
        <v>1</v>
      </c>
      <c r="J4130" s="1">
        <v>1</v>
      </c>
      <c r="K4130" s="1">
        <v>0</v>
      </c>
      <c r="L4130" s="1">
        <v>0</v>
      </c>
      <c r="M4130" s="1">
        <v>0</v>
      </c>
    </row>
    <row r="4131" spans="1:13">
      <c r="A4131" s="1">
        <v>4130</v>
      </c>
      <c r="B4131" s="1">
        <v>956172.94810000004</v>
      </c>
      <c r="C4131" s="1">
        <v>878662.84710302902</v>
      </c>
      <c r="D4131" s="1">
        <f t="shared" si="64"/>
        <v>77510.100996971014</v>
      </c>
      <c r="E4131" s="1">
        <v>13</v>
      </c>
      <c r="F4131" s="1">
        <v>17</v>
      </c>
      <c r="G4131" s="1">
        <v>5</v>
      </c>
      <c r="H4131" s="1">
        <v>0</v>
      </c>
      <c r="I4131" s="1">
        <v>0</v>
      </c>
      <c r="J4131" s="1">
        <v>1</v>
      </c>
      <c r="K4131" s="1">
        <v>0</v>
      </c>
      <c r="L4131" s="1">
        <v>0</v>
      </c>
      <c r="M4131" s="1">
        <v>1</v>
      </c>
    </row>
    <row r="4132" spans="1:13">
      <c r="A4132" s="1">
        <v>4131</v>
      </c>
      <c r="B4132" s="1">
        <v>956297.62360000005</v>
      </c>
      <c r="C4132" s="1">
        <v>617346.10933383543</v>
      </c>
      <c r="D4132" s="1">
        <f t="shared" si="64"/>
        <v>338951.51426616462</v>
      </c>
      <c r="E4132" s="1">
        <v>11</v>
      </c>
      <c r="F4132" s="1">
        <v>20</v>
      </c>
      <c r="G4132" s="1">
        <v>4</v>
      </c>
      <c r="H4132" s="1">
        <v>1</v>
      </c>
      <c r="I4132" s="1">
        <v>1</v>
      </c>
      <c r="J4132" s="1">
        <v>1</v>
      </c>
      <c r="K4132" s="1">
        <v>1</v>
      </c>
      <c r="L4132" s="1">
        <v>0</v>
      </c>
      <c r="M4132" s="1">
        <v>0</v>
      </c>
    </row>
    <row r="4133" spans="1:13">
      <c r="A4133" s="1">
        <v>4132</v>
      </c>
      <c r="B4133" s="1">
        <v>997584.86849999998</v>
      </c>
      <c r="C4133" s="1">
        <v>947477.96718110028</v>
      </c>
      <c r="D4133" s="1">
        <f t="shared" si="64"/>
        <v>50106.901318899705</v>
      </c>
      <c r="E4133" s="1">
        <v>16</v>
      </c>
      <c r="F4133" s="1">
        <v>12</v>
      </c>
      <c r="G4133" s="1">
        <v>7</v>
      </c>
      <c r="H4133" s="1">
        <v>0</v>
      </c>
      <c r="I4133" s="1">
        <v>1</v>
      </c>
      <c r="J4133" s="1">
        <v>2</v>
      </c>
      <c r="K4133" s="1">
        <v>0</v>
      </c>
      <c r="L4133" s="1">
        <v>0</v>
      </c>
      <c r="M4133" s="1">
        <v>0</v>
      </c>
    </row>
    <row r="4134" spans="1:13">
      <c r="A4134" s="1">
        <v>4133</v>
      </c>
      <c r="B4134" s="1">
        <v>909315.17619999999</v>
      </c>
      <c r="C4134" s="1">
        <v>955053.19834901614</v>
      </c>
      <c r="D4134" s="1">
        <f t="shared" si="64"/>
        <v>-45738.022149016149</v>
      </c>
      <c r="E4134" s="1">
        <v>14</v>
      </c>
      <c r="F4134" s="1">
        <v>17</v>
      </c>
      <c r="G4134" s="1">
        <v>4</v>
      </c>
      <c r="H4134" s="1">
        <v>1</v>
      </c>
      <c r="I4134" s="1">
        <v>1</v>
      </c>
      <c r="J4134" s="1">
        <v>0</v>
      </c>
      <c r="K4134" s="1">
        <v>1</v>
      </c>
      <c r="L4134" s="1">
        <v>0</v>
      </c>
      <c r="M4134" s="1">
        <v>0</v>
      </c>
    </row>
    <row r="4135" spans="1:13">
      <c r="A4135" s="1">
        <v>4134</v>
      </c>
      <c r="B4135" s="1">
        <v>1039777.9576</v>
      </c>
      <c r="C4135" s="1">
        <v>2038974.6860248488</v>
      </c>
      <c r="D4135" s="1">
        <f t="shared" si="64"/>
        <v>-999196.72842484887</v>
      </c>
      <c r="E4135" s="1">
        <v>6</v>
      </c>
      <c r="F4135" s="1">
        <v>24</v>
      </c>
      <c r="G4135" s="1">
        <v>5</v>
      </c>
      <c r="H4135" s="1">
        <v>2</v>
      </c>
      <c r="I4135" s="1">
        <v>0</v>
      </c>
      <c r="J4135" s="1">
        <v>0</v>
      </c>
      <c r="K4135" s="1">
        <v>0</v>
      </c>
      <c r="L4135" s="1">
        <v>0</v>
      </c>
      <c r="M4135" s="1">
        <v>0</v>
      </c>
    </row>
    <row r="4136" spans="1:13">
      <c r="A4136" s="1">
        <v>4135</v>
      </c>
      <c r="B4136" s="1">
        <v>997625.72199999995</v>
      </c>
      <c r="C4136" s="1">
        <v>940607.74714832706</v>
      </c>
      <c r="D4136" s="1">
        <f t="shared" si="64"/>
        <v>57017.974851672887</v>
      </c>
      <c r="E4136" s="1">
        <v>10</v>
      </c>
      <c r="F4136" s="1">
        <v>20</v>
      </c>
      <c r="G4136" s="1">
        <v>5</v>
      </c>
      <c r="H4136" s="1">
        <v>0</v>
      </c>
      <c r="I4136" s="1">
        <v>0</v>
      </c>
      <c r="J4136" s="1">
        <v>1</v>
      </c>
      <c r="K4136" s="1">
        <v>1</v>
      </c>
      <c r="L4136" s="1">
        <v>0</v>
      </c>
      <c r="M4136" s="1">
        <v>0</v>
      </c>
    </row>
    <row r="4137" spans="1:13">
      <c r="A4137" s="1">
        <v>4136</v>
      </c>
      <c r="B4137" s="1">
        <v>865110.48510000005</v>
      </c>
      <c r="C4137" s="1">
        <v>1303187.5142931701</v>
      </c>
      <c r="D4137" s="1">
        <f t="shared" si="64"/>
        <v>-438077.02919317002</v>
      </c>
      <c r="E4137" s="1">
        <v>5</v>
      </c>
      <c r="F4137" s="1">
        <v>27</v>
      </c>
      <c r="G4137" s="1">
        <v>3</v>
      </c>
      <c r="H4137" s="1">
        <v>0</v>
      </c>
      <c r="I4137" s="1">
        <v>0</v>
      </c>
      <c r="J4137" s="1">
        <v>0</v>
      </c>
      <c r="K4137" s="1">
        <v>1</v>
      </c>
      <c r="L4137" s="1">
        <v>0</v>
      </c>
      <c r="M4137" s="1">
        <v>0</v>
      </c>
    </row>
    <row r="4138" spans="1:13">
      <c r="A4138" s="1">
        <v>4137</v>
      </c>
      <c r="B4138" s="1">
        <v>872680.15060000005</v>
      </c>
      <c r="C4138" s="1">
        <v>901668.52885369409</v>
      </c>
      <c r="D4138" s="1">
        <f t="shared" si="64"/>
        <v>-28988.378253694042</v>
      </c>
      <c r="E4138" s="1">
        <v>17</v>
      </c>
      <c r="F4138" s="1">
        <v>13</v>
      </c>
      <c r="G4138" s="1">
        <v>5</v>
      </c>
      <c r="H4138" s="1">
        <v>1</v>
      </c>
      <c r="I4138" s="1">
        <v>0</v>
      </c>
      <c r="J4138" s="1">
        <v>0</v>
      </c>
      <c r="K4138" s="1">
        <v>0</v>
      </c>
      <c r="L4138" s="1">
        <v>0</v>
      </c>
      <c r="M4138" s="1">
        <v>1</v>
      </c>
    </row>
    <row r="4139" spans="1:13">
      <c r="A4139" s="1">
        <v>4138</v>
      </c>
      <c r="B4139" s="1">
        <v>898404.58389999997</v>
      </c>
      <c r="C4139" s="1">
        <v>1096033.6506002096</v>
      </c>
      <c r="D4139" s="1">
        <f t="shared" si="64"/>
        <v>-197629.06670020963</v>
      </c>
      <c r="E4139" s="1">
        <v>10</v>
      </c>
      <c r="F4139" s="1">
        <v>19</v>
      </c>
      <c r="G4139" s="1">
        <v>6</v>
      </c>
      <c r="H4139" s="1">
        <v>2</v>
      </c>
      <c r="I4139" s="1">
        <v>0</v>
      </c>
      <c r="J4139" s="1">
        <v>0</v>
      </c>
      <c r="K4139" s="1">
        <v>0</v>
      </c>
      <c r="L4139" s="1">
        <v>0</v>
      </c>
      <c r="M4139" s="1">
        <v>0</v>
      </c>
    </row>
    <row r="4140" spans="1:13">
      <c r="A4140" s="1">
        <v>4139</v>
      </c>
      <c r="B4140" s="1">
        <v>903218.97990000003</v>
      </c>
      <c r="C4140" s="1">
        <v>955849.62634687079</v>
      </c>
      <c r="D4140" s="1">
        <f t="shared" si="64"/>
        <v>-52630.646446870756</v>
      </c>
      <c r="E4140" s="1">
        <v>18</v>
      </c>
      <c r="F4140" s="1">
        <v>13</v>
      </c>
      <c r="G4140" s="1">
        <v>4</v>
      </c>
      <c r="H4140" s="1">
        <v>0</v>
      </c>
      <c r="I4140" s="1">
        <v>0</v>
      </c>
      <c r="J4140" s="1">
        <v>1</v>
      </c>
      <c r="K4140" s="1">
        <v>1</v>
      </c>
      <c r="L4140" s="1">
        <v>0</v>
      </c>
      <c r="M4140" s="1">
        <v>0</v>
      </c>
    </row>
    <row r="4141" spans="1:13">
      <c r="A4141" s="1">
        <v>4140</v>
      </c>
      <c r="B4141" s="1">
        <v>967343.59649999999</v>
      </c>
      <c r="C4141" s="1">
        <v>1184459.7226550775</v>
      </c>
      <c r="D4141" s="1">
        <f t="shared" si="64"/>
        <v>-217116.12615507748</v>
      </c>
      <c r="E4141" s="1">
        <v>10</v>
      </c>
      <c r="F4141" s="1">
        <v>19</v>
      </c>
      <c r="G4141" s="1">
        <v>6</v>
      </c>
      <c r="H4141" s="1">
        <v>0</v>
      </c>
      <c r="I4141" s="1">
        <v>0</v>
      </c>
      <c r="J4141" s="1">
        <v>0</v>
      </c>
      <c r="K4141" s="1">
        <v>0</v>
      </c>
      <c r="L4141" s="1">
        <v>0</v>
      </c>
      <c r="M4141" s="1">
        <v>0</v>
      </c>
    </row>
    <row r="4142" spans="1:13">
      <c r="A4142" s="1">
        <v>4141</v>
      </c>
      <c r="B4142" s="1">
        <v>1097230.6865999999</v>
      </c>
      <c r="C4142" s="1">
        <v>617656.59659335867</v>
      </c>
      <c r="D4142" s="1">
        <f t="shared" si="64"/>
        <v>479574.09000664123</v>
      </c>
      <c r="E4142" s="1">
        <v>16</v>
      </c>
      <c r="F4142" s="1">
        <v>12</v>
      </c>
      <c r="G4142" s="1">
        <v>7</v>
      </c>
      <c r="H4142" s="1">
        <v>2</v>
      </c>
      <c r="I4142" s="1">
        <v>0</v>
      </c>
      <c r="J4142" s="1">
        <v>0</v>
      </c>
      <c r="K4142" s="1">
        <v>0</v>
      </c>
      <c r="L4142" s="1">
        <v>0</v>
      </c>
      <c r="M4142" s="1">
        <v>0</v>
      </c>
    </row>
    <row r="4143" spans="1:13">
      <c r="A4143" s="1">
        <v>4142</v>
      </c>
      <c r="B4143" s="1">
        <v>925988.23049999995</v>
      </c>
      <c r="C4143" s="1">
        <v>934394.91472151689</v>
      </c>
      <c r="D4143" s="1">
        <f t="shared" si="64"/>
        <v>-8406.6842215169454</v>
      </c>
      <c r="E4143" s="1">
        <v>17</v>
      </c>
      <c r="F4143" s="1">
        <v>17</v>
      </c>
      <c r="G4143" s="1">
        <v>1</v>
      </c>
      <c r="H4143" s="1">
        <v>1</v>
      </c>
      <c r="I4143" s="1">
        <v>0</v>
      </c>
      <c r="J4143" s="1">
        <v>0</v>
      </c>
      <c r="K4143" s="1">
        <v>1</v>
      </c>
      <c r="L4143" s="1">
        <v>0</v>
      </c>
      <c r="M4143" s="1">
        <v>0</v>
      </c>
    </row>
    <row r="4144" spans="1:13">
      <c r="A4144" s="1">
        <v>4143</v>
      </c>
      <c r="B4144" s="1">
        <v>827918.05680000002</v>
      </c>
      <c r="C4144" s="1">
        <v>1111611.9191268827</v>
      </c>
      <c r="D4144" s="1">
        <f t="shared" si="64"/>
        <v>-283693.86232688266</v>
      </c>
      <c r="E4144" s="1">
        <v>23</v>
      </c>
      <c r="F4144" s="1">
        <v>9</v>
      </c>
      <c r="G4144" s="1">
        <v>3</v>
      </c>
      <c r="H4144" s="1">
        <v>0</v>
      </c>
      <c r="I4144" s="1">
        <v>0</v>
      </c>
      <c r="J4144" s="1">
        <v>1</v>
      </c>
      <c r="K4144" s="1">
        <v>1</v>
      </c>
      <c r="L4144" s="1">
        <v>0</v>
      </c>
      <c r="M4144" s="1">
        <v>0</v>
      </c>
    </row>
    <row r="4145" spans="1:13">
      <c r="A4145" s="1">
        <v>4144</v>
      </c>
      <c r="B4145" s="1">
        <v>964080.26890000002</v>
      </c>
      <c r="C4145" s="1">
        <v>659925.78587472381</v>
      </c>
      <c r="D4145" s="1">
        <f t="shared" si="64"/>
        <v>304154.48302527622</v>
      </c>
      <c r="E4145" s="1">
        <v>5</v>
      </c>
      <c r="F4145" s="1">
        <v>22</v>
      </c>
      <c r="G4145" s="1">
        <v>8</v>
      </c>
      <c r="H4145" s="1">
        <v>2</v>
      </c>
      <c r="I4145" s="1">
        <v>0</v>
      </c>
      <c r="J4145" s="1">
        <v>2</v>
      </c>
      <c r="K4145" s="1">
        <v>0</v>
      </c>
      <c r="L4145" s="1">
        <v>0</v>
      </c>
      <c r="M4145" s="1">
        <v>0</v>
      </c>
    </row>
    <row r="4146" spans="1:13">
      <c r="A4146" s="1">
        <v>4145</v>
      </c>
      <c r="B4146" s="1">
        <v>979765.02579999994</v>
      </c>
      <c r="C4146" s="1">
        <v>880651.22945767699</v>
      </c>
      <c r="D4146" s="1">
        <f t="shared" si="64"/>
        <v>99113.796342322952</v>
      </c>
      <c r="E4146" s="1">
        <v>20</v>
      </c>
      <c r="F4146" s="1">
        <v>10</v>
      </c>
      <c r="G4146" s="1">
        <v>5</v>
      </c>
      <c r="H4146" s="1">
        <v>1</v>
      </c>
      <c r="I4146" s="1">
        <v>0</v>
      </c>
      <c r="J4146" s="1">
        <v>0</v>
      </c>
      <c r="K4146" s="1">
        <v>1</v>
      </c>
      <c r="L4146" s="1">
        <v>0</v>
      </c>
      <c r="M4146" s="1">
        <v>1</v>
      </c>
    </row>
    <row r="4147" spans="1:13">
      <c r="A4147" s="1">
        <v>4146</v>
      </c>
      <c r="B4147" s="1">
        <v>1062747.1705</v>
      </c>
      <c r="C4147" s="1">
        <v>585787.53190572071</v>
      </c>
      <c r="D4147" s="1">
        <f t="shared" si="64"/>
        <v>476959.6385942793</v>
      </c>
      <c r="E4147" s="1">
        <v>14</v>
      </c>
      <c r="F4147" s="1">
        <v>16</v>
      </c>
      <c r="G4147" s="1">
        <v>5</v>
      </c>
      <c r="H4147" s="1">
        <v>2</v>
      </c>
      <c r="I4147" s="1">
        <v>0</v>
      </c>
      <c r="J4147" s="1">
        <v>2</v>
      </c>
      <c r="K4147" s="1">
        <v>0</v>
      </c>
      <c r="L4147" s="1">
        <v>0</v>
      </c>
      <c r="M4147" s="1">
        <v>0</v>
      </c>
    </row>
    <row r="4148" spans="1:13">
      <c r="A4148" s="1">
        <v>4147</v>
      </c>
      <c r="B4148" s="1">
        <v>1042786.907</v>
      </c>
      <c r="C4148" s="1">
        <v>822680.03178619291</v>
      </c>
      <c r="D4148" s="1">
        <f t="shared" si="64"/>
        <v>220106.8752138071</v>
      </c>
      <c r="E4148" s="1">
        <v>6</v>
      </c>
      <c r="F4148" s="1">
        <v>22</v>
      </c>
      <c r="G4148" s="1">
        <v>7</v>
      </c>
      <c r="H4148" s="1">
        <v>1</v>
      </c>
      <c r="I4148" s="1">
        <v>0</v>
      </c>
      <c r="J4148" s="1">
        <v>1</v>
      </c>
      <c r="K4148" s="1">
        <v>1</v>
      </c>
      <c r="L4148" s="1">
        <v>0</v>
      </c>
      <c r="M4148" s="1">
        <v>0</v>
      </c>
    </row>
    <row r="4149" spans="1:13">
      <c r="A4149" s="1">
        <v>4148</v>
      </c>
      <c r="B4149" s="1">
        <v>867716.52529999998</v>
      </c>
      <c r="C4149" s="1">
        <v>1226193.5821018151</v>
      </c>
      <c r="D4149" s="1">
        <f t="shared" si="64"/>
        <v>-358477.05680181517</v>
      </c>
      <c r="E4149" s="1">
        <v>16</v>
      </c>
      <c r="F4149" s="1">
        <v>15</v>
      </c>
      <c r="G4149" s="1">
        <v>4</v>
      </c>
      <c r="H4149" s="1">
        <v>2</v>
      </c>
      <c r="I4149" s="1">
        <v>0</v>
      </c>
      <c r="J4149" s="1">
        <v>1</v>
      </c>
      <c r="K4149" s="1">
        <v>1</v>
      </c>
      <c r="L4149" s="1">
        <v>0</v>
      </c>
      <c r="M4149" s="1">
        <v>1</v>
      </c>
    </row>
    <row r="4150" spans="1:13">
      <c r="A4150" s="1">
        <v>4149</v>
      </c>
      <c r="B4150" s="1">
        <v>992777.74560000002</v>
      </c>
      <c r="C4150" s="1">
        <v>690846.91031089413</v>
      </c>
      <c r="D4150" s="1">
        <f t="shared" si="64"/>
        <v>301930.83528910589</v>
      </c>
      <c r="E4150" s="1">
        <v>8</v>
      </c>
      <c r="F4150" s="1">
        <v>23</v>
      </c>
      <c r="G4150" s="1">
        <v>4</v>
      </c>
      <c r="H4150" s="1">
        <v>0</v>
      </c>
      <c r="I4150" s="1">
        <v>0</v>
      </c>
      <c r="J4150" s="1">
        <v>0</v>
      </c>
      <c r="K4150" s="1">
        <v>0</v>
      </c>
      <c r="L4150" s="1">
        <v>0</v>
      </c>
      <c r="M4150" s="1">
        <v>0</v>
      </c>
    </row>
    <row r="4151" spans="1:13">
      <c r="A4151" s="1">
        <v>4150</v>
      </c>
      <c r="B4151" s="1">
        <v>918570.64049999998</v>
      </c>
      <c r="C4151" s="1">
        <v>521272.80948123266</v>
      </c>
      <c r="D4151" s="1">
        <f t="shared" si="64"/>
        <v>397297.83101876732</v>
      </c>
      <c r="E4151" s="1">
        <v>17</v>
      </c>
      <c r="F4151" s="1">
        <v>13</v>
      </c>
      <c r="G4151" s="1">
        <v>5</v>
      </c>
      <c r="H4151" s="1">
        <v>2</v>
      </c>
      <c r="I4151" s="1">
        <v>0</v>
      </c>
      <c r="J4151" s="1">
        <v>0</v>
      </c>
      <c r="K4151" s="1">
        <v>2</v>
      </c>
      <c r="L4151" s="1">
        <v>0</v>
      </c>
      <c r="M4151" s="1">
        <v>0</v>
      </c>
    </row>
    <row r="4152" spans="1:13">
      <c r="A4152" s="1">
        <v>4151</v>
      </c>
      <c r="B4152" s="1">
        <v>922578.18059999996</v>
      </c>
      <c r="C4152" s="1">
        <v>1713904.5620026044</v>
      </c>
      <c r="D4152" s="1">
        <f t="shared" si="64"/>
        <v>-791326.3814026044</v>
      </c>
      <c r="E4152" s="1">
        <v>12</v>
      </c>
      <c r="F4152" s="1">
        <v>18</v>
      </c>
      <c r="G4152" s="1">
        <v>5</v>
      </c>
      <c r="H4152" s="1">
        <v>0</v>
      </c>
      <c r="I4152" s="1">
        <v>0</v>
      </c>
      <c r="J4152" s="1">
        <v>1</v>
      </c>
      <c r="K4152" s="1">
        <v>0</v>
      </c>
      <c r="L4152" s="1">
        <v>0</v>
      </c>
      <c r="M4152" s="1">
        <v>1</v>
      </c>
    </row>
    <row r="4153" spans="1:13">
      <c r="A4153" s="1">
        <v>4152</v>
      </c>
      <c r="B4153" s="1">
        <v>1011309.4636</v>
      </c>
      <c r="C4153" s="1">
        <v>834441.20504975878</v>
      </c>
      <c r="D4153" s="1">
        <f t="shared" si="64"/>
        <v>176868.25855024124</v>
      </c>
      <c r="E4153" s="1">
        <v>7</v>
      </c>
      <c r="F4153" s="1">
        <v>27</v>
      </c>
      <c r="G4153" s="1">
        <v>1</v>
      </c>
      <c r="H4153" s="1">
        <v>1</v>
      </c>
      <c r="I4153" s="1">
        <v>0</v>
      </c>
      <c r="J4153" s="1">
        <v>1</v>
      </c>
      <c r="K4153" s="1">
        <v>0</v>
      </c>
      <c r="L4153" s="1">
        <v>0</v>
      </c>
      <c r="M4153" s="1">
        <v>0</v>
      </c>
    </row>
    <row r="4154" spans="1:13">
      <c r="A4154" s="1">
        <v>4153</v>
      </c>
      <c r="B4154" s="1">
        <v>886268.40489999996</v>
      </c>
      <c r="C4154" s="1">
        <v>3111817.6474119667</v>
      </c>
      <c r="D4154" s="1">
        <f t="shared" si="64"/>
        <v>-2225549.2425119667</v>
      </c>
      <c r="E4154" s="1">
        <v>15</v>
      </c>
      <c r="F4154" s="1">
        <v>12</v>
      </c>
      <c r="G4154" s="1">
        <v>8</v>
      </c>
      <c r="H4154" s="1">
        <v>2</v>
      </c>
      <c r="I4154" s="1">
        <v>0</v>
      </c>
      <c r="J4154" s="1">
        <v>1</v>
      </c>
      <c r="K4154" s="1">
        <v>0</v>
      </c>
      <c r="L4154" s="1">
        <v>0</v>
      </c>
      <c r="M4154" s="1">
        <v>1</v>
      </c>
    </row>
    <row r="4155" spans="1:13">
      <c r="A4155" s="1">
        <v>4154</v>
      </c>
      <c r="B4155" s="1">
        <v>892918.12820000004</v>
      </c>
      <c r="C4155" s="1">
        <v>415918.40730577183</v>
      </c>
      <c r="D4155" s="1">
        <f t="shared" si="64"/>
        <v>476999.7208942282</v>
      </c>
      <c r="E4155" s="1">
        <v>14</v>
      </c>
      <c r="F4155" s="1">
        <v>17</v>
      </c>
      <c r="G4155" s="1">
        <v>4</v>
      </c>
      <c r="H4155" s="1">
        <v>2</v>
      </c>
      <c r="I4155" s="1">
        <v>0</v>
      </c>
      <c r="J4155" s="1">
        <v>0</v>
      </c>
      <c r="K4155" s="1">
        <v>0</v>
      </c>
      <c r="L4155" s="1">
        <v>1</v>
      </c>
      <c r="M4155" s="1">
        <v>0</v>
      </c>
    </row>
    <row r="4156" spans="1:13">
      <c r="A4156" s="1">
        <v>4155</v>
      </c>
      <c r="B4156" s="1">
        <v>999956.4155</v>
      </c>
      <c r="C4156" s="1">
        <v>518847.71799839684</v>
      </c>
      <c r="D4156" s="1">
        <f t="shared" si="64"/>
        <v>481108.69750160316</v>
      </c>
      <c r="E4156" s="1">
        <v>8</v>
      </c>
      <c r="F4156" s="1">
        <v>20</v>
      </c>
      <c r="G4156" s="1">
        <v>7</v>
      </c>
      <c r="H4156" s="1">
        <v>0</v>
      </c>
      <c r="I4156" s="1">
        <v>1</v>
      </c>
      <c r="J4156" s="1">
        <v>0</v>
      </c>
      <c r="K4156" s="1">
        <v>2</v>
      </c>
      <c r="L4156" s="1">
        <v>0</v>
      </c>
      <c r="M4156" s="1">
        <v>0</v>
      </c>
    </row>
    <row r="4157" spans="1:13">
      <c r="A4157" s="1">
        <v>4156</v>
      </c>
      <c r="B4157" s="1">
        <v>944006.78449999995</v>
      </c>
      <c r="C4157" s="1">
        <v>1290677.504407397</v>
      </c>
      <c r="D4157" s="1">
        <f t="shared" si="64"/>
        <v>-346670.71990739706</v>
      </c>
      <c r="E4157" s="1">
        <v>12</v>
      </c>
      <c r="F4157" s="1">
        <v>14</v>
      </c>
      <c r="G4157" s="1">
        <v>9</v>
      </c>
      <c r="H4157" s="1">
        <v>2</v>
      </c>
      <c r="I4157" s="1">
        <v>0</v>
      </c>
      <c r="J4157" s="1">
        <v>1</v>
      </c>
      <c r="K4157" s="1">
        <v>1</v>
      </c>
      <c r="L4157" s="1">
        <v>0</v>
      </c>
      <c r="M4157" s="1">
        <v>0</v>
      </c>
    </row>
    <row r="4158" spans="1:13">
      <c r="A4158" s="1">
        <v>4157</v>
      </c>
      <c r="B4158" s="1">
        <v>917812.71189999999</v>
      </c>
      <c r="C4158" s="1">
        <v>1751462.1422019482</v>
      </c>
      <c r="D4158" s="1">
        <f t="shared" si="64"/>
        <v>-833649.43030194822</v>
      </c>
      <c r="E4158" s="1">
        <v>20</v>
      </c>
      <c r="F4158" s="1">
        <v>9</v>
      </c>
      <c r="G4158" s="1">
        <v>6</v>
      </c>
      <c r="H4158" s="1">
        <v>2</v>
      </c>
      <c r="I4158" s="1">
        <v>0</v>
      </c>
      <c r="J4158" s="1">
        <v>2</v>
      </c>
      <c r="K4158" s="1">
        <v>0</v>
      </c>
      <c r="L4158" s="1">
        <v>0</v>
      </c>
      <c r="M4158" s="1">
        <v>0</v>
      </c>
    </row>
    <row r="4159" spans="1:13">
      <c r="A4159" s="1">
        <v>4158</v>
      </c>
      <c r="B4159" s="1">
        <v>964731.94689999998</v>
      </c>
      <c r="C4159" s="1">
        <v>855333.21365310042</v>
      </c>
      <c r="D4159" s="1">
        <f t="shared" si="64"/>
        <v>109398.73324689956</v>
      </c>
      <c r="E4159" s="1">
        <v>14</v>
      </c>
      <c r="F4159" s="1">
        <v>14</v>
      </c>
      <c r="G4159" s="1">
        <v>7</v>
      </c>
      <c r="H4159" s="1">
        <v>2</v>
      </c>
      <c r="I4159" s="1">
        <v>0</v>
      </c>
      <c r="J4159" s="1">
        <v>0</v>
      </c>
      <c r="K4159" s="1">
        <v>2</v>
      </c>
      <c r="L4159" s="1">
        <v>0</v>
      </c>
      <c r="M4159" s="1">
        <v>1</v>
      </c>
    </row>
    <row r="4160" spans="1:13">
      <c r="A4160" s="1">
        <v>4159</v>
      </c>
      <c r="B4160" s="1">
        <v>979354.41819999996</v>
      </c>
      <c r="C4160" s="1">
        <v>571702.94099108444</v>
      </c>
      <c r="D4160" s="1">
        <f t="shared" si="64"/>
        <v>407651.47720891552</v>
      </c>
      <c r="E4160" s="1">
        <v>14</v>
      </c>
      <c r="F4160" s="1">
        <v>17</v>
      </c>
      <c r="G4160" s="1">
        <v>4</v>
      </c>
      <c r="H4160" s="1">
        <v>1</v>
      </c>
      <c r="I4160" s="1">
        <v>0</v>
      </c>
      <c r="J4160" s="1">
        <v>0</v>
      </c>
      <c r="K4160" s="1">
        <v>1</v>
      </c>
      <c r="L4160" s="1">
        <v>1</v>
      </c>
      <c r="M4160" s="1">
        <v>0</v>
      </c>
    </row>
    <row r="4161" spans="1:13">
      <c r="A4161" s="1">
        <v>4160</v>
      </c>
      <c r="B4161" s="1">
        <v>910677.32019999996</v>
      </c>
      <c r="C4161" s="1">
        <v>711179.49961424177</v>
      </c>
      <c r="D4161" s="1">
        <f t="shared" si="64"/>
        <v>199497.82058575819</v>
      </c>
      <c r="E4161" s="1">
        <v>19</v>
      </c>
      <c r="F4161" s="1">
        <v>12</v>
      </c>
      <c r="G4161" s="1">
        <v>4</v>
      </c>
      <c r="H4161" s="1">
        <v>0</v>
      </c>
      <c r="I4161" s="1">
        <v>1</v>
      </c>
      <c r="J4161" s="1">
        <v>2</v>
      </c>
      <c r="K4161" s="1">
        <v>0</v>
      </c>
      <c r="L4161" s="1">
        <v>0</v>
      </c>
      <c r="M4161" s="1">
        <v>0</v>
      </c>
    </row>
    <row r="4162" spans="1:13">
      <c r="A4162" s="1">
        <v>4161</v>
      </c>
      <c r="B4162" s="1">
        <v>858199.96</v>
      </c>
      <c r="C4162" s="1">
        <v>992997.49397734203</v>
      </c>
      <c r="D4162" s="1">
        <f t="shared" ref="D4162:D4225" si="65">B4162-C4162</f>
        <v>-134797.53397734207</v>
      </c>
      <c r="E4162" s="1">
        <v>16</v>
      </c>
      <c r="F4162" s="1">
        <v>12</v>
      </c>
      <c r="G4162" s="1">
        <v>7</v>
      </c>
      <c r="H4162" s="1">
        <v>2</v>
      </c>
      <c r="I4162" s="1">
        <v>0</v>
      </c>
      <c r="J4162" s="1">
        <v>2</v>
      </c>
      <c r="K4162" s="1">
        <v>0</v>
      </c>
      <c r="L4162" s="1">
        <v>0</v>
      </c>
      <c r="M4162" s="1">
        <v>1</v>
      </c>
    </row>
    <row r="4163" spans="1:13">
      <c r="A4163" s="1">
        <v>4162</v>
      </c>
      <c r="B4163" s="1">
        <v>884470.53489999997</v>
      </c>
      <c r="C4163" s="1">
        <v>1282010.0004778791</v>
      </c>
      <c r="D4163" s="1">
        <f t="shared" si="65"/>
        <v>-397539.46557787911</v>
      </c>
      <c r="E4163" s="1">
        <v>12</v>
      </c>
      <c r="F4163" s="1">
        <v>20</v>
      </c>
      <c r="G4163" s="1">
        <v>3</v>
      </c>
      <c r="H4163" s="1">
        <v>0</v>
      </c>
      <c r="I4163" s="1">
        <v>0</v>
      </c>
      <c r="J4163" s="1">
        <v>1</v>
      </c>
      <c r="K4163" s="1">
        <v>0</v>
      </c>
      <c r="L4163" s="1">
        <v>0</v>
      </c>
      <c r="M4163" s="1">
        <v>0</v>
      </c>
    </row>
    <row r="4164" spans="1:13">
      <c r="A4164" s="1">
        <v>4163</v>
      </c>
      <c r="B4164" s="1">
        <v>939007.92579999997</v>
      </c>
      <c r="C4164" s="1">
        <v>1086140.1883571176</v>
      </c>
      <c r="D4164" s="1">
        <f t="shared" si="65"/>
        <v>-147132.26255711762</v>
      </c>
      <c r="E4164" s="1">
        <v>18</v>
      </c>
      <c r="F4164" s="1">
        <v>13</v>
      </c>
      <c r="G4164" s="1">
        <v>4</v>
      </c>
      <c r="H4164" s="1">
        <v>0</v>
      </c>
      <c r="I4164" s="1">
        <v>0</v>
      </c>
      <c r="J4164" s="1">
        <v>2</v>
      </c>
      <c r="K4164" s="1">
        <v>0</v>
      </c>
      <c r="L4164" s="1">
        <v>0</v>
      </c>
      <c r="M4164" s="1">
        <v>1</v>
      </c>
    </row>
    <row r="4165" spans="1:13">
      <c r="A4165" s="1">
        <v>4164</v>
      </c>
      <c r="B4165" s="1">
        <v>934568.54969999997</v>
      </c>
      <c r="C4165" s="1">
        <v>748017.32310199633</v>
      </c>
      <c r="D4165" s="1">
        <f t="shared" si="65"/>
        <v>186551.22659800365</v>
      </c>
      <c r="E4165" s="1">
        <v>17</v>
      </c>
      <c r="F4165" s="1">
        <v>14</v>
      </c>
      <c r="G4165" s="1">
        <v>4</v>
      </c>
      <c r="H4165" s="1">
        <v>0</v>
      </c>
      <c r="I4165" s="1">
        <v>1</v>
      </c>
      <c r="J4165" s="1">
        <v>0</v>
      </c>
      <c r="K4165" s="1">
        <v>0</v>
      </c>
      <c r="L4165" s="1">
        <v>0</v>
      </c>
      <c r="M4165" s="1">
        <v>0</v>
      </c>
    </row>
    <row r="4166" spans="1:13">
      <c r="A4166" s="1">
        <v>4165</v>
      </c>
      <c r="B4166" s="1">
        <v>920351.26780000003</v>
      </c>
      <c r="C4166" s="1">
        <v>815679.04210511886</v>
      </c>
      <c r="D4166" s="1">
        <f t="shared" si="65"/>
        <v>104672.22569488117</v>
      </c>
      <c r="E4166" s="1">
        <v>8</v>
      </c>
      <c r="F4166" s="1">
        <v>25</v>
      </c>
      <c r="G4166" s="1">
        <v>2</v>
      </c>
      <c r="H4166" s="1">
        <v>1</v>
      </c>
      <c r="I4166" s="1">
        <v>1</v>
      </c>
      <c r="J4166" s="1">
        <v>2</v>
      </c>
      <c r="K4166" s="1">
        <v>0</v>
      </c>
      <c r="L4166" s="1">
        <v>0</v>
      </c>
      <c r="M4166" s="1">
        <v>0</v>
      </c>
    </row>
    <row r="4167" spans="1:13">
      <c r="A4167" s="1">
        <v>4166</v>
      </c>
      <c r="B4167" s="1">
        <v>981616.2537</v>
      </c>
      <c r="C4167" s="1">
        <v>749059.93401258148</v>
      </c>
      <c r="D4167" s="1">
        <f t="shared" si="65"/>
        <v>232556.31968741852</v>
      </c>
      <c r="E4167" s="1">
        <v>12</v>
      </c>
      <c r="F4167" s="1">
        <v>20</v>
      </c>
      <c r="G4167" s="1">
        <v>3</v>
      </c>
      <c r="H4167" s="1">
        <v>1</v>
      </c>
      <c r="I4167" s="1">
        <v>0</v>
      </c>
      <c r="J4167" s="1">
        <v>1</v>
      </c>
      <c r="K4167" s="1">
        <v>1</v>
      </c>
      <c r="L4167" s="1">
        <v>0</v>
      </c>
      <c r="M4167" s="1">
        <v>0</v>
      </c>
    </row>
    <row r="4168" spans="1:13">
      <c r="A4168" s="1">
        <v>4167</v>
      </c>
      <c r="B4168" s="1">
        <v>911575.1385</v>
      </c>
      <c r="C4168" s="1">
        <v>1523799.8927378305</v>
      </c>
      <c r="D4168" s="1">
        <f t="shared" si="65"/>
        <v>-612224.75423783052</v>
      </c>
      <c r="E4168" s="1">
        <v>8</v>
      </c>
      <c r="F4168" s="1">
        <v>24</v>
      </c>
      <c r="G4168" s="1">
        <v>3</v>
      </c>
      <c r="H4168" s="1">
        <v>0</v>
      </c>
      <c r="I4168" s="1">
        <v>2</v>
      </c>
      <c r="J4168" s="1">
        <v>1</v>
      </c>
      <c r="K4168" s="1">
        <v>1</v>
      </c>
      <c r="L4168" s="1">
        <v>0</v>
      </c>
      <c r="M4168" s="1">
        <v>0</v>
      </c>
    </row>
    <row r="4169" spans="1:13">
      <c r="A4169" s="1">
        <v>4168</v>
      </c>
      <c r="B4169" s="1">
        <v>893450.30339999998</v>
      </c>
      <c r="C4169" s="1">
        <v>1298763.901758936</v>
      </c>
      <c r="D4169" s="1">
        <f t="shared" si="65"/>
        <v>-405313.59835893603</v>
      </c>
      <c r="E4169" s="1">
        <v>8</v>
      </c>
      <c r="F4169" s="1">
        <v>21</v>
      </c>
      <c r="G4169" s="1">
        <v>6</v>
      </c>
      <c r="H4169" s="1">
        <v>1</v>
      </c>
      <c r="I4169" s="1">
        <v>0</v>
      </c>
      <c r="J4169" s="1">
        <v>1</v>
      </c>
      <c r="K4169" s="1">
        <v>0</v>
      </c>
      <c r="L4169" s="1">
        <v>0</v>
      </c>
      <c r="M4169" s="1">
        <v>0</v>
      </c>
    </row>
    <row r="4170" spans="1:13">
      <c r="A4170" s="1">
        <v>4169</v>
      </c>
      <c r="B4170" s="1">
        <v>967562.71600000001</v>
      </c>
      <c r="C4170" s="1">
        <v>867590.51526573312</v>
      </c>
      <c r="D4170" s="1">
        <f t="shared" si="65"/>
        <v>99972.200734266895</v>
      </c>
      <c r="E4170" s="1">
        <v>17</v>
      </c>
      <c r="F4170" s="1">
        <v>13</v>
      </c>
      <c r="G4170" s="1">
        <v>5</v>
      </c>
      <c r="H4170" s="1">
        <v>1</v>
      </c>
      <c r="I4170" s="1">
        <v>0</v>
      </c>
      <c r="J4170" s="1">
        <v>1</v>
      </c>
      <c r="K4170" s="1">
        <v>1</v>
      </c>
      <c r="L4170" s="1">
        <v>0</v>
      </c>
      <c r="M4170" s="1">
        <v>1</v>
      </c>
    </row>
    <row r="4171" spans="1:13">
      <c r="A4171" s="1">
        <v>4170</v>
      </c>
      <c r="B4171" s="1">
        <v>1003004.2619</v>
      </c>
      <c r="C4171" s="1">
        <v>1584206.2230440113</v>
      </c>
      <c r="D4171" s="1">
        <f t="shared" si="65"/>
        <v>-581201.96114401123</v>
      </c>
      <c r="E4171" s="1">
        <v>9</v>
      </c>
      <c r="F4171" s="1">
        <v>20</v>
      </c>
      <c r="G4171" s="1">
        <v>6</v>
      </c>
      <c r="H4171" s="1">
        <v>2</v>
      </c>
      <c r="I4171" s="1">
        <v>0</v>
      </c>
      <c r="J4171" s="1">
        <v>1</v>
      </c>
      <c r="K4171" s="1">
        <v>1</v>
      </c>
      <c r="L4171" s="1">
        <v>0</v>
      </c>
      <c r="M4171" s="1">
        <v>0</v>
      </c>
    </row>
    <row r="4172" spans="1:13">
      <c r="A4172" s="1">
        <v>4171</v>
      </c>
      <c r="B4172" s="1">
        <v>1048503.6986999999</v>
      </c>
      <c r="C4172" s="1">
        <v>867589.83577601728</v>
      </c>
      <c r="D4172" s="1">
        <f t="shared" si="65"/>
        <v>180913.86292398267</v>
      </c>
      <c r="E4172" s="1">
        <v>8</v>
      </c>
      <c r="F4172" s="1">
        <v>22</v>
      </c>
      <c r="G4172" s="1">
        <v>5</v>
      </c>
      <c r="H4172" s="1">
        <v>1</v>
      </c>
      <c r="I4172" s="1">
        <v>0</v>
      </c>
      <c r="J4172" s="1">
        <v>0</v>
      </c>
      <c r="K4172" s="1">
        <v>1</v>
      </c>
      <c r="L4172" s="1">
        <v>1</v>
      </c>
      <c r="M4172" s="1">
        <v>0</v>
      </c>
    </row>
    <row r="4173" spans="1:13">
      <c r="A4173" s="1">
        <v>4172</v>
      </c>
      <c r="B4173" s="1">
        <v>833152.81819999998</v>
      </c>
      <c r="C4173" s="1">
        <v>621479.83506924845</v>
      </c>
      <c r="D4173" s="1">
        <f t="shared" si="65"/>
        <v>211672.98313075153</v>
      </c>
      <c r="E4173" s="1">
        <v>18</v>
      </c>
      <c r="F4173" s="1">
        <v>14</v>
      </c>
      <c r="G4173" s="1">
        <v>3</v>
      </c>
      <c r="H4173" s="1">
        <v>0</v>
      </c>
      <c r="I4173" s="1">
        <v>0</v>
      </c>
      <c r="J4173" s="1">
        <v>0</v>
      </c>
      <c r="K4173" s="1">
        <v>2</v>
      </c>
      <c r="L4173" s="1">
        <v>0</v>
      </c>
      <c r="M4173" s="1">
        <v>0</v>
      </c>
    </row>
    <row r="4174" spans="1:13">
      <c r="A4174" s="1">
        <v>4173</v>
      </c>
      <c r="B4174" s="1">
        <v>1063610.7187999999</v>
      </c>
      <c r="C4174" s="1">
        <v>673327.02255572239</v>
      </c>
      <c r="D4174" s="1">
        <f t="shared" si="65"/>
        <v>390283.69624427753</v>
      </c>
      <c r="E4174" s="1">
        <v>7</v>
      </c>
      <c r="F4174" s="1">
        <v>21</v>
      </c>
      <c r="G4174" s="1">
        <v>7</v>
      </c>
      <c r="H4174" s="1">
        <v>1</v>
      </c>
      <c r="I4174" s="1">
        <v>0</v>
      </c>
      <c r="J4174" s="1">
        <v>1</v>
      </c>
      <c r="K4174" s="1">
        <v>0</v>
      </c>
      <c r="L4174" s="1">
        <v>0</v>
      </c>
      <c r="M4174" s="1">
        <v>0</v>
      </c>
    </row>
    <row r="4175" spans="1:13">
      <c r="A4175" s="1">
        <v>4174</v>
      </c>
      <c r="B4175" s="1">
        <v>882633.34770000004</v>
      </c>
      <c r="C4175" s="1">
        <v>660416.2706530632</v>
      </c>
      <c r="D4175" s="1">
        <f t="shared" si="65"/>
        <v>222217.07704693684</v>
      </c>
      <c r="E4175" s="1">
        <v>11</v>
      </c>
      <c r="F4175" s="1">
        <v>20</v>
      </c>
      <c r="G4175" s="1">
        <v>4</v>
      </c>
      <c r="H4175" s="1">
        <v>0</v>
      </c>
      <c r="I4175" s="1">
        <v>0</v>
      </c>
      <c r="J4175" s="1">
        <v>2</v>
      </c>
      <c r="K4175" s="1">
        <v>0</v>
      </c>
      <c r="L4175" s="1">
        <v>0</v>
      </c>
      <c r="M4175" s="1">
        <v>0</v>
      </c>
    </row>
    <row r="4176" spans="1:13">
      <c r="A4176" s="1">
        <v>4175</v>
      </c>
      <c r="B4176" s="1">
        <v>866208.8861</v>
      </c>
      <c r="C4176" s="1">
        <v>620678.83987771964</v>
      </c>
      <c r="D4176" s="1">
        <f t="shared" si="65"/>
        <v>245530.04622228036</v>
      </c>
      <c r="E4176" s="1">
        <v>20</v>
      </c>
      <c r="F4176" s="1">
        <v>9</v>
      </c>
      <c r="G4176" s="1">
        <v>6</v>
      </c>
      <c r="H4176" s="1">
        <v>1</v>
      </c>
      <c r="I4176" s="1">
        <v>1</v>
      </c>
      <c r="J4176" s="1">
        <v>2</v>
      </c>
      <c r="K4176" s="1">
        <v>0</v>
      </c>
      <c r="L4176" s="1">
        <v>0</v>
      </c>
      <c r="M4176" s="1">
        <v>0</v>
      </c>
    </row>
    <row r="4177" spans="1:13">
      <c r="A4177" s="1">
        <v>4176</v>
      </c>
      <c r="B4177" s="1">
        <v>963939.44339999999</v>
      </c>
      <c r="C4177" s="1">
        <v>790273.59478638496</v>
      </c>
      <c r="D4177" s="1">
        <f t="shared" si="65"/>
        <v>173665.84861361503</v>
      </c>
      <c r="E4177" s="1">
        <v>11</v>
      </c>
      <c r="F4177" s="1">
        <v>17</v>
      </c>
      <c r="G4177" s="1">
        <v>7</v>
      </c>
      <c r="H4177" s="1">
        <v>1</v>
      </c>
      <c r="I4177" s="1">
        <v>1</v>
      </c>
      <c r="J4177" s="1">
        <v>1</v>
      </c>
      <c r="K4177" s="1">
        <v>1</v>
      </c>
      <c r="L4177" s="1">
        <v>0</v>
      </c>
      <c r="M4177" s="1">
        <v>0</v>
      </c>
    </row>
    <row r="4178" spans="1:13">
      <c r="A4178" s="1">
        <v>4177</v>
      </c>
      <c r="B4178" s="1">
        <v>911816.34160000004</v>
      </c>
      <c r="C4178" s="1">
        <v>461120.43113725958</v>
      </c>
      <c r="D4178" s="1">
        <f t="shared" si="65"/>
        <v>450695.91046274046</v>
      </c>
      <c r="E4178" s="1">
        <v>17</v>
      </c>
      <c r="F4178" s="1">
        <v>14</v>
      </c>
      <c r="G4178" s="1">
        <v>4</v>
      </c>
      <c r="H4178" s="1">
        <v>1</v>
      </c>
      <c r="I4178" s="1">
        <v>0</v>
      </c>
      <c r="J4178" s="1">
        <v>0</v>
      </c>
      <c r="K4178" s="1">
        <v>1</v>
      </c>
      <c r="L4178" s="1">
        <v>0</v>
      </c>
      <c r="M4178" s="1">
        <v>0</v>
      </c>
    </row>
    <row r="4179" spans="1:13">
      <c r="A4179" s="1">
        <v>4178</v>
      </c>
      <c r="B4179" s="1">
        <v>1021357.0755</v>
      </c>
      <c r="C4179" s="1">
        <v>1621901.3551687989</v>
      </c>
      <c r="D4179" s="1">
        <f t="shared" si="65"/>
        <v>-600544.2796687989</v>
      </c>
      <c r="E4179" s="1">
        <v>6</v>
      </c>
      <c r="F4179" s="1">
        <v>23</v>
      </c>
      <c r="G4179" s="1">
        <v>6</v>
      </c>
      <c r="H4179" s="1">
        <v>1</v>
      </c>
      <c r="I4179" s="1">
        <v>1</v>
      </c>
      <c r="J4179" s="1">
        <v>2</v>
      </c>
      <c r="K4179" s="1">
        <v>0</v>
      </c>
      <c r="L4179" s="1">
        <v>0</v>
      </c>
      <c r="M4179" s="1">
        <v>0</v>
      </c>
    </row>
    <row r="4180" spans="1:13">
      <c r="A4180" s="1">
        <v>4179</v>
      </c>
      <c r="B4180" s="1">
        <v>908093.41410000005</v>
      </c>
      <c r="C4180" s="1">
        <v>2137219.6643354455</v>
      </c>
      <c r="D4180" s="1">
        <f t="shared" si="65"/>
        <v>-1229126.2502354453</v>
      </c>
      <c r="E4180" s="1">
        <v>11</v>
      </c>
      <c r="F4180" s="1">
        <v>18</v>
      </c>
      <c r="G4180" s="1">
        <v>6</v>
      </c>
      <c r="H4180" s="1">
        <v>1</v>
      </c>
      <c r="I4180" s="1">
        <v>0</v>
      </c>
      <c r="J4180" s="1">
        <v>1</v>
      </c>
      <c r="K4180" s="1">
        <v>0</v>
      </c>
      <c r="L4180" s="1">
        <v>0</v>
      </c>
      <c r="M4180" s="1">
        <v>0</v>
      </c>
    </row>
    <row r="4181" spans="1:13">
      <c r="A4181" s="1">
        <v>4180</v>
      </c>
      <c r="B4181" s="1">
        <v>906113.8615</v>
      </c>
      <c r="C4181" s="1">
        <v>780824.4312329893</v>
      </c>
      <c r="D4181" s="1">
        <f t="shared" si="65"/>
        <v>125289.4302670107</v>
      </c>
      <c r="E4181" s="1">
        <v>13</v>
      </c>
      <c r="F4181" s="1">
        <v>17</v>
      </c>
      <c r="G4181" s="1">
        <v>5</v>
      </c>
      <c r="H4181" s="1">
        <v>1</v>
      </c>
      <c r="I4181" s="1">
        <v>1</v>
      </c>
      <c r="J4181" s="1">
        <v>0</v>
      </c>
      <c r="K4181" s="1">
        <v>1</v>
      </c>
      <c r="L4181" s="1">
        <v>0</v>
      </c>
      <c r="M4181" s="1">
        <v>1</v>
      </c>
    </row>
    <row r="4182" spans="1:13">
      <c r="A4182" s="1">
        <v>4181</v>
      </c>
      <c r="B4182" s="1">
        <v>876110.46699999995</v>
      </c>
      <c r="C4182" s="1">
        <v>798992.32801788789</v>
      </c>
      <c r="D4182" s="1">
        <f t="shared" si="65"/>
        <v>77118.138982112054</v>
      </c>
      <c r="E4182" s="1">
        <v>15</v>
      </c>
      <c r="F4182" s="1">
        <v>17</v>
      </c>
      <c r="G4182" s="1">
        <v>3</v>
      </c>
      <c r="H4182" s="1">
        <v>0</v>
      </c>
      <c r="I4182" s="1">
        <v>0</v>
      </c>
      <c r="J4182" s="1">
        <v>1</v>
      </c>
      <c r="K4182" s="1">
        <v>1</v>
      </c>
      <c r="L4182" s="1">
        <v>0</v>
      </c>
      <c r="M4182" s="1">
        <v>0</v>
      </c>
    </row>
    <row r="4183" spans="1:13">
      <c r="A4183" s="1">
        <v>4182</v>
      </c>
      <c r="B4183" s="1">
        <v>980822.15090000001</v>
      </c>
      <c r="C4183" s="1">
        <v>583048.59804856102</v>
      </c>
      <c r="D4183" s="1">
        <f t="shared" si="65"/>
        <v>397773.55285143899</v>
      </c>
      <c r="E4183" s="1">
        <v>15</v>
      </c>
      <c r="F4183" s="1">
        <v>14</v>
      </c>
      <c r="G4183" s="1">
        <v>6</v>
      </c>
      <c r="H4183" s="1">
        <v>0</v>
      </c>
      <c r="I4183" s="1">
        <v>0</v>
      </c>
      <c r="J4183" s="1">
        <v>2</v>
      </c>
      <c r="K4183" s="1">
        <v>0</v>
      </c>
      <c r="L4183" s="1">
        <v>0</v>
      </c>
      <c r="M4183" s="1">
        <v>1</v>
      </c>
    </row>
    <row r="4184" spans="1:13">
      <c r="A4184" s="1">
        <v>4183</v>
      </c>
      <c r="B4184" s="1">
        <v>941840.47270000004</v>
      </c>
      <c r="C4184" s="1">
        <v>792170.51285893004</v>
      </c>
      <c r="D4184" s="1">
        <f t="shared" si="65"/>
        <v>149669.95984107</v>
      </c>
      <c r="E4184" s="1">
        <v>4</v>
      </c>
      <c r="F4184" s="1">
        <v>25</v>
      </c>
      <c r="G4184" s="1">
        <v>6</v>
      </c>
      <c r="H4184" s="1">
        <v>0</v>
      </c>
      <c r="I4184" s="1">
        <v>2</v>
      </c>
      <c r="J4184" s="1">
        <v>1</v>
      </c>
      <c r="K4184" s="1">
        <v>1</v>
      </c>
      <c r="L4184" s="1">
        <v>0</v>
      </c>
      <c r="M4184" s="1">
        <v>0</v>
      </c>
    </row>
    <row r="4185" spans="1:13">
      <c r="A4185" s="1">
        <v>4184</v>
      </c>
      <c r="B4185" s="1">
        <v>961109.34389999998</v>
      </c>
      <c r="C4185" s="1">
        <v>1224187.8729682402</v>
      </c>
      <c r="D4185" s="1">
        <f t="shared" si="65"/>
        <v>-263078.5290682402</v>
      </c>
      <c r="E4185" s="1">
        <v>12</v>
      </c>
      <c r="F4185" s="1">
        <v>17</v>
      </c>
      <c r="G4185" s="1">
        <v>6</v>
      </c>
      <c r="H4185" s="1">
        <v>1</v>
      </c>
      <c r="I4185" s="1">
        <v>0</v>
      </c>
      <c r="J4185" s="1">
        <v>1</v>
      </c>
      <c r="K4185" s="1">
        <v>1</v>
      </c>
      <c r="L4185" s="1">
        <v>0</v>
      </c>
      <c r="M4185" s="1">
        <v>0</v>
      </c>
    </row>
    <row r="4186" spans="1:13">
      <c r="A4186" s="1">
        <v>4185</v>
      </c>
      <c r="B4186" s="1">
        <v>871320.38959999999</v>
      </c>
      <c r="C4186" s="1">
        <v>1487857.5827206892</v>
      </c>
      <c r="D4186" s="1">
        <f t="shared" si="65"/>
        <v>-616537.19312068925</v>
      </c>
      <c r="E4186" s="1">
        <v>22</v>
      </c>
      <c r="F4186" s="1">
        <v>11</v>
      </c>
      <c r="G4186" s="1">
        <v>2</v>
      </c>
      <c r="H4186" s="1">
        <v>1</v>
      </c>
      <c r="I4186" s="1">
        <v>0</v>
      </c>
      <c r="J4186" s="1">
        <v>0</v>
      </c>
      <c r="K4186" s="1">
        <v>0</v>
      </c>
      <c r="L4186" s="1">
        <v>0</v>
      </c>
      <c r="M4186" s="1">
        <v>0</v>
      </c>
    </row>
    <row r="4187" spans="1:13">
      <c r="A4187" s="1">
        <v>4186</v>
      </c>
      <c r="B4187" s="1">
        <v>932941.36430000002</v>
      </c>
      <c r="C4187" s="1">
        <v>793399.14345136157</v>
      </c>
      <c r="D4187" s="1">
        <f t="shared" si="65"/>
        <v>139542.22084863845</v>
      </c>
      <c r="E4187" s="1">
        <v>11</v>
      </c>
      <c r="F4187" s="1">
        <v>19</v>
      </c>
      <c r="G4187" s="1">
        <v>5</v>
      </c>
      <c r="H4187" s="1">
        <v>0</v>
      </c>
      <c r="I4187" s="1">
        <v>1</v>
      </c>
      <c r="J4187" s="1">
        <v>0</v>
      </c>
      <c r="K4187" s="1">
        <v>2</v>
      </c>
      <c r="L4187" s="1">
        <v>0</v>
      </c>
      <c r="M4187" s="1">
        <v>1</v>
      </c>
    </row>
    <row r="4188" spans="1:13">
      <c r="A4188" s="1">
        <v>4187</v>
      </c>
      <c r="B4188" s="1">
        <v>978907.14580000006</v>
      </c>
      <c r="C4188" s="1">
        <v>719954.62430341775</v>
      </c>
      <c r="D4188" s="1">
        <f t="shared" si="65"/>
        <v>258952.52149658231</v>
      </c>
      <c r="E4188" s="1">
        <v>8</v>
      </c>
      <c r="F4188" s="1">
        <v>19</v>
      </c>
      <c r="G4188" s="1">
        <v>8</v>
      </c>
      <c r="H4188" s="1">
        <v>0</v>
      </c>
      <c r="I4188" s="1">
        <v>1</v>
      </c>
      <c r="J4188" s="1">
        <v>1</v>
      </c>
      <c r="K4188" s="1">
        <v>1</v>
      </c>
      <c r="L4188" s="1">
        <v>0</v>
      </c>
      <c r="M4188" s="1">
        <v>1</v>
      </c>
    </row>
    <row r="4189" spans="1:13">
      <c r="A4189" s="1">
        <v>4188</v>
      </c>
      <c r="B4189" s="1">
        <v>870292.70200000005</v>
      </c>
      <c r="C4189" s="1">
        <v>1145337.8969256708</v>
      </c>
      <c r="D4189" s="1">
        <f t="shared" si="65"/>
        <v>-275045.19492567074</v>
      </c>
      <c r="E4189" s="1">
        <v>16</v>
      </c>
      <c r="F4189" s="1">
        <v>16</v>
      </c>
      <c r="G4189" s="1">
        <v>3</v>
      </c>
      <c r="H4189" s="1">
        <v>0</v>
      </c>
      <c r="I4189" s="1">
        <v>1</v>
      </c>
      <c r="J4189" s="1">
        <v>0</v>
      </c>
      <c r="K4189" s="1">
        <v>1</v>
      </c>
      <c r="L4189" s="1">
        <v>0</v>
      </c>
      <c r="M4189" s="1">
        <v>0</v>
      </c>
    </row>
    <row r="4190" spans="1:13">
      <c r="A4190" s="1">
        <v>4189</v>
      </c>
      <c r="B4190" s="1">
        <v>860712.04110000003</v>
      </c>
      <c r="C4190" s="1">
        <v>646783.39673334209</v>
      </c>
      <c r="D4190" s="1">
        <f t="shared" si="65"/>
        <v>213928.64436665794</v>
      </c>
      <c r="E4190" s="1">
        <v>15</v>
      </c>
      <c r="F4190" s="1">
        <v>18</v>
      </c>
      <c r="G4190" s="1">
        <v>2</v>
      </c>
      <c r="H4190" s="1">
        <v>0</v>
      </c>
      <c r="I4190" s="1">
        <v>0</v>
      </c>
      <c r="J4190" s="1">
        <v>0</v>
      </c>
      <c r="K4190" s="1">
        <v>0</v>
      </c>
      <c r="L4190" s="1">
        <v>0</v>
      </c>
      <c r="M4190" s="1">
        <v>0</v>
      </c>
    </row>
    <row r="4191" spans="1:13">
      <c r="A4191" s="1">
        <v>4190</v>
      </c>
      <c r="B4191" s="1">
        <v>928061.07120000001</v>
      </c>
      <c r="C4191" s="1">
        <v>804703.65811940597</v>
      </c>
      <c r="D4191" s="1">
        <f t="shared" si="65"/>
        <v>123357.41308059404</v>
      </c>
      <c r="E4191" s="1">
        <v>10</v>
      </c>
      <c r="F4191" s="1">
        <v>20</v>
      </c>
      <c r="G4191" s="1">
        <v>5</v>
      </c>
      <c r="H4191" s="1">
        <v>0</v>
      </c>
      <c r="I4191" s="1">
        <v>1</v>
      </c>
      <c r="J4191" s="1">
        <v>0</v>
      </c>
      <c r="K4191" s="1">
        <v>2</v>
      </c>
      <c r="L4191" s="1">
        <v>0</v>
      </c>
      <c r="M4191" s="1">
        <v>0</v>
      </c>
    </row>
    <row r="4192" spans="1:13">
      <c r="A4192" s="1">
        <v>4191</v>
      </c>
      <c r="B4192" s="1">
        <v>801539.94039999996</v>
      </c>
      <c r="C4192" s="1">
        <v>731036.69242838747</v>
      </c>
      <c r="D4192" s="1">
        <f t="shared" si="65"/>
        <v>70503.247971612494</v>
      </c>
      <c r="E4192" s="1">
        <v>12</v>
      </c>
      <c r="F4192" s="1">
        <v>16</v>
      </c>
      <c r="G4192" s="1">
        <v>7</v>
      </c>
      <c r="H4192" s="1">
        <v>1</v>
      </c>
      <c r="I4192" s="1">
        <v>1</v>
      </c>
      <c r="J4192" s="1">
        <v>0</v>
      </c>
      <c r="K4192" s="1">
        <v>0</v>
      </c>
      <c r="L4192" s="1">
        <v>0</v>
      </c>
      <c r="M4192" s="1">
        <v>1</v>
      </c>
    </row>
    <row r="4193" spans="1:13">
      <c r="A4193" s="1">
        <v>4192</v>
      </c>
      <c r="B4193" s="1">
        <v>938512.03799999994</v>
      </c>
      <c r="C4193" s="1">
        <v>755718.32137553999</v>
      </c>
      <c r="D4193" s="1">
        <f t="shared" si="65"/>
        <v>182793.71662445995</v>
      </c>
      <c r="E4193" s="1">
        <v>6</v>
      </c>
      <c r="F4193" s="1">
        <v>26</v>
      </c>
      <c r="G4193" s="1">
        <v>3</v>
      </c>
      <c r="H4193" s="1">
        <v>1</v>
      </c>
      <c r="I4193" s="1">
        <v>0</v>
      </c>
      <c r="J4193" s="1">
        <v>1</v>
      </c>
      <c r="K4193" s="1">
        <v>1</v>
      </c>
      <c r="L4193" s="1">
        <v>0</v>
      </c>
      <c r="M4193" s="1">
        <v>0</v>
      </c>
    </row>
    <row r="4194" spans="1:13">
      <c r="A4194" s="1">
        <v>4193</v>
      </c>
      <c r="B4194" s="1">
        <v>1011742.2230999999</v>
      </c>
      <c r="C4194" s="1">
        <v>780182.47939338349</v>
      </c>
      <c r="D4194" s="1">
        <f t="shared" si="65"/>
        <v>231559.74370661646</v>
      </c>
      <c r="E4194" s="1">
        <v>11</v>
      </c>
      <c r="F4194" s="1">
        <v>19</v>
      </c>
      <c r="G4194" s="1">
        <v>5</v>
      </c>
      <c r="H4194" s="1">
        <v>1</v>
      </c>
      <c r="I4194" s="1">
        <v>0</v>
      </c>
      <c r="J4194" s="1">
        <v>1</v>
      </c>
      <c r="K4194" s="1">
        <v>0</v>
      </c>
      <c r="L4194" s="1">
        <v>0</v>
      </c>
      <c r="M4194" s="1">
        <v>1</v>
      </c>
    </row>
    <row r="4195" spans="1:13">
      <c r="A4195" s="1">
        <v>4194</v>
      </c>
      <c r="B4195" s="1">
        <v>850062.67099999997</v>
      </c>
      <c r="C4195" s="1">
        <v>967106.77614230383</v>
      </c>
      <c r="D4195" s="1">
        <f t="shared" si="65"/>
        <v>-117044.10514230386</v>
      </c>
      <c r="E4195" s="1">
        <v>15</v>
      </c>
      <c r="F4195" s="1">
        <v>14</v>
      </c>
      <c r="G4195" s="1">
        <v>6</v>
      </c>
      <c r="H4195" s="1">
        <v>1</v>
      </c>
      <c r="I4195" s="1">
        <v>0</v>
      </c>
      <c r="J4195" s="1">
        <v>0</v>
      </c>
      <c r="K4195" s="1">
        <v>1</v>
      </c>
      <c r="L4195" s="1">
        <v>0</v>
      </c>
      <c r="M4195" s="1">
        <v>0</v>
      </c>
    </row>
    <row r="4196" spans="1:13">
      <c r="A4196" s="1">
        <v>4195</v>
      </c>
      <c r="B4196" s="1">
        <v>934991.43839999998</v>
      </c>
      <c r="C4196" s="1">
        <v>753810.00515414937</v>
      </c>
      <c r="D4196" s="1">
        <f t="shared" si="65"/>
        <v>181181.43324585061</v>
      </c>
      <c r="E4196" s="1">
        <v>9</v>
      </c>
      <c r="F4196" s="1">
        <v>18</v>
      </c>
      <c r="G4196" s="1">
        <v>8</v>
      </c>
      <c r="H4196" s="1">
        <v>1</v>
      </c>
      <c r="I4196" s="1">
        <v>0</v>
      </c>
      <c r="J4196" s="1">
        <v>0</v>
      </c>
      <c r="K4196" s="1">
        <v>2</v>
      </c>
      <c r="L4196" s="1">
        <v>0</v>
      </c>
      <c r="M4196" s="1">
        <v>1</v>
      </c>
    </row>
    <row r="4197" spans="1:13">
      <c r="A4197" s="1">
        <v>4196</v>
      </c>
      <c r="B4197" s="1">
        <v>982448.68070000003</v>
      </c>
      <c r="C4197" s="1">
        <v>549834.72738710209</v>
      </c>
      <c r="D4197" s="1">
        <f t="shared" si="65"/>
        <v>432613.95331289794</v>
      </c>
      <c r="E4197" s="1">
        <v>12</v>
      </c>
      <c r="F4197" s="1">
        <v>18</v>
      </c>
      <c r="G4197" s="1">
        <v>5</v>
      </c>
      <c r="H4197" s="1">
        <v>1</v>
      </c>
      <c r="I4197" s="1">
        <v>0</v>
      </c>
      <c r="J4197" s="1">
        <v>1</v>
      </c>
      <c r="K4197" s="1">
        <v>1</v>
      </c>
      <c r="L4197" s="1">
        <v>0</v>
      </c>
      <c r="M4197" s="1">
        <v>0</v>
      </c>
    </row>
    <row r="4198" spans="1:13">
      <c r="A4198" s="1">
        <v>4197</v>
      </c>
      <c r="B4198" s="1">
        <v>898936.10439999995</v>
      </c>
      <c r="C4198" s="1">
        <v>2138904.0300691547</v>
      </c>
      <c r="D4198" s="1">
        <f t="shared" si="65"/>
        <v>-1239967.9256691546</v>
      </c>
      <c r="E4198" s="1">
        <v>26</v>
      </c>
      <c r="F4198" s="1">
        <v>6</v>
      </c>
      <c r="G4198" s="1">
        <v>3</v>
      </c>
      <c r="H4198" s="1">
        <v>0</v>
      </c>
      <c r="I4198" s="1">
        <v>0</v>
      </c>
      <c r="J4198" s="1">
        <v>1</v>
      </c>
      <c r="K4198" s="1">
        <v>0</v>
      </c>
      <c r="L4198" s="1">
        <v>0</v>
      </c>
      <c r="M4198" s="1">
        <v>1</v>
      </c>
    </row>
    <row r="4199" spans="1:13">
      <c r="A4199" s="1">
        <v>4198</v>
      </c>
      <c r="B4199" s="1">
        <v>981183.88379999995</v>
      </c>
      <c r="C4199" s="1">
        <v>815192.73589303461</v>
      </c>
      <c r="D4199" s="1">
        <f t="shared" si="65"/>
        <v>165991.14790696534</v>
      </c>
      <c r="E4199" s="1">
        <v>11</v>
      </c>
      <c r="F4199" s="1">
        <v>18</v>
      </c>
      <c r="G4199" s="1">
        <v>6</v>
      </c>
      <c r="H4199" s="1">
        <v>1</v>
      </c>
      <c r="I4199" s="1">
        <v>1</v>
      </c>
      <c r="J4199" s="1">
        <v>1</v>
      </c>
      <c r="K4199" s="1">
        <v>0</v>
      </c>
      <c r="L4199" s="1">
        <v>0</v>
      </c>
      <c r="M4199" s="1">
        <v>0</v>
      </c>
    </row>
    <row r="4200" spans="1:13">
      <c r="A4200" s="1">
        <v>4199</v>
      </c>
      <c r="B4200" s="1">
        <v>896902.36800000002</v>
      </c>
      <c r="C4200" s="1">
        <v>852597.12183004105</v>
      </c>
      <c r="D4200" s="1">
        <f t="shared" si="65"/>
        <v>44305.246169958962</v>
      </c>
      <c r="E4200" s="1">
        <v>4</v>
      </c>
      <c r="F4200" s="1">
        <v>25</v>
      </c>
      <c r="G4200" s="1">
        <v>6</v>
      </c>
      <c r="H4200" s="1">
        <v>2</v>
      </c>
      <c r="I4200" s="1">
        <v>0</v>
      </c>
      <c r="J4200" s="1">
        <v>2</v>
      </c>
      <c r="K4200" s="1">
        <v>0</v>
      </c>
      <c r="L4200" s="1">
        <v>0</v>
      </c>
      <c r="M4200" s="1">
        <v>1</v>
      </c>
    </row>
    <row r="4201" spans="1:13">
      <c r="A4201" s="1">
        <v>4200</v>
      </c>
      <c r="B4201" s="1">
        <v>823554.58779999998</v>
      </c>
      <c r="C4201" s="1">
        <v>564528.21991168743</v>
      </c>
      <c r="D4201" s="1">
        <f t="shared" si="65"/>
        <v>259026.36788831255</v>
      </c>
      <c r="E4201" s="1">
        <v>21</v>
      </c>
      <c r="F4201" s="1">
        <v>9</v>
      </c>
      <c r="G4201" s="1">
        <v>5</v>
      </c>
      <c r="H4201" s="1">
        <v>1</v>
      </c>
      <c r="I4201" s="1">
        <v>0</v>
      </c>
      <c r="J4201" s="1">
        <v>1</v>
      </c>
      <c r="K4201" s="1">
        <v>0</v>
      </c>
      <c r="L4201" s="1">
        <v>0</v>
      </c>
      <c r="M4201" s="1">
        <v>0</v>
      </c>
    </row>
    <row r="4202" spans="1:13">
      <c r="A4202" s="1">
        <v>4201</v>
      </c>
      <c r="B4202" s="1">
        <v>1210886.4553</v>
      </c>
      <c r="C4202" s="1">
        <v>782043.09679811995</v>
      </c>
      <c r="D4202" s="1">
        <f t="shared" si="65"/>
        <v>428843.35850188008</v>
      </c>
      <c r="E4202" s="1">
        <v>11</v>
      </c>
      <c r="F4202" s="1">
        <v>18</v>
      </c>
      <c r="G4202" s="1">
        <v>6</v>
      </c>
      <c r="H4202" s="1">
        <v>0</v>
      </c>
      <c r="I4202" s="1">
        <v>0</v>
      </c>
      <c r="J4202" s="1">
        <v>0</v>
      </c>
      <c r="K4202" s="1">
        <v>0</v>
      </c>
      <c r="L4202" s="1">
        <v>0</v>
      </c>
      <c r="M4202" s="1">
        <v>0</v>
      </c>
    </row>
    <row r="4203" spans="1:13">
      <c r="A4203" s="1">
        <v>4202</v>
      </c>
      <c r="B4203" s="1">
        <v>848828.24529999995</v>
      </c>
      <c r="C4203" s="1">
        <v>944172.99213732313</v>
      </c>
      <c r="D4203" s="1">
        <f t="shared" si="65"/>
        <v>-95344.746837323182</v>
      </c>
      <c r="E4203" s="1">
        <v>14</v>
      </c>
      <c r="F4203" s="1">
        <v>16</v>
      </c>
      <c r="G4203" s="1">
        <v>5</v>
      </c>
      <c r="H4203" s="1">
        <v>2</v>
      </c>
      <c r="I4203" s="1">
        <v>0</v>
      </c>
      <c r="J4203" s="1">
        <v>0</v>
      </c>
      <c r="K4203" s="1">
        <v>1</v>
      </c>
      <c r="L4203" s="1">
        <v>0</v>
      </c>
      <c r="M4203" s="1">
        <v>0</v>
      </c>
    </row>
    <row r="4204" spans="1:13">
      <c r="A4204" s="1">
        <v>4203</v>
      </c>
      <c r="B4204" s="1">
        <v>1104254.1092999999</v>
      </c>
      <c r="C4204" s="1">
        <v>948993.03560828848</v>
      </c>
      <c r="D4204" s="1">
        <f t="shared" si="65"/>
        <v>155261.07369171141</v>
      </c>
      <c r="E4204" s="1">
        <v>4</v>
      </c>
      <c r="F4204" s="1">
        <v>24</v>
      </c>
      <c r="G4204" s="1">
        <v>7</v>
      </c>
      <c r="H4204" s="1">
        <v>0</v>
      </c>
      <c r="I4204" s="1">
        <v>0</v>
      </c>
      <c r="J4204" s="1">
        <v>0</v>
      </c>
      <c r="K4204" s="1">
        <v>1</v>
      </c>
      <c r="L4204" s="1">
        <v>0</v>
      </c>
      <c r="M4204" s="1">
        <v>0</v>
      </c>
    </row>
    <row r="4205" spans="1:13">
      <c r="A4205" s="1">
        <v>4204</v>
      </c>
      <c r="B4205" s="1">
        <v>975448.91890000005</v>
      </c>
      <c r="C4205" s="1">
        <v>822041.84959467407</v>
      </c>
      <c r="D4205" s="1">
        <f t="shared" si="65"/>
        <v>153407.06930532597</v>
      </c>
      <c r="E4205" s="1">
        <v>12</v>
      </c>
      <c r="F4205" s="1">
        <v>18</v>
      </c>
      <c r="G4205" s="1">
        <v>5</v>
      </c>
      <c r="H4205" s="1">
        <v>1</v>
      </c>
      <c r="I4205" s="1">
        <v>1</v>
      </c>
      <c r="J4205" s="1">
        <v>1</v>
      </c>
      <c r="K4205" s="1">
        <v>0</v>
      </c>
      <c r="L4205" s="1">
        <v>0</v>
      </c>
      <c r="M4205" s="1">
        <v>0</v>
      </c>
    </row>
    <row r="4206" spans="1:13">
      <c r="A4206" s="1">
        <v>4205</v>
      </c>
      <c r="B4206" s="1">
        <v>874966.55759999994</v>
      </c>
      <c r="C4206" s="1">
        <v>986673.04681216076</v>
      </c>
      <c r="D4206" s="1">
        <f t="shared" si="65"/>
        <v>-111706.48921216081</v>
      </c>
      <c r="E4206" s="1">
        <v>20</v>
      </c>
      <c r="F4206" s="1">
        <v>11</v>
      </c>
      <c r="G4206" s="1">
        <v>4</v>
      </c>
      <c r="H4206" s="1">
        <v>0</v>
      </c>
      <c r="I4206" s="1">
        <v>0</v>
      </c>
      <c r="J4206" s="1">
        <v>1</v>
      </c>
      <c r="K4206" s="1">
        <v>0</v>
      </c>
      <c r="L4206" s="1">
        <v>0</v>
      </c>
      <c r="M4206" s="1">
        <v>0</v>
      </c>
    </row>
    <row r="4207" spans="1:13">
      <c r="A4207" s="1">
        <v>4206</v>
      </c>
      <c r="B4207" s="1">
        <v>1022404.037</v>
      </c>
      <c r="C4207" s="1">
        <v>773969.41486155055</v>
      </c>
      <c r="D4207" s="1">
        <f t="shared" si="65"/>
        <v>248434.62213844946</v>
      </c>
      <c r="E4207" s="1">
        <v>7</v>
      </c>
      <c r="F4207" s="1">
        <v>23</v>
      </c>
      <c r="G4207" s="1">
        <v>5</v>
      </c>
      <c r="H4207" s="1">
        <v>0</v>
      </c>
      <c r="I4207" s="1">
        <v>0</v>
      </c>
      <c r="J4207" s="1">
        <v>0</v>
      </c>
      <c r="K4207" s="1">
        <v>1</v>
      </c>
      <c r="L4207" s="1">
        <v>0</v>
      </c>
      <c r="M4207" s="1">
        <v>1</v>
      </c>
    </row>
    <row r="4208" spans="1:13">
      <c r="A4208" s="1">
        <v>4207</v>
      </c>
      <c r="B4208" s="1">
        <v>1021329.3814</v>
      </c>
      <c r="C4208" s="1">
        <v>532956.10671655694</v>
      </c>
      <c r="D4208" s="1">
        <f t="shared" si="65"/>
        <v>488373.27468344301</v>
      </c>
      <c r="E4208" s="1">
        <v>12</v>
      </c>
      <c r="F4208" s="1">
        <v>16</v>
      </c>
      <c r="G4208" s="1">
        <v>7</v>
      </c>
      <c r="H4208" s="1">
        <v>0</v>
      </c>
      <c r="I4208" s="1">
        <v>1</v>
      </c>
      <c r="J4208" s="1">
        <v>0</v>
      </c>
      <c r="K4208" s="1">
        <v>0</v>
      </c>
      <c r="L4208" s="1">
        <v>0</v>
      </c>
      <c r="M4208" s="1">
        <v>0</v>
      </c>
    </row>
    <row r="4209" spans="1:13">
      <c r="A4209" s="1">
        <v>4208</v>
      </c>
      <c r="B4209" s="1">
        <v>1000778.0445</v>
      </c>
      <c r="C4209" s="1">
        <v>788612.74153984373</v>
      </c>
      <c r="D4209" s="1">
        <f t="shared" si="65"/>
        <v>212165.30296015623</v>
      </c>
      <c r="E4209" s="1">
        <v>11</v>
      </c>
      <c r="F4209" s="1">
        <v>20</v>
      </c>
      <c r="G4209" s="1">
        <v>4</v>
      </c>
      <c r="H4209" s="1">
        <v>1</v>
      </c>
      <c r="I4209" s="1">
        <v>0</v>
      </c>
      <c r="J4209" s="1">
        <v>0</v>
      </c>
      <c r="K4209" s="1">
        <v>1</v>
      </c>
      <c r="L4209" s="1">
        <v>0</v>
      </c>
      <c r="M4209" s="1">
        <v>0</v>
      </c>
    </row>
    <row r="4210" spans="1:13">
      <c r="A4210" s="1">
        <v>4209</v>
      </c>
      <c r="B4210" s="1">
        <v>918738.19709999999</v>
      </c>
      <c r="C4210" s="1">
        <v>669150.93455783522</v>
      </c>
      <c r="D4210" s="1">
        <f t="shared" si="65"/>
        <v>249587.26254216477</v>
      </c>
      <c r="E4210" s="1">
        <v>12</v>
      </c>
      <c r="F4210" s="1">
        <v>18</v>
      </c>
      <c r="G4210" s="1">
        <v>5</v>
      </c>
      <c r="H4210" s="1">
        <v>0</v>
      </c>
      <c r="I4210" s="1">
        <v>1</v>
      </c>
      <c r="J4210" s="1">
        <v>1</v>
      </c>
      <c r="K4210" s="1">
        <v>0</v>
      </c>
      <c r="L4210" s="1">
        <v>0</v>
      </c>
      <c r="M4210" s="1">
        <v>0</v>
      </c>
    </row>
    <row r="4211" spans="1:13">
      <c r="A4211" s="1">
        <v>4210</v>
      </c>
      <c r="B4211" s="1">
        <v>922488.02989999996</v>
      </c>
      <c r="C4211" s="1">
        <v>970377.34426565457</v>
      </c>
      <c r="D4211" s="1">
        <f t="shared" si="65"/>
        <v>-47889.314365654602</v>
      </c>
      <c r="E4211" s="1">
        <v>14</v>
      </c>
      <c r="F4211" s="1">
        <v>18</v>
      </c>
      <c r="G4211" s="1">
        <v>3</v>
      </c>
      <c r="H4211" s="1">
        <v>0</v>
      </c>
      <c r="I4211" s="1">
        <v>0</v>
      </c>
      <c r="J4211" s="1">
        <v>1</v>
      </c>
      <c r="K4211" s="1">
        <v>0</v>
      </c>
      <c r="L4211" s="1">
        <v>0</v>
      </c>
      <c r="M4211" s="1">
        <v>0</v>
      </c>
    </row>
    <row r="4212" spans="1:13">
      <c r="A4212" s="1">
        <v>4211</v>
      </c>
      <c r="B4212" s="1">
        <v>984997.08019999997</v>
      </c>
      <c r="C4212" s="1">
        <v>901150.22825581999</v>
      </c>
      <c r="D4212" s="1">
        <f t="shared" si="65"/>
        <v>83846.851944179973</v>
      </c>
      <c r="E4212" s="1">
        <v>9</v>
      </c>
      <c r="F4212" s="1">
        <v>21</v>
      </c>
      <c r="G4212" s="1">
        <v>5</v>
      </c>
      <c r="H4212" s="1">
        <v>1</v>
      </c>
      <c r="I4212" s="1">
        <v>0</v>
      </c>
      <c r="J4212" s="1">
        <v>1</v>
      </c>
      <c r="K4212" s="1">
        <v>0</v>
      </c>
      <c r="L4212" s="1">
        <v>0</v>
      </c>
      <c r="M4212" s="1">
        <v>0</v>
      </c>
    </row>
    <row r="4213" spans="1:13">
      <c r="A4213" s="1">
        <v>4212</v>
      </c>
      <c r="B4213" s="1">
        <v>918163.07220000005</v>
      </c>
      <c r="C4213" s="1">
        <v>654275.95403438632</v>
      </c>
      <c r="D4213" s="1">
        <f t="shared" si="65"/>
        <v>263887.11816561373</v>
      </c>
      <c r="E4213" s="1">
        <v>17</v>
      </c>
      <c r="F4213" s="1">
        <v>16</v>
      </c>
      <c r="G4213" s="1">
        <v>2</v>
      </c>
      <c r="H4213" s="1">
        <v>1</v>
      </c>
      <c r="I4213" s="1">
        <v>0</v>
      </c>
      <c r="J4213" s="1">
        <v>2</v>
      </c>
      <c r="K4213" s="1">
        <v>0</v>
      </c>
      <c r="L4213" s="1">
        <v>0</v>
      </c>
      <c r="M4213" s="1">
        <v>1</v>
      </c>
    </row>
    <row r="4214" spans="1:13">
      <c r="A4214" s="1">
        <v>4213</v>
      </c>
      <c r="B4214" s="1">
        <v>988368.36990000005</v>
      </c>
      <c r="C4214" s="1">
        <v>862367.10065198469</v>
      </c>
      <c r="D4214" s="1">
        <f t="shared" si="65"/>
        <v>126001.26924801536</v>
      </c>
      <c r="E4214" s="1">
        <v>8</v>
      </c>
      <c r="F4214" s="1">
        <v>19</v>
      </c>
      <c r="G4214" s="1">
        <v>8</v>
      </c>
      <c r="H4214" s="1">
        <v>1</v>
      </c>
      <c r="I4214" s="1">
        <v>0</v>
      </c>
      <c r="J4214" s="1">
        <v>2</v>
      </c>
      <c r="K4214" s="1">
        <v>0</v>
      </c>
      <c r="L4214" s="1">
        <v>0</v>
      </c>
      <c r="M4214" s="1">
        <v>1</v>
      </c>
    </row>
    <row r="4215" spans="1:13">
      <c r="A4215" s="1">
        <v>4214</v>
      </c>
      <c r="B4215" s="1">
        <v>855965.89020000002</v>
      </c>
      <c r="C4215" s="1">
        <v>935155.0091838215</v>
      </c>
      <c r="D4215" s="1">
        <f t="shared" si="65"/>
        <v>-79189.118983821478</v>
      </c>
      <c r="E4215" s="1">
        <v>15</v>
      </c>
      <c r="F4215" s="1">
        <v>15</v>
      </c>
      <c r="G4215" s="1">
        <v>5</v>
      </c>
      <c r="H4215" s="1">
        <v>0</v>
      </c>
      <c r="I4215" s="1">
        <v>1</v>
      </c>
      <c r="J4215" s="1">
        <v>0</v>
      </c>
      <c r="K4215" s="1">
        <v>0</v>
      </c>
      <c r="L4215" s="1">
        <v>0</v>
      </c>
      <c r="M4215" s="1">
        <v>0</v>
      </c>
    </row>
    <row r="4216" spans="1:13">
      <c r="A4216" s="1">
        <v>4215</v>
      </c>
      <c r="B4216" s="1">
        <v>916898.34340000001</v>
      </c>
      <c r="C4216" s="1">
        <v>1038262.7021567358</v>
      </c>
      <c r="D4216" s="1">
        <f t="shared" si="65"/>
        <v>-121364.3587567358</v>
      </c>
      <c r="E4216" s="1">
        <v>10</v>
      </c>
      <c r="F4216" s="1">
        <v>20</v>
      </c>
      <c r="G4216" s="1">
        <v>5</v>
      </c>
      <c r="H4216" s="1">
        <v>0</v>
      </c>
      <c r="I4216" s="1">
        <v>0</v>
      </c>
      <c r="J4216" s="1">
        <v>2</v>
      </c>
      <c r="K4216" s="1">
        <v>0</v>
      </c>
      <c r="L4216" s="1">
        <v>0</v>
      </c>
      <c r="M4216" s="1">
        <v>1</v>
      </c>
    </row>
    <row r="4217" spans="1:13">
      <c r="A4217" s="1">
        <v>4216</v>
      </c>
      <c r="B4217" s="1">
        <v>887919.25890000002</v>
      </c>
      <c r="C4217" s="1">
        <v>1924735.8285685719</v>
      </c>
      <c r="D4217" s="1">
        <f t="shared" si="65"/>
        <v>-1036816.5696685719</v>
      </c>
      <c r="E4217" s="1">
        <v>18</v>
      </c>
      <c r="F4217" s="1">
        <v>10</v>
      </c>
      <c r="G4217" s="1">
        <v>7</v>
      </c>
      <c r="H4217" s="1">
        <v>1</v>
      </c>
      <c r="I4217" s="1">
        <v>1</v>
      </c>
      <c r="J4217" s="1">
        <v>1</v>
      </c>
      <c r="K4217" s="1">
        <v>1</v>
      </c>
      <c r="L4217" s="1">
        <v>0</v>
      </c>
      <c r="M4217" s="1">
        <v>0</v>
      </c>
    </row>
    <row r="4218" spans="1:13">
      <c r="A4218" s="1">
        <v>4217</v>
      </c>
      <c r="B4218" s="1">
        <v>1008396.5572</v>
      </c>
      <c r="C4218" s="1">
        <v>999876.06112691259</v>
      </c>
      <c r="D4218" s="1">
        <f t="shared" si="65"/>
        <v>8520.4960730874445</v>
      </c>
      <c r="E4218" s="1">
        <v>6</v>
      </c>
      <c r="F4218" s="1">
        <v>23</v>
      </c>
      <c r="G4218" s="1">
        <v>6</v>
      </c>
      <c r="H4218" s="1">
        <v>0</v>
      </c>
      <c r="I4218" s="1">
        <v>0</v>
      </c>
      <c r="J4218" s="1">
        <v>2</v>
      </c>
      <c r="K4218" s="1">
        <v>0</v>
      </c>
      <c r="L4218" s="1">
        <v>0</v>
      </c>
      <c r="M4218" s="1">
        <v>0</v>
      </c>
    </row>
    <row r="4219" spans="1:13">
      <c r="A4219" s="1">
        <v>4218</v>
      </c>
      <c r="B4219" s="1">
        <v>978670.68130000005</v>
      </c>
      <c r="C4219" s="1">
        <v>1228344.6210113005</v>
      </c>
      <c r="D4219" s="1">
        <f t="shared" si="65"/>
        <v>-249673.93971130042</v>
      </c>
      <c r="E4219" s="1">
        <v>9</v>
      </c>
      <c r="F4219" s="1">
        <v>19</v>
      </c>
      <c r="G4219" s="1">
        <v>7</v>
      </c>
      <c r="H4219" s="1">
        <v>2</v>
      </c>
      <c r="I4219" s="1">
        <v>0</v>
      </c>
      <c r="J4219" s="1">
        <v>1</v>
      </c>
      <c r="K4219" s="1">
        <v>1</v>
      </c>
      <c r="L4219" s="1">
        <v>0</v>
      </c>
      <c r="M4219" s="1">
        <v>0</v>
      </c>
    </row>
    <row r="4220" spans="1:13">
      <c r="A4220" s="1">
        <v>4219</v>
      </c>
      <c r="B4220" s="1">
        <v>1032129.38</v>
      </c>
      <c r="C4220" s="1">
        <v>1747886.185355762</v>
      </c>
      <c r="D4220" s="1">
        <f t="shared" si="65"/>
        <v>-715756.80535576202</v>
      </c>
      <c r="E4220" s="1">
        <v>9</v>
      </c>
      <c r="F4220" s="1">
        <v>20</v>
      </c>
      <c r="G4220" s="1">
        <v>6</v>
      </c>
      <c r="H4220" s="1">
        <v>1</v>
      </c>
      <c r="I4220" s="1">
        <v>0</v>
      </c>
      <c r="J4220" s="1">
        <v>2</v>
      </c>
      <c r="K4220" s="1">
        <v>0</v>
      </c>
      <c r="L4220" s="1">
        <v>0</v>
      </c>
      <c r="M4220" s="1">
        <v>0</v>
      </c>
    </row>
    <row r="4221" spans="1:13">
      <c r="A4221" s="1">
        <v>4220</v>
      </c>
      <c r="B4221" s="1">
        <v>952307.26569999999</v>
      </c>
      <c r="C4221" s="1">
        <v>930239.80846029543</v>
      </c>
      <c r="D4221" s="1">
        <f t="shared" si="65"/>
        <v>22067.457239704556</v>
      </c>
      <c r="E4221" s="1">
        <v>15</v>
      </c>
      <c r="F4221" s="1">
        <v>14</v>
      </c>
      <c r="G4221" s="1">
        <v>6</v>
      </c>
      <c r="H4221" s="1">
        <v>0</v>
      </c>
      <c r="I4221" s="1">
        <v>0</v>
      </c>
      <c r="J4221" s="1">
        <v>0</v>
      </c>
      <c r="K4221" s="1">
        <v>1</v>
      </c>
      <c r="L4221" s="1">
        <v>0</v>
      </c>
      <c r="M4221" s="1">
        <v>0</v>
      </c>
    </row>
    <row r="4222" spans="1:13">
      <c r="A4222" s="1">
        <v>4221</v>
      </c>
      <c r="B4222" s="1">
        <v>841714.64410000003</v>
      </c>
      <c r="C4222" s="1">
        <v>661209.2668767852</v>
      </c>
      <c r="D4222" s="1">
        <f t="shared" si="65"/>
        <v>180505.37722321483</v>
      </c>
      <c r="E4222" s="1">
        <v>11</v>
      </c>
      <c r="F4222" s="1">
        <v>18</v>
      </c>
      <c r="G4222" s="1">
        <v>6</v>
      </c>
      <c r="H4222" s="1">
        <v>0</v>
      </c>
      <c r="I4222" s="1">
        <v>0</v>
      </c>
      <c r="J4222" s="1">
        <v>1</v>
      </c>
      <c r="K4222" s="1">
        <v>1</v>
      </c>
      <c r="L4222" s="1">
        <v>0</v>
      </c>
      <c r="M4222" s="1">
        <v>0</v>
      </c>
    </row>
    <row r="4223" spans="1:13">
      <c r="A4223" s="1">
        <v>4222</v>
      </c>
      <c r="B4223" s="1">
        <v>836061.26859999995</v>
      </c>
      <c r="C4223" s="1">
        <v>846336.26465786435</v>
      </c>
      <c r="D4223" s="1">
        <f t="shared" si="65"/>
        <v>-10274.996057864395</v>
      </c>
      <c r="E4223" s="1">
        <v>17</v>
      </c>
      <c r="F4223" s="1">
        <v>16</v>
      </c>
      <c r="G4223" s="1">
        <v>2</v>
      </c>
      <c r="H4223" s="1">
        <v>2</v>
      </c>
      <c r="I4223" s="1">
        <v>0</v>
      </c>
      <c r="J4223" s="1">
        <v>1</v>
      </c>
      <c r="K4223" s="1">
        <v>1</v>
      </c>
      <c r="L4223" s="1">
        <v>0</v>
      </c>
      <c r="M4223" s="1">
        <v>0</v>
      </c>
    </row>
    <row r="4224" spans="1:13">
      <c r="A4224" s="1">
        <v>4223</v>
      </c>
      <c r="B4224" s="1">
        <v>944232.52549999999</v>
      </c>
      <c r="C4224" s="1">
        <v>327337.8284176786</v>
      </c>
      <c r="D4224" s="1">
        <f t="shared" si="65"/>
        <v>616894.69708232139</v>
      </c>
      <c r="E4224" s="1">
        <v>12</v>
      </c>
      <c r="F4224" s="1">
        <v>17</v>
      </c>
      <c r="G4224" s="1">
        <v>6</v>
      </c>
      <c r="H4224" s="1">
        <v>1</v>
      </c>
      <c r="I4224" s="1">
        <v>0</v>
      </c>
      <c r="J4224" s="1">
        <v>1</v>
      </c>
      <c r="K4224" s="1">
        <v>1</v>
      </c>
      <c r="L4224" s="1">
        <v>0</v>
      </c>
      <c r="M4224" s="1">
        <v>1</v>
      </c>
    </row>
    <row r="4225" spans="1:13">
      <c r="A4225" s="1">
        <v>4224</v>
      </c>
      <c r="B4225" s="1">
        <v>975897.71250000002</v>
      </c>
      <c r="C4225" s="1">
        <v>853280.73968727863</v>
      </c>
      <c r="D4225" s="1">
        <f t="shared" si="65"/>
        <v>122616.97281272139</v>
      </c>
      <c r="E4225" s="1">
        <v>6</v>
      </c>
      <c r="F4225" s="1">
        <v>26</v>
      </c>
      <c r="G4225" s="1">
        <v>3</v>
      </c>
      <c r="H4225" s="1">
        <v>0</v>
      </c>
      <c r="I4225" s="1">
        <v>0</v>
      </c>
      <c r="J4225" s="1">
        <v>1</v>
      </c>
      <c r="K4225" s="1">
        <v>1</v>
      </c>
      <c r="L4225" s="1">
        <v>0</v>
      </c>
      <c r="M4225" s="1">
        <v>0</v>
      </c>
    </row>
    <row r="4226" spans="1:13">
      <c r="A4226" s="1">
        <v>4225</v>
      </c>
      <c r="B4226" s="1">
        <v>1026761.8083</v>
      </c>
      <c r="C4226" s="1">
        <v>747480.72057880834</v>
      </c>
      <c r="D4226" s="1">
        <f t="shared" ref="D4226:D4289" si="66">B4226-C4226</f>
        <v>279281.0877211917</v>
      </c>
      <c r="E4226" s="1">
        <v>8</v>
      </c>
      <c r="F4226" s="1">
        <v>21</v>
      </c>
      <c r="G4226" s="1">
        <v>6</v>
      </c>
      <c r="H4226" s="1">
        <v>0</v>
      </c>
      <c r="I4226" s="1">
        <v>1</v>
      </c>
      <c r="J4226" s="1">
        <v>0</v>
      </c>
      <c r="K4226" s="1">
        <v>0</v>
      </c>
      <c r="L4226" s="1">
        <v>0</v>
      </c>
      <c r="M4226" s="1">
        <v>0</v>
      </c>
    </row>
    <row r="4227" spans="1:13">
      <c r="A4227" s="1">
        <v>4226</v>
      </c>
      <c r="B4227" s="1">
        <v>907816.73510000005</v>
      </c>
      <c r="C4227" s="1">
        <v>657186.92275839509</v>
      </c>
      <c r="D4227" s="1">
        <f t="shared" si="66"/>
        <v>250629.81234160496</v>
      </c>
      <c r="E4227" s="1">
        <v>14</v>
      </c>
      <c r="F4227" s="1">
        <v>19</v>
      </c>
      <c r="G4227" s="1">
        <v>2</v>
      </c>
      <c r="H4227" s="1">
        <v>1</v>
      </c>
      <c r="I4227" s="1">
        <v>0</v>
      </c>
      <c r="J4227" s="1">
        <v>0</v>
      </c>
      <c r="K4227" s="1">
        <v>2</v>
      </c>
      <c r="L4227" s="1">
        <v>0</v>
      </c>
      <c r="M4227" s="1">
        <v>0</v>
      </c>
    </row>
    <row r="4228" spans="1:13">
      <c r="A4228" s="1">
        <v>4227</v>
      </c>
      <c r="B4228" s="1">
        <v>931271.46620000002</v>
      </c>
      <c r="C4228" s="1">
        <v>781163.20961757726</v>
      </c>
      <c r="D4228" s="1">
        <f t="shared" si="66"/>
        <v>150108.25658242276</v>
      </c>
      <c r="E4228" s="1">
        <v>13</v>
      </c>
      <c r="F4228" s="1">
        <v>13</v>
      </c>
      <c r="G4228" s="1">
        <v>9</v>
      </c>
      <c r="H4228" s="1">
        <v>1</v>
      </c>
      <c r="I4228" s="1">
        <v>0</v>
      </c>
      <c r="J4228" s="1">
        <v>1</v>
      </c>
      <c r="K4228" s="1">
        <v>0</v>
      </c>
      <c r="L4228" s="1">
        <v>1</v>
      </c>
      <c r="M4228" s="1">
        <v>0</v>
      </c>
    </row>
    <row r="4229" spans="1:13">
      <c r="A4229" s="1">
        <v>4228</v>
      </c>
      <c r="B4229" s="1">
        <v>997131.72050000005</v>
      </c>
      <c r="C4229" s="1">
        <v>809611.52109317656</v>
      </c>
      <c r="D4229" s="1">
        <f t="shared" si="66"/>
        <v>187520.19940682349</v>
      </c>
      <c r="E4229" s="1">
        <v>4</v>
      </c>
      <c r="F4229" s="1">
        <v>25</v>
      </c>
      <c r="G4229" s="1">
        <v>6</v>
      </c>
      <c r="H4229" s="1">
        <v>0</v>
      </c>
      <c r="I4229" s="1">
        <v>0</v>
      </c>
      <c r="J4229" s="1">
        <v>1</v>
      </c>
      <c r="K4229" s="1">
        <v>0</v>
      </c>
      <c r="L4229" s="1">
        <v>0</v>
      </c>
      <c r="M4229" s="1">
        <v>0</v>
      </c>
    </row>
    <row r="4230" spans="1:13">
      <c r="A4230" s="1">
        <v>4229</v>
      </c>
      <c r="B4230" s="1">
        <v>971831.11950000003</v>
      </c>
      <c r="C4230" s="1">
        <v>1218621.7985228193</v>
      </c>
      <c r="D4230" s="1">
        <f t="shared" si="66"/>
        <v>-246790.67902281927</v>
      </c>
      <c r="E4230" s="1">
        <v>7</v>
      </c>
      <c r="F4230" s="1">
        <v>23</v>
      </c>
      <c r="G4230" s="1">
        <v>5</v>
      </c>
      <c r="H4230" s="1">
        <v>0</v>
      </c>
      <c r="I4230" s="1">
        <v>1</v>
      </c>
      <c r="J4230" s="1">
        <v>1</v>
      </c>
      <c r="K4230" s="1">
        <v>0</v>
      </c>
      <c r="L4230" s="1">
        <v>0</v>
      </c>
      <c r="M4230" s="1">
        <v>1</v>
      </c>
    </row>
    <row r="4231" spans="1:13">
      <c r="A4231" s="1">
        <v>4230</v>
      </c>
      <c r="B4231" s="1">
        <v>974073.45649999997</v>
      </c>
      <c r="C4231" s="1">
        <v>951349.71698398481</v>
      </c>
      <c r="D4231" s="1">
        <f t="shared" si="66"/>
        <v>22723.739516015165</v>
      </c>
      <c r="E4231" s="1">
        <v>20</v>
      </c>
      <c r="F4231" s="1">
        <v>9</v>
      </c>
      <c r="G4231" s="1">
        <v>6</v>
      </c>
      <c r="H4231" s="1">
        <v>2</v>
      </c>
      <c r="I4231" s="1">
        <v>0</v>
      </c>
      <c r="J4231" s="1">
        <v>1</v>
      </c>
      <c r="K4231" s="1">
        <v>1</v>
      </c>
      <c r="L4231" s="1">
        <v>0</v>
      </c>
      <c r="M4231" s="1">
        <v>1</v>
      </c>
    </row>
    <row r="4232" spans="1:13">
      <c r="A4232" s="1">
        <v>4231</v>
      </c>
      <c r="B4232" s="1">
        <v>879244.61010000005</v>
      </c>
      <c r="C4232" s="1">
        <v>965132.07086526451</v>
      </c>
      <c r="D4232" s="1">
        <f t="shared" si="66"/>
        <v>-85887.460765264463</v>
      </c>
      <c r="E4232" s="1">
        <v>15</v>
      </c>
      <c r="F4232" s="1">
        <v>16</v>
      </c>
      <c r="G4232" s="1">
        <v>4</v>
      </c>
      <c r="H4232" s="1">
        <v>2</v>
      </c>
      <c r="I4232" s="1">
        <v>0</v>
      </c>
      <c r="J4232" s="1">
        <v>1</v>
      </c>
      <c r="K4232" s="1">
        <v>0</v>
      </c>
      <c r="L4232" s="1">
        <v>0</v>
      </c>
      <c r="M4232" s="1">
        <v>0</v>
      </c>
    </row>
    <row r="4233" spans="1:13">
      <c r="A4233" s="1">
        <v>4232</v>
      </c>
      <c r="B4233" s="1">
        <v>859364.93469999998</v>
      </c>
      <c r="C4233" s="1">
        <v>1159470.4494767054</v>
      </c>
      <c r="D4233" s="1">
        <f t="shared" si="66"/>
        <v>-300105.51477670541</v>
      </c>
      <c r="E4233" s="1">
        <v>11</v>
      </c>
      <c r="F4233" s="1">
        <v>21</v>
      </c>
      <c r="G4233" s="1">
        <v>3</v>
      </c>
      <c r="H4233" s="1">
        <v>1</v>
      </c>
      <c r="I4233" s="1">
        <v>0</v>
      </c>
      <c r="J4233" s="1">
        <v>2</v>
      </c>
      <c r="K4233" s="1">
        <v>0</v>
      </c>
      <c r="L4233" s="1">
        <v>0</v>
      </c>
      <c r="M4233" s="1">
        <v>0</v>
      </c>
    </row>
    <row r="4234" spans="1:13">
      <c r="A4234" s="1">
        <v>4233</v>
      </c>
      <c r="B4234" s="1">
        <v>913933.76040000003</v>
      </c>
      <c r="C4234" s="1">
        <v>1635784.1653254714</v>
      </c>
      <c r="D4234" s="1">
        <f t="shared" si="66"/>
        <v>-721850.4049254714</v>
      </c>
      <c r="E4234" s="1">
        <v>17</v>
      </c>
      <c r="F4234" s="1">
        <v>17</v>
      </c>
      <c r="G4234" s="1">
        <v>1</v>
      </c>
      <c r="H4234" s="1">
        <v>1</v>
      </c>
      <c r="I4234" s="1">
        <v>0</v>
      </c>
      <c r="J4234" s="1">
        <v>2</v>
      </c>
      <c r="K4234" s="1">
        <v>0</v>
      </c>
      <c r="L4234" s="1">
        <v>0</v>
      </c>
      <c r="M4234" s="1">
        <v>1</v>
      </c>
    </row>
    <row r="4235" spans="1:13">
      <c r="A4235" s="1">
        <v>4234</v>
      </c>
      <c r="B4235" s="1">
        <v>927630.69169999997</v>
      </c>
      <c r="C4235" s="1">
        <v>1424480.2471293141</v>
      </c>
      <c r="D4235" s="1">
        <f t="shared" si="66"/>
        <v>-496849.55542931415</v>
      </c>
      <c r="E4235" s="1">
        <v>10</v>
      </c>
      <c r="F4235" s="1">
        <v>18</v>
      </c>
      <c r="G4235" s="1">
        <v>7</v>
      </c>
      <c r="H4235" s="1">
        <v>1</v>
      </c>
      <c r="I4235" s="1">
        <v>0</v>
      </c>
      <c r="J4235" s="1">
        <v>0</v>
      </c>
      <c r="K4235" s="1">
        <v>0</v>
      </c>
      <c r="L4235" s="1">
        <v>0</v>
      </c>
      <c r="M4235" s="1">
        <v>0</v>
      </c>
    </row>
    <row r="4236" spans="1:13">
      <c r="A4236" s="1">
        <v>4235</v>
      </c>
      <c r="B4236" s="1">
        <v>966057.02690000006</v>
      </c>
      <c r="C4236" s="1">
        <v>880085.52851165133</v>
      </c>
      <c r="D4236" s="1">
        <f t="shared" si="66"/>
        <v>85971.498388348729</v>
      </c>
      <c r="E4236" s="1">
        <v>16</v>
      </c>
      <c r="F4236" s="1">
        <v>15</v>
      </c>
      <c r="G4236" s="1">
        <v>4</v>
      </c>
      <c r="H4236" s="1">
        <v>0</v>
      </c>
      <c r="I4236" s="1">
        <v>0</v>
      </c>
      <c r="J4236" s="1">
        <v>2</v>
      </c>
      <c r="K4236" s="1">
        <v>0</v>
      </c>
      <c r="L4236" s="1">
        <v>0</v>
      </c>
      <c r="M4236" s="1">
        <v>0</v>
      </c>
    </row>
    <row r="4237" spans="1:13">
      <c r="A4237" s="1">
        <v>4236</v>
      </c>
      <c r="B4237" s="1">
        <v>951088.50399999996</v>
      </c>
      <c r="C4237" s="1">
        <v>889317.71606465033</v>
      </c>
      <c r="D4237" s="1">
        <f t="shared" si="66"/>
        <v>61770.787935349625</v>
      </c>
      <c r="E4237" s="1">
        <v>11</v>
      </c>
      <c r="F4237" s="1">
        <v>18</v>
      </c>
      <c r="G4237" s="1">
        <v>6</v>
      </c>
      <c r="H4237" s="1">
        <v>1</v>
      </c>
      <c r="I4237" s="1">
        <v>1</v>
      </c>
      <c r="J4237" s="1">
        <v>1</v>
      </c>
      <c r="K4237" s="1">
        <v>0</v>
      </c>
      <c r="L4237" s="1">
        <v>0</v>
      </c>
      <c r="M4237" s="1">
        <v>0</v>
      </c>
    </row>
    <row r="4238" spans="1:13">
      <c r="A4238" s="1">
        <v>4237</v>
      </c>
      <c r="B4238" s="1">
        <v>997499.44550000003</v>
      </c>
      <c r="C4238" s="1">
        <v>655914.62792017008</v>
      </c>
      <c r="D4238" s="1">
        <f t="shared" si="66"/>
        <v>341584.81757982995</v>
      </c>
      <c r="E4238" s="1">
        <v>13</v>
      </c>
      <c r="F4238" s="1">
        <v>14</v>
      </c>
      <c r="G4238" s="1">
        <v>8</v>
      </c>
      <c r="H4238" s="1">
        <v>0</v>
      </c>
      <c r="I4238" s="1">
        <v>0</v>
      </c>
      <c r="J4238" s="1">
        <v>2</v>
      </c>
      <c r="K4238" s="1">
        <v>0</v>
      </c>
      <c r="L4238" s="1">
        <v>0</v>
      </c>
      <c r="M4238" s="1">
        <v>1</v>
      </c>
    </row>
    <row r="4239" spans="1:13">
      <c r="A4239" s="1">
        <v>4238</v>
      </c>
      <c r="B4239" s="1">
        <v>923429.17</v>
      </c>
      <c r="C4239" s="1">
        <v>1803745.5851786826</v>
      </c>
      <c r="D4239" s="1">
        <f t="shared" si="66"/>
        <v>-880316.41517868254</v>
      </c>
      <c r="E4239" s="1">
        <v>18</v>
      </c>
      <c r="F4239" s="1">
        <v>9</v>
      </c>
      <c r="G4239" s="1">
        <v>8</v>
      </c>
      <c r="H4239" s="1">
        <v>1</v>
      </c>
      <c r="I4239" s="1">
        <v>0</v>
      </c>
      <c r="J4239" s="1">
        <v>1</v>
      </c>
      <c r="K4239" s="1">
        <v>1</v>
      </c>
      <c r="L4239" s="1">
        <v>0</v>
      </c>
      <c r="M4239" s="1">
        <v>1</v>
      </c>
    </row>
    <row r="4240" spans="1:13">
      <c r="A4240" s="1">
        <v>4239</v>
      </c>
      <c r="B4240" s="1">
        <v>1032559.8381000001</v>
      </c>
      <c r="C4240" s="1">
        <v>891692.60665976047</v>
      </c>
      <c r="D4240" s="1">
        <f t="shared" si="66"/>
        <v>140867.23144023959</v>
      </c>
      <c r="E4240" s="1">
        <v>9</v>
      </c>
      <c r="F4240" s="1">
        <v>22</v>
      </c>
      <c r="G4240" s="1">
        <v>4</v>
      </c>
      <c r="H4240" s="1">
        <v>0</v>
      </c>
      <c r="I4240" s="1">
        <v>0</v>
      </c>
      <c r="J4240" s="1">
        <v>0</v>
      </c>
      <c r="K4240" s="1">
        <v>1</v>
      </c>
      <c r="L4240" s="1">
        <v>0</v>
      </c>
      <c r="M4240" s="1">
        <v>0</v>
      </c>
    </row>
    <row r="4241" spans="1:13">
      <c r="A4241" s="1">
        <v>4240</v>
      </c>
      <c r="B4241" s="1">
        <v>875771.44680000003</v>
      </c>
      <c r="C4241" s="1">
        <v>649883.65393237921</v>
      </c>
      <c r="D4241" s="1">
        <f t="shared" si="66"/>
        <v>225887.79286762082</v>
      </c>
      <c r="E4241" s="1">
        <v>20</v>
      </c>
      <c r="F4241" s="1">
        <v>13</v>
      </c>
      <c r="G4241" s="1">
        <v>2</v>
      </c>
      <c r="H4241" s="1">
        <v>1</v>
      </c>
      <c r="I4241" s="1">
        <v>0</v>
      </c>
      <c r="J4241" s="1">
        <v>2</v>
      </c>
      <c r="K4241" s="1">
        <v>0</v>
      </c>
      <c r="L4241" s="1">
        <v>0</v>
      </c>
      <c r="M4241" s="1">
        <v>1</v>
      </c>
    </row>
    <row r="4242" spans="1:13">
      <c r="A4242" s="1">
        <v>4241</v>
      </c>
      <c r="B4242" s="1">
        <v>896828.65289999999</v>
      </c>
      <c r="C4242" s="1">
        <v>625985.52355594607</v>
      </c>
      <c r="D4242" s="1">
        <f t="shared" si="66"/>
        <v>270843.12934405392</v>
      </c>
      <c r="E4242" s="1">
        <v>11</v>
      </c>
      <c r="F4242" s="1">
        <v>17</v>
      </c>
      <c r="G4242" s="1">
        <v>7</v>
      </c>
      <c r="H4242" s="1">
        <v>1</v>
      </c>
      <c r="I4242" s="1">
        <v>0</v>
      </c>
      <c r="J4242" s="1">
        <v>0</v>
      </c>
      <c r="K4242" s="1">
        <v>0</v>
      </c>
      <c r="L4242" s="1">
        <v>1</v>
      </c>
      <c r="M4242" s="1">
        <v>0</v>
      </c>
    </row>
    <row r="4243" spans="1:13">
      <c r="A4243" s="1">
        <v>4242</v>
      </c>
      <c r="B4243" s="1">
        <v>911799.00760000001</v>
      </c>
      <c r="C4243" s="1">
        <v>687951.19657313498</v>
      </c>
      <c r="D4243" s="1">
        <f t="shared" si="66"/>
        <v>223847.81102686503</v>
      </c>
      <c r="E4243" s="1">
        <v>16</v>
      </c>
      <c r="F4243" s="1">
        <v>16</v>
      </c>
      <c r="G4243" s="1">
        <v>3</v>
      </c>
      <c r="H4243" s="1">
        <v>1</v>
      </c>
      <c r="I4243" s="1">
        <v>0</v>
      </c>
      <c r="J4243" s="1">
        <v>0</v>
      </c>
      <c r="K4243" s="1">
        <v>0</v>
      </c>
      <c r="L4243" s="1">
        <v>0</v>
      </c>
      <c r="M4243" s="1">
        <v>0</v>
      </c>
    </row>
    <row r="4244" spans="1:13">
      <c r="A4244" s="1">
        <v>4243</v>
      </c>
      <c r="B4244" s="1">
        <v>882066.97490000003</v>
      </c>
      <c r="C4244" s="1">
        <v>918680.46289576322</v>
      </c>
      <c r="D4244" s="1">
        <f t="shared" si="66"/>
        <v>-36613.487995763193</v>
      </c>
      <c r="E4244" s="1">
        <v>15</v>
      </c>
      <c r="F4244" s="1">
        <v>16</v>
      </c>
      <c r="G4244" s="1">
        <v>4</v>
      </c>
      <c r="H4244" s="1">
        <v>1</v>
      </c>
      <c r="I4244" s="1">
        <v>0</v>
      </c>
      <c r="J4244" s="1">
        <v>0</v>
      </c>
      <c r="K4244" s="1">
        <v>0</v>
      </c>
      <c r="L4244" s="1">
        <v>0</v>
      </c>
      <c r="M4244" s="1">
        <v>1</v>
      </c>
    </row>
    <row r="4245" spans="1:13">
      <c r="A4245" s="1">
        <v>4244</v>
      </c>
      <c r="B4245" s="1">
        <v>894643.29969999997</v>
      </c>
      <c r="C4245" s="1">
        <v>641960.4980550349</v>
      </c>
      <c r="D4245" s="1">
        <f t="shared" si="66"/>
        <v>252682.80164496507</v>
      </c>
      <c r="E4245" s="1">
        <v>5</v>
      </c>
      <c r="F4245" s="1">
        <v>23</v>
      </c>
      <c r="G4245" s="1">
        <v>7</v>
      </c>
      <c r="H4245" s="1">
        <v>1</v>
      </c>
      <c r="I4245" s="1">
        <v>0</v>
      </c>
      <c r="J4245" s="1">
        <v>1</v>
      </c>
      <c r="K4245" s="1">
        <v>0</v>
      </c>
      <c r="L4245" s="1">
        <v>0</v>
      </c>
      <c r="M4245" s="1">
        <v>1</v>
      </c>
    </row>
    <row r="4246" spans="1:13">
      <c r="A4246" s="1">
        <v>4245</v>
      </c>
      <c r="B4246" s="1">
        <v>871554.43420000002</v>
      </c>
      <c r="C4246" s="1">
        <v>944985.14464924857</v>
      </c>
      <c r="D4246" s="1">
        <f t="shared" si="66"/>
        <v>-73430.710449248552</v>
      </c>
      <c r="E4246" s="1">
        <v>19</v>
      </c>
      <c r="F4246" s="1">
        <v>14</v>
      </c>
      <c r="G4246" s="1">
        <v>2</v>
      </c>
      <c r="H4246" s="1">
        <v>0</v>
      </c>
      <c r="I4246" s="1">
        <v>0</v>
      </c>
      <c r="J4246" s="1">
        <v>1</v>
      </c>
      <c r="K4246" s="1">
        <v>1</v>
      </c>
      <c r="L4246" s="1">
        <v>0</v>
      </c>
      <c r="M4246" s="1">
        <v>0</v>
      </c>
    </row>
    <row r="4247" spans="1:13">
      <c r="A4247" s="1">
        <v>4246</v>
      </c>
      <c r="B4247" s="1">
        <v>1019890.6544999999</v>
      </c>
      <c r="C4247" s="1">
        <v>1680128.8947659943</v>
      </c>
      <c r="D4247" s="1">
        <f t="shared" si="66"/>
        <v>-660238.24026599433</v>
      </c>
      <c r="E4247" s="1">
        <v>13</v>
      </c>
      <c r="F4247" s="1">
        <v>17</v>
      </c>
      <c r="G4247" s="1">
        <v>5</v>
      </c>
      <c r="H4247" s="1">
        <v>0</v>
      </c>
      <c r="I4247" s="1">
        <v>0</v>
      </c>
      <c r="J4247" s="1">
        <v>2</v>
      </c>
      <c r="K4247" s="1">
        <v>0</v>
      </c>
      <c r="L4247" s="1">
        <v>0</v>
      </c>
      <c r="M4247" s="1">
        <v>0</v>
      </c>
    </row>
    <row r="4248" spans="1:13">
      <c r="A4248" s="1">
        <v>4247</v>
      </c>
      <c r="B4248" s="1">
        <v>889547.50060000003</v>
      </c>
      <c r="C4248" s="1">
        <v>668163.42780379427</v>
      </c>
      <c r="D4248" s="1">
        <f t="shared" si="66"/>
        <v>221384.07279620576</v>
      </c>
      <c r="E4248" s="1">
        <v>21</v>
      </c>
      <c r="F4248" s="1">
        <v>10</v>
      </c>
      <c r="G4248" s="1">
        <v>4</v>
      </c>
      <c r="H4248" s="1">
        <v>1</v>
      </c>
      <c r="I4248" s="1">
        <v>0</v>
      </c>
      <c r="J4248" s="1">
        <v>0</v>
      </c>
      <c r="K4248" s="1">
        <v>1</v>
      </c>
      <c r="L4248" s="1">
        <v>0</v>
      </c>
      <c r="M4248" s="1">
        <v>0</v>
      </c>
    </row>
    <row r="4249" spans="1:13">
      <c r="A4249" s="1">
        <v>4248</v>
      </c>
      <c r="B4249" s="1">
        <v>934434.22549999994</v>
      </c>
      <c r="C4249" s="1">
        <v>2174792.7300765533</v>
      </c>
      <c r="D4249" s="1">
        <f t="shared" si="66"/>
        <v>-1240358.5045765534</v>
      </c>
      <c r="E4249" s="1">
        <v>21</v>
      </c>
      <c r="F4249" s="1">
        <v>10</v>
      </c>
      <c r="G4249" s="1">
        <v>4</v>
      </c>
      <c r="H4249" s="1">
        <v>1</v>
      </c>
      <c r="I4249" s="1">
        <v>0</v>
      </c>
      <c r="J4249" s="1">
        <v>1</v>
      </c>
      <c r="K4249" s="1">
        <v>0</v>
      </c>
      <c r="L4249" s="1">
        <v>1</v>
      </c>
      <c r="M4249" s="1">
        <v>0</v>
      </c>
    </row>
    <row r="4250" spans="1:13">
      <c r="A4250" s="1">
        <v>4249</v>
      </c>
      <c r="B4250" s="1">
        <v>1115506.1388000001</v>
      </c>
      <c r="C4250" s="1">
        <v>483938.8970952573</v>
      </c>
      <c r="D4250" s="1">
        <f t="shared" si="66"/>
        <v>631567.24170474277</v>
      </c>
      <c r="E4250" s="1">
        <v>8</v>
      </c>
      <c r="F4250" s="1">
        <v>24</v>
      </c>
      <c r="G4250" s="1">
        <v>3</v>
      </c>
      <c r="H4250" s="1">
        <v>2</v>
      </c>
      <c r="I4250" s="1">
        <v>0</v>
      </c>
      <c r="J4250" s="1">
        <v>1</v>
      </c>
      <c r="K4250" s="1">
        <v>0</v>
      </c>
      <c r="L4250" s="1">
        <v>0</v>
      </c>
      <c r="M4250" s="1">
        <v>0</v>
      </c>
    </row>
    <row r="4251" spans="1:13">
      <c r="A4251" s="1">
        <v>4250</v>
      </c>
      <c r="B4251" s="1">
        <v>853687.84809999994</v>
      </c>
      <c r="C4251" s="1">
        <v>898489.34672983875</v>
      </c>
      <c r="D4251" s="1">
        <f t="shared" si="66"/>
        <v>-44801.49862983881</v>
      </c>
      <c r="E4251" s="1">
        <v>16</v>
      </c>
      <c r="F4251" s="1">
        <v>15</v>
      </c>
      <c r="G4251" s="1">
        <v>4</v>
      </c>
      <c r="H4251" s="1">
        <v>1</v>
      </c>
      <c r="I4251" s="1">
        <v>0</v>
      </c>
      <c r="J4251" s="1">
        <v>0</v>
      </c>
      <c r="K4251" s="1">
        <v>1</v>
      </c>
      <c r="L4251" s="1">
        <v>0</v>
      </c>
      <c r="M4251" s="1">
        <v>0</v>
      </c>
    </row>
    <row r="4252" spans="1:13">
      <c r="A4252" s="1">
        <v>4251</v>
      </c>
      <c r="B4252" s="1">
        <v>931172.18310000002</v>
      </c>
      <c r="C4252" s="1">
        <v>748418.33148949861</v>
      </c>
      <c r="D4252" s="1">
        <f t="shared" si="66"/>
        <v>182753.85161050141</v>
      </c>
      <c r="E4252" s="1">
        <v>8</v>
      </c>
      <c r="F4252" s="1">
        <v>21</v>
      </c>
      <c r="G4252" s="1">
        <v>6</v>
      </c>
      <c r="H4252" s="1">
        <v>1</v>
      </c>
      <c r="I4252" s="1">
        <v>0</v>
      </c>
      <c r="J4252" s="1">
        <v>1</v>
      </c>
      <c r="K4252" s="1">
        <v>0</v>
      </c>
      <c r="L4252" s="1">
        <v>0</v>
      </c>
      <c r="M4252" s="1">
        <v>0</v>
      </c>
    </row>
    <row r="4253" spans="1:13">
      <c r="A4253" s="1">
        <v>4252</v>
      </c>
      <c r="B4253" s="1">
        <v>878844.63600000006</v>
      </c>
      <c r="C4253" s="1">
        <v>1176582.5541156225</v>
      </c>
      <c r="D4253" s="1">
        <f t="shared" si="66"/>
        <v>-297737.91811562248</v>
      </c>
      <c r="E4253" s="1">
        <v>10</v>
      </c>
      <c r="F4253" s="1">
        <v>22</v>
      </c>
      <c r="G4253" s="1">
        <v>3</v>
      </c>
      <c r="H4253" s="1">
        <v>1</v>
      </c>
      <c r="I4253" s="1">
        <v>0</v>
      </c>
      <c r="J4253" s="1">
        <v>0</v>
      </c>
      <c r="K4253" s="1">
        <v>0</v>
      </c>
      <c r="L4253" s="1">
        <v>0</v>
      </c>
      <c r="M4253" s="1">
        <v>0</v>
      </c>
    </row>
    <row r="4254" spans="1:13">
      <c r="A4254" s="1">
        <v>4253</v>
      </c>
      <c r="B4254" s="1">
        <v>925549.62529999996</v>
      </c>
      <c r="C4254" s="1">
        <v>1018337.1812731227</v>
      </c>
      <c r="D4254" s="1">
        <f t="shared" si="66"/>
        <v>-92787.555973122711</v>
      </c>
      <c r="E4254" s="1">
        <v>17</v>
      </c>
      <c r="F4254" s="1">
        <v>14</v>
      </c>
      <c r="G4254" s="1">
        <v>4</v>
      </c>
      <c r="H4254" s="1">
        <v>2</v>
      </c>
      <c r="I4254" s="1">
        <v>0</v>
      </c>
      <c r="J4254" s="1">
        <v>0</v>
      </c>
      <c r="K4254" s="1">
        <v>0</v>
      </c>
      <c r="L4254" s="1">
        <v>0</v>
      </c>
      <c r="M4254" s="1">
        <v>0</v>
      </c>
    </row>
    <row r="4255" spans="1:13">
      <c r="A4255" s="1">
        <v>4254</v>
      </c>
      <c r="B4255" s="1">
        <v>995957.103</v>
      </c>
      <c r="C4255" s="1">
        <v>1556824.4496284225</v>
      </c>
      <c r="D4255" s="1">
        <f t="shared" si="66"/>
        <v>-560867.3466284225</v>
      </c>
      <c r="E4255" s="1">
        <v>5</v>
      </c>
      <c r="F4255" s="1">
        <v>23</v>
      </c>
      <c r="G4255" s="1">
        <v>7</v>
      </c>
      <c r="H4255" s="1">
        <v>1</v>
      </c>
      <c r="I4255" s="1">
        <v>0</v>
      </c>
      <c r="J4255" s="1">
        <v>0</v>
      </c>
      <c r="K4255" s="1">
        <v>2</v>
      </c>
      <c r="L4255" s="1">
        <v>0</v>
      </c>
      <c r="M4255" s="1">
        <v>1</v>
      </c>
    </row>
    <row r="4256" spans="1:13">
      <c r="A4256" s="1">
        <v>4255</v>
      </c>
      <c r="B4256" s="1">
        <v>954591.41410000005</v>
      </c>
      <c r="C4256" s="1">
        <v>1161656.715146183</v>
      </c>
      <c r="D4256" s="1">
        <f t="shared" si="66"/>
        <v>-207065.30104618298</v>
      </c>
      <c r="E4256" s="1">
        <v>9</v>
      </c>
      <c r="F4256" s="1">
        <v>19</v>
      </c>
      <c r="G4256" s="1">
        <v>7</v>
      </c>
      <c r="H4256" s="1">
        <v>0</v>
      </c>
      <c r="I4256" s="1">
        <v>2</v>
      </c>
      <c r="J4256" s="1">
        <v>0</v>
      </c>
      <c r="K4256" s="1">
        <v>0</v>
      </c>
      <c r="L4256" s="1">
        <v>0</v>
      </c>
      <c r="M4256" s="1">
        <v>1</v>
      </c>
    </row>
    <row r="4257" spans="1:13">
      <c r="A4257" s="1">
        <v>4256</v>
      </c>
      <c r="B4257" s="1">
        <v>892952.80579999997</v>
      </c>
      <c r="C4257" s="1">
        <v>982333.16559465555</v>
      </c>
      <c r="D4257" s="1">
        <f t="shared" si="66"/>
        <v>-89380.359794655582</v>
      </c>
      <c r="E4257" s="1">
        <v>19</v>
      </c>
      <c r="F4257" s="1">
        <v>10</v>
      </c>
      <c r="G4257" s="1">
        <v>6</v>
      </c>
      <c r="H4257" s="1">
        <v>1</v>
      </c>
      <c r="I4257" s="1">
        <v>0</v>
      </c>
      <c r="J4257" s="1">
        <v>0</v>
      </c>
      <c r="K4257" s="1">
        <v>0</v>
      </c>
      <c r="L4257" s="1">
        <v>0</v>
      </c>
      <c r="M4257" s="1">
        <v>0</v>
      </c>
    </row>
    <row r="4258" spans="1:13">
      <c r="A4258" s="1">
        <v>4257</v>
      </c>
      <c r="B4258" s="1">
        <v>849693.9987</v>
      </c>
      <c r="C4258" s="1">
        <v>880039.86784864333</v>
      </c>
      <c r="D4258" s="1">
        <f t="shared" si="66"/>
        <v>-30345.869148643338</v>
      </c>
      <c r="E4258" s="1">
        <v>19</v>
      </c>
      <c r="F4258" s="1">
        <v>12</v>
      </c>
      <c r="G4258" s="1">
        <v>4</v>
      </c>
      <c r="H4258" s="1">
        <v>1</v>
      </c>
      <c r="I4258" s="1">
        <v>0</v>
      </c>
      <c r="J4258" s="1">
        <v>1</v>
      </c>
      <c r="K4258" s="1">
        <v>1</v>
      </c>
      <c r="L4258" s="1">
        <v>0</v>
      </c>
      <c r="M4258" s="1">
        <v>0</v>
      </c>
    </row>
    <row r="4259" spans="1:13">
      <c r="A4259" s="1">
        <v>4258</v>
      </c>
      <c r="B4259" s="1">
        <v>937813.34299999999</v>
      </c>
      <c r="C4259" s="1">
        <v>440462.39536653704</v>
      </c>
      <c r="D4259" s="1">
        <f t="shared" si="66"/>
        <v>497350.94763346296</v>
      </c>
      <c r="E4259" s="1">
        <v>8</v>
      </c>
      <c r="F4259" s="1">
        <v>20</v>
      </c>
      <c r="G4259" s="1">
        <v>7</v>
      </c>
      <c r="H4259" s="1">
        <v>2</v>
      </c>
      <c r="I4259" s="1">
        <v>0</v>
      </c>
      <c r="J4259" s="1">
        <v>0</v>
      </c>
      <c r="K4259" s="1">
        <v>2</v>
      </c>
      <c r="L4259" s="1">
        <v>0</v>
      </c>
      <c r="M4259" s="1">
        <v>0</v>
      </c>
    </row>
    <row r="4260" spans="1:13">
      <c r="A4260" s="1">
        <v>4259</v>
      </c>
      <c r="B4260" s="1">
        <v>1007847.2455</v>
      </c>
      <c r="C4260" s="1">
        <v>561053.50538028078</v>
      </c>
      <c r="D4260" s="1">
        <f t="shared" si="66"/>
        <v>446793.74011971918</v>
      </c>
      <c r="E4260" s="1">
        <v>8</v>
      </c>
      <c r="F4260" s="1">
        <v>20</v>
      </c>
      <c r="G4260" s="1">
        <v>7</v>
      </c>
      <c r="H4260" s="1">
        <v>1</v>
      </c>
      <c r="I4260" s="1">
        <v>0</v>
      </c>
      <c r="J4260" s="1">
        <v>0</v>
      </c>
      <c r="K4260" s="1">
        <v>1</v>
      </c>
      <c r="L4260" s="1">
        <v>0</v>
      </c>
      <c r="M4260" s="1">
        <v>1</v>
      </c>
    </row>
    <row r="4261" spans="1:13">
      <c r="A4261" s="1">
        <v>4260</v>
      </c>
      <c r="B4261" s="1">
        <v>932073.80299999996</v>
      </c>
      <c r="C4261" s="1">
        <v>766390.92447239067</v>
      </c>
      <c r="D4261" s="1">
        <f t="shared" si="66"/>
        <v>165682.87852760928</v>
      </c>
      <c r="E4261" s="1">
        <v>6</v>
      </c>
      <c r="F4261" s="1">
        <v>26</v>
      </c>
      <c r="G4261" s="1">
        <v>3</v>
      </c>
      <c r="H4261" s="1">
        <v>1</v>
      </c>
      <c r="I4261" s="1">
        <v>1</v>
      </c>
      <c r="J4261" s="1">
        <v>1</v>
      </c>
      <c r="K4261" s="1">
        <v>1</v>
      </c>
      <c r="L4261" s="1">
        <v>0</v>
      </c>
      <c r="M4261" s="1">
        <v>1</v>
      </c>
    </row>
    <row r="4262" spans="1:13">
      <c r="A4262" s="1">
        <v>4261</v>
      </c>
      <c r="B4262" s="1">
        <v>909247.10120000003</v>
      </c>
      <c r="C4262" s="1">
        <v>543040.02936804458</v>
      </c>
      <c r="D4262" s="1">
        <f t="shared" si="66"/>
        <v>366207.07183195546</v>
      </c>
      <c r="E4262" s="1">
        <v>11</v>
      </c>
      <c r="F4262" s="1">
        <v>18</v>
      </c>
      <c r="G4262" s="1">
        <v>6</v>
      </c>
      <c r="H4262" s="1">
        <v>1</v>
      </c>
      <c r="I4262" s="1">
        <v>1</v>
      </c>
      <c r="J4262" s="1">
        <v>1</v>
      </c>
      <c r="K4262" s="1">
        <v>0</v>
      </c>
      <c r="L4262" s="1">
        <v>0</v>
      </c>
      <c r="M4262" s="1">
        <v>0</v>
      </c>
    </row>
    <row r="4263" spans="1:13">
      <c r="A4263" s="1">
        <v>4262</v>
      </c>
      <c r="B4263" s="1">
        <v>987139.77249999996</v>
      </c>
      <c r="C4263" s="1">
        <v>1630571.574710079</v>
      </c>
      <c r="D4263" s="1">
        <f t="shared" si="66"/>
        <v>-643431.80221007904</v>
      </c>
      <c r="E4263" s="1">
        <v>14</v>
      </c>
      <c r="F4263" s="1">
        <v>14</v>
      </c>
      <c r="G4263" s="1">
        <v>7</v>
      </c>
      <c r="H4263" s="1">
        <v>2</v>
      </c>
      <c r="I4263" s="1">
        <v>0</v>
      </c>
      <c r="J4263" s="1">
        <v>1</v>
      </c>
      <c r="K4263" s="1">
        <v>1</v>
      </c>
      <c r="L4263" s="1">
        <v>0</v>
      </c>
      <c r="M4263" s="1">
        <v>0</v>
      </c>
    </row>
    <row r="4264" spans="1:13">
      <c r="A4264" s="1">
        <v>4263</v>
      </c>
      <c r="B4264" s="1">
        <v>975565.88890000002</v>
      </c>
      <c r="C4264" s="1">
        <v>853441.72542588052</v>
      </c>
      <c r="D4264" s="1">
        <f t="shared" si="66"/>
        <v>122124.1634741195</v>
      </c>
      <c r="E4264" s="1">
        <v>18</v>
      </c>
      <c r="F4264" s="1">
        <v>12</v>
      </c>
      <c r="G4264" s="1">
        <v>5</v>
      </c>
      <c r="H4264" s="1">
        <v>1</v>
      </c>
      <c r="I4264" s="1">
        <v>0</v>
      </c>
      <c r="J4264" s="1">
        <v>0</v>
      </c>
      <c r="K4264" s="1">
        <v>1</v>
      </c>
      <c r="L4264" s="1">
        <v>0</v>
      </c>
      <c r="M4264" s="1">
        <v>1</v>
      </c>
    </row>
    <row r="4265" spans="1:13">
      <c r="A4265" s="1">
        <v>4264</v>
      </c>
      <c r="B4265" s="1">
        <v>941203.40269999998</v>
      </c>
      <c r="C4265" s="1">
        <v>838913.86995912855</v>
      </c>
      <c r="D4265" s="1">
        <f t="shared" si="66"/>
        <v>102289.53274087142</v>
      </c>
      <c r="E4265" s="1">
        <v>12</v>
      </c>
      <c r="F4265" s="1">
        <v>19</v>
      </c>
      <c r="G4265" s="1">
        <v>4</v>
      </c>
      <c r="H4265" s="1">
        <v>0</v>
      </c>
      <c r="I4265" s="1">
        <v>0</v>
      </c>
      <c r="J4265" s="1">
        <v>1</v>
      </c>
      <c r="K4265" s="1">
        <v>1</v>
      </c>
      <c r="L4265" s="1">
        <v>0</v>
      </c>
      <c r="M4265" s="1">
        <v>1</v>
      </c>
    </row>
    <row r="4266" spans="1:13">
      <c r="A4266" s="1">
        <v>4265</v>
      </c>
      <c r="B4266" s="1">
        <v>908330.50870000001</v>
      </c>
      <c r="C4266" s="1">
        <v>1076815.8510828475</v>
      </c>
      <c r="D4266" s="1">
        <f t="shared" si="66"/>
        <v>-168485.34238284745</v>
      </c>
      <c r="E4266" s="1">
        <v>13</v>
      </c>
      <c r="F4266" s="1">
        <v>18</v>
      </c>
      <c r="G4266" s="1">
        <v>4</v>
      </c>
      <c r="H4266" s="1">
        <v>1</v>
      </c>
      <c r="I4266" s="1">
        <v>0</v>
      </c>
      <c r="J4266" s="1">
        <v>0</v>
      </c>
      <c r="K4266" s="1">
        <v>0</v>
      </c>
      <c r="L4266" s="1">
        <v>0</v>
      </c>
      <c r="M4266" s="1">
        <v>0</v>
      </c>
    </row>
    <row r="4267" spans="1:13">
      <c r="A4267" s="1">
        <v>4266</v>
      </c>
      <c r="B4267" s="1">
        <v>976518.47129999998</v>
      </c>
      <c r="C4267" s="1">
        <v>1133195.2436822387</v>
      </c>
      <c r="D4267" s="1">
        <f t="shared" si="66"/>
        <v>-156676.77238223876</v>
      </c>
      <c r="E4267" s="1">
        <v>13</v>
      </c>
      <c r="F4267" s="1">
        <v>15</v>
      </c>
      <c r="G4267" s="1">
        <v>7</v>
      </c>
      <c r="H4267" s="1">
        <v>1</v>
      </c>
      <c r="I4267" s="1">
        <v>1</v>
      </c>
      <c r="J4267" s="1">
        <v>2</v>
      </c>
      <c r="K4267" s="1">
        <v>0</v>
      </c>
      <c r="L4267" s="1">
        <v>0</v>
      </c>
      <c r="M4267" s="1">
        <v>0</v>
      </c>
    </row>
    <row r="4268" spans="1:13">
      <c r="A4268" s="1">
        <v>4267</v>
      </c>
      <c r="B4268" s="1">
        <v>936079.20010000002</v>
      </c>
      <c r="C4268" s="1">
        <v>547433.83844123478</v>
      </c>
      <c r="D4268" s="1">
        <f t="shared" si="66"/>
        <v>388645.36165876524</v>
      </c>
      <c r="E4268" s="1">
        <v>8</v>
      </c>
      <c r="F4268" s="1">
        <v>21</v>
      </c>
      <c r="G4268" s="1">
        <v>6</v>
      </c>
      <c r="H4268" s="1">
        <v>2</v>
      </c>
      <c r="I4268" s="1">
        <v>0</v>
      </c>
      <c r="J4268" s="1">
        <v>0</v>
      </c>
      <c r="K4268" s="1">
        <v>2</v>
      </c>
      <c r="L4268" s="1">
        <v>0</v>
      </c>
      <c r="M4268" s="1">
        <v>1</v>
      </c>
    </row>
    <row r="4269" spans="1:13">
      <c r="A4269" s="1">
        <v>4268</v>
      </c>
      <c r="B4269" s="1">
        <v>995718.26419999998</v>
      </c>
      <c r="C4269" s="1">
        <v>940120.74792430468</v>
      </c>
      <c r="D4269" s="1">
        <f t="shared" si="66"/>
        <v>55597.516275695292</v>
      </c>
      <c r="E4269" s="1">
        <v>10</v>
      </c>
      <c r="F4269" s="1">
        <v>21</v>
      </c>
      <c r="G4269" s="1">
        <v>4</v>
      </c>
      <c r="H4269" s="1">
        <v>1</v>
      </c>
      <c r="I4269" s="1">
        <v>1</v>
      </c>
      <c r="J4269" s="1">
        <v>1</v>
      </c>
      <c r="K4269" s="1">
        <v>1</v>
      </c>
      <c r="L4269" s="1">
        <v>0</v>
      </c>
      <c r="M4269" s="1">
        <v>0</v>
      </c>
    </row>
    <row r="4270" spans="1:13">
      <c r="A4270" s="1">
        <v>4269</v>
      </c>
      <c r="B4270" s="1">
        <v>900416.97169999999</v>
      </c>
      <c r="C4270" s="1">
        <v>879613.28870738018</v>
      </c>
      <c r="D4270" s="1">
        <f t="shared" si="66"/>
        <v>20803.682992619812</v>
      </c>
      <c r="E4270" s="1">
        <v>14</v>
      </c>
      <c r="F4270" s="1">
        <v>18</v>
      </c>
      <c r="G4270" s="1">
        <v>3</v>
      </c>
      <c r="H4270" s="1">
        <v>0</v>
      </c>
      <c r="I4270" s="1">
        <v>0</v>
      </c>
      <c r="J4270" s="1">
        <v>1</v>
      </c>
      <c r="K4270" s="1">
        <v>1</v>
      </c>
      <c r="L4270" s="1">
        <v>0</v>
      </c>
      <c r="M4270" s="1">
        <v>1</v>
      </c>
    </row>
    <row r="4271" spans="1:13">
      <c r="A4271" s="1">
        <v>4270</v>
      </c>
      <c r="B4271" s="1">
        <v>940782.09889999998</v>
      </c>
      <c r="C4271" s="1">
        <v>936708.32737802097</v>
      </c>
      <c r="D4271" s="1">
        <f t="shared" si="66"/>
        <v>4073.7715219790116</v>
      </c>
      <c r="E4271" s="1">
        <v>11</v>
      </c>
      <c r="F4271" s="1">
        <v>19</v>
      </c>
      <c r="G4271" s="1">
        <v>5</v>
      </c>
      <c r="H4271" s="1">
        <v>0</v>
      </c>
      <c r="I4271" s="1">
        <v>0</v>
      </c>
      <c r="J4271" s="1">
        <v>1</v>
      </c>
      <c r="K4271" s="1">
        <v>1</v>
      </c>
      <c r="L4271" s="1">
        <v>0</v>
      </c>
      <c r="M4271" s="1">
        <v>1</v>
      </c>
    </row>
    <row r="4272" spans="1:13">
      <c r="A4272" s="1">
        <v>4271</v>
      </c>
      <c r="B4272" s="1">
        <v>889209.58929999999</v>
      </c>
      <c r="C4272" s="1">
        <v>1214508.5850160047</v>
      </c>
      <c r="D4272" s="1">
        <f t="shared" si="66"/>
        <v>-325298.99571600475</v>
      </c>
      <c r="E4272" s="1">
        <v>17</v>
      </c>
      <c r="F4272" s="1">
        <v>14</v>
      </c>
      <c r="G4272" s="1">
        <v>4</v>
      </c>
      <c r="H4272" s="1">
        <v>1</v>
      </c>
      <c r="I4272" s="1">
        <v>1</v>
      </c>
      <c r="J4272" s="1">
        <v>2</v>
      </c>
      <c r="K4272" s="1">
        <v>0</v>
      </c>
      <c r="L4272" s="1">
        <v>0</v>
      </c>
      <c r="M4272" s="1">
        <v>0</v>
      </c>
    </row>
    <row r="4273" spans="1:13">
      <c r="A4273" s="1">
        <v>4272</v>
      </c>
      <c r="B4273" s="1">
        <v>964037.33389999997</v>
      </c>
      <c r="C4273" s="1">
        <v>839637.83336205536</v>
      </c>
      <c r="D4273" s="1">
        <f t="shared" si="66"/>
        <v>124399.50053794461</v>
      </c>
      <c r="E4273" s="1">
        <v>7</v>
      </c>
      <c r="F4273" s="1">
        <v>25</v>
      </c>
      <c r="G4273" s="1">
        <v>3</v>
      </c>
      <c r="H4273" s="1">
        <v>1</v>
      </c>
      <c r="I4273" s="1">
        <v>0</v>
      </c>
      <c r="J4273" s="1">
        <v>0</v>
      </c>
      <c r="K4273" s="1">
        <v>1</v>
      </c>
      <c r="L4273" s="1">
        <v>0</v>
      </c>
      <c r="M4273" s="1">
        <v>0</v>
      </c>
    </row>
    <row r="4274" spans="1:13">
      <c r="A4274" s="1">
        <v>4273</v>
      </c>
      <c r="B4274" s="1">
        <v>1025181.3464</v>
      </c>
      <c r="C4274" s="1">
        <v>643305.73541292734</v>
      </c>
      <c r="D4274" s="1">
        <f t="shared" si="66"/>
        <v>381875.61098707269</v>
      </c>
      <c r="E4274" s="1">
        <v>13</v>
      </c>
      <c r="F4274" s="1">
        <v>18</v>
      </c>
      <c r="G4274" s="1">
        <v>4</v>
      </c>
      <c r="H4274" s="1">
        <v>1</v>
      </c>
      <c r="I4274" s="1">
        <v>1</v>
      </c>
      <c r="J4274" s="1">
        <v>0</v>
      </c>
      <c r="K4274" s="1">
        <v>1</v>
      </c>
      <c r="L4274" s="1">
        <v>0</v>
      </c>
      <c r="M4274" s="1">
        <v>1</v>
      </c>
    </row>
    <row r="4275" spans="1:13">
      <c r="A4275" s="1">
        <v>4274</v>
      </c>
      <c r="B4275" s="1">
        <v>890025.0956</v>
      </c>
      <c r="C4275" s="1">
        <v>889950.36200897093</v>
      </c>
      <c r="D4275" s="1">
        <f t="shared" si="66"/>
        <v>74.733591029071249</v>
      </c>
      <c r="E4275" s="1">
        <v>8</v>
      </c>
      <c r="F4275" s="1">
        <v>22</v>
      </c>
      <c r="G4275" s="1">
        <v>5</v>
      </c>
      <c r="H4275" s="1">
        <v>1</v>
      </c>
      <c r="I4275" s="1">
        <v>0</v>
      </c>
      <c r="J4275" s="1">
        <v>1</v>
      </c>
      <c r="K4275" s="1">
        <v>1</v>
      </c>
      <c r="L4275" s="1">
        <v>0</v>
      </c>
      <c r="M4275" s="1">
        <v>0</v>
      </c>
    </row>
    <row r="4276" spans="1:13">
      <c r="A4276" s="1">
        <v>4275</v>
      </c>
      <c r="B4276" s="1">
        <v>953399.67359999998</v>
      </c>
      <c r="C4276" s="1">
        <v>1286534.2294141522</v>
      </c>
      <c r="D4276" s="1">
        <f t="shared" si="66"/>
        <v>-333134.55581415223</v>
      </c>
      <c r="E4276" s="1">
        <v>13</v>
      </c>
      <c r="F4276" s="1">
        <v>15</v>
      </c>
      <c r="G4276" s="1">
        <v>7</v>
      </c>
      <c r="H4276" s="1">
        <v>0</v>
      </c>
      <c r="I4276" s="1">
        <v>0</v>
      </c>
      <c r="J4276" s="1">
        <v>0</v>
      </c>
      <c r="K4276" s="1">
        <v>1</v>
      </c>
      <c r="L4276" s="1">
        <v>1</v>
      </c>
      <c r="M4276" s="1">
        <v>1</v>
      </c>
    </row>
    <row r="4277" spans="1:13">
      <c r="A4277" s="1">
        <v>4276</v>
      </c>
      <c r="B4277" s="1">
        <v>1016854.2511</v>
      </c>
      <c r="C4277" s="1">
        <v>865767.94420922047</v>
      </c>
      <c r="D4277" s="1">
        <f t="shared" si="66"/>
        <v>151086.30689077952</v>
      </c>
      <c r="E4277" s="1">
        <v>15</v>
      </c>
      <c r="F4277" s="1">
        <v>15</v>
      </c>
      <c r="G4277" s="1">
        <v>5</v>
      </c>
      <c r="H4277" s="1">
        <v>1</v>
      </c>
      <c r="I4277" s="1">
        <v>0</v>
      </c>
      <c r="J4277" s="1">
        <v>1</v>
      </c>
      <c r="K4277" s="1">
        <v>0</v>
      </c>
      <c r="L4277" s="1">
        <v>0</v>
      </c>
      <c r="M4277" s="1">
        <v>0</v>
      </c>
    </row>
    <row r="4278" spans="1:13">
      <c r="A4278" s="1">
        <v>4277</v>
      </c>
      <c r="B4278" s="1">
        <v>920513.40269999998</v>
      </c>
      <c r="C4278" s="1">
        <v>1205355.795477313</v>
      </c>
      <c r="D4278" s="1">
        <f t="shared" si="66"/>
        <v>-284842.39277731301</v>
      </c>
      <c r="E4278" s="1">
        <v>11</v>
      </c>
      <c r="F4278" s="1">
        <v>21</v>
      </c>
      <c r="G4278" s="1">
        <v>3</v>
      </c>
      <c r="H4278" s="1">
        <v>1</v>
      </c>
      <c r="I4278" s="1">
        <v>1</v>
      </c>
      <c r="J4278" s="1">
        <v>0</v>
      </c>
      <c r="K4278" s="1">
        <v>2</v>
      </c>
      <c r="L4278" s="1">
        <v>0</v>
      </c>
      <c r="M4278" s="1">
        <v>0</v>
      </c>
    </row>
    <row r="4279" spans="1:13">
      <c r="A4279" s="1">
        <v>4278</v>
      </c>
      <c r="B4279" s="1">
        <v>920681.79989999998</v>
      </c>
      <c r="C4279" s="1">
        <v>807068.78489371529</v>
      </c>
      <c r="D4279" s="1">
        <f t="shared" si="66"/>
        <v>113613.0150062847</v>
      </c>
      <c r="E4279" s="1">
        <v>7</v>
      </c>
      <c r="F4279" s="1">
        <v>24</v>
      </c>
      <c r="G4279" s="1">
        <v>4</v>
      </c>
      <c r="H4279" s="1">
        <v>0</v>
      </c>
      <c r="I4279" s="1">
        <v>0</v>
      </c>
      <c r="J4279" s="1">
        <v>1</v>
      </c>
      <c r="K4279" s="1">
        <v>1</v>
      </c>
      <c r="L4279" s="1">
        <v>0</v>
      </c>
      <c r="M4279" s="1">
        <v>1</v>
      </c>
    </row>
    <row r="4280" spans="1:13">
      <c r="A4280" s="1">
        <v>4279</v>
      </c>
      <c r="B4280" s="1">
        <v>912711.83900000004</v>
      </c>
      <c r="C4280" s="1">
        <v>609130.01221943391</v>
      </c>
      <c r="D4280" s="1">
        <f t="shared" si="66"/>
        <v>303581.82678056613</v>
      </c>
      <c r="E4280" s="1">
        <v>20</v>
      </c>
      <c r="F4280" s="1">
        <v>12</v>
      </c>
      <c r="G4280" s="1">
        <v>3</v>
      </c>
      <c r="H4280" s="1">
        <v>1</v>
      </c>
      <c r="I4280" s="1">
        <v>1</v>
      </c>
      <c r="J4280" s="1">
        <v>0</v>
      </c>
      <c r="K4280" s="1">
        <v>0</v>
      </c>
      <c r="L4280" s="1">
        <v>0</v>
      </c>
      <c r="M4280" s="1">
        <v>0</v>
      </c>
    </row>
    <row r="4281" spans="1:13">
      <c r="A4281" s="1">
        <v>4280</v>
      </c>
      <c r="B4281" s="1">
        <v>880002.42799999996</v>
      </c>
      <c r="C4281" s="1">
        <v>1058480.9763939944</v>
      </c>
      <c r="D4281" s="1">
        <f t="shared" si="66"/>
        <v>-178478.54839399445</v>
      </c>
      <c r="E4281" s="1">
        <v>15</v>
      </c>
      <c r="F4281" s="1">
        <v>16</v>
      </c>
      <c r="G4281" s="1">
        <v>4</v>
      </c>
      <c r="H4281" s="1">
        <v>1</v>
      </c>
      <c r="I4281" s="1">
        <v>0</v>
      </c>
      <c r="J4281" s="1">
        <v>1</v>
      </c>
      <c r="K4281" s="1">
        <v>0</v>
      </c>
      <c r="L4281" s="1">
        <v>0</v>
      </c>
      <c r="M4281" s="1">
        <v>0</v>
      </c>
    </row>
    <row r="4282" spans="1:13">
      <c r="A4282" s="1">
        <v>4281</v>
      </c>
      <c r="B4282" s="1">
        <v>862483.63619999995</v>
      </c>
      <c r="C4282" s="1">
        <v>666246.72101881786</v>
      </c>
      <c r="D4282" s="1">
        <f t="shared" si="66"/>
        <v>196236.91518118209</v>
      </c>
      <c r="E4282" s="1">
        <v>13</v>
      </c>
      <c r="F4282" s="1">
        <v>17</v>
      </c>
      <c r="G4282" s="1">
        <v>5</v>
      </c>
      <c r="H4282" s="1">
        <v>1</v>
      </c>
      <c r="I4282" s="1">
        <v>1</v>
      </c>
      <c r="J4282" s="1">
        <v>0</v>
      </c>
      <c r="K4282" s="1">
        <v>1</v>
      </c>
      <c r="L4282" s="1">
        <v>1</v>
      </c>
      <c r="M4282" s="1">
        <v>0</v>
      </c>
    </row>
    <row r="4283" spans="1:13">
      <c r="A4283" s="1">
        <v>4282</v>
      </c>
      <c r="B4283" s="1">
        <v>1055297.1976000001</v>
      </c>
      <c r="C4283" s="1">
        <v>1157595.0670743913</v>
      </c>
      <c r="D4283" s="1">
        <f t="shared" si="66"/>
        <v>-102297.86947439122</v>
      </c>
      <c r="E4283" s="1">
        <v>12</v>
      </c>
      <c r="F4283" s="1">
        <v>18</v>
      </c>
      <c r="G4283" s="1">
        <v>5</v>
      </c>
      <c r="H4283" s="1">
        <v>1</v>
      </c>
      <c r="I4283" s="1">
        <v>1</v>
      </c>
      <c r="J4283" s="1">
        <v>0</v>
      </c>
      <c r="K4283" s="1">
        <v>1</v>
      </c>
      <c r="L4283" s="1">
        <v>0</v>
      </c>
      <c r="M4283" s="1">
        <v>0</v>
      </c>
    </row>
    <row r="4284" spans="1:13">
      <c r="A4284" s="1">
        <v>4283</v>
      </c>
      <c r="B4284" s="1">
        <v>1037782.5609</v>
      </c>
      <c r="C4284" s="1">
        <v>654854.5350610665</v>
      </c>
      <c r="D4284" s="1">
        <f t="shared" si="66"/>
        <v>382928.02583893354</v>
      </c>
      <c r="E4284" s="1">
        <v>8</v>
      </c>
      <c r="F4284" s="1">
        <v>22</v>
      </c>
      <c r="G4284" s="1">
        <v>5</v>
      </c>
      <c r="H4284" s="1">
        <v>2</v>
      </c>
      <c r="I4284" s="1">
        <v>0</v>
      </c>
      <c r="J4284" s="1">
        <v>2</v>
      </c>
      <c r="K4284" s="1">
        <v>0</v>
      </c>
      <c r="L4284" s="1">
        <v>0</v>
      </c>
      <c r="M4284" s="1">
        <v>0</v>
      </c>
    </row>
    <row r="4285" spans="1:13">
      <c r="A4285" s="1">
        <v>4284</v>
      </c>
      <c r="B4285" s="1">
        <v>972432.1237</v>
      </c>
      <c r="C4285" s="1">
        <v>855576.18184376636</v>
      </c>
      <c r="D4285" s="1">
        <f t="shared" si="66"/>
        <v>116855.94185623364</v>
      </c>
      <c r="E4285" s="1">
        <v>8</v>
      </c>
      <c r="F4285" s="1">
        <v>20</v>
      </c>
      <c r="G4285" s="1">
        <v>7</v>
      </c>
      <c r="H4285" s="1">
        <v>0</v>
      </c>
      <c r="I4285" s="1">
        <v>0</v>
      </c>
      <c r="J4285" s="1">
        <v>0</v>
      </c>
      <c r="K4285" s="1">
        <v>1</v>
      </c>
      <c r="L4285" s="1">
        <v>0</v>
      </c>
      <c r="M4285" s="1">
        <v>1</v>
      </c>
    </row>
    <row r="4286" spans="1:13">
      <c r="A4286" s="1">
        <v>4285</v>
      </c>
      <c r="B4286" s="1">
        <v>843179.60849999997</v>
      </c>
      <c r="C4286" s="1">
        <v>1331609.2459495761</v>
      </c>
      <c r="D4286" s="1">
        <f t="shared" si="66"/>
        <v>-488429.63744957617</v>
      </c>
      <c r="E4286" s="1">
        <v>11</v>
      </c>
      <c r="F4286" s="1">
        <v>20</v>
      </c>
      <c r="G4286" s="1">
        <v>4</v>
      </c>
      <c r="H4286" s="1">
        <v>2</v>
      </c>
      <c r="I4286" s="1">
        <v>0</v>
      </c>
      <c r="J4286" s="1">
        <v>1</v>
      </c>
      <c r="K4286" s="1">
        <v>0</v>
      </c>
      <c r="L4286" s="1">
        <v>0</v>
      </c>
      <c r="M4286" s="1">
        <v>0</v>
      </c>
    </row>
    <row r="4287" spans="1:13">
      <c r="A4287" s="1">
        <v>4286</v>
      </c>
      <c r="B4287" s="1">
        <v>828702.02370000002</v>
      </c>
      <c r="C4287" s="1">
        <v>1091005.0571325654</v>
      </c>
      <c r="D4287" s="1">
        <f t="shared" si="66"/>
        <v>-262303.0334325654</v>
      </c>
      <c r="E4287" s="1">
        <v>23</v>
      </c>
      <c r="F4287" s="1">
        <v>7</v>
      </c>
      <c r="G4287" s="1">
        <v>5</v>
      </c>
      <c r="H4287" s="1">
        <v>2</v>
      </c>
      <c r="I4287" s="1">
        <v>0</v>
      </c>
      <c r="J4287" s="1">
        <v>0</v>
      </c>
      <c r="K4287" s="1">
        <v>1</v>
      </c>
      <c r="L4287" s="1">
        <v>1</v>
      </c>
      <c r="M4287" s="1">
        <v>0</v>
      </c>
    </row>
    <row r="4288" spans="1:13">
      <c r="A4288" s="1">
        <v>4287</v>
      </c>
      <c r="B4288" s="1">
        <v>773060.51690000005</v>
      </c>
      <c r="C4288" s="1">
        <v>1009475.9034670976</v>
      </c>
      <c r="D4288" s="1">
        <f t="shared" si="66"/>
        <v>-236415.38656709751</v>
      </c>
      <c r="E4288" s="1">
        <v>16</v>
      </c>
      <c r="F4288" s="1">
        <v>15</v>
      </c>
      <c r="G4288" s="1">
        <v>4</v>
      </c>
      <c r="H4288" s="1">
        <v>0</v>
      </c>
      <c r="I4288" s="1">
        <v>0</v>
      </c>
      <c r="J4288" s="1">
        <v>0</v>
      </c>
      <c r="K4288" s="1">
        <v>1</v>
      </c>
      <c r="L4288" s="1">
        <v>0</v>
      </c>
      <c r="M4288" s="1">
        <v>0</v>
      </c>
    </row>
    <row r="4289" spans="1:13">
      <c r="A4289" s="1">
        <v>4288</v>
      </c>
      <c r="B4289" s="1">
        <v>942397.01080000005</v>
      </c>
      <c r="C4289" s="1">
        <v>922113.38295776956</v>
      </c>
      <c r="D4289" s="1">
        <f t="shared" si="66"/>
        <v>20283.627842230489</v>
      </c>
      <c r="E4289" s="1">
        <v>14</v>
      </c>
      <c r="F4289" s="1">
        <v>19</v>
      </c>
      <c r="G4289" s="1">
        <v>2</v>
      </c>
      <c r="H4289" s="1">
        <v>0</v>
      </c>
      <c r="I4289" s="1">
        <v>1</v>
      </c>
      <c r="J4289" s="1">
        <v>0</v>
      </c>
      <c r="K4289" s="1">
        <v>0</v>
      </c>
      <c r="L4289" s="1">
        <v>0</v>
      </c>
      <c r="M4289" s="1">
        <v>1</v>
      </c>
    </row>
    <row r="4290" spans="1:13">
      <c r="A4290" s="1">
        <v>4289</v>
      </c>
      <c r="B4290" s="1">
        <v>1011518.3734</v>
      </c>
      <c r="C4290" s="1">
        <v>838882.39691103925</v>
      </c>
      <c r="D4290" s="1">
        <f t="shared" ref="D4290:D4353" si="67">B4290-C4290</f>
        <v>172635.97648896079</v>
      </c>
      <c r="E4290" s="1">
        <v>12</v>
      </c>
      <c r="F4290" s="1">
        <v>19</v>
      </c>
      <c r="G4290" s="1">
        <v>4</v>
      </c>
      <c r="H4290" s="1">
        <v>1</v>
      </c>
      <c r="I4290" s="1">
        <v>0</v>
      </c>
      <c r="J4290" s="1">
        <v>1</v>
      </c>
      <c r="K4290" s="1">
        <v>0</v>
      </c>
      <c r="L4290" s="1">
        <v>0</v>
      </c>
      <c r="M4290" s="1">
        <v>0</v>
      </c>
    </row>
    <row r="4291" spans="1:13">
      <c r="A4291" s="1">
        <v>4290</v>
      </c>
      <c r="B4291" s="1">
        <v>867253.62419999996</v>
      </c>
      <c r="C4291" s="1">
        <v>960185.08846164495</v>
      </c>
      <c r="D4291" s="1">
        <f t="shared" si="67"/>
        <v>-92931.464261644986</v>
      </c>
      <c r="E4291" s="1">
        <v>11</v>
      </c>
      <c r="F4291" s="1">
        <v>21</v>
      </c>
      <c r="G4291" s="1">
        <v>3</v>
      </c>
      <c r="H4291" s="1">
        <v>0</v>
      </c>
      <c r="I4291" s="1">
        <v>1</v>
      </c>
      <c r="J4291" s="1">
        <v>0</v>
      </c>
      <c r="K4291" s="1">
        <v>1</v>
      </c>
      <c r="L4291" s="1">
        <v>0</v>
      </c>
      <c r="M4291" s="1">
        <v>1</v>
      </c>
    </row>
    <row r="4292" spans="1:13">
      <c r="A4292" s="1">
        <v>4291</v>
      </c>
      <c r="B4292" s="1">
        <v>952683.62560000003</v>
      </c>
      <c r="C4292" s="1">
        <v>719882.94407408114</v>
      </c>
      <c r="D4292" s="1">
        <f t="shared" si="67"/>
        <v>232800.68152591889</v>
      </c>
      <c r="E4292" s="1">
        <v>5</v>
      </c>
      <c r="F4292" s="1">
        <v>20</v>
      </c>
      <c r="G4292" s="1">
        <v>10</v>
      </c>
      <c r="H4292" s="1">
        <v>1</v>
      </c>
      <c r="I4292" s="1">
        <v>0</v>
      </c>
      <c r="J4292" s="1">
        <v>0</v>
      </c>
      <c r="K4292" s="1">
        <v>0</v>
      </c>
      <c r="L4292" s="1">
        <v>0</v>
      </c>
      <c r="M4292" s="1">
        <v>0</v>
      </c>
    </row>
    <row r="4293" spans="1:13">
      <c r="A4293" s="1">
        <v>4292</v>
      </c>
      <c r="B4293" s="1">
        <v>776092.16189999995</v>
      </c>
      <c r="C4293" s="1">
        <v>1274190.0763483606</v>
      </c>
      <c r="D4293" s="1">
        <f t="shared" si="67"/>
        <v>-498097.91444836068</v>
      </c>
      <c r="E4293" s="1">
        <v>22</v>
      </c>
      <c r="F4293" s="1">
        <v>10</v>
      </c>
      <c r="G4293" s="1">
        <v>3</v>
      </c>
      <c r="H4293" s="1">
        <v>1</v>
      </c>
      <c r="I4293" s="1">
        <v>0</v>
      </c>
      <c r="J4293" s="1">
        <v>0</v>
      </c>
      <c r="K4293" s="1">
        <v>0</v>
      </c>
      <c r="L4293" s="1">
        <v>0</v>
      </c>
      <c r="M4293" s="1">
        <v>1</v>
      </c>
    </row>
    <row r="4294" spans="1:13">
      <c r="A4294" s="1">
        <v>4293</v>
      </c>
      <c r="B4294" s="1">
        <v>1016861.1801</v>
      </c>
      <c r="C4294" s="1">
        <v>617911.79593752883</v>
      </c>
      <c r="D4294" s="1">
        <f t="shared" si="67"/>
        <v>398949.38416247116</v>
      </c>
      <c r="E4294" s="1">
        <v>15</v>
      </c>
      <c r="F4294" s="1">
        <v>14</v>
      </c>
      <c r="G4294" s="1">
        <v>6</v>
      </c>
      <c r="H4294" s="1">
        <v>0</v>
      </c>
      <c r="I4294" s="1">
        <v>0</v>
      </c>
      <c r="J4294" s="1">
        <v>0</v>
      </c>
      <c r="K4294" s="1">
        <v>1</v>
      </c>
      <c r="L4294" s="1">
        <v>0</v>
      </c>
      <c r="M4294" s="1">
        <v>0</v>
      </c>
    </row>
    <row r="4295" spans="1:13">
      <c r="A4295" s="1">
        <v>4294</v>
      </c>
      <c r="B4295" s="1">
        <v>924627.63910000003</v>
      </c>
      <c r="C4295" s="1">
        <v>576104.42168906296</v>
      </c>
      <c r="D4295" s="1">
        <f t="shared" si="67"/>
        <v>348523.21741093707</v>
      </c>
      <c r="E4295" s="1">
        <v>14</v>
      </c>
      <c r="F4295" s="1">
        <v>15</v>
      </c>
      <c r="G4295" s="1">
        <v>6</v>
      </c>
      <c r="H4295" s="1">
        <v>1</v>
      </c>
      <c r="I4295" s="1">
        <v>0</v>
      </c>
      <c r="J4295" s="1">
        <v>0</v>
      </c>
      <c r="K4295" s="1">
        <v>1</v>
      </c>
      <c r="L4295" s="1">
        <v>0</v>
      </c>
      <c r="M4295" s="1">
        <v>0</v>
      </c>
    </row>
    <row r="4296" spans="1:13">
      <c r="A4296" s="1">
        <v>4295</v>
      </c>
      <c r="B4296" s="1">
        <v>1041007.6187</v>
      </c>
      <c r="C4296" s="1">
        <v>1001547.5952587427</v>
      </c>
      <c r="D4296" s="1">
        <f t="shared" si="67"/>
        <v>39460.023441257305</v>
      </c>
      <c r="E4296" s="1">
        <v>6</v>
      </c>
      <c r="F4296" s="1">
        <v>23</v>
      </c>
      <c r="G4296" s="1">
        <v>6</v>
      </c>
      <c r="H4296" s="1">
        <v>1</v>
      </c>
      <c r="I4296" s="1">
        <v>0</v>
      </c>
      <c r="J4296" s="1">
        <v>1</v>
      </c>
      <c r="K4296" s="1">
        <v>1</v>
      </c>
      <c r="L4296" s="1">
        <v>0</v>
      </c>
      <c r="M4296" s="1">
        <v>0</v>
      </c>
    </row>
    <row r="4297" spans="1:13">
      <c r="A4297" s="1">
        <v>4296</v>
      </c>
      <c r="B4297" s="1">
        <v>975650.63740000001</v>
      </c>
      <c r="C4297" s="1">
        <v>689768.21793046512</v>
      </c>
      <c r="D4297" s="1">
        <f t="shared" si="67"/>
        <v>285882.41946953489</v>
      </c>
      <c r="E4297" s="1">
        <v>18</v>
      </c>
      <c r="F4297" s="1">
        <v>8</v>
      </c>
      <c r="G4297" s="1">
        <v>9</v>
      </c>
      <c r="H4297" s="1">
        <v>1</v>
      </c>
      <c r="I4297" s="1">
        <v>1</v>
      </c>
      <c r="J4297" s="1">
        <v>0</v>
      </c>
      <c r="K4297" s="1">
        <v>1</v>
      </c>
      <c r="L4297" s="1">
        <v>0</v>
      </c>
      <c r="M4297" s="1">
        <v>0</v>
      </c>
    </row>
    <row r="4298" spans="1:13">
      <c r="A4298" s="1">
        <v>4297</v>
      </c>
      <c r="B4298" s="1">
        <v>1078730.1147</v>
      </c>
      <c r="C4298" s="1">
        <v>758862.40320705902</v>
      </c>
      <c r="D4298" s="1">
        <f t="shared" si="67"/>
        <v>319867.71149294102</v>
      </c>
      <c r="E4298" s="1">
        <v>5</v>
      </c>
      <c r="F4298" s="1">
        <v>23</v>
      </c>
      <c r="G4298" s="1">
        <v>7</v>
      </c>
      <c r="H4298" s="1">
        <v>1</v>
      </c>
      <c r="I4298" s="1">
        <v>0</v>
      </c>
      <c r="J4298" s="1">
        <v>1</v>
      </c>
      <c r="K4298" s="1">
        <v>1</v>
      </c>
      <c r="L4298" s="1">
        <v>0</v>
      </c>
      <c r="M4298" s="1">
        <v>1</v>
      </c>
    </row>
    <row r="4299" spans="1:13">
      <c r="A4299" s="1">
        <v>4298</v>
      </c>
      <c r="B4299" s="1">
        <v>966256.97790000006</v>
      </c>
      <c r="C4299" s="1">
        <v>828590.35643850744</v>
      </c>
      <c r="D4299" s="1">
        <f t="shared" si="67"/>
        <v>137666.62146149261</v>
      </c>
      <c r="E4299" s="1">
        <v>12</v>
      </c>
      <c r="F4299" s="1">
        <v>16</v>
      </c>
      <c r="G4299" s="1">
        <v>7</v>
      </c>
      <c r="H4299" s="1">
        <v>1</v>
      </c>
      <c r="I4299" s="1">
        <v>0</v>
      </c>
      <c r="J4299" s="1">
        <v>0</v>
      </c>
      <c r="K4299" s="1">
        <v>0</v>
      </c>
      <c r="L4299" s="1">
        <v>0</v>
      </c>
      <c r="M4299" s="1">
        <v>0</v>
      </c>
    </row>
    <row r="4300" spans="1:13">
      <c r="A4300" s="1">
        <v>4299</v>
      </c>
      <c r="B4300" s="1">
        <v>912758.34250000003</v>
      </c>
      <c r="C4300" s="1">
        <v>470544.94120198314</v>
      </c>
      <c r="D4300" s="1">
        <f t="shared" si="67"/>
        <v>442213.40129801689</v>
      </c>
      <c r="E4300" s="1">
        <v>16</v>
      </c>
      <c r="F4300" s="1">
        <v>18</v>
      </c>
      <c r="G4300" s="1">
        <v>1</v>
      </c>
      <c r="H4300" s="1">
        <v>0</v>
      </c>
      <c r="I4300" s="1">
        <v>0</v>
      </c>
      <c r="J4300" s="1">
        <v>0</v>
      </c>
      <c r="K4300" s="1">
        <v>0</v>
      </c>
      <c r="L4300" s="1">
        <v>0</v>
      </c>
      <c r="M4300" s="1">
        <v>1</v>
      </c>
    </row>
    <row r="4301" spans="1:13">
      <c r="A4301" s="1">
        <v>4300</v>
      </c>
      <c r="B4301" s="1">
        <v>927699.50670000003</v>
      </c>
      <c r="C4301" s="1">
        <v>890238.96479009069</v>
      </c>
      <c r="D4301" s="1">
        <f t="shared" si="67"/>
        <v>37460.541909909341</v>
      </c>
      <c r="E4301" s="1">
        <v>19</v>
      </c>
      <c r="F4301" s="1">
        <v>10</v>
      </c>
      <c r="G4301" s="1">
        <v>6</v>
      </c>
      <c r="H4301" s="1">
        <v>0</v>
      </c>
      <c r="I4301" s="1">
        <v>0</v>
      </c>
      <c r="J4301" s="1">
        <v>1</v>
      </c>
      <c r="K4301" s="1">
        <v>1</v>
      </c>
      <c r="L4301" s="1">
        <v>0</v>
      </c>
      <c r="M4301" s="1">
        <v>0</v>
      </c>
    </row>
    <row r="4302" spans="1:13">
      <c r="A4302" s="1">
        <v>4301</v>
      </c>
      <c r="B4302" s="1">
        <v>1042501.1259</v>
      </c>
      <c r="C4302" s="1">
        <v>953516.15526468877</v>
      </c>
      <c r="D4302" s="1">
        <f t="shared" si="67"/>
        <v>88984.970635311212</v>
      </c>
      <c r="E4302" s="1">
        <v>16</v>
      </c>
      <c r="F4302" s="1">
        <v>13</v>
      </c>
      <c r="G4302" s="1">
        <v>6</v>
      </c>
      <c r="H4302" s="1">
        <v>0</v>
      </c>
      <c r="I4302" s="1">
        <v>2</v>
      </c>
      <c r="J4302" s="1">
        <v>0</v>
      </c>
      <c r="K4302" s="1">
        <v>0</v>
      </c>
      <c r="L4302" s="1">
        <v>0</v>
      </c>
      <c r="M4302" s="1">
        <v>0</v>
      </c>
    </row>
    <row r="4303" spans="1:13">
      <c r="A4303" s="1">
        <v>4302</v>
      </c>
      <c r="B4303" s="1">
        <v>909579.91709999996</v>
      </c>
      <c r="C4303" s="1">
        <v>775141.36676889122</v>
      </c>
      <c r="D4303" s="1">
        <f t="shared" si="67"/>
        <v>134438.55033110874</v>
      </c>
      <c r="E4303" s="1">
        <v>16</v>
      </c>
      <c r="F4303" s="1">
        <v>16</v>
      </c>
      <c r="G4303" s="1">
        <v>3</v>
      </c>
      <c r="H4303" s="1">
        <v>2</v>
      </c>
      <c r="I4303" s="1">
        <v>0</v>
      </c>
      <c r="J4303" s="1">
        <v>0</v>
      </c>
      <c r="K4303" s="1">
        <v>0</v>
      </c>
      <c r="L4303" s="1">
        <v>0</v>
      </c>
      <c r="M4303" s="1">
        <v>0</v>
      </c>
    </row>
    <row r="4304" spans="1:13">
      <c r="A4304" s="1">
        <v>4303</v>
      </c>
      <c r="B4304" s="1">
        <v>888787.01289999997</v>
      </c>
      <c r="C4304" s="1">
        <v>1716933.3887318885</v>
      </c>
      <c r="D4304" s="1">
        <f t="shared" si="67"/>
        <v>-828146.37583188852</v>
      </c>
      <c r="E4304" s="1">
        <v>8</v>
      </c>
      <c r="F4304" s="1">
        <v>20</v>
      </c>
      <c r="G4304" s="1">
        <v>7</v>
      </c>
      <c r="H4304" s="1">
        <v>2</v>
      </c>
      <c r="I4304" s="1">
        <v>0</v>
      </c>
      <c r="J4304" s="1">
        <v>1</v>
      </c>
      <c r="K4304" s="1">
        <v>0</v>
      </c>
      <c r="L4304" s="1">
        <v>0</v>
      </c>
      <c r="M4304" s="1">
        <v>0</v>
      </c>
    </row>
    <row r="4305" spans="1:13">
      <c r="A4305" s="1">
        <v>4304</v>
      </c>
      <c r="B4305" s="1">
        <v>923006.10640000005</v>
      </c>
      <c r="C4305" s="1">
        <v>795435.66257745412</v>
      </c>
      <c r="D4305" s="1">
        <f t="shared" si="67"/>
        <v>127570.44382254593</v>
      </c>
      <c r="E4305" s="1">
        <v>10</v>
      </c>
      <c r="F4305" s="1">
        <v>20</v>
      </c>
      <c r="G4305" s="1">
        <v>5</v>
      </c>
      <c r="H4305" s="1">
        <v>2</v>
      </c>
      <c r="I4305" s="1">
        <v>0</v>
      </c>
      <c r="J4305" s="1">
        <v>0</v>
      </c>
      <c r="K4305" s="1">
        <v>1</v>
      </c>
      <c r="L4305" s="1">
        <v>0</v>
      </c>
      <c r="M4305" s="1">
        <v>0</v>
      </c>
    </row>
    <row r="4306" spans="1:13">
      <c r="A4306" s="1">
        <v>4305</v>
      </c>
      <c r="B4306" s="1">
        <v>948913.98179999995</v>
      </c>
      <c r="C4306" s="1">
        <v>477705.7188690129</v>
      </c>
      <c r="D4306" s="1">
        <f t="shared" si="67"/>
        <v>471208.26293098705</v>
      </c>
      <c r="E4306" s="1">
        <v>18</v>
      </c>
      <c r="F4306" s="1">
        <v>12</v>
      </c>
      <c r="G4306" s="1">
        <v>5</v>
      </c>
      <c r="H4306" s="1">
        <v>0</v>
      </c>
      <c r="I4306" s="1">
        <v>2</v>
      </c>
      <c r="J4306" s="1">
        <v>1</v>
      </c>
      <c r="K4306" s="1">
        <v>1</v>
      </c>
      <c r="L4306" s="1">
        <v>0</v>
      </c>
      <c r="M4306" s="1">
        <v>0</v>
      </c>
    </row>
    <row r="4307" spans="1:13">
      <c r="A4307" s="1">
        <v>4306</v>
      </c>
      <c r="B4307" s="1">
        <v>945652.7892</v>
      </c>
      <c r="C4307" s="1">
        <v>934342.78330053703</v>
      </c>
      <c r="D4307" s="1">
        <f t="shared" si="67"/>
        <v>11310.005899462965</v>
      </c>
      <c r="E4307" s="1">
        <v>14</v>
      </c>
      <c r="F4307" s="1">
        <v>18</v>
      </c>
      <c r="G4307" s="1">
        <v>3</v>
      </c>
      <c r="H4307" s="1">
        <v>0</v>
      </c>
      <c r="I4307" s="1">
        <v>1</v>
      </c>
      <c r="J4307" s="1">
        <v>0</v>
      </c>
      <c r="K4307" s="1">
        <v>2</v>
      </c>
      <c r="L4307" s="1">
        <v>0</v>
      </c>
      <c r="M4307" s="1">
        <v>0</v>
      </c>
    </row>
    <row r="4308" spans="1:13">
      <c r="A4308" s="1">
        <v>4307</v>
      </c>
      <c r="B4308" s="1">
        <v>962691.15839999996</v>
      </c>
      <c r="C4308" s="1">
        <v>736749.81702752714</v>
      </c>
      <c r="D4308" s="1">
        <f t="shared" si="67"/>
        <v>225941.34137247282</v>
      </c>
      <c r="E4308" s="1">
        <v>9</v>
      </c>
      <c r="F4308" s="1">
        <v>24</v>
      </c>
      <c r="G4308" s="1">
        <v>2</v>
      </c>
      <c r="H4308" s="1">
        <v>0</v>
      </c>
      <c r="I4308" s="1">
        <v>0</v>
      </c>
      <c r="J4308" s="1">
        <v>0</v>
      </c>
      <c r="K4308" s="1">
        <v>0</v>
      </c>
      <c r="L4308" s="1">
        <v>0</v>
      </c>
      <c r="M4308" s="1">
        <v>0</v>
      </c>
    </row>
    <row r="4309" spans="1:13">
      <c r="A4309" s="1">
        <v>4308</v>
      </c>
      <c r="B4309" s="1">
        <v>956096.82750000001</v>
      </c>
      <c r="C4309" s="1">
        <v>1040781.1266132618</v>
      </c>
      <c r="D4309" s="1">
        <f t="shared" si="67"/>
        <v>-84684.299113261746</v>
      </c>
      <c r="E4309" s="1">
        <v>11</v>
      </c>
      <c r="F4309" s="1">
        <v>20</v>
      </c>
      <c r="G4309" s="1">
        <v>4</v>
      </c>
      <c r="H4309" s="1">
        <v>2</v>
      </c>
      <c r="I4309" s="1">
        <v>0</v>
      </c>
      <c r="J4309" s="1">
        <v>2</v>
      </c>
      <c r="K4309" s="1">
        <v>0</v>
      </c>
      <c r="L4309" s="1">
        <v>0</v>
      </c>
      <c r="M4309" s="1">
        <v>0</v>
      </c>
    </row>
    <row r="4310" spans="1:13">
      <c r="A4310" s="1">
        <v>4309</v>
      </c>
      <c r="B4310" s="1">
        <v>934209.77049999998</v>
      </c>
      <c r="C4310" s="1">
        <v>878316.12958088168</v>
      </c>
      <c r="D4310" s="1">
        <f t="shared" si="67"/>
        <v>55893.640919118305</v>
      </c>
      <c r="E4310" s="1">
        <v>11</v>
      </c>
      <c r="F4310" s="1">
        <v>18</v>
      </c>
      <c r="G4310" s="1">
        <v>6</v>
      </c>
      <c r="H4310" s="1">
        <v>1</v>
      </c>
      <c r="I4310" s="1">
        <v>0</v>
      </c>
      <c r="J4310" s="1">
        <v>0</v>
      </c>
      <c r="K4310" s="1">
        <v>0</v>
      </c>
      <c r="L4310" s="1">
        <v>0</v>
      </c>
      <c r="M4310" s="1">
        <v>0</v>
      </c>
    </row>
    <row r="4311" spans="1:13">
      <c r="A4311" s="1">
        <v>4310</v>
      </c>
      <c r="B4311" s="1">
        <v>991152.58979999996</v>
      </c>
      <c r="C4311" s="1">
        <v>1050942.7809052793</v>
      </c>
      <c r="D4311" s="1">
        <f t="shared" si="67"/>
        <v>-59790.191105279373</v>
      </c>
      <c r="E4311" s="1">
        <v>12</v>
      </c>
      <c r="F4311" s="1">
        <v>18</v>
      </c>
      <c r="G4311" s="1">
        <v>5</v>
      </c>
      <c r="H4311" s="1">
        <v>1</v>
      </c>
      <c r="I4311" s="1">
        <v>0</v>
      </c>
      <c r="J4311" s="1">
        <v>0</v>
      </c>
      <c r="K4311" s="1">
        <v>0</v>
      </c>
      <c r="L4311" s="1">
        <v>0</v>
      </c>
      <c r="M4311" s="1">
        <v>0</v>
      </c>
    </row>
    <row r="4312" spans="1:13">
      <c r="A4312" s="1">
        <v>4311</v>
      </c>
      <c r="B4312" s="1">
        <v>941472.23149999999</v>
      </c>
      <c r="C4312" s="1">
        <v>725522.0397185313</v>
      </c>
      <c r="D4312" s="1">
        <f t="shared" si="67"/>
        <v>215950.19178146869</v>
      </c>
      <c r="E4312" s="1">
        <v>10</v>
      </c>
      <c r="F4312" s="1">
        <v>21</v>
      </c>
      <c r="G4312" s="1">
        <v>4</v>
      </c>
      <c r="H4312" s="1">
        <v>0</v>
      </c>
      <c r="I4312" s="1">
        <v>0</v>
      </c>
      <c r="J4312" s="1">
        <v>1</v>
      </c>
      <c r="K4312" s="1">
        <v>1</v>
      </c>
      <c r="L4312" s="1">
        <v>0</v>
      </c>
      <c r="M4312" s="1">
        <v>0</v>
      </c>
    </row>
    <row r="4313" spans="1:13">
      <c r="A4313" s="1">
        <v>4312</v>
      </c>
      <c r="B4313" s="1">
        <v>967030.1311</v>
      </c>
      <c r="C4313" s="1">
        <v>877865.73774409585</v>
      </c>
      <c r="D4313" s="1">
        <f t="shared" si="67"/>
        <v>89164.393355904147</v>
      </c>
      <c r="E4313" s="1">
        <v>12</v>
      </c>
      <c r="F4313" s="1">
        <v>17</v>
      </c>
      <c r="G4313" s="1">
        <v>6</v>
      </c>
      <c r="H4313" s="1">
        <v>1</v>
      </c>
      <c r="I4313" s="1">
        <v>0</v>
      </c>
      <c r="J4313" s="1">
        <v>1</v>
      </c>
      <c r="K4313" s="1">
        <v>0</v>
      </c>
      <c r="L4313" s="1">
        <v>0</v>
      </c>
      <c r="M4313" s="1">
        <v>0</v>
      </c>
    </row>
    <row r="4314" spans="1:13">
      <c r="A4314" s="1">
        <v>4313</v>
      </c>
      <c r="B4314" s="1">
        <v>957839.81940000004</v>
      </c>
      <c r="C4314" s="1">
        <v>1473453.4551689951</v>
      </c>
      <c r="D4314" s="1">
        <f t="shared" si="67"/>
        <v>-515613.63576899504</v>
      </c>
      <c r="E4314" s="1">
        <v>6</v>
      </c>
      <c r="F4314" s="1">
        <v>24</v>
      </c>
      <c r="G4314" s="1">
        <v>5</v>
      </c>
      <c r="H4314" s="1">
        <v>1</v>
      </c>
      <c r="I4314" s="1">
        <v>0</v>
      </c>
      <c r="J4314" s="1">
        <v>0</v>
      </c>
      <c r="K4314" s="1">
        <v>0</v>
      </c>
      <c r="L4314" s="1">
        <v>0</v>
      </c>
      <c r="M4314" s="1">
        <v>0</v>
      </c>
    </row>
    <row r="4315" spans="1:13">
      <c r="A4315" s="1">
        <v>4314</v>
      </c>
      <c r="B4315" s="1">
        <v>867293.67579999997</v>
      </c>
      <c r="C4315" s="1">
        <v>3556262.802622804</v>
      </c>
      <c r="D4315" s="1">
        <f t="shared" si="67"/>
        <v>-2688969.1268228041</v>
      </c>
      <c r="E4315" s="1">
        <v>19</v>
      </c>
      <c r="F4315" s="1">
        <v>11</v>
      </c>
      <c r="G4315" s="1">
        <v>5</v>
      </c>
      <c r="H4315" s="1">
        <v>1</v>
      </c>
      <c r="I4315" s="1">
        <v>0</v>
      </c>
      <c r="J4315" s="1">
        <v>0</v>
      </c>
      <c r="K4315" s="1">
        <v>0</v>
      </c>
      <c r="L4315" s="1">
        <v>0</v>
      </c>
      <c r="M4315" s="1">
        <v>0</v>
      </c>
    </row>
    <row r="4316" spans="1:13">
      <c r="A4316" s="1">
        <v>4315</v>
      </c>
      <c r="B4316" s="1">
        <v>1041081.8741</v>
      </c>
      <c r="C4316" s="1">
        <v>1637360.8481439496</v>
      </c>
      <c r="D4316" s="1">
        <f t="shared" si="67"/>
        <v>-596278.97404394962</v>
      </c>
      <c r="E4316" s="1">
        <v>12</v>
      </c>
      <c r="F4316" s="1">
        <v>19</v>
      </c>
      <c r="G4316" s="1">
        <v>4</v>
      </c>
      <c r="H4316" s="1">
        <v>1</v>
      </c>
      <c r="I4316" s="1">
        <v>0</v>
      </c>
      <c r="J4316" s="1">
        <v>2</v>
      </c>
      <c r="K4316" s="1">
        <v>0</v>
      </c>
      <c r="L4316" s="1">
        <v>0</v>
      </c>
      <c r="M4316" s="1">
        <v>0</v>
      </c>
    </row>
    <row r="4317" spans="1:13">
      <c r="A4317" s="1">
        <v>4316</v>
      </c>
      <c r="B4317" s="1">
        <v>915773.90260000003</v>
      </c>
      <c r="C4317" s="1">
        <v>1366451.5122344119</v>
      </c>
      <c r="D4317" s="1">
        <f t="shared" si="67"/>
        <v>-450677.60963441187</v>
      </c>
      <c r="E4317" s="1">
        <v>13</v>
      </c>
      <c r="F4317" s="1">
        <v>14</v>
      </c>
      <c r="G4317" s="1">
        <v>8</v>
      </c>
      <c r="H4317" s="1">
        <v>0</v>
      </c>
      <c r="I4317" s="1">
        <v>0</v>
      </c>
      <c r="J4317" s="1">
        <v>0</v>
      </c>
      <c r="K4317" s="1">
        <v>2</v>
      </c>
      <c r="L4317" s="1">
        <v>0</v>
      </c>
      <c r="M4317" s="1">
        <v>0</v>
      </c>
    </row>
    <row r="4318" spans="1:13">
      <c r="A4318" s="1">
        <v>4317</v>
      </c>
      <c r="B4318" s="1">
        <v>908297.80619999999</v>
      </c>
      <c r="C4318" s="1">
        <v>1136190.8178330669</v>
      </c>
      <c r="D4318" s="1">
        <f t="shared" si="67"/>
        <v>-227893.01163306693</v>
      </c>
      <c r="E4318" s="1">
        <v>12</v>
      </c>
      <c r="F4318" s="1">
        <v>13</v>
      </c>
      <c r="G4318" s="1">
        <v>10</v>
      </c>
      <c r="H4318" s="1">
        <v>2</v>
      </c>
      <c r="I4318" s="1">
        <v>0</v>
      </c>
      <c r="J4318" s="1">
        <v>0</v>
      </c>
      <c r="K4318" s="1">
        <v>0</v>
      </c>
      <c r="L4318" s="1">
        <v>1</v>
      </c>
      <c r="M4318" s="1">
        <v>0</v>
      </c>
    </row>
    <row r="4319" spans="1:13">
      <c r="A4319" s="1">
        <v>4318</v>
      </c>
      <c r="B4319" s="1">
        <v>955182.6372</v>
      </c>
      <c r="C4319" s="1">
        <v>959306.7323470338</v>
      </c>
      <c r="D4319" s="1">
        <f t="shared" si="67"/>
        <v>-4124.0951470338041</v>
      </c>
      <c r="E4319" s="1">
        <v>16</v>
      </c>
      <c r="F4319" s="1">
        <v>13</v>
      </c>
      <c r="G4319" s="1">
        <v>6</v>
      </c>
      <c r="H4319" s="1">
        <v>0</v>
      </c>
      <c r="I4319" s="1">
        <v>0</v>
      </c>
      <c r="J4319" s="1">
        <v>0</v>
      </c>
      <c r="K4319" s="1">
        <v>0</v>
      </c>
      <c r="L4319" s="1">
        <v>0</v>
      </c>
      <c r="M4319" s="1">
        <v>0</v>
      </c>
    </row>
    <row r="4320" spans="1:13">
      <c r="A4320" s="1">
        <v>4319</v>
      </c>
      <c r="B4320" s="1">
        <v>962081.37250000006</v>
      </c>
      <c r="C4320" s="1">
        <v>1601378.7044468913</v>
      </c>
      <c r="D4320" s="1">
        <f t="shared" si="67"/>
        <v>-639297.33194689127</v>
      </c>
      <c r="E4320" s="1">
        <v>8</v>
      </c>
      <c r="F4320" s="1">
        <v>21</v>
      </c>
      <c r="G4320" s="1">
        <v>6</v>
      </c>
      <c r="H4320" s="1">
        <v>1</v>
      </c>
      <c r="I4320" s="1">
        <v>1</v>
      </c>
      <c r="J4320" s="1">
        <v>1</v>
      </c>
      <c r="K4320" s="1">
        <v>1</v>
      </c>
      <c r="L4320" s="1">
        <v>0</v>
      </c>
      <c r="M4320" s="1">
        <v>0</v>
      </c>
    </row>
    <row r="4321" spans="1:13">
      <c r="A4321" s="1">
        <v>4320</v>
      </c>
      <c r="B4321" s="1">
        <v>988271.16240000003</v>
      </c>
      <c r="C4321" s="1">
        <v>645108.58703120786</v>
      </c>
      <c r="D4321" s="1">
        <f t="shared" si="67"/>
        <v>343162.57536879217</v>
      </c>
      <c r="E4321" s="1">
        <v>10</v>
      </c>
      <c r="F4321" s="1">
        <v>18</v>
      </c>
      <c r="G4321" s="1">
        <v>7</v>
      </c>
      <c r="H4321" s="1">
        <v>1</v>
      </c>
      <c r="I4321" s="1">
        <v>1</v>
      </c>
      <c r="J4321" s="1">
        <v>0</v>
      </c>
      <c r="K4321" s="1">
        <v>1</v>
      </c>
      <c r="L4321" s="1">
        <v>0</v>
      </c>
      <c r="M4321" s="1">
        <v>0</v>
      </c>
    </row>
    <row r="4322" spans="1:13">
      <c r="A4322" s="1">
        <v>4321</v>
      </c>
      <c r="B4322" s="1">
        <v>1030574.6327</v>
      </c>
      <c r="C4322" s="1">
        <v>730028.67822278617</v>
      </c>
      <c r="D4322" s="1">
        <f t="shared" si="67"/>
        <v>300545.95447721379</v>
      </c>
      <c r="E4322" s="1">
        <v>9</v>
      </c>
      <c r="F4322" s="1">
        <v>20</v>
      </c>
      <c r="G4322" s="1">
        <v>6</v>
      </c>
      <c r="H4322" s="1">
        <v>1</v>
      </c>
      <c r="I4322" s="1">
        <v>1</v>
      </c>
      <c r="J4322" s="1">
        <v>0</v>
      </c>
      <c r="K4322" s="1">
        <v>0</v>
      </c>
      <c r="L4322" s="1">
        <v>0</v>
      </c>
      <c r="M4322" s="1">
        <v>0</v>
      </c>
    </row>
    <row r="4323" spans="1:13">
      <c r="A4323" s="1">
        <v>4322</v>
      </c>
      <c r="B4323" s="1">
        <v>942366.348</v>
      </c>
      <c r="C4323" s="1">
        <v>921147.58384560875</v>
      </c>
      <c r="D4323" s="1">
        <f t="shared" si="67"/>
        <v>21218.764154391247</v>
      </c>
      <c r="E4323" s="1">
        <v>10</v>
      </c>
      <c r="F4323" s="1">
        <v>21</v>
      </c>
      <c r="G4323" s="1">
        <v>4</v>
      </c>
      <c r="H4323" s="1">
        <v>0</v>
      </c>
      <c r="I4323" s="1">
        <v>0</v>
      </c>
      <c r="J4323" s="1">
        <v>0</v>
      </c>
      <c r="K4323" s="1">
        <v>0</v>
      </c>
      <c r="L4323" s="1">
        <v>0</v>
      </c>
      <c r="M4323" s="1">
        <v>0</v>
      </c>
    </row>
    <row r="4324" spans="1:13">
      <c r="A4324" s="1">
        <v>4323</v>
      </c>
      <c r="B4324" s="1">
        <v>922768.61380000005</v>
      </c>
      <c r="C4324" s="1">
        <v>740343.05313849449</v>
      </c>
      <c r="D4324" s="1">
        <f t="shared" si="67"/>
        <v>182425.56066150556</v>
      </c>
      <c r="E4324" s="1">
        <v>13</v>
      </c>
      <c r="F4324" s="1">
        <v>19</v>
      </c>
      <c r="G4324" s="1">
        <v>3</v>
      </c>
      <c r="H4324" s="1">
        <v>0</v>
      </c>
      <c r="I4324" s="1">
        <v>0</v>
      </c>
      <c r="J4324" s="1">
        <v>1</v>
      </c>
      <c r="K4324" s="1">
        <v>1</v>
      </c>
      <c r="L4324" s="1">
        <v>0</v>
      </c>
      <c r="M4324" s="1">
        <v>0</v>
      </c>
    </row>
    <row r="4325" spans="1:13">
      <c r="A4325" s="1">
        <v>4324</v>
      </c>
      <c r="B4325" s="1">
        <v>873816.86970000004</v>
      </c>
      <c r="C4325" s="1">
        <v>786595.30388316978</v>
      </c>
      <c r="D4325" s="1">
        <f t="shared" si="67"/>
        <v>87221.565816830262</v>
      </c>
      <c r="E4325" s="1">
        <v>15</v>
      </c>
      <c r="F4325" s="1">
        <v>16</v>
      </c>
      <c r="G4325" s="1">
        <v>4</v>
      </c>
      <c r="H4325" s="1">
        <v>1</v>
      </c>
      <c r="I4325" s="1">
        <v>0</v>
      </c>
      <c r="J4325" s="1">
        <v>1</v>
      </c>
      <c r="K4325" s="1">
        <v>0</v>
      </c>
      <c r="L4325" s="1">
        <v>0</v>
      </c>
      <c r="M4325" s="1">
        <v>0</v>
      </c>
    </row>
    <row r="4326" spans="1:13">
      <c r="A4326" s="1">
        <v>4325</v>
      </c>
      <c r="B4326" s="1">
        <v>818188.62</v>
      </c>
      <c r="C4326" s="1">
        <v>873406.67270164168</v>
      </c>
      <c r="D4326" s="1">
        <f t="shared" si="67"/>
        <v>-55218.052701641689</v>
      </c>
      <c r="E4326" s="1">
        <v>17</v>
      </c>
      <c r="F4326" s="1">
        <v>14</v>
      </c>
      <c r="G4326" s="1">
        <v>4</v>
      </c>
      <c r="H4326" s="1">
        <v>1</v>
      </c>
      <c r="I4326" s="1">
        <v>0</v>
      </c>
      <c r="J4326" s="1">
        <v>0</v>
      </c>
      <c r="K4326" s="1">
        <v>1</v>
      </c>
      <c r="L4326" s="1">
        <v>0</v>
      </c>
      <c r="M4326" s="1">
        <v>0</v>
      </c>
    </row>
    <row r="4327" spans="1:13">
      <c r="A4327" s="1">
        <v>4326</v>
      </c>
      <c r="B4327" s="1">
        <v>1078944.6288999999</v>
      </c>
      <c r="C4327" s="1">
        <v>1184527.7992104222</v>
      </c>
      <c r="D4327" s="1">
        <f t="shared" si="67"/>
        <v>-105583.17031042231</v>
      </c>
      <c r="E4327" s="1">
        <v>15</v>
      </c>
      <c r="F4327" s="1">
        <v>12</v>
      </c>
      <c r="G4327" s="1">
        <v>8</v>
      </c>
      <c r="H4327" s="1">
        <v>0</v>
      </c>
      <c r="I4327" s="1">
        <v>0</v>
      </c>
      <c r="J4327" s="1">
        <v>0</v>
      </c>
      <c r="K4327" s="1">
        <v>1</v>
      </c>
      <c r="L4327" s="1">
        <v>0</v>
      </c>
      <c r="M4327" s="1">
        <v>0</v>
      </c>
    </row>
    <row r="4328" spans="1:13">
      <c r="A4328" s="1">
        <v>4327</v>
      </c>
      <c r="B4328" s="1">
        <v>893889.05420000001</v>
      </c>
      <c r="C4328" s="1">
        <v>1005307.1224707916</v>
      </c>
      <c r="D4328" s="1">
        <f t="shared" si="67"/>
        <v>-111418.06827079155</v>
      </c>
      <c r="E4328" s="1">
        <v>14</v>
      </c>
      <c r="F4328" s="1">
        <v>19</v>
      </c>
      <c r="G4328" s="1">
        <v>2</v>
      </c>
      <c r="H4328" s="1">
        <v>2</v>
      </c>
      <c r="I4328" s="1">
        <v>0</v>
      </c>
      <c r="J4328" s="1">
        <v>0</v>
      </c>
      <c r="K4328" s="1">
        <v>1</v>
      </c>
      <c r="L4328" s="1">
        <v>0</v>
      </c>
      <c r="M4328" s="1">
        <v>1</v>
      </c>
    </row>
    <row r="4329" spans="1:13">
      <c r="A4329" s="1">
        <v>4328</v>
      </c>
      <c r="B4329" s="1">
        <v>978450.02139999997</v>
      </c>
      <c r="C4329" s="1">
        <v>709652.4129982579</v>
      </c>
      <c r="D4329" s="1">
        <f t="shared" si="67"/>
        <v>268797.60840174207</v>
      </c>
      <c r="E4329" s="1">
        <v>12</v>
      </c>
      <c r="F4329" s="1">
        <v>20</v>
      </c>
      <c r="G4329" s="1">
        <v>3</v>
      </c>
      <c r="H4329" s="1">
        <v>0</v>
      </c>
      <c r="I4329" s="1">
        <v>0</v>
      </c>
      <c r="J4329" s="1">
        <v>0</v>
      </c>
      <c r="K4329" s="1">
        <v>0</v>
      </c>
      <c r="L4329" s="1">
        <v>0</v>
      </c>
      <c r="M4329" s="1">
        <v>0</v>
      </c>
    </row>
    <row r="4330" spans="1:13">
      <c r="A4330" s="1">
        <v>4329</v>
      </c>
      <c r="B4330" s="1">
        <v>1087988.1969999999</v>
      </c>
      <c r="C4330" s="1">
        <v>964395.11752012558</v>
      </c>
      <c r="D4330" s="1">
        <f t="shared" si="67"/>
        <v>123593.07947987434</v>
      </c>
      <c r="E4330" s="1">
        <v>5</v>
      </c>
      <c r="F4330" s="1">
        <v>21</v>
      </c>
      <c r="G4330" s="1">
        <v>9</v>
      </c>
      <c r="H4330" s="1">
        <v>1</v>
      </c>
      <c r="I4330" s="1">
        <v>0</v>
      </c>
      <c r="J4330" s="1">
        <v>1</v>
      </c>
      <c r="K4330" s="1">
        <v>0</v>
      </c>
      <c r="L4330" s="1">
        <v>0</v>
      </c>
      <c r="M4330" s="1">
        <v>0</v>
      </c>
    </row>
    <row r="4331" spans="1:13">
      <c r="A4331" s="1">
        <v>4330</v>
      </c>
      <c r="B4331" s="1">
        <v>870534.51699999999</v>
      </c>
      <c r="C4331" s="1">
        <v>1014731.2949819984</v>
      </c>
      <c r="D4331" s="1">
        <f t="shared" si="67"/>
        <v>-144196.7779819984</v>
      </c>
      <c r="E4331" s="1">
        <v>18</v>
      </c>
      <c r="F4331" s="1">
        <v>14</v>
      </c>
      <c r="G4331" s="1">
        <v>3</v>
      </c>
      <c r="H4331" s="1">
        <v>0</v>
      </c>
      <c r="I4331" s="1">
        <v>0</v>
      </c>
      <c r="J4331" s="1">
        <v>0</v>
      </c>
      <c r="K4331" s="1">
        <v>1</v>
      </c>
      <c r="L4331" s="1">
        <v>0</v>
      </c>
      <c r="M4331" s="1">
        <v>0</v>
      </c>
    </row>
    <row r="4332" spans="1:13">
      <c r="A4332" s="1">
        <v>4331</v>
      </c>
      <c r="B4332" s="1">
        <v>884851.48380000005</v>
      </c>
      <c r="C4332" s="1">
        <v>1094296.9917882197</v>
      </c>
      <c r="D4332" s="1">
        <f t="shared" si="67"/>
        <v>-209445.50798821962</v>
      </c>
      <c r="E4332" s="1">
        <v>10</v>
      </c>
      <c r="F4332" s="1">
        <v>17</v>
      </c>
      <c r="G4332" s="1">
        <v>8</v>
      </c>
      <c r="H4332" s="1">
        <v>1</v>
      </c>
      <c r="I4332" s="1">
        <v>1</v>
      </c>
      <c r="J4332" s="1">
        <v>0</v>
      </c>
      <c r="K4332" s="1">
        <v>2</v>
      </c>
      <c r="L4332" s="1">
        <v>0</v>
      </c>
      <c r="M4332" s="1">
        <v>1</v>
      </c>
    </row>
    <row r="4333" spans="1:13">
      <c r="A4333" s="1">
        <v>4332</v>
      </c>
      <c r="B4333" s="1">
        <v>1030178.4757</v>
      </c>
      <c r="C4333" s="1">
        <v>885539.86877874215</v>
      </c>
      <c r="D4333" s="1">
        <f t="shared" si="67"/>
        <v>144638.6069212578</v>
      </c>
      <c r="E4333" s="1">
        <v>14</v>
      </c>
      <c r="F4333" s="1">
        <v>14</v>
      </c>
      <c r="G4333" s="1">
        <v>7</v>
      </c>
      <c r="H4333" s="1">
        <v>1</v>
      </c>
      <c r="I4333" s="1">
        <v>0</v>
      </c>
      <c r="J4333" s="1">
        <v>1</v>
      </c>
      <c r="K4333" s="1">
        <v>0</v>
      </c>
      <c r="L4333" s="1">
        <v>0</v>
      </c>
      <c r="M4333" s="1">
        <v>0</v>
      </c>
    </row>
    <row r="4334" spans="1:13">
      <c r="A4334" s="1">
        <v>4333</v>
      </c>
      <c r="B4334" s="1">
        <v>934017.45629999996</v>
      </c>
      <c r="C4334" s="1">
        <v>544728.55971731199</v>
      </c>
      <c r="D4334" s="1">
        <f t="shared" si="67"/>
        <v>389288.89658268797</v>
      </c>
      <c r="E4334" s="1">
        <v>14</v>
      </c>
      <c r="F4334" s="1">
        <v>14</v>
      </c>
      <c r="G4334" s="1">
        <v>7</v>
      </c>
      <c r="H4334" s="1">
        <v>1</v>
      </c>
      <c r="I4334" s="1">
        <v>0</v>
      </c>
      <c r="J4334" s="1">
        <v>1</v>
      </c>
      <c r="K4334" s="1">
        <v>0</v>
      </c>
      <c r="L4334" s="1">
        <v>0</v>
      </c>
      <c r="M4334" s="1">
        <v>0</v>
      </c>
    </row>
    <row r="4335" spans="1:13">
      <c r="A4335" s="1">
        <v>4334</v>
      </c>
      <c r="B4335" s="1">
        <v>914138.61510000005</v>
      </c>
      <c r="C4335" s="1">
        <v>906495.53097690514</v>
      </c>
      <c r="D4335" s="1">
        <f t="shared" si="67"/>
        <v>7643.0841230949154</v>
      </c>
      <c r="E4335" s="1">
        <v>8</v>
      </c>
      <c r="F4335" s="1">
        <v>22</v>
      </c>
      <c r="G4335" s="1">
        <v>5</v>
      </c>
      <c r="H4335" s="1">
        <v>1</v>
      </c>
      <c r="I4335" s="1">
        <v>1</v>
      </c>
      <c r="J4335" s="1">
        <v>0</v>
      </c>
      <c r="K4335" s="1">
        <v>0</v>
      </c>
      <c r="L4335" s="1">
        <v>2</v>
      </c>
      <c r="M4335" s="1">
        <v>0</v>
      </c>
    </row>
    <row r="4336" spans="1:13">
      <c r="A4336" s="1">
        <v>4335</v>
      </c>
      <c r="B4336" s="1">
        <v>985354.92189999996</v>
      </c>
      <c r="C4336" s="1">
        <v>591795.25573910563</v>
      </c>
      <c r="D4336" s="1">
        <f t="shared" si="67"/>
        <v>393559.66616089433</v>
      </c>
      <c r="E4336" s="1">
        <v>15</v>
      </c>
      <c r="F4336" s="1">
        <v>16</v>
      </c>
      <c r="G4336" s="1">
        <v>4</v>
      </c>
      <c r="H4336" s="1">
        <v>0</v>
      </c>
      <c r="I4336" s="1">
        <v>0</v>
      </c>
      <c r="J4336" s="1">
        <v>1</v>
      </c>
      <c r="K4336" s="1">
        <v>1</v>
      </c>
      <c r="L4336" s="1">
        <v>0</v>
      </c>
      <c r="M4336" s="1">
        <v>1</v>
      </c>
    </row>
    <row r="4337" spans="1:13">
      <c r="A4337" s="1">
        <v>4336</v>
      </c>
      <c r="B4337" s="1">
        <v>989842.11329999997</v>
      </c>
      <c r="C4337" s="1">
        <v>607273.09088035603</v>
      </c>
      <c r="D4337" s="1">
        <f t="shared" si="67"/>
        <v>382569.02241964394</v>
      </c>
      <c r="E4337" s="1">
        <v>8</v>
      </c>
      <c r="F4337" s="1">
        <v>21</v>
      </c>
      <c r="G4337" s="1">
        <v>6</v>
      </c>
      <c r="H4337" s="1">
        <v>2</v>
      </c>
      <c r="I4337" s="1">
        <v>0</v>
      </c>
      <c r="J4337" s="1">
        <v>0</v>
      </c>
      <c r="K4337" s="1">
        <v>1</v>
      </c>
      <c r="L4337" s="1">
        <v>0</v>
      </c>
      <c r="M4337" s="1">
        <v>0</v>
      </c>
    </row>
    <row r="4338" spans="1:13">
      <c r="A4338" s="1">
        <v>4337</v>
      </c>
      <c r="B4338" s="1">
        <v>927871.86899999995</v>
      </c>
      <c r="C4338" s="1">
        <v>951918.18148881884</v>
      </c>
      <c r="D4338" s="1">
        <f t="shared" si="67"/>
        <v>-24046.31248881889</v>
      </c>
      <c r="E4338" s="1">
        <v>7</v>
      </c>
      <c r="F4338" s="1">
        <v>26</v>
      </c>
      <c r="G4338" s="1">
        <v>2</v>
      </c>
      <c r="H4338" s="1">
        <v>1</v>
      </c>
      <c r="I4338" s="1">
        <v>1</v>
      </c>
      <c r="J4338" s="1">
        <v>0</v>
      </c>
      <c r="K4338" s="1">
        <v>1</v>
      </c>
      <c r="L4338" s="1">
        <v>0</v>
      </c>
      <c r="M4338" s="1">
        <v>1</v>
      </c>
    </row>
    <row r="4339" spans="1:13">
      <c r="A4339" s="1">
        <v>4338</v>
      </c>
      <c r="B4339" s="1">
        <v>966450.77549999999</v>
      </c>
      <c r="C4339" s="1">
        <v>992272.09210202086</v>
      </c>
      <c r="D4339" s="1">
        <f t="shared" si="67"/>
        <v>-25821.316602020874</v>
      </c>
      <c r="E4339" s="1">
        <v>17</v>
      </c>
      <c r="F4339" s="1">
        <v>15</v>
      </c>
      <c r="G4339" s="1">
        <v>3</v>
      </c>
      <c r="H4339" s="1">
        <v>0</v>
      </c>
      <c r="I4339" s="1">
        <v>0</v>
      </c>
      <c r="J4339" s="1">
        <v>2</v>
      </c>
      <c r="K4339" s="1">
        <v>0</v>
      </c>
      <c r="L4339" s="1">
        <v>0</v>
      </c>
      <c r="M4339" s="1">
        <v>0</v>
      </c>
    </row>
    <row r="4340" spans="1:13">
      <c r="A4340" s="1">
        <v>4339</v>
      </c>
      <c r="B4340" s="1">
        <v>983699.13600000006</v>
      </c>
      <c r="C4340" s="1">
        <v>849320.99219133821</v>
      </c>
      <c r="D4340" s="1">
        <f t="shared" si="67"/>
        <v>134378.14380866184</v>
      </c>
      <c r="E4340" s="1">
        <v>13</v>
      </c>
      <c r="F4340" s="1">
        <v>16</v>
      </c>
      <c r="G4340" s="1">
        <v>6</v>
      </c>
      <c r="H4340" s="1">
        <v>0</v>
      </c>
      <c r="I4340" s="1">
        <v>0</v>
      </c>
      <c r="J4340" s="1">
        <v>2</v>
      </c>
      <c r="K4340" s="1">
        <v>0</v>
      </c>
      <c r="L4340" s="1">
        <v>0</v>
      </c>
      <c r="M4340" s="1">
        <v>0</v>
      </c>
    </row>
    <row r="4341" spans="1:13">
      <c r="A4341" s="1">
        <v>4340</v>
      </c>
      <c r="B4341" s="1">
        <v>995092.93370000005</v>
      </c>
      <c r="C4341" s="1">
        <v>997666.37981171918</v>
      </c>
      <c r="D4341" s="1">
        <f t="shared" si="67"/>
        <v>-2573.446111719124</v>
      </c>
      <c r="E4341" s="1">
        <v>16</v>
      </c>
      <c r="F4341" s="1">
        <v>12</v>
      </c>
      <c r="G4341" s="1">
        <v>7</v>
      </c>
      <c r="H4341" s="1">
        <v>1</v>
      </c>
      <c r="I4341" s="1">
        <v>0</v>
      </c>
      <c r="J4341" s="1">
        <v>1</v>
      </c>
      <c r="K4341" s="1">
        <v>1</v>
      </c>
      <c r="L4341" s="1">
        <v>0</v>
      </c>
      <c r="M4341" s="1">
        <v>1</v>
      </c>
    </row>
    <row r="4342" spans="1:13">
      <c r="A4342" s="1">
        <v>4341</v>
      </c>
      <c r="B4342" s="1">
        <v>904907.89009999996</v>
      </c>
      <c r="C4342" s="1">
        <v>1059099.2835927336</v>
      </c>
      <c r="D4342" s="1">
        <f t="shared" si="67"/>
        <v>-154191.39349273359</v>
      </c>
      <c r="E4342" s="1">
        <v>17</v>
      </c>
      <c r="F4342" s="1">
        <v>10</v>
      </c>
      <c r="G4342" s="1">
        <v>8</v>
      </c>
      <c r="H4342" s="1">
        <v>1</v>
      </c>
      <c r="I4342" s="1">
        <v>0</v>
      </c>
      <c r="J4342" s="1">
        <v>0</v>
      </c>
      <c r="K4342" s="1">
        <v>2</v>
      </c>
      <c r="L4342" s="1">
        <v>0</v>
      </c>
      <c r="M4342" s="1">
        <v>0</v>
      </c>
    </row>
    <row r="4343" spans="1:13">
      <c r="A4343" s="1">
        <v>4342</v>
      </c>
      <c r="B4343" s="1">
        <v>971612.14179999998</v>
      </c>
      <c r="C4343" s="1">
        <v>881691.35162492224</v>
      </c>
      <c r="D4343" s="1">
        <f t="shared" si="67"/>
        <v>89920.790175077738</v>
      </c>
      <c r="E4343" s="1">
        <v>7</v>
      </c>
      <c r="F4343" s="1">
        <v>22</v>
      </c>
      <c r="G4343" s="1">
        <v>6</v>
      </c>
      <c r="H4343" s="1">
        <v>0</v>
      </c>
      <c r="I4343" s="1">
        <v>0</v>
      </c>
      <c r="J4343" s="1">
        <v>1</v>
      </c>
      <c r="K4343" s="1">
        <v>0</v>
      </c>
      <c r="L4343" s="1">
        <v>0</v>
      </c>
      <c r="M4343" s="1">
        <v>0</v>
      </c>
    </row>
    <row r="4344" spans="1:13">
      <c r="A4344" s="1">
        <v>4343</v>
      </c>
      <c r="B4344" s="1">
        <v>950675.6936</v>
      </c>
      <c r="C4344" s="1">
        <v>1449756.5621354785</v>
      </c>
      <c r="D4344" s="1">
        <f t="shared" si="67"/>
        <v>-499080.86853547848</v>
      </c>
      <c r="E4344" s="1">
        <v>7</v>
      </c>
      <c r="F4344" s="1">
        <v>19</v>
      </c>
      <c r="G4344" s="1">
        <v>9</v>
      </c>
      <c r="H4344" s="1">
        <v>2</v>
      </c>
      <c r="I4344" s="1">
        <v>0</v>
      </c>
      <c r="J4344" s="1">
        <v>0</v>
      </c>
      <c r="K4344" s="1">
        <v>2</v>
      </c>
      <c r="L4344" s="1">
        <v>0</v>
      </c>
      <c r="M4344" s="1">
        <v>0</v>
      </c>
    </row>
    <row r="4345" spans="1:13">
      <c r="A4345" s="1">
        <v>4344</v>
      </c>
      <c r="B4345" s="1">
        <v>950348.07189999998</v>
      </c>
      <c r="C4345" s="1">
        <v>817800.78469229501</v>
      </c>
      <c r="D4345" s="1">
        <f t="shared" si="67"/>
        <v>132547.28720770497</v>
      </c>
      <c r="E4345" s="1">
        <v>12</v>
      </c>
      <c r="F4345" s="1">
        <v>17</v>
      </c>
      <c r="G4345" s="1">
        <v>6</v>
      </c>
      <c r="H4345" s="1">
        <v>1</v>
      </c>
      <c r="I4345" s="1">
        <v>0</v>
      </c>
      <c r="J4345" s="1">
        <v>0</v>
      </c>
      <c r="K4345" s="1">
        <v>0</v>
      </c>
      <c r="L4345" s="1">
        <v>0</v>
      </c>
      <c r="M4345" s="1">
        <v>0</v>
      </c>
    </row>
    <row r="4346" spans="1:13">
      <c r="A4346" s="1">
        <v>4345</v>
      </c>
      <c r="B4346" s="1">
        <v>935296.18180000002</v>
      </c>
      <c r="C4346" s="1">
        <v>1077229.6692298579</v>
      </c>
      <c r="D4346" s="1">
        <f t="shared" si="67"/>
        <v>-141933.48742985784</v>
      </c>
      <c r="E4346" s="1">
        <v>13</v>
      </c>
      <c r="F4346" s="1">
        <v>19</v>
      </c>
      <c r="G4346" s="1">
        <v>3</v>
      </c>
      <c r="H4346" s="1">
        <v>2</v>
      </c>
      <c r="I4346" s="1">
        <v>0</v>
      </c>
      <c r="J4346" s="1">
        <v>1</v>
      </c>
      <c r="K4346" s="1">
        <v>1</v>
      </c>
      <c r="L4346" s="1">
        <v>0</v>
      </c>
      <c r="M4346" s="1">
        <v>0</v>
      </c>
    </row>
    <row r="4347" spans="1:13">
      <c r="A4347" s="1">
        <v>4346</v>
      </c>
      <c r="B4347" s="1">
        <v>927880.76199999999</v>
      </c>
      <c r="C4347" s="1">
        <v>1015778.3330240552</v>
      </c>
      <c r="D4347" s="1">
        <f t="shared" si="67"/>
        <v>-87897.571024055243</v>
      </c>
      <c r="E4347" s="1">
        <v>13</v>
      </c>
      <c r="F4347" s="1">
        <v>16</v>
      </c>
      <c r="G4347" s="1">
        <v>6</v>
      </c>
      <c r="H4347" s="1">
        <v>1</v>
      </c>
      <c r="I4347" s="1">
        <v>0</v>
      </c>
      <c r="J4347" s="1">
        <v>1</v>
      </c>
      <c r="K4347" s="1">
        <v>1</v>
      </c>
      <c r="L4347" s="1">
        <v>0</v>
      </c>
      <c r="M4347" s="1">
        <v>1</v>
      </c>
    </row>
    <row r="4348" spans="1:13">
      <c r="A4348" s="1">
        <v>4347</v>
      </c>
      <c r="B4348" s="1">
        <v>880049.62710000004</v>
      </c>
      <c r="C4348" s="1">
        <v>798406.45928675984</v>
      </c>
      <c r="D4348" s="1">
        <f t="shared" si="67"/>
        <v>81643.167813240201</v>
      </c>
      <c r="E4348" s="1">
        <v>19</v>
      </c>
      <c r="F4348" s="1">
        <v>12</v>
      </c>
      <c r="G4348" s="1">
        <v>4</v>
      </c>
      <c r="H4348" s="1">
        <v>2</v>
      </c>
      <c r="I4348" s="1">
        <v>0</v>
      </c>
      <c r="J4348" s="1">
        <v>1</v>
      </c>
      <c r="K4348" s="1">
        <v>1</v>
      </c>
      <c r="L4348" s="1">
        <v>0</v>
      </c>
      <c r="M4348" s="1">
        <v>0</v>
      </c>
    </row>
    <row r="4349" spans="1:13">
      <c r="A4349" s="1">
        <v>4348</v>
      </c>
      <c r="B4349" s="1">
        <v>877881.44039999996</v>
      </c>
      <c r="C4349" s="1">
        <v>1022887.9061547141</v>
      </c>
      <c r="D4349" s="1">
        <f t="shared" si="67"/>
        <v>-145006.4657547141</v>
      </c>
      <c r="E4349" s="1">
        <v>14</v>
      </c>
      <c r="F4349" s="1">
        <v>16</v>
      </c>
      <c r="G4349" s="1">
        <v>5</v>
      </c>
      <c r="H4349" s="1">
        <v>1</v>
      </c>
      <c r="I4349" s="1">
        <v>0</v>
      </c>
      <c r="J4349" s="1">
        <v>0</v>
      </c>
      <c r="K4349" s="1">
        <v>1</v>
      </c>
      <c r="L4349" s="1">
        <v>0</v>
      </c>
      <c r="M4349" s="1">
        <v>0</v>
      </c>
    </row>
    <row r="4350" spans="1:13">
      <c r="A4350" s="1">
        <v>4349</v>
      </c>
      <c r="B4350" s="1">
        <v>924390.72239999997</v>
      </c>
      <c r="C4350" s="1">
        <v>1191755.6170003014</v>
      </c>
      <c r="D4350" s="1">
        <f t="shared" si="67"/>
        <v>-267364.8946003014</v>
      </c>
      <c r="E4350" s="1">
        <v>14</v>
      </c>
      <c r="F4350" s="1">
        <v>17</v>
      </c>
      <c r="G4350" s="1">
        <v>4</v>
      </c>
      <c r="H4350" s="1">
        <v>2</v>
      </c>
      <c r="I4350" s="1">
        <v>0</v>
      </c>
      <c r="J4350" s="1">
        <v>2</v>
      </c>
      <c r="K4350" s="1">
        <v>0</v>
      </c>
      <c r="L4350" s="1">
        <v>0</v>
      </c>
      <c r="M4350" s="1">
        <v>0</v>
      </c>
    </row>
    <row r="4351" spans="1:13">
      <c r="A4351" s="1">
        <v>4350</v>
      </c>
      <c r="B4351" s="1">
        <v>940454.00840000005</v>
      </c>
      <c r="C4351" s="1">
        <v>1201981.153467715</v>
      </c>
      <c r="D4351" s="1">
        <f t="shared" si="67"/>
        <v>-261527.14506771497</v>
      </c>
      <c r="E4351" s="1">
        <v>12</v>
      </c>
      <c r="F4351" s="1">
        <v>18</v>
      </c>
      <c r="G4351" s="1">
        <v>5</v>
      </c>
      <c r="H4351" s="1">
        <v>1</v>
      </c>
      <c r="I4351" s="1">
        <v>0</v>
      </c>
      <c r="J4351" s="1">
        <v>1</v>
      </c>
      <c r="K4351" s="1">
        <v>0</v>
      </c>
      <c r="L4351" s="1">
        <v>1</v>
      </c>
      <c r="M4351" s="1">
        <v>0</v>
      </c>
    </row>
    <row r="4352" spans="1:13">
      <c r="A4352" s="1">
        <v>4351</v>
      </c>
      <c r="B4352" s="1">
        <v>982658.1986</v>
      </c>
      <c r="C4352" s="1">
        <v>835494.98245858192</v>
      </c>
      <c r="D4352" s="1">
        <f t="shared" si="67"/>
        <v>147163.21614141809</v>
      </c>
      <c r="E4352" s="1">
        <v>11</v>
      </c>
      <c r="F4352" s="1">
        <v>15</v>
      </c>
      <c r="G4352" s="1">
        <v>9</v>
      </c>
      <c r="H4352" s="1">
        <v>1</v>
      </c>
      <c r="I4352" s="1">
        <v>0</v>
      </c>
      <c r="J4352" s="1">
        <v>0</v>
      </c>
      <c r="K4352" s="1">
        <v>2</v>
      </c>
      <c r="L4352" s="1">
        <v>0</v>
      </c>
      <c r="M4352" s="1">
        <v>1</v>
      </c>
    </row>
    <row r="4353" spans="1:13">
      <c r="A4353" s="1">
        <v>4352</v>
      </c>
      <c r="B4353" s="1">
        <v>966535.48730000004</v>
      </c>
      <c r="C4353" s="1">
        <v>1054296.1222518035</v>
      </c>
      <c r="D4353" s="1">
        <f t="shared" si="67"/>
        <v>-87760.634951803484</v>
      </c>
      <c r="E4353" s="1">
        <v>5</v>
      </c>
      <c r="F4353" s="1">
        <v>28</v>
      </c>
      <c r="G4353" s="1">
        <v>2</v>
      </c>
      <c r="H4353" s="1">
        <v>1</v>
      </c>
      <c r="I4353" s="1">
        <v>0</v>
      </c>
      <c r="J4353" s="1">
        <v>0</v>
      </c>
      <c r="K4353" s="1">
        <v>1</v>
      </c>
      <c r="L4353" s="1">
        <v>0</v>
      </c>
      <c r="M4353" s="1">
        <v>0</v>
      </c>
    </row>
    <row r="4354" spans="1:13">
      <c r="A4354" s="1">
        <v>4353</v>
      </c>
      <c r="B4354" s="1">
        <v>892879.55850000004</v>
      </c>
      <c r="C4354" s="1">
        <v>1432118.706144284</v>
      </c>
      <c r="D4354" s="1">
        <f t="shared" ref="D4354:D4417" si="68">B4354-C4354</f>
        <v>-539239.14764428395</v>
      </c>
      <c r="E4354" s="1">
        <v>12</v>
      </c>
      <c r="F4354" s="1">
        <v>16</v>
      </c>
      <c r="G4354" s="1">
        <v>7</v>
      </c>
      <c r="H4354" s="1">
        <v>1</v>
      </c>
      <c r="I4354" s="1">
        <v>0</v>
      </c>
      <c r="J4354" s="1">
        <v>0</v>
      </c>
      <c r="K4354" s="1">
        <v>0</v>
      </c>
      <c r="L4354" s="1">
        <v>0</v>
      </c>
      <c r="M4354" s="1">
        <v>0</v>
      </c>
    </row>
    <row r="4355" spans="1:13">
      <c r="A4355" s="1">
        <v>4354</v>
      </c>
      <c r="B4355" s="1">
        <v>875914.31440000003</v>
      </c>
      <c r="C4355" s="1">
        <v>715302.53364567389</v>
      </c>
      <c r="D4355" s="1">
        <f t="shared" si="68"/>
        <v>160611.78075432614</v>
      </c>
      <c r="E4355" s="1">
        <v>18</v>
      </c>
      <c r="F4355" s="1">
        <v>16</v>
      </c>
      <c r="G4355" s="1">
        <v>1</v>
      </c>
      <c r="H4355" s="1">
        <v>0</v>
      </c>
      <c r="I4355" s="1">
        <v>0</v>
      </c>
      <c r="J4355" s="1">
        <v>1</v>
      </c>
      <c r="K4355" s="1">
        <v>1</v>
      </c>
      <c r="L4355" s="1">
        <v>0</v>
      </c>
      <c r="M4355" s="1">
        <v>0</v>
      </c>
    </row>
    <row r="4356" spans="1:13">
      <c r="A4356" s="1">
        <v>4355</v>
      </c>
      <c r="B4356" s="1">
        <v>939747.75410000002</v>
      </c>
      <c r="C4356" s="1">
        <v>669426.55581797368</v>
      </c>
      <c r="D4356" s="1">
        <f t="shared" si="68"/>
        <v>270321.19828202634</v>
      </c>
      <c r="E4356" s="1">
        <v>2</v>
      </c>
      <c r="F4356" s="1">
        <v>30</v>
      </c>
      <c r="G4356" s="1">
        <v>3</v>
      </c>
      <c r="H4356" s="1">
        <v>1</v>
      </c>
      <c r="I4356" s="1">
        <v>0</v>
      </c>
      <c r="J4356" s="1">
        <v>2</v>
      </c>
      <c r="K4356" s="1">
        <v>0</v>
      </c>
      <c r="L4356" s="1">
        <v>0</v>
      </c>
      <c r="M4356" s="1">
        <v>0</v>
      </c>
    </row>
    <row r="4357" spans="1:13">
      <c r="A4357" s="1">
        <v>4356</v>
      </c>
      <c r="B4357" s="1">
        <v>841034.26430000004</v>
      </c>
      <c r="C4357" s="1">
        <v>499690.02536314796</v>
      </c>
      <c r="D4357" s="1">
        <f t="shared" si="68"/>
        <v>341344.23893685208</v>
      </c>
      <c r="E4357" s="1">
        <v>20</v>
      </c>
      <c r="F4357" s="1">
        <v>8</v>
      </c>
      <c r="G4357" s="1">
        <v>7</v>
      </c>
      <c r="H4357" s="1">
        <v>1</v>
      </c>
      <c r="I4357" s="1">
        <v>1</v>
      </c>
      <c r="J4357" s="1">
        <v>2</v>
      </c>
      <c r="K4357" s="1">
        <v>0</v>
      </c>
      <c r="L4357" s="1">
        <v>0</v>
      </c>
      <c r="M4357" s="1">
        <v>1</v>
      </c>
    </row>
    <row r="4358" spans="1:13">
      <c r="A4358" s="1">
        <v>4357</v>
      </c>
      <c r="B4358" s="1">
        <v>1040496.6543000001</v>
      </c>
      <c r="C4358" s="1">
        <v>982660.34403882409</v>
      </c>
      <c r="D4358" s="1">
        <f t="shared" si="68"/>
        <v>57836.310261175968</v>
      </c>
      <c r="E4358" s="1">
        <v>5</v>
      </c>
      <c r="F4358" s="1">
        <v>26</v>
      </c>
      <c r="G4358" s="1">
        <v>4</v>
      </c>
      <c r="H4358" s="1">
        <v>1</v>
      </c>
      <c r="I4358" s="1">
        <v>0</v>
      </c>
      <c r="J4358" s="1">
        <v>1</v>
      </c>
      <c r="K4358" s="1">
        <v>1</v>
      </c>
      <c r="L4358" s="1">
        <v>0</v>
      </c>
      <c r="M4358" s="1">
        <v>0</v>
      </c>
    </row>
    <row r="4359" spans="1:13">
      <c r="A4359" s="1">
        <v>4358</v>
      </c>
      <c r="B4359" s="1">
        <v>838991.52450000006</v>
      </c>
      <c r="C4359" s="1">
        <v>1463609.8827318361</v>
      </c>
      <c r="D4359" s="1">
        <f t="shared" si="68"/>
        <v>-624618.358231836</v>
      </c>
      <c r="E4359" s="1">
        <v>17</v>
      </c>
      <c r="F4359" s="1">
        <v>13</v>
      </c>
      <c r="G4359" s="1">
        <v>5</v>
      </c>
      <c r="H4359" s="1">
        <v>1</v>
      </c>
      <c r="I4359" s="1">
        <v>1</v>
      </c>
      <c r="J4359" s="1">
        <v>1</v>
      </c>
      <c r="K4359" s="1">
        <v>1</v>
      </c>
      <c r="L4359" s="1">
        <v>0</v>
      </c>
      <c r="M4359" s="1">
        <v>1</v>
      </c>
    </row>
    <row r="4360" spans="1:13">
      <c r="A4360" s="1">
        <v>4359</v>
      </c>
      <c r="B4360" s="1">
        <v>937369.23930000002</v>
      </c>
      <c r="C4360" s="1">
        <v>1020224.9287690611</v>
      </c>
      <c r="D4360" s="1">
        <f t="shared" si="68"/>
        <v>-82855.689469061093</v>
      </c>
      <c r="E4360" s="1">
        <v>12</v>
      </c>
      <c r="F4360" s="1">
        <v>17</v>
      </c>
      <c r="G4360" s="1">
        <v>6</v>
      </c>
      <c r="H4360" s="1">
        <v>1</v>
      </c>
      <c r="I4360" s="1">
        <v>0</v>
      </c>
      <c r="J4360" s="1">
        <v>1</v>
      </c>
      <c r="K4360" s="1">
        <v>1</v>
      </c>
      <c r="L4360" s="1">
        <v>0</v>
      </c>
      <c r="M4360" s="1">
        <v>0</v>
      </c>
    </row>
    <row r="4361" spans="1:13">
      <c r="A4361" s="1">
        <v>4360</v>
      </c>
      <c r="B4361" s="1">
        <v>795754.91610000003</v>
      </c>
      <c r="C4361" s="1">
        <v>2047124.3874433283</v>
      </c>
      <c r="D4361" s="1">
        <f t="shared" si="68"/>
        <v>-1251369.4713433282</v>
      </c>
      <c r="E4361" s="1">
        <v>10</v>
      </c>
      <c r="F4361" s="1">
        <v>18</v>
      </c>
      <c r="G4361" s="1">
        <v>7</v>
      </c>
      <c r="H4361" s="1">
        <v>0</v>
      </c>
      <c r="I4361" s="1">
        <v>0</v>
      </c>
      <c r="J4361" s="1">
        <v>0</v>
      </c>
      <c r="K4361" s="1">
        <v>1</v>
      </c>
      <c r="L4361" s="1">
        <v>0</v>
      </c>
      <c r="M4361" s="1">
        <v>0</v>
      </c>
    </row>
    <row r="4362" spans="1:13">
      <c r="A4362" s="1">
        <v>4361</v>
      </c>
      <c r="B4362" s="1">
        <v>1015846.8277</v>
      </c>
      <c r="C4362" s="1">
        <v>832761.9406860068</v>
      </c>
      <c r="D4362" s="1">
        <f t="shared" si="68"/>
        <v>183084.88701399323</v>
      </c>
      <c r="E4362" s="1">
        <v>6</v>
      </c>
      <c r="F4362" s="1">
        <v>24</v>
      </c>
      <c r="G4362" s="1">
        <v>5</v>
      </c>
      <c r="H4362" s="1">
        <v>1</v>
      </c>
      <c r="I4362" s="1">
        <v>1</v>
      </c>
      <c r="J4362" s="1">
        <v>1</v>
      </c>
      <c r="K4362" s="1">
        <v>1</v>
      </c>
      <c r="L4362" s="1">
        <v>0</v>
      </c>
      <c r="M4362" s="1">
        <v>0</v>
      </c>
    </row>
    <row r="4363" spans="1:13">
      <c r="A4363" s="1">
        <v>4362</v>
      </c>
      <c r="B4363" s="1">
        <v>858728.7071</v>
      </c>
      <c r="C4363" s="1">
        <v>1374267.1325136931</v>
      </c>
      <c r="D4363" s="1">
        <f t="shared" si="68"/>
        <v>-515538.42541369307</v>
      </c>
      <c r="E4363" s="1">
        <v>16</v>
      </c>
      <c r="F4363" s="1">
        <v>15</v>
      </c>
      <c r="G4363" s="1">
        <v>4</v>
      </c>
      <c r="H4363" s="1">
        <v>1</v>
      </c>
      <c r="I4363" s="1">
        <v>1</v>
      </c>
      <c r="J4363" s="1">
        <v>0</v>
      </c>
      <c r="K4363" s="1">
        <v>0</v>
      </c>
      <c r="L4363" s="1">
        <v>0</v>
      </c>
      <c r="M4363" s="1">
        <v>0</v>
      </c>
    </row>
    <row r="4364" spans="1:13">
      <c r="A4364" s="1">
        <v>4363</v>
      </c>
      <c r="B4364" s="1">
        <v>889905.71440000006</v>
      </c>
      <c r="C4364" s="1">
        <v>1072963.1200159215</v>
      </c>
      <c r="D4364" s="1">
        <f t="shared" si="68"/>
        <v>-183057.40561592148</v>
      </c>
      <c r="E4364" s="1">
        <v>12</v>
      </c>
      <c r="F4364" s="1">
        <v>17</v>
      </c>
      <c r="G4364" s="1">
        <v>6</v>
      </c>
      <c r="H4364" s="1">
        <v>2</v>
      </c>
      <c r="I4364" s="1">
        <v>0</v>
      </c>
      <c r="J4364" s="1">
        <v>0</v>
      </c>
      <c r="K4364" s="1">
        <v>1</v>
      </c>
      <c r="L4364" s="1">
        <v>0</v>
      </c>
      <c r="M4364" s="1">
        <v>0</v>
      </c>
    </row>
    <row r="4365" spans="1:13">
      <c r="A4365" s="1">
        <v>4364</v>
      </c>
      <c r="B4365" s="1">
        <v>1044674.524</v>
      </c>
      <c r="C4365" s="1">
        <v>1331700.6629643007</v>
      </c>
      <c r="D4365" s="1">
        <f t="shared" si="68"/>
        <v>-287026.13896430074</v>
      </c>
      <c r="E4365" s="1">
        <v>11</v>
      </c>
      <c r="F4365" s="1">
        <v>17</v>
      </c>
      <c r="G4365" s="1">
        <v>7</v>
      </c>
      <c r="H4365" s="1">
        <v>0</v>
      </c>
      <c r="I4365" s="1">
        <v>1</v>
      </c>
      <c r="J4365" s="1">
        <v>1</v>
      </c>
      <c r="K4365" s="1">
        <v>0</v>
      </c>
      <c r="L4365" s="1">
        <v>0</v>
      </c>
      <c r="M4365" s="1">
        <v>0</v>
      </c>
    </row>
    <row r="4366" spans="1:13">
      <c r="A4366" s="1">
        <v>4365</v>
      </c>
      <c r="B4366" s="1">
        <v>998120.08970000001</v>
      </c>
      <c r="C4366" s="1">
        <v>962020.56679351314</v>
      </c>
      <c r="D4366" s="1">
        <f t="shared" si="68"/>
        <v>36099.522906486876</v>
      </c>
      <c r="E4366" s="1">
        <v>10</v>
      </c>
      <c r="F4366" s="1">
        <v>18</v>
      </c>
      <c r="G4366" s="1">
        <v>7</v>
      </c>
      <c r="H4366" s="1">
        <v>2</v>
      </c>
      <c r="I4366" s="1">
        <v>0</v>
      </c>
      <c r="J4366" s="1">
        <v>0</v>
      </c>
      <c r="K4366" s="1">
        <v>0</v>
      </c>
      <c r="L4366" s="1">
        <v>0</v>
      </c>
      <c r="M4366" s="1">
        <v>0</v>
      </c>
    </row>
    <row r="4367" spans="1:13">
      <c r="A4367" s="1">
        <v>4366</v>
      </c>
      <c r="B4367" s="1">
        <v>1023097.3583</v>
      </c>
      <c r="C4367" s="1">
        <v>571857.32851590752</v>
      </c>
      <c r="D4367" s="1">
        <f t="shared" si="68"/>
        <v>451240.02978409245</v>
      </c>
      <c r="E4367" s="1">
        <v>11</v>
      </c>
      <c r="F4367" s="1">
        <v>19</v>
      </c>
      <c r="G4367" s="1">
        <v>5</v>
      </c>
      <c r="H4367" s="1">
        <v>2</v>
      </c>
      <c r="I4367" s="1">
        <v>0</v>
      </c>
      <c r="J4367" s="1">
        <v>0</v>
      </c>
      <c r="K4367" s="1">
        <v>0</v>
      </c>
      <c r="L4367" s="1">
        <v>0</v>
      </c>
      <c r="M4367" s="1">
        <v>1</v>
      </c>
    </row>
    <row r="4368" spans="1:13">
      <c r="A4368" s="1">
        <v>4367</v>
      </c>
      <c r="B4368" s="1">
        <v>893988.67339999997</v>
      </c>
      <c r="C4368" s="1">
        <v>615940.74746919074</v>
      </c>
      <c r="D4368" s="1">
        <f t="shared" si="68"/>
        <v>278047.92593080923</v>
      </c>
      <c r="E4368" s="1">
        <v>12</v>
      </c>
      <c r="F4368" s="1">
        <v>20</v>
      </c>
      <c r="G4368" s="1">
        <v>3</v>
      </c>
      <c r="H4368" s="1">
        <v>0</v>
      </c>
      <c r="I4368" s="1">
        <v>0</v>
      </c>
      <c r="J4368" s="1">
        <v>0</v>
      </c>
      <c r="K4368" s="1">
        <v>0</v>
      </c>
      <c r="L4368" s="1">
        <v>0</v>
      </c>
      <c r="M4368" s="1">
        <v>1</v>
      </c>
    </row>
    <row r="4369" spans="1:13">
      <c r="A4369" s="1">
        <v>4368</v>
      </c>
      <c r="B4369" s="1">
        <v>1147249.3875</v>
      </c>
      <c r="C4369" s="1">
        <v>790643.27219988219</v>
      </c>
      <c r="D4369" s="1">
        <f t="shared" si="68"/>
        <v>356606.11530011776</v>
      </c>
      <c r="E4369" s="1">
        <v>6</v>
      </c>
      <c r="F4369" s="1">
        <v>24</v>
      </c>
      <c r="G4369" s="1">
        <v>5</v>
      </c>
      <c r="H4369" s="1">
        <v>0</v>
      </c>
      <c r="I4369" s="1">
        <v>0</v>
      </c>
      <c r="J4369" s="1">
        <v>1</v>
      </c>
      <c r="K4369" s="1">
        <v>0</v>
      </c>
      <c r="L4369" s="1">
        <v>1</v>
      </c>
      <c r="M4369" s="1">
        <v>0</v>
      </c>
    </row>
    <row r="4370" spans="1:13">
      <c r="A4370" s="1">
        <v>4369</v>
      </c>
      <c r="B4370" s="1">
        <v>913965.82880000002</v>
      </c>
      <c r="C4370" s="1">
        <v>1157911.6282283259</v>
      </c>
      <c r="D4370" s="1">
        <f t="shared" si="68"/>
        <v>-243945.79942832584</v>
      </c>
      <c r="E4370" s="1">
        <v>17</v>
      </c>
      <c r="F4370" s="1">
        <v>13</v>
      </c>
      <c r="G4370" s="1">
        <v>5</v>
      </c>
      <c r="H4370" s="1">
        <v>2</v>
      </c>
      <c r="I4370" s="1">
        <v>0</v>
      </c>
      <c r="J4370" s="1">
        <v>0</v>
      </c>
      <c r="K4370" s="1">
        <v>1</v>
      </c>
      <c r="L4370" s="1">
        <v>0</v>
      </c>
      <c r="M4370" s="1">
        <v>0</v>
      </c>
    </row>
    <row r="4371" spans="1:13">
      <c r="A4371" s="1">
        <v>4370</v>
      </c>
      <c r="B4371" s="1">
        <v>973415.53760000004</v>
      </c>
      <c r="C4371" s="1">
        <v>730703.64591041766</v>
      </c>
      <c r="D4371" s="1">
        <f t="shared" si="68"/>
        <v>242711.89168958238</v>
      </c>
      <c r="E4371" s="1">
        <v>7</v>
      </c>
      <c r="F4371" s="1">
        <v>20</v>
      </c>
      <c r="G4371" s="1">
        <v>8</v>
      </c>
      <c r="H4371" s="1">
        <v>1</v>
      </c>
      <c r="I4371" s="1">
        <v>0</v>
      </c>
      <c r="J4371" s="1">
        <v>1</v>
      </c>
      <c r="K4371" s="1">
        <v>1</v>
      </c>
      <c r="L4371" s="1">
        <v>0</v>
      </c>
      <c r="M4371" s="1">
        <v>0</v>
      </c>
    </row>
    <row r="4372" spans="1:13">
      <c r="A4372" s="1">
        <v>4371</v>
      </c>
      <c r="B4372" s="1">
        <v>987670.43740000005</v>
      </c>
      <c r="C4372" s="1">
        <v>690761.24898757471</v>
      </c>
      <c r="D4372" s="1">
        <f t="shared" si="68"/>
        <v>296909.18841242534</v>
      </c>
      <c r="E4372" s="1">
        <v>13</v>
      </c>
      <c r="F4372" s="1">
        <v>18</v>
      </c>
      <c r="G4372" s="1">
        <v>4</v>
      </c>
      <c r="H4372" s="1">
        <v>0</v>
      </c>
      <c r="I4372" s="1">
        <v>0</v>
      </c>
      <c r="J4372" s="1">
        <v>0</v>
      </c>
      <c r="K4372" s="1">
        <v>2</v>
      </c>
      <c r="L4372" s="1">
        <v>0</v>
      </c>
      <c r="M4372" s="1">
        <v>1</v>
      </c>
    </row>
    <row r="4373" spans="1:13">
      <c r="A4373" s="1">
        <v>4372</v>
      </c>
      <c r="B4373" s="1">
        <v>1007213.2455</v>
      </c>
      <c r="C4373" s="1">
        <v>846105.55364040332</v>
      </c>
      <c r="D4373" s="1">
        <f t="shared" si="68"/>
        <v>161107.69185959664</v>
      </c>
      <c r="E4373" s="1">
        <v>12</v>
      </c>
      <c r="F4373" s="1">
        <v>14</v>
      </c>
      <c r="G4373" s="1">
        <v>9</v>
      </c>
      <c r="H4373" s="1">
        <v>0</v>
      </c>
      <c r="I4373" s="1">
        <v>0</v>
      </c>
      <c r="J4373" s="1">
        <v>1</v>
      </c>
      <c r="K4373" s="1">
        <v>1</v>
      </c>
      <c r="L4373" s="1">
        <v>0</v>
      </c>
      <c r="M4373" s="1">
        <v>0</v>
      </c>
    </row>
    <row r="4374" spans="1:13">
      <c r="A4374" s="1">
        <v>4373</v>
      </c>
      <c r="B4374" s="1">
        <v>897763.42779999995</v>
      </c>
      <c r="C4374" s="1">
        <v>856785.36001616786</v>
      </c>
      <c r="D4374" s="1">
        <f t="shared" si="68"/>
        <v>40978.067783832084</v>
      </c>
      <c r="E4374" s="1">
        <v>8</v>
      </c>
      <c r="F4374" s="1">
        <v>24</v>
      </c>
      <c r="G4374" s="1">
        <v>3</v>
      </c>
      <c r="H4374" s="1">
        <v>1</v>
      </c>
      <c r="I4374" s="1">
        <v>1</v>
      </c>
      <c r="J4374" s="1">
        <v>0</v>
      </c>
      <c r="K4374" s="1">
        <v>0</v>
      </c>
      <c r="L4374" s="1">
        <v>0</v>
      </c>
      <c r="M4374" s="1">
        <v>1</v>
      </c>
    </row>
    <row r="4375" spans="1:13">
      <c r="A4375" s="1">
        <v>4374</v>
      </c>
      <c r="B4375" s="1">
        <v>1016195.0297</v>
      </c>
      <c r="C4375" s="1">
        <v>564764.54683976364</v>
      </c>
      <c r="D4375" s="1">
        <f t="shared" si="68"/>
        <v>451430.48286023631</v>
      </c>
      <c r="E4375" s="1">
        <v>6</v>
      </c>
      <c r="F4375" s="1">
        <v>24</v>
      </c>
      <c r="G4375" s="1">
        <v>5</v>
      </c>
      <c r="H4375" s="1">
        <v>2</v>
      </c>
      <c r="I4375" s="1">
        <v>0</v>
      </c>
      <c r="J4375" s="1">
        <v>0</v>
      </c>
      <c r="K4375" s="1">
        <v>1</v>
      </c>
      <c r="L4375" s="1">
        <v>0</v>
      </c>
      <c r="M4375" s="1">
        <v>0</v>
      </c>
    </row>
    <row r="4376" spans="1:13">
      <c r="A4376" s="1">
        <v>4375</v>
      </c>
      <c r="B4376" s="1">
        <v>875011.45689999999</v>
      </c>
      <c r="C4376" s="1">
        <v>1452336.7601970886</v>
      </c>
      <c r="D4376" s="1">
        <f t="shared" si="68"/>
        <v>-577325.3032970886</v>
      </c>
      <c r="E4376" s="1">
        <v>13</v>
      </c>
      <c r="F4376" s="1">
        <v>15</v>
      </c>
      <c r="G4376" s="1">
        <v>7</v>
      </c>
      <c r="H4376" s="1">
        <v>0</v>
      </c>
      <c r="I4376" s="1">
        <v>0</v>
      </c>
      <c r="J4376" s="1">
        <v>0</v>
      </c>
      <c r="K4376" s="1">
        <v>0</v>
      </c>
      <c r="L4376" s="1">
        <v>0</v>
      </c>
      <c r="M4376" s="1">
        <v>0</v>
      </c>
    </row>
    <row r="4377" spans="1:13">
      <c r="A4377" s="1">
        <v>4376</v>
      </c>
      <c r="B4377" s="1">
        <v>979331.46270000003</v>
      </c>
      <c r="C4377" s="1">
        <v>697853.56020199449</v>
      </c>
      <c r="D4377" s="1">
        <f t="shared" si="68"/>
        <v>281477.90249800554</v>
      </c>
      <c r="E4377" s="1">
        <v>7</v>
      </c>
      <c r="F4377" s="1">
        <v>20</v>
      </c>
      <c r="G4377" s="1">
        <v>8</v>
      </c>
      <c r="H4377" s="1">
        <v>1</v>
      </c>
      <c r="I4377" s="1">
        <v>1</v>
      </c>
      <c r="J4377" s="1">
        <v>2</v>
      </c>
      <c r="K4377" s="1">
        <v>0</v>
      </c>
      <c r="L4377" s="1">
        <v>0</v>
      </c>
      <c r="M4377" s="1">
        <v>1</v>
      </c>
    </row>
    <row r="4378" spans="1:13">
      <c r="A4378" s="1">
        <v>4377</v>
      </c>
      <c r="B4378" s="1">
        <v>948382.96189999999</v>
      </c>
      <c r="C4378" s="1">
        <v>701156.82972285768</v>
      </c>
      <c r="D4378" s="1">
        <f t="shared" si="68"/>
        <v>247226.13217714231</v>
      </c>
      <c r="E4378" s="1">
        <v>8</v>
      </c>
      <c r="F4378" s="1">
        <v>23</v>
      </c>
      <c r="G4378" s="1">
        <v>4</v>
      </c>
      <c r="H4378" s="1">
        <v>0</v>
      </c>
      <c r="I4378" s="1">
        <v>0</v>
      </c>
      <c r="J4378" s="1">
        <v>0</v>
      </c>
      <c r="K4378" s="1">
        <v>1</v>
      </c>
      <c r="L4378" s="1">
        <v>0</v>
      </c>
      <c r="M4378" s="1">
        <v>1</v>
      </c>
    </row>
    <row r="4379" spans="1:13">
      <c r="A4379" s="1">
        <v>4378</v>
      </c>
      <c r="B4379" s="1">
        <v>861457.51520000002</v>
      </c>
      <c r="C4379" s="1">
        <v>473408.58152243216</v>
      </c>
      <c r="D4379" s="1">
        <f t="shared" si="68"/>
        <v>388048.93367756787</v>
      </c>
      <c r="E4379" s="1">
        <v>13</v>
      </c>
      <c r="F4379" s="1">
        <v>16</v>
      </c>
      <c r="G4379" s="1">
        <v>6</v>
      </c>
      <c r="H4379" s="1">
        <v>1</v>
      </c>
      <c r="I4379" s="1">
        <v>0</v>
      </c>
      <c r="J4379" s="1">
        <v>2</v>
      </c>
      <c r="K4379" s="1">
        <v>0</v>
      </c>
      <c r="L4379" s="1">
        <v>0</v>
      </c>
      <c r="M4379" s="1">
        <v>1</v>
      </c>
    </row>
    <row r="4380" spans="1:13">
      <c r="A4380" s="1">
        <v>4379</v>
      </c>
      <c r="B4380" s="1">
        <v>869911.45490000001</v>
      </c>
      <c r="C4380" s="1">
        <v>558949.72758826846</v>
      </c>
      <c r="D4380" s="1">
        <f t="shared" si="68"/>
        <v>310961.72731173155</v>
      </c>
      <c r="E4380" s="1">
        <v>18</v>
      </c>
      <c r="F4380" s="1">
        <v>13</v>
      </c>
      <c r="G4380" s="1">
        <v>4</v>
      </c>
      <c r="H4380" s="1">
        <v>1</v>
      </c>
      <c r="I4380" s="1">
        <v>0</v>
      </c>
      <c r="J4380" s="1">
        <v>0</v>
      </c>
      <c r="K4380" s="1">
        <v>0</v>
      </c>
      <c r="L4380" s="1">
        <v>0</v>
      </c>
      <c r="M4380" s="1">
        <v>0</v>
      </c>
    </row>
    <row r="4381" spans="1:13">
      <c r="A4381" s="1">
        <v>4380</v>
      </c>
      <c r="B4381" s="1">
        <v>980565.72160000005</v>
      </c>
      <c r="C4381" s="1">
        <v>869106.70658464078</v>
      </c>
      <c r="D4381" s="1">
        <f t="shared" si="68"/>
        <v>111459.01501535927</v>
      </c>
      <c r="E4381" s="1">
        <v>19</v>
      </c>
      <c r="F4381" s="1">
        <v>11</v>
      </c>
      <c r="G4381" s="1">
        <v>5</v>
      </c>
      <c r="H4381" s="1">
        <v>0</v>
      </c>
      <c r="I4381" s="1">
        <v>0</v>
      </c>
      <c r="J4381" s="1">
        <v>1</v>
      </c>
      <c r="K4381" s="1">
        <v>0</v>
      </c>
      <c r="L4381" s="1">
        <v>0</v>
      </c>
      <c r="M4381" s="1">
        <v>0</v>
      </c>
    </row>
    <row r="4382" spans="1:13">
      <c r="A4382" s="1">
        <v>4381</v>
      </c>
      <c r="B4382" s="1">
        <v>918747.67009999999</v>
      </c>
      <c r="C4382" s="1">
        <v>927330.20573087712</v>
      </c>
      <c r="D4382" s="1">
        <f t="shared" si="68"/>
        <v>-8582.5356308771297</v>
      </c>
      <c r="E4382" s="1">
        <v>16</v>
      </c>
      <c r="F4382" s="1">
        <v>16</v>
      </c>
      <c r="G4382" s="1">
        <v>3</v>
      </c>
      <c r="H4382" s="1">
        <v>1</v>
      </c>
      <c r="I4382" s="1">
        <v>0</v>
      </c>
      <c r="J4382" s="1">
        <v>0</v>
      </c>
      <c r="K4382" s="1">
        <v>1</v>
      </c>
      <c r="L4382" s="1">
        <v>0</v>
      </c>
      <c r="M4382" s="1">
        <v>0</v>
      </c>
    </row>
    <row r="4383" spans="1:13">
      <c r="A4383" s="1">
        <v>4382</v>
      </c>
      <c r="B4383" s="1">
        <v>902718.36510000005</v>
      </c>
      <c r="C4383" s="1">
        <v>534883.64121363778</v>
      </c>
      <c r="D4383" s="1">
        <f t="shared" si="68"/>
        <v>367834.72388636228</v>
      </c>
      <c r="E4383" s="1">
        <v>15</v>
      </c>
      <c r="F4383" s="1">
        <v>15</v>
      </c>
      <c r="G4383" s="1">
        <v>5</v>
      </c>
      <c r="H4383" s="1">
        <v>2</v>
      </c>
      <c r="I4383" s="1">
        <v>0</v>
      </c>
      <c r="J4383" s="1">
        <v>1</v>
      </c>
      <c r="K4383" s="1">
        <v>1</v>
      </c>
      <c r="L4383" s="1">
        <v>0</v>
      </c>
      <c r="M4383" s="1">
        <v>0</v>
      </c>
    </row>
    <row r="4384" spans="1:13">
      <c r="A4384" s="1">
        <v>4383</v>
      </c>
      <c r="B4384" s="1">
        <v>1021727.8135</v>
      </c>
      <c r="C4384" s="1">
        <v>905184.10270186421</v>
      </c>
      <c r="D4384" s="1">
        <f t="shared" si="68"/>
        <v>116543.71079813584</v>
      </c>
      <c r="E4384" s="1">
        <v>11</v>
      </c>
      <c r="F4384" s="1">
        <v>19</v>
      </c>
      <c r="G4384" s="1">
        <v>5</v>
      </c>
      <c r="H4384" s="1">
        <v>2</v>
      </c>
      <c r="I4384" s="1">
        <v>0</v>
      </c>
      <c r="J4384" s="1">
        <v>2</v>
      </c>
      <c r="K4384" s="1">
        <v>0</v>
      </c>
      <c r="L4384" s="1">
        <v>0</v>
      </c>
      <c r="M4384" s="1">
        <v>1</v>
      </c>
    </row>
    <row r="4385" spans="1:13">
      <c r="A4385" s="1">
        <v>4384</v>
      </c>
      <c r="B4385" s="1">
        <v>956409.66310000001</v>
      </c>
      <c r="C4385" s="1">
        <v>928140.77861503791</v>
      </c>
      <c r="D4385" s="1">
        <f t="shared" si="68"/>
        <v>28268.884484962095</v>
      </c>
      <c r="E4385" s="1">
        <v>12</v>
      </c>
      <c r="F4385" s="1">
        <v>18</v>
      </c>
      <c r="G4385" s="1">
        <v>5</v>
      </c>
      <c r="H4385" s="1">
        <v>1</v>
      </c>
      <c r="I4385" s="1">
        <v>1</v>
      </c>
      <c r="J4385" s="1">
        <v>2</v>
      </c>
      <c r="K4385" s="1">
        <v>0</v>
      </c>
      <c r="L4385" s="1">
        <v>0</v>
      </c>
      <c r="M4385" s="1">
        <v>0</v>
      </c>
    </row>
    <row r="4386" spans="1:13">
      <c r="A4386" s="1">
        <v>4385</v>
      </c>
      <c r="B4386" s="1">
        <v>958748.4595</v>
      </c>
      <c r="C4386" s="1">
        <v>986594.5760641899</v>
      </c>
      <c r="D4386" s="1">
        <f t="shared" si="68"/>
        <v>-27846.116564189899</v>
      </c>
      <c r="E4386" s="1">
        <v>14</v>
      </c>
      <c r="F4386" s="1">
        <v>16</v>
      </c>
      <c r="G4386" s="1">
        <v>5</v>
      </c>
      <c r="H4386" s="1">
        <v>1</v>
      </c>
      <c r="I4386" s="1">
        <v>0</v>
      </c>
      <c r="J4386" s="1">
        <v>0</v>
      </c>
      <c r="K4386" s="1">
        <v>1</v>
      </c>
      <c r="L4386" s="1">
        <v>0</v>
      </c>
      <c r="M4386" s="1">
        <v>0</v>
      </c>
    </row>
    <row r="4387" spans="1:13">
      <c r="A4387" s="1">
        <v>4386</v>
      </c>
      <c r="B4387" s="1">
        <v>905466.11380000005</v>
      </c>
      <c r="C4387" s="1">
        <v>880910.4730762433</v>
      </c>
      <c r="D4387" s="1">
        <f t="shared" si="68"/>
        <v>24555.640723756747</v>
      </c>
      <c r="E4387" s="1">
        <v>15</v>
      </c>
      <c r="F4387" s="1">
        <v>17</v>
      </c>
      <c r="G4387" s="1">
        <v>3</v>
      </c>
      <c r="H4387" s="1">
        <v>2</v>
      </c>
      <c r="I4387" s="1">
        <v>0</v>
      </c>
      <c r="J4387" s="1">
        <v>0</v>
      </c>
      <c r="K4387" s="1">
        <v>2</v>
      </c>
      <c r="L4387" s="1">
        <v>0</v>
      </c>
      <c r="M4387" s="1">
        <v>0</v>
      </c>
    </row>
    <row r="4388" spans="1:13">
      <c r="A4388" s="1">
        <v>4387</v>
      </c>
      <c r="B4388" s="1">
        <v>995535.76520000002</v>
      </c>
      <c r="C4388" s="1">
        <v>868744.1985219646</v>
      </c>
      <c r="D4388" s="1">
        <f t="shared" si="68"/>
        <v>126791.56667803542</v>
      </c>
      <c r="E4388" s="1">
        <v>5</v>
      </c>
      <c r="F4388" s="1">
        <v>26</v>
      </c>
      <c r="G4388" s="1">
        <v>4</v>
      </c>
      <c r="H4388" s="1">
        <v>1</v>
      </c>
      <c r="I4388" s="1">
        <v>0</v>
      </c>
      <c r="J4388" s="1">
        <v>1</v>
      </c>
      <c r="K4388" s="1">
        <v>0</v>
      </c>
      <c r="L4388" s="1">
        <v>0</v>
      </c>
      <c r="M4388" s="1">
        <v>1</v>
      </c>
    </row>
    <row r="4389" spans="1:13">
      <c r="A4389" s="1">
        <v>4388</v>
      </c>
      <c r="B4389" s="1">
        <v>832095.53830000001</v>
      </c>
      <c r="C4389" s="1">
        <v>778100.35550959816</v>
      </c>
      <c r="D4389" s="1">
        <f t="shared" si="68"/>
        <v>53995.182790401857</v>
      </c>
      <c r="E4389" s="1">
        <v>6</v>
      </c>
      <c r="F4389" s="1">
        <v>23</v>
      </c>
      <c r="G4389" s="1">
        <v>6</v>
      </c>
      <c r="H4389" s="1">
        <v>1</v>
      </c>
      <c r="I4389" s="1">
        <v>0</v>
      </c>
      <c r="J4389" s="1">
        <v>0</v>
      </c>
      <c r="K4389" s="1">
        <v>0</v>
      </c>
      <c r="L4389" s="1">
        <v>0</v>
      </c>
      <c r="M4389" s="1">
        <v>1</v>
      </c>
    </row>
    <row r="4390" spans="1:13">
      <c r="A4390" s="1">
        <v>4389</v>
      </c>
      <c r="B4390" s="1">
        <v>918527.58</v>
      </c>
      <c r="C4390" s="1">
        <v>835859.37092001992</v>
      </c>
      <c r="D4390" s="1">
        <f t="shared" si="68"/>
        <v>82668.209079980035</v>
      </c>
      <c r="E4390" s="1">
        <v>7</v>
      </c>
      <c r="F4390" s="1">
        <v>23</v>
      </c>
      <c r="G4390" s="1">
        <v>5</v>
      </c>
      <c r="H4390" s="1">
        <v>2</v>
      </c>
      <c r="I4390" s="1">
        <v>0</v>
      </c>
      <c r="J4390" s="1">
        <v>0</v>
      </c>
      <c r="K4390" s="1">
        <v>2</v>
      </c>
      <c r="L4390" s="1">
        <v>0</v>
      </c>
      <c r="M4390" s="1">
        <v>1</v>
      </c>
    </row>
    <row r="4391" spans="1:13">
      <c r="A4391" s="1">
        <v>4390</v>
      </c>
      <c r="B4391" s="1">
        <v>890176.78509999998</v>
      </c>
      <c r="C4391" s="1">
        <v>1567438.948823778</v>
      </c>
      <c r="D4391" s="1">
        <f t="shared" si="68"/>
        <v>-677262.16372377798</v>
      </c>
      <c r="E4391" s="1">
        <v>10</v>
      </c>
      <c r="F4391" s="1">
        <v>20</v>
      </c>
      <c r="G4391" s="1">
        <v>5</v>
      </c>
      <c r="H4391" s="1">
        <v>0</v>
      </c>
      <c r="I4391" s="1">
        <v>0</v>
      </c>
      <c r="J4391" s="1">
        <v>1</v>
      </c>
      <c r="K4391" s="1">
        <v>1</v>
      </c>
      <c r="L4391" s="1">
        <v>0</v>
      </c>
      <c r="M4391" s="1">
        <v>0</v>
      </c>
    </row>
    <row r="4392" spans="1:13">
      <c r="A4392" s="1">
        <v>4391</v>
      </c>
      <c r="B4392" s="1">
        <v>957776.08030000003</v>
      </c>
      <c r="C4392" s="1">
        <v>601477.42132666451</v>
      </c>
      <c r="D4392" s="1">
        <f t="shared" si="68"/>
        <v>356298.65897333552</v>
      </c>
      <c r="E4392" s="1">
        <v>12</v>
      </c>
      <c r="F4392" s="1">
        <v>18</v>
      </c>
      <c r="G4392" s="1">
        <v>5</v>
      </c>
      <c r="H4392" s="1">
        <v>1</v>
      </c>
      <c r="I4392" s="1">
        <v>1</v>
      </c>
      <c r="J4392" s="1">
        <v>2</v>
      </c>
      <c r="K4392" s="1">
        <v>0</v>
      </c>
      <c r="L4392" s="1">
        <v>0</v>
      </c>
      <c r="M4392" s="1">
        <v>0</v>
      </c>
    </row>
    <row r="4393" spans="1:13">
      <c r="A4393" s="1">
        <v>4392</v>
      </c>
      <c r="B4393" s="1">
        <v>934714.3051</v>
      </c>
      <c r="C4393" s="1">
        <v>828207.74094592466</v>
      </c>
      <c r="D4393" s="1">
        <f t="shared" si="68"/>
        <v>106506.56415407534</v>
      </c>
      <c r="E4393" s="1">
        <v>18</v>
      </c>
      <c r="F4393" s="1">
        <v>16</v>
      </c>
      <c r="G4393" s="1">
        <v>1</v>
      </c>
      <c r="H4393" s="1">
        <v>0</v>
      </c>
      <c r="I4393" s="1">
        <v>0</v>
      </c>
      <c r="J4393" s="1">
        <v>1</v>
      </c>
      <c r="K4393" s="1">
        <v>1</v>
      </c>
      <c r="L4393" s="1">
        <v>0</v>
      </c>
      <c r="M4393" s="1">
        <v>0</v>
      </c>
    </row>
    <row r="4394" spans="1:13">
      <c r="A4394" s="1">
        <v>4393</v>
      </c>
      <c r="B4394" s="1">
        <v>982180.08600000001</v>
      </c>
      <c r="C4394" s="1">
        <v>1347668.288979677</v>
      </c>
      <c r="D4394" s="1">
        <f t="shared" si="68"/>
        <v>-365488.20297967701</v>
      </c>
      <c r="E4394" s="1">
        <v>19</v>
      </c>
      <c r="F4394" s="1">
        <v>13</v>
      </c>
      <c r="G4394" s="1">
        <v>3</v>
      </c>
      <c r="H4394" s="1">
        <v>1</v>
      </c>
      <c r="I4394" s="1">
        <v>0</v>
      </c>
      <c r="J4394" s="1">
        <v>1</v>
      </c>
      <c r="K4394" s="1">
        <v>0</v>
      </c>
      <c r="L4394" s="1">
        <v>0</v>
      </c>
      <c r="M4394" s="1">
        <v>0</v>
      </c>
    </row>
    <row r="4395" spans="1:13">
      <c r="A4395" s="1">
        <v>4394</v>
      </c>
      <c r="B4395" s="1">
        <v>881237.21429999999</v>
      </c>
      <c r="C4395" s="1">
        <v>718285.10803660308</v>
      </c>
      <c r="D4395" s="1">
        <f t="shared" si="68"/>
        <v>162952.10626339691</v>
      </c>
      <c r="E4395" s="1">
        <v>11</v>
      </c>
      <c r="F4395" s="1">
        <v>20</v>
      </c>
      <c r="G4395" s="1">
        <v>4</v>
      </c>
      <c r="H4395" s="1">
        <v>2</v>
      </c>
      <c r="I4395" s="1">
        <v>0</v>
      </c>
      <c r="J4395" s="1">
        <v>0</v>
      </c>
      <c r="K4395" s="1">
        <v>1</v>
      </c>
      <c r="L4395" s="1">
        <v>0</v>
      </c>
      <c r="M4395" s="1">
        <v>0</v>
      </c>
    </row>
    <row r="4396" spans="1:13">
      <c r="A4396" s="1">
        <v>4395</v>
      </c>
      <c r="B4396" s="1">
        <v>967527.35629999998</v>
      </c>
      <c r="C4396" s="1">
        <v>842137.79968398088</v>
      </c>
      <c r="D4396" s="1">
        <f t="shared" si="68"/>
        <v>125389.55661601911</v>
      </c>
      <c r="E4396" s="1">
        <v>11</v>
      </c>
      <c r="F4396" s="1">
        <v>18</v>
      </c>
      <c r="G4396" s="1">
        <v>6</v>
      </c>
      <c r="H4396" s="1">
        <v>2</v>
      </c>
      <c r="I4396" s="1">
        <v>0</v>
      </c>
      <c r="J4396" s="1">
        <v>0</v>
      </c>
      <c r="K4396" s="1">
        <v>2</v>
      </c>
      <c r="L4396" s="1">
        <v>0</v>
      </c>
      <c r="M4396" s="1">
        <v>0</v>
      </c>
    </row>
    <row r="4397" spans="1:13">
      <c r="A4397" s="1">
        <v>4396</v>
      </c>
      <c r="B4397" s="1">
        <v>968273.33880000003</v>
      </c>
      <c r="C4397" s="1">
        <v>791426.82016795466</v>
      </c>
      <c r="D4397" s="1">
        <f t="shared" si="68"/>
        <v>176846.51863204536</v>
      </c>
      <c r="E4397" s="1">
        <v>14</v>
      </c>
      <c r="F4397" s="1">
        <v>15</v>
      </c>
      <c r="G4397" s="1">
        <v>6</v>
      </c>
      <c r="H4397" s="1">
        <v>0</v>
      </c>
      <c r="I4397" s="1">
        <v>0</v>
      </c>
      <c r="J4397" s="1">
        <v>0</v>
      </c>
      <c r="K4397" s="1">
        <v>0</v>
      </c>
      <c r="L4397" s="1">
        <v>1</v>
      </c>
      <c r="M4397" s="1">
        <v>1</v>
      </c>
    </row>
    <row r="4398" spans="1:13">
      <c r="A4398" s="1">
        <v>4397</v>
      </c>
      <c r="B4398" s="1">
        <v>902027.19779999997</v>
      </c>
      <c r="C4398" s="1">
        <v>681044.90728388075</v>
      </c>
      <c r="D4398" s="1">
        <f t="shared" si="68"/>
        <v>220982.29051611922</v>
      </c>
      <c r="E4398" s="1">
        <v>7</v>
      </c>
      <c r="F4398" s="1">
        <v>22</v>
      </c>
      <c r="G4398" s="1">
        <v>6</v>
      </c>
      <c r="H4398" s="1">
        <v>0</v>
      </c>
      <c r="I4398" s="1">
        <v>0</v>
      </c>
      <c r="J4398" s="1">
        <v>1</v>
      </c>
      <c r="K4398" s="1">
        <v>1</v>
      </c>
      <c r="L4398" s="1">
        <v>0</v>
      </c>
      <c r="M4398" s="1">
        <v>0</v>
      </c>
    </row>
    <row r="4399" spans="1:13">
      <c r="A4399" s="1">
        <v>4398</v>
      </c>
      <c r="B4399" s="1">
        <v>967040.99910000002</v>
      </c>
      <c r="C4399" s="1">
        <v>796589.05895930948</v>
      </c>
      <c r="D4399" s="1">
        <f t="shared" si="68"/>
        <v>170451.94014069054</v>
      </c>
      <c r="E4399" s="1">
        <v>7</v>
      </c>
      <c r="F4399" s="1">
        <v>24</v>
      </c>
      <c r="G4399" s="1">
        <v>4</v>
      </c>
      <c r="H4399" s="1">
        <v>1</v>
      </c>
      <c r="I4399" s="1">
        <v>1</v>
      </c>
      <c r="J4399" s="1">
        <v>0</v>
      </c>
      <c r="K4399" s="1">
        <v>0</v>
      </c>
      <c r="L4399" s="1">
        <v>1</v>
      </c>
      <c r="M4399" s="1">
        <v>1</v>
      </c>
    </row>
    <row r="4400" spans="1:13">
      <c r="A4400" s="1">
        <v>4399</v>
      </c>
      <c r="B4400" s="1">
        <v>918642.28269999998</v>
      </c>
      <c r="C4400" s="1">
        <v>763701.43802424159</v>
      </c>
      <c r="D4400" s="1">
        <f t="shared" si="68"/>
        <v>154940.84467575839</v>
      </c>
      <c r="E4400" s="1">
        <v>5</v>
      </c>
      <c r="F4400" s="1">
        <v>24</v>
      </c>
      <c r="G4400" s="1">
        <v>6</v>
      </c>
      <c r="H4400" s="1">
        <v>0</v>
      </c>
      <c r="I4400" s="1">
        <v>0</v>
      </c>
      <c r="J4400" s="1">
        <v>1</v>
      </c>
      <c r="K4400" s="1">
        <v>1</v>
      </c>
      <c r="L4400" s="1">
        <v>0</v>
      </c>
      <c r="M4400" s="1">
        <v>0</v>
      </c>
    </row>
    <row r="4401" spans="1:13">
      <c r="A4401" s="1">
        <v>4400</v>
      </c>
      <c r="B4401" s="1">
        <v>1030921.4350000001</v>
      </c>
      <c r="C4401" s="1">
        <v>1215770.9231664769</v>
      </c>
      <c r="D4401" s="1">
        <f t="shared" si="68"/>
        <v>-184849.48816647683</v>
      </c>
      <c r="E4401" s="1">
        <v>5</v>
      </c>
      <c r="F4401" s="1">
        <v>24</v>
      </c>
      <c r="G4401" s="1">
        <v>6</v>
      </c>
      <c r="H4401" s="1">
        <v>0</v>
      </c>
      <c r="I4401" s="1">
        <v>0</v>
      </c>
      <c r="J4401" s="1">
        <v>1</v>
      </c>
      <c r="K4401" s="1">
        <v>1</v>
      </c>
      <c r="L4401" s="1">
        <v>0</v>
      </c>
      <c r="M4401" s="1">
        <v>1</v>
      </c>
    </row>
    <row r="4402" spans="1:13">
      <c r="A4402" s="1">
        <v>4401</v>
      </c>
      <c r="B4402" s="1">
        <v>970361.62609999999</v>
      </c>
      <c r="C4402" s="1">
        <v>1513499.0943140138</v>
      </c>
      <c r="D4402" s="1">
        <f t="shared" si="68"/>
        <v>-543137.46821401385</v>
      </c>
      <c r="E4402" s="1">
        <v>8</v>
      </c>
      <c r="F4402" s="1">
        <v>22</v>
      </c>
      <c r="G4402" s="1">
        <v>5</v>
      </c>
      <c r="H4402" s="1">
        <v>1</v>
      </c>
      <c r="I4402" s="1">
        <v>1</v>
      </c>
      <c r="J4402" s="1">
        <v>1</v>
      </c>
      <c r="K4402" s="1">
        <v>0</v>
      </c>
      <c r="L4402" s="1">
        <v>0</v>
      </c>
      <c r="M4402" s="1">
        <v>1</v>
      </c>
    </row>
    <row r="4403" spans="1:13">
      <c r="A4403" s="1">
        <v>4402</v>
      </c>
      <c r="B4403" s="1">
        <v>890651.35800000001</v>
      </c>
      <c r="C4403" s="1">
        <v>788682.17727196834</v>
      </c>
      <c r="D4403" s="1">
        <f t="shared" si="68"/>
        <v>101969.18072803167</v>
      </c>
      <c r="E4403" s="1">
        <v>19</v>
      </c>
      <c r="F4403" s="1">
        <v>11</v>
      </c>
      <c r="G4403" s="1">
        <v>5</v>
      </c>
      <c r="H4403" s="1">
        <v>0</v>
      </c>
      <c r="I4403" s="1">
        <v>1</v>
      </c>
      <c r="J4403" s="1">
        <v>2</v>
      </c>
      <c r="K4403" s="1">
        <v>0</v>
      </c>
      <c r="L4403" s="1">
        <v>0</v>
      </c>
      <c r="M4403" s="1">
        <v>0</v>
      </c>
    </row>
    <row r="4404" spans="1:13">
      <c r="A4404" s="1">
        <v>4403</v>
      </c>
      <c r="B4404" s="1">
        <v>886304.15630000003</v>
      </c>
      <c r="C4404" s="1">
        <v>652167.58343610191</v>
      </c>
      <c r="D4404" s="1">
        <f t="shared" si="68"/>
        <v>234136.57286389812</v>
      </c>
      <c r="E4404" s="1">
        <v>17</v>
      </c>
      <c r="F4404" s="1">
        <v>14</v>
      </c>
      <c r="G4404" s="1">
        <v>4</v>
      </c>
      <c r="H4404" s="1">
        <v>1</v>
      </c>
      <c r="I4404" s="1">
        <v>1</v>
      </c>
      <c r="J4404" s="1">
        <v>0</v>
      </c>
      <c r="K4404" s="1">
        <v>0</v>
      </c>
      <c r="L4404" s="1">
        <v>0</v>
      </c>
      <c r="M4404" s="1">
        <v>1</v>
      </c>
    </row>
    <row r="4405" spans="1:13">
      <c r="A4405" s="1">
        <v>4404</v>
      </c>
      <c r="B4405" s="1">
        <v>1010988.8844</v>
      </c>
      <c r="C4405" s="1">
        <v>1226302.6943256913</v>
      </c>
      <c r="D4405" s="1">
        <f t="shared" si="68"/>
        <v>-215313.80992569134</v>
      </c>
      <c r="E4405" s="1">
        <v>5</v>
      </c>
      <c r="F4405" s="1">
        <v>23</v>
      </c>
      <c r="G4405" s="1">
        <v>7</v>
      </c>
      <c r="H4405" s="1">
        <v>0</v>
      </c>
      <c r="I4405" s="1">
        <v>0</v>
      </c>
      <c r="J4405" s="1">
        <v>0</v>
      </c>
      <c r="K4405" s="1">
        <v>2</v>
      </c>
      <c r="L4405" s="1">
        <v>0</v>
      </c>
      <c r="M4405" s="1">
        <v>1</v>
      </c>
    </row>
    <row r="4406" spans="1:13">
      <c r="A4406" s="1">
        <v>4405</v>
      </c>
      <c r="B4406" s="1">
        <v>849308.20589999994</v>
      </c>
      <c r="C4406" s="1">
        <v>758744.39870002342</v>
      </c>
      <c r="D4406" s="1">
        <f t="shared" si="68"/>
        <v>90563.807199976523</v>
      </c>
      <c r="E4406" s="1">
        <v>22</v>
      </c>
      <c r="F4406" s="1">
        <v>9</v>
      </c>
      <c r="G4406" s="1">
        <v>4</v>
      </c>
      <c r="H4406" s="1">
        <v>1</v>
      </c>
      <c r="I4406" s="1">
        <v>1</v>
      </c>
      <c r="J4406" s="1">
        <v>1</v>
      </c>
      <c r="K4406" s="1">
        <v>1</v>
      </c>
      <c r="L4406" s="1">
        <v>0</v>
      </c>
      <c r="M4406" s="1">
        <v>0</v>
      </c>
    </row>
    <row r="4407" spans="1:13">
      <c r="A4407" s="1">
        <v>4406</v>
      </c>
      <c r="B4407" s="1">
        <v>824304.21089999995</v>
      </c>
      <c r="C4407" s="1">
        <v>879710.03671778878</v>
      </c>
      <c r="D4407" s="1">
        <f t="shared" si="68"/>
        <v>-55405.825817788835</v>
      </c>
      <c r="E4407" s="1">
        <v>13</v>
      </c>
      <c r="F4407" s="1">
        <v>15</v>
      </c>
      <c r="G4407" s="1">
        <v>7</v>
      </c>
      <c r="H4407" s="1">
        <v>0</v>
      </c>
      <c r="I4407" s="1">
        <v>0</v>
      </c>
      <c r="J4407" s="1">
        <v>1</v>
      </c>
      <c r="K4407" s="1">
        <v>1</v>
      </c>
      <c r="L4407" s="1">
        <v>0</v>
      </c>
      <c r="M4407" s="1">
        <v>1</v>
      </c>
    </row>
    <row r="4408" spans="1:13">
      <c r="A4408" s="1">
        <v>4407</v>
      </c>
      <c r="B4408" s="1">
        <v>893527.93400000001</v>
      </c>
      <c r="C4408" s="1">
        <v>1144690.9527921474</v>
      </c>
      <c r="D4408" s="1">
        <f t="shared" si="68"/>
        <v>-251163.0187921474</v>
      </c>
      <c r="E4408" s="1">
        <v>12</v>
      </c>
      <c r="F4408" s="1">
        <v>18</v>
      </c>
      <c r="G4408" s="1">
        <v>5</v>
      </c>
      <c r="H4408" s="1">
        <v>1</v>
      </c>
      <c r="I4408" s="1">
        <v>0</v>
      </c>
      <c r="J4408" s="1">
        <v>2</v>
      </c>
      <c r="K4408" s="1">
        <v>0</v>
      </c>
      <c r="L4408" s="1">
        <v>0</v>
      </c>
      <c r="M4408" s="1">
        <v>0</v>
      </c>
    </row>
    <row r="4409" spans="1:13">
      <c r="A4409" s="1">
        <v>4408</v>
      </c>
      <c r="B4409" s="1">
        <v>1061051.9005</v>
      </c>
      <c r="C4409" s="1">
        <v>724085.4173259883</v>
      </c>
      <c r="D4409" s="1">
        <f t="shared" si="68"/>
        <v>336966.48317401169</v>
      </c>
      <c r="E4409" s="1">
        <v>10</v>
      </c>
      <c r="F4409" s="1">
        <v>17</v>
      </c>
      <c r="G4409" s="1">
        <v>8</v>
      </c>
      <c r="H4409" s="1">
        <v>1</v>
      </c>
      <c r="I4409" s="1">
        <v>1</v>
      </c>
      <c r="J4409" s="1">
        <v>1</v>
      </c>
      <c r="K4409" s="1">
        <v>0</v>
      </c>
      <c r="L4409" s="1">
        <v>0</v>
      </c>
      <c r="M4409" s="1">
        <v>0</v>
      </c>
    </row>
    <row r="4410" spans="1:13">
      <c r="A4410" s="1">
        <v>4409</v>
      </c>
      <c r="B4410" s="1">
        <v>1092271.8469</v>
      </c>
      <c r="C4410" s="1">
        <v>571451.27340025373</v>
      </c>
      <c r="D4410" s="1">
        <f t="shared" si="68"/>
        <v>520820.57349974627</v>
      </c>
      <c r="E4410" s="1">
        <v>5</v>
      </c>
      <c r="F4410" s="1">
        <v>22</v>
      </c>
      <c r="G4410" s="1">
        <v>8</v>
      </c>
      <c r="H4410" s="1">
        <v>2</v>
      </c>
      <c r="I4410" s="1">
        <v>0</v>
      </c>
      <c r="J4410" s="1">
        <v>0</v>
      </c>
      <c r="K4410" s="1">
        <v>0</v>
      </c>
      <c r="L4410" s="1">
        <v>1</v>
      </c>
      <c r="M4410" s="1">
        <v>1</v>
      </c>
    </row>
    <row r="4411" spans="1:13">
      <c r="A4411" s="1">
        <v>4410</v>
      </c>
      <c r="B4411" s="1">
        <v>876920.1422</v>
      </c>
      <c r="C4411" s="1">
        <v>981597.03730983369</v>
      </c>
      <c r="D4411" s="1">
        <f t="shared" si="68"/>
        <v>-104676.89510983368</v>
      </c>
      <c r="E4411" s="1">
        <v>11</v>
      </c>
      <c r="F4411" s="1">
        <v>18</v>
      </c>
      <c r="G4411" s="1">
        <v>6</v>
      </c>
      <c r="H4411" s="1">
        <v>0</v>
      </c>
      <c r="I4411" s="1">
        <v>0</v>
      </c>
      <c r="J4411" s="1">
        <v>0</v>
      </c>
      <c r="K4411" s="1">
        <v>1</v>
      </c>
      <c r="L4411" s="1">
        <v>0</v>
      </c>
      <c r="M4411" s="1">
        <v>0</v>
      </c>
    </row>
    <row r="4412" spans="1:13">
      <c r="A4412" s="1">
        <v>4411</v>
      </c>
      <c r="B4412" s="1">
        <v>1028082.8835999999</v>
      </c>
      <c r="C4412" s="1">
        <v>866161.83940405131</v>
      </c>
      <c r="D4412" s="1">
        <f t="shared" si="68"/>
        <v>161921.04419594863</v>
      </c>
      <c r="E4412" s="1">
        <v>15</v>
      </c>
      <c r="F4412" s="1">
        <v>18</v>
      </c>
      <c r="G4412" s="1">
        <v>2</v>
      </c>
      <c r="H4412" s="1">
        <v>0</v>
      </c>
      <c r="I4412" s="1">
        <v>0</v>
      </c>
      <c r="J4412" s="1">
        <v>2</v>
      </c>
      <c r="K4412" s="1">
        <v>0</v>
      </c>
      <c r="L4412" s="1">
        <v>0</v>
      </c>
      <c r="M4412" s="1">
        <v>1</v>
      </c>
    </row>
    <row r="4413" spans="1:13">
      <c r="A4413" s="1">
        <v>4412</v>
      </c>
      <c r="B4413" s="1">
        <v>904607.4277</v>
      </c>
      <c r="C4413" s="1">
        <v>682260.49393568316</v>
      </c>
      <c r="D4413" s="1">
        <f t="shared" si="68"/>
        <v>222346.93376431684</v>
      </c>
      <c r="E4413" s="1">
        <v>13</v>
      </c>
      <c r="F4413" s="1">
        <v>14</v>
      </c>
      <c r="G4413" s="1">
        <v>8</v>
      </c>
      <c r="H4413" s="1">
        <v>0</v>
      </c>
      <c r="I4413" s="1">
        <v>1</v>
      </c>
      <c r="J4413" s="1">
        <v>0</v>
      </c>
      <c r="K4413" s="1">
        <v>0</v>
      </c>
      <c r="L4413" s="1">
        <v>0</v>
      </c>
      <c r="M4413" s="1">
        <v>0</v>
      </c>
    </row>
    <row r="4414" spans="1:13">
      <c r="A4414" s="1">
        <v>4413</v>
      </c>
      <c r="B4414" s="1">
        <v>861941.03209999995</v>
      </c>
      <c r="C4414" s="1">
        <v>940547.06444011489</v>
      </c>
      <c r="D4414" s="1">
        <f t="shared" si="68"/>
        <v>-78606.032340114936</v>
      </c>
      <c r="E4414" s="1">
        <v>19</v>
      </c>
      <c r="F4414" s="1">
        <v>12</v>
      </c>
      <c r="G4414" s="1">
        <v>4</v>
      </c>
      <c r="H4414" s="1">
        <v>2</v>
      </c>
      <c r="I4414" s="1">
        <v>0</v>
      </c>
      <c r="J4414" s="1">
        <v>0</v>
      </c>
      <c r="K4414" s="1">
        <v>1</v>
      </c>
      <c r="L4414" s="1">
        <v>0</v>
      </c>
      <c r="M4414" s="1">
        <v>0</v>
      </c>
    </row>
    <row r="4415" spans="1:13">
      <c r="A4415" s="1">
        <v>4414</v>
      </c>
      <c r="B4415" s="1">
        <v>955888.27209999994</v>
      </c>
      <c r="C4415" s="1">
        <v>503011.78537781222</v>
      </c>
      <c r="D4415" s="1">
        <f t="shared" si="68"/>
        <v>452876.48672218772</v>
      </c>
      <c r="E4415" s="1">
        <v>12</v>
      </c>
      <c r="F4415" s="1">
        <v>16</v>
      </c>
      <c r="G4415" s="1">
        <v>7</v>
      </c>
      <c r="H4415" s="1">
        <v>0</v>
      </c>
      <c r="I4415" s="1">
        <v>0</v>
      </c>
      <c r="J4415" s="1">
        <v>0</v>
      </c>
      <c r="K4415" s="1">
        <v>1</v>
      </c>
      <c r="L4415" s="1">
        <v>0</v>
      </c>
      <c r="M4415" s="1">
        <v>0</v>
      </c>
    </row>
    <row r="4416" spans="1:13">
      <c r="A4416" s="1">
        <v>4415</v>
      </c>
      <c r="B4416" s="1">
        <v>875032.01650000003</v>
      </c>
      <c r="C4416" s="1">
        <v>588070.28846319497</v>
      </c>
      <c r="D4416" s="1">
        <f t="shared" si="68"/>
        <v>286961.72803680506</v>
      </c>
      <c r="E4416" s="1">
        <v>14</v>
      </c>
      <c r="F4416" s="1">
        <v>16</v>
      </c>
      <c r="G4416" s="1">
        <v>5</v>
      </c>
      <c r="H4416" s="1">
        <v>1</v>
      </c>
      <c r="I4416" s="1">
        <v>0</v>
      </c>
      <c r="J4416" s="1">
        <v>2</v>
      </c>
      <c r="K4416" s="1">
        <v>0</v>
      </c>
      <c r="L4416" s="1">
        <v>0</v>
      </c>
      <c r="M4416" s="1">
        <v>1</v>
      </c>
    </row>
    <row r="4417" spans="1:13">
      <c r="A4417" s="1">
        <v>4416</v>
      </c>
      <c r="B4417" s="1">
        <v>899360.68770000001</v>
      </c>
      <c r="C4417" s="1">
        <v>972108.74527566973</v>
      </c>
      <c r="D4417" s="1">
        <f t="shared" si="68"/>
        <v>-72748.057575669722</v>
      </c>
      <c r="E4417" s="1">
        <v>11</v>
      </c>
      <c r="F4417" s="1">
        <v>19</v>
      </c>
      <c r="G4417" s="1">
        <v>5</v>
      </c>
      <c r="H4417" s="1">
        <v>1</v>
      </c>
      <c r="I4417" s="1">
        <v>0</v>
      </c>
      <c r="J4417" s="1">
        <v>1</v>
      </c>
      <c r="K4417" s="1">
        <v>0</v>
      </c>
      <c r="L4417" s="1">
        <v>0</v>
      </c>
      <c r="M4417" s="1">
        <v>1</v>
      </c>
    </row>
    <row r="4418" spans="1:13">
      <c r="A4418" s="1">
        <v>4417</v>
      </c>
      <c r="B4418" s="1">
        <v>1017918.5649999999</v>
      </c>
      <c r="C4418" s="1">
        <v>743755.24973388412</v>
      </c>
      <c r="D4418" s="1">
        <f t="shared" ref="D4418:D4481" si="69">B4418-C4418</f>
        <v>274163.31526611582</v>
      </c>
      <c r="E4418" s="1">
        <v>7</v>
      </c>
      <c r="F4418" s="1">
        <v>23</v>
      </c>
      <c r="G4418" s="1">
        <v>5</v>
      </c>
      <c r="H4418" s="1">
        <v>0</v>
      </c>
      <c r="I4418" s="1">
        <v>0</v>
      </c>
      <c r="J4418" s="1">
        <v>0</v>
      </c>
      <c r="K4418" s="1">
        <v>1</v>
      </c>
      <c r="L4418" s="1">
        <v>1</v>
      </c>
      <c r="M4418" s="1">
        <v>0</v>
      </c>
    </row>
    <row r="4419" spans="1:13">
      <c r="A4419" s="1">
        <v>4418</v>
      </c>
      <c r="B4419" s="1">
        <v>987339.10880000005</v>
      </c>
      <c r="C4419" s="1">
        <v>999177.60331249167</v>
      </c>
      <c r="D4419" s="1">
        <f t="shared" si="69"/>
        <v>-11838.494512491627</v>
      </c>
      <c r="E4419" s="1">
        <v>11</v>
      </c>
      <c r="F4419" s="1">
        <v>19</v>
      </c>
      <c r="G4419" s="1">
        <v>5</v>
      </c>
      <c r="H4419" s="1">
        <v>1</v>
      </c>
      <c r="I4419" s="1">
        <v>1</v>
      </c>
      <c r="J4419" s="1">
        <v>2</v>
      </c>
      <c r="K4419" s="1">
        <v>0</v>
      </c>
      <c r="L4419" s="1">
        <v>0</v>
      </c>
      <c r="M4419" s="1">
        <v>0</v>
      </c>
    </row>
    <row r="4420" spans="1:13">
      <c r="A4420" s="1">
        <v>4419</v>
      </c>
      <c r="B4420" s="1">
        <v>959738.86129999999</v>
      </c>
      <c r="C4420" s="1">
        <v>931756.28915651771</v>
      </c>
      <c r="D4420" s="1">
        <f t="shared" si="69"/>
        <v>27982.572143482277</v>
      </c>
      <c r="E4420" s="1">
        <v>8</v>
      </c>
      <c r="F4420" s="1">
        <v>22</v>
      </c>
      <c r="G4420" s="1">
        <v>5</v>
      </c>
      <c r="H4420" s="1">
        <v>0</v>
      </c>
      <c r="I4420" s="1">
        <v>0</v>
      </c>
      <c r="J4420" s="1">
        <v>1</v>
      </c>
      <c r="K4420" s="1">
        <v>0</v>
      </c>
      <c r="L4420" s="1">
        <v>0</v>
      </c>
      <c r="M4420" s="1">
        <v>0</v>
      </c>
    </row>
    <row r="4421" spans="1:13">
      <c r="A4421" s="1">
        <v>4420</v>
      </c>
      <c r="B4421" s="1">
        <v>984662.9584</v>
      </c>
      <c r="C4421" s="1">
        <v>619363.5387432893</v>
      </c>
      <c r="D4421" s="1">
        <f t="shared" si="69"/>
        <v>365299.4196567107</v>
      </c>
      <c r="E4421" s="1">
        <v>11</v>
      </c>
      <c r="F4421" s="1">
        <v>16</v>
      </c>
      <c r="G4421" s="1">
        <v>8</v>
      </c>
      <c r="H4421" s="1">
        <v>0</v>
      </c>
      <c r="I4421" s="1">
        <v>0</v>
      </c>
      <c r="J4421" s="1">
        <v>1</v>
      </c>
      <c r="K4421" s="1">
        <v>1</v>
      </c>
      <c r="L4421" s="1">
        <v>0</v>
      </c>
      <c r="M4421" s="1">
        <v>1</v>
      </c>
    </row>
    <row r="4422" spans="1:13">
      <c r="A4422" s="1">
        <v>4421</v>
      </c>
      <c r="B4422" s="1">
        <v>941928.99549999996</v>
      </c>
      <c r="C4422" s="1">
        <v>1014427.095875792</v>
      </c>
      <c r="D4422" s="1">
        <f t="shared" si="69"/>
        <v>-72498.100375792012</v>
      </c>
      <c r="E4422" s="1">
        <v>6</v>
      </c>
      <c r="F4422" s="1">
        <v>21</v>
      </c>
      <c r="G4422" s="1">
        <v>8</v>
      </c>
      <c r="H4422" s="1">
        <v>2</v>
      </c>
      <c r="I4422" s="1">
        <v>0</v>
      </c>
      <c r="J4422" s="1">
        <v>0</v>
      </c>
      <c r="K4422" s="1">
        <v>2</v>
      </c>
      <c r="L4422" s="1">
        <v>0</v>
      </c>
      <c r="M4422" s="1">
        <v>0</v>
      </c>
    </row>
    <row r="4423" spans="1:13">
      <c r="A4423" s="1">
        <v>4422</v>
      </c>
      <c r="B4423" s="1">
        <v>841803.52919999999</v>
      </c>
      <c r="C4423" s="1">
        <v>736708.63947048667</v>
      </c>
      <c r="D4423" s="1">
        <f t="shared" si="69"/>
        <v>105094.88972951332</v>
      </c>
      <c r="E4423" s="1">
        <v>15</v>
      </c>
      <c r="F4423" s="1">
        <v>16</v>
      </c>
      <c r="G4423" s="1">
        <v>4</v>
      </c>
      <c r="H4423" s="1">
        <v>2</v>
      </c>
      <c r="I4423" s="1">
        <v>0</v>
      </c>
      <c r="J4423" s="1">
        <v>0</v>
      </c>
      <c r="K4423" s="1">
        <v>0</v>
      </c>
      <c r="L4423" s="1">
        <v>0</v>
      </c>
      <c r="M4423" s="1">
        <v>0</v>
      </c>
    </row>
    <row r="4424" spans="1:13">
      <c r="A4424" s="1">
        <v>4423</v>
      </c>
      <c r="B4424" s="1">
        <v>874149.31039999996</v>
      </c>
      <c r="C4424" s="1">
        <v>834611.55117022886</v>
      </c>
      <c r="D4424" s="1">
        <f t="shared" si="69"/>
        <v>39537.759229771094</v>
      </c>
      <c r="E4424" s="1">
        <v>15</v>
      </c>
      <c r="F4424" s="1">
        <v>19</v>
      </c>
      <c r="G4424" s="1">
        <v>1</v>
      </c>
      <c r="H4424" s="1">
        <v>0</v>
      </c>
      <c r="I4424" s="1">
        <v>0</v>
      </c>
      <c r="J4424" s="1">
        <v>1</v>
      </c>
      <c r="K4424" s="1">
        <v>0</v>
      </c>
      <c r="L4424" s="1">
        <v>0</v>
      </c>
      <c r="M4424" s="1">
        <v>0</v>
      </c>
    </row>
    <row r="4425" spans="1:13">
      <c r="A4425" s="1">
        <v>4424</v>
      </c>
      <c r="B4425" s="1">
        <v>857917.59770000004</v>
      </c>
      <c r="C4425" s="1">
        <v>784319.2624828933</v>
      </c>
      <c r="D4425" s="1">
        <f t="shared" si="69"/>
        <v>73598.335217106738</v>
      </c>
      <c r="E4425" s="1">
        <v>15</v>
      </c>
      <c r="F4425" s="1">
        <v>16</v>
      </c>
      <c r="G4425" s="1">
        <v>4</v>
      </c>
      <c r="H4425" s="1">
        <v>1</v>
      </c>
      <c r="I4425" s="1">
        <v>0</v>
      </c>
      <c r="J4425" s="1">
        <v>0</v>
      </c>
      <c r="K4425" s="1">
        <v>1</v>
      </c>
      <c r="L4425" s="1">
        <v>0</v>
      </c>
      <c r="M4425" s="1">
        <v>0</v>
      </c>
    </row>
    <row r="4426" spans="1:13">
      <c r="A4426" s="1">
        <v>4425</v>
      </c>
      <c r="B4426" s="1">
        <v>953150.13379999995</v>
      </c>
      <c r="C4426" s="1">
        <v>881876.19043715636</v>
      </c>
      <c r="D4426" s="1">
        <f t="shared" si="69"/>
        <v>71273.943362843595</v>
      </c>
      <c r="E4426" s="1">
        <v>12</v>
      </c>
      <c r="F4426" s="1">
        <v>18</v>
      </c>
      <c r="G4426" s="1">
        <v>5</v>
      </c>
      <c r="H4426" s="1">
        <v>2</v>
      </c>
      <c r="I4426" s="1">
        <v>0</v>
      </c>
      <c r="J4426" s="1">
        <v>0</v>
      </c>
      <c r="K4426" s="1">
        <v>1</v>
      </c>
      <c r="L4426" s="1">
        <v>0</v>
      </c>
      <c r="M4426" s="1">
        <v>0</v>
      </c>
    </row>
    <row r="4427" spans="1:13">
      <c r="A4427" s="1">
        <v>4426</v>
      </c>
      <c r="B4427" s="1">
        <v>908546.71299999999</v>
      </c>
      <c r="C4427" s="1">
        <v>786476.0509354336</v>
      </c>
      <c r="D4427" s="1">
        <f t="shared" si="69"/>
        <v>122070.66206456639</v>
      </c>
      <c r="E4427" s="1">
        <v>9</v>
      </c>
      <c r="F4427" s="1">
        <v>23</v>
      </c>
      <c r="G4427" s="1">
        <v>3</v>
      </c>
      <c r="H4427" s="1">
        <v>0</v>
      </c>
      <c r="I4427" s="1">
        <v>0</v>
      </c>
      <c r="J4427" s="1">
        <v>0</v>
      </c>
      <c r="K4427" s="1">
        <v>0</v>
      </c>
      <c r="L4427" s="1">
        <v>0</v>
      </c>
      <c r="M4427" s="1">
        <v>0</v>
      </c>
    </row>
    <row r="4428" spans="1:13">
      <c r="A4428" s="1">
        <v>4427</v>
      </c>
      <c r="B4428" s="1">
        <v>932967.03469999996</v>
      </c>
      <c r="C4428" s="1">
        <v>842489.90619766794</v>
      </c>
      <c r="D4428" s="1">
        <f t="shared" si="69"/>
        <v>90477.128502332023</v>
      </c>
      <c r="E4428" s="1">
        <v>10</v>
      </c>
      <c r="F4428" s="1">
        <v>20</v>
      </c>
      <c r="G4428" s="1">
        <v>5</v>
      </c>
      <c r="H4428" s="1">
        <v>1</v>
      </c>
      <c r="I4428" s="1">
        <v>0</v>
      </c>
      <c r="J4428" s="1">
        <v>1</v>
      </c>
      <c r="K4428" s="1">
        <v>1</v>
      </c>
      <c r="L4428" s="1">
        <v>0</v>
      </c>
      <c r="M4428" s="1">
        <v>0</v>
      </c>
    </row>
    <row r="4429" spans="1:13">
      <c r="A4429" s="1">
        <v>4428</v>
      </c>
      <c r="B4429" s="1">
        <v>965462.9057</v>
      </c>
      <c r="C4429" s="1">
        <v>706715.29050586978</v>
      </c>
      <c r="D4429" s="1">
        <f t="shared" si="69"/>
        <v>258747.61519413022</v>
      </c>
      <c r="E4429" s="1">
        <v>10</v>
      </c>
      <c r="F4429" s="1">
        <v>19</v>
      </c>
      <c r="G4429" s="1">
        <v>6</v>
      </c>
      <c r="H4429" s="1">
        <v>0</v>
      </c>
      <c r="I4429" s="1">
        <v>0</v>
      </c>
      <c r="J4429" s="1">
        <v>2</v>
      </c>
      <c r="K4429" s="1">
        <v>0</v>
      </c>
      <c r="L4429" s="1">
        <v>0</v>
      </c>
      <c r="M4429" s="1">
        <v>0</v>
      </c>
    </row>
    <row r="4430" spans="1:13">
      <c r="A4430" s="1">
        <v>4429</v>
      </c>
      <c r="B4430" s="1">
        <v>828086.40280000004</v>
      </c>
      <c r="C4430" s="1">
        <v>492345.6220328965</v>
      </c>
      <c r="D4430" s="1">
        <f t="shared" si="69"/>
        <v>335740.78076710354</v>
      </c>
      <c r="E4430" s="1">
        <v>16</v>
      </c>
      <c r="F4430" s="1">
        <v>16</v>
      </c>
      <c r="G4430" s="1">
        <v>3</v>
      </c>
      <c r="H4430" s="1">
        <v>0</v>
      </c>
      <c r="I4430" s="1">
        <v>0</v>
      </c>
      <c r="J4430" s="1">
        <v>1</v>
      </c>
      <c r="K4430" s="1">
        <v>0</v>
      </c>
      <c r="L4430" s="1">
        <v>0</v>
      </c>
      <c r="M4430" s="1">
        <v>0</v>
      </c>
    </row>
    <row r="4431" spans="1:13">
      <c r="A4431" s="1">
        <v>4430</v>
      </c>
      <c r="B4431" s="1">
        <v>954863.44189999998</v>
      </c>
      <c r="C4431" s="1">
        <v>1014760.4488058217</v>
      </c>
      <c r="D4431" s="1">
        <f t="shared" si="69"/>
        <v>-59897.006905821734</v>
      </c>
      <c r="E4431" s="1">
        <v>6</v>
      </c>
      <c r="F4431" s="1">
        <v>27</v>
      </c>
      <c r="G4431" s="1">
        <v>2</v>
      </c>
      <c r="H4431" s="1">
        <v>1</v>
      </c>
      <c r="I4431" s="1">
        <v>1</v>
      </c>
      <c r="J4431" s="1">
        <v>1</v>
      </c>
      <c r="K4431" s="1">
        <v>0</v>
      </c>
      <c r="L4431" s="1">
        <v>0</v>
      </c>
      <c r="M4431" s="1">
        <v>0</v>
      </c>
    </row>
    <row r="4432" spans="1:13">
      <c r="A4432" s="1">
        <v>4431</v>
      </c>
      <c r="B4432" s="1">
        <v>1043999.3356</v>
      </c>
      <c r="C4432" s="1">
        <v>947500.74451758375</v>
      </c>
      <c r="D4432" s="1">
        <f t="shared" si="69"/>
        <v>96498.591082416242</v>
      </c>
      <c r="E4432" s="1">
        <v>13</v>
      </c>
      <c r="F4432" s="1">
        <v>17</v>
      </c>
      <c r="G4432" s="1">
        <v>5</v>
      </c>
      <c r="H4432" s="1">
        <v>0</v>
      </c>
      <c r="I4432" s="1">
        <v>0</v>
      </c>
      <c r="J4432" s="1">
        <v>1</v>
      </c>
      <c r="K4432" s="1">
        <v>0</v>
      </c>
      <c r="L4432" s="1">
        <v>0</v>
      </c>
      <c r="M4432" s="1">
        <v>1</v>
      </c>
    </row>
    <row r="4433" spans="1:13">
      <c r="A4433" s="1">
        <v>4432</v>
      </c>
      <c r="B4433" s="1">
        <v>958996.13300000003</v>
      </c>
      <c r="C4433" s="1">
        <v>727134.17969333671</v>
      </c>
      <c r="D4433" s="1">
        <f t="shared" si="69"/>
        <v>231861.95330666332</v>
      </c>
      <c r="E4433" s="1">
        <v>13</v>
      </c>
      <c r="F4433" s="1">
        <v>16</v>
      </c>
      <c r="G4433" s="1">
        <v>6</v>
      </c>
      <c r="H4433" s="1">
        <v>0</v>
      </c>
      <c r="I4433" s="1">
        <v>1</v>
      </c>
      <c r="J4433" s="1">
        <v>2</v>
      </c>
      <c r="K4433" s="1">
        <v>0</v>
      </c>
      <c r="L4433" s="1">
        <v>0</v>
      </c>
      <c r="M4433" s="1">
        <v>1</v>
      </c>
    </row>
    <row r="4434" spans="1:13">
      <c r="A4434" s="1">
        <v>4433</v>
      </c>
      <c r="B4434" s="1">
        <v>1009795.1867</v>
      </c>
      <c r="C4434" s="1">
        <v>1115557.9049332063</v>
      </c>
      <c r="D4434" s="1">
        <f t="shared" si="69"/>
        <v>-105762.71823320631</v>
      </c>
      <c r="E4434" s="1">
        <v>13</v>
      </c>
      <c r="F4434" s="1">
        <v>16</v>
      </c>
      <c r="G4434" s="1">
        <v>6</v>
      </c>
      <c r="H4434" s="1">
        <v>0</v>
      </c>
      <c r="I4434" s="1">
        <v>0</v>
      </c>
      <c r="J4434" s="1">
        <v>0</v>
      </c>
      <c r="K4434" s="1">
        <v>0</v>
      </c>
      <c r="L4434" s="1">
        <v>1</v>
      </c>
      <c r="M4434" s="1">
        <v>0</v>
      </c>
    </row>
    <row r="4435" spans="1:13">
      <c r="A4435" s="1">
        <v>4434</v>
      </c>
      <c r="B4435" s="1">
        <v>904556.96750000003</v>
      </c>
      <c r="C4435" s="1">
        <v>1191770.8330344995</v>
      </c>
      <c r="D4435" s="1">
        <f t="shared" si="69"/>
        <v>-287213.86553449952</v>
      </c>
      <c r="E4435" s="1">
        <v>18</v>
      </c>
      <c r="F4435" s="1">
        <v>14</v>
      </c>
      <c r="G4435" s="1">
        <v>3</v>
      </c>
      <c r="H4435" s="1">
        <v>2</v>
      </c>
      <c r="I4435" s="1">
        <v>0</v>
      </c>
      <c r="J4435" s="1">
        <v>0</v>
      </c>
      <c r="K4435" s="1">
        <v>1</v>
      </c>
      <c r="L4435" s="1">
        <v>1</v>
      </c>
      <c r="M4435" s="1">
        <v>0</v>
      </c>
    </row>
    <row r="4436" spans="1:13">
      <c r="A4436" s="1">
        <v>4435</v>
      </c>
      <c r="B4436" s="1">
        <v>914519.74540000001</v>
      </c>
      <c r="C4436" s="1">
        <v>1720280.2703089425</v>
      </c>
      <c r="D4436" s="1">
        <f t="shared" si="69"/>
        <v>-805760.52490894252</v>
      </c>
      <c r="E4436" s="1">
        <v>9</v>
      </c>
      <c r="F4436" s="1">
        <v>22</v>
      </c>
      <c r="G4436" s="1">
        <v>4</v>
      </c>
      <c r="H4436" s="1">
        <v>0</v>
      </c>
      <c r="I4436" s="1">
        <v>0</v>
      </c>
      <c r="J4436" s="1">
        <v>1</v>
      </c>
      <c r="K4436" s="1">
        <v>1</v>
      </c>
      <c r="L4436" s="1">
        <v>0</v>
      </c>
      <c r="M4436" s="1">
        <v>0</v>
      </c>
    </row>
    <row r="4437" spans="1:13">
      <c r="A4437" s="1">
        <v>4436</v>
      </c>
      <c r="B4437" s="1">
        <v>898858.97230000002</v>
      </c>
      <c r="C4437" s="1">
        <v>1653828.026261291</v>
      </c>
      <c r="D4437" s="1">
        <f t="shared" si="69"/>
        <v>-754969.05396129098</v>
      </c>
      <c r="E4437" s="1">
        <v>15</v>
      </c>
      <c r="F4437" s="1">
        <v>17</v>
      </c>
      <c r="G4437" s="1">
        <v>3</v>
      </c>
      <c r="H4437" s="1">
        <v>2</v>
      </c>
      <c r="I4437" s="1">
        <v>0</v>
      </c>
      <c r="J4437" s="1">
        <v>1</v>
      </c>
      <c r="K4437" s="1">
        <v>1</v>
      </c>
      <c r="L4437" s="1">
        <v>0</v>
      </c>
      <c r="M4437" s="1">
        <v>1</v>
      </c>
    </row>
    <row r="4438" spans="1:13">
      <c r="A4438" s="1">
        <v>4437</v>
      </c>
      <c r="B4438" s="1">
        <v>880447.70550000004</v>
      </c>
      <c r="C4438" s="1">
        <v>1488107.0698785232</v>
      </c>
      <c r="D4438" s="1">
        <f t="shared" si="69"/>
        <v>-607659.3643785232</v>
      </c>
      <c r="E4438" s="1">
        <v>13</v>
      </c>
      <c r="F4438" s="1">
        <v>17</v>
      </c>
      <c r="G4438" s="1">
        <v>5</v>
      </c>
      <c r="H4438" s="1">
        <v>2</v>
      </c>
      <c r="I4438" s="1">
        <v>0</v>
      </c>
      <c r="J4438" s="1">
        <v>1</v>
      </c>
      <c r="K4438" s="1">
        <v>1</v>
      </c>
      <c r="L4438" s="1">
        <v>0</v>
      </c>
      <c r="M4438" s="1">
        <v>0</v>
      </c>
    </row>
    <row r="4439" spans="1:13">
      <c r="A4439" s="1">
        <v>4438</v>
      </c>
      <c r="B4439" s="1">
        <v>890483.22420000006</v>
      </c>
      <c r="C4439" s="1">
        <v>799295.10246350814</v>
      </c>
      <c r="D4439" s="1">
        <f t="shared" si="69"/>
        <v>91188.121736491914</v>
      </c>
      <c r="E4439" s="1">
        <v>11</v>
      </c>
      <c r="F4439" s="1">
        <v>16</v>
      </c>
      <c r="G4439" s="1">
        <v>8</v>
      </c>
      <c r="H4439" s="1">
        <v>2</v>
      </c>
      <c r="I4439" s="1">
        <v>0</v>
      </c>
      <c r="J4439" s="1">
        <v>1</v>
      </c>
      <c r="K4439" s="1">
        <v>1</v>
      </c>
      <c r="L4439" s="1">
        <v>0</v>
      </c>
      <c r="M4439" s="1">
        <v>0</v>
      </c>
    </row>
    <row r="4440" spans="1:13">
      <c r="A4440" s="1">
        <v>4439</v>
      </c>
      <c r="B4440" s="1">
        <v>951452.4338</v>
      </c>
      <c r="C4440" s="1">
        <v>678045.9553719447</v>
      </c>
      <c r="D4440" s="1">
        <f t="shared" si="69"/>
        <v>273406.4784280553</v>
      </c>
      <c r="E4440" s="1">
        <v>12</v>
      </c>
      <c r="F4440" s="1">
        <v>19</v>
      </c>
      <c r="G4440" s="1">
        <v>4</v>
      </c>
      <c r="H4440" s="1">
        <v>0</v>
      </c>
      <c r="I4440" s="1">
        <v>0</v>
      </c>
      <c r="J4440" s="1">
        <v>2</v>
      </c>
      <c r="K4440" s="1">
        <v>0</v>
      </c>
      <c r="L4440" s="1">
        <v>0</v>
      </c>
      <c r="M4440" s="1">
        <v>0</v>
      </c>
    </row>
    <row r="4441" spans="1:13">
      <c r="A4441" s="1">
        <v>4440</v>
      </c>
      <c r="B4441" s="1">
        <v>951390.50170000002</v>
      </c>
      <c r="C4441" s="1">
        <v>924820.05844873609</v>
      </c>
      <c r="D4441" s="1">
        <f t="shared" si="69"/>
        <v>26570.443251263932</v>
      </c>
      <c r="E4441" s="1">
        <v>13</v>
      </c>
      <c r="F4441" s="1">
        <v>16</v>
      </c>
      <c r="G4441" s="1">
        <v>6</v>
      </c>
      <c r="H4441" s="1">
        <v>0</v>
      </c>
      <c r="I4441" s="1">
        <v>0</v>
      </c>
      <c r="J4441" s="1">
        <v>0</v>
      </c>
      <c r="K4441" s="1">
        <v>0</v>
      </c>
      <c r="L4441" s="1">
        <v>0</v>
      </c>
      <c r="M4441" s="1">
        <v>0</v>
      </c>
    </row>
    <row r="4442" spans="1:13">
      <c r="A4442" s="1">
        <v>4441</v>
      </c>
      <c r="B4442" s="1">
        <v>1103600.0323000001</v>
      </c>
      <c r="C4442" s="1">
        <v>874831.04568667815</v>
      </c>
      <c r="D4442" s="1">
        <f t="shared" si="69"/>
        <v>228768.98661332193</v>
      </c>
      <c r="E4442" s="1">
        <v>7</v>
      </c>
      <c r="F4442" s="1">
        <v>19</v>
      </c>
      <c r="G4442" s="1">
        <v>9</v>
      </c>
      <c r="H4442" s="1">
        <v>1</v>
      </c>
      <c r="I4442" s="1">
        <v>0</v>
      </c>
      <c r="J4442" s="1">
        <v>1</v>
      </c>
      <c r="K4442" s="1">
        <v>1</v>
      </c>
      <c r="L4442" s="1">
        <v>0</v>
      </c>
      <c r="M4442" s="1">
        <v>0</v>
      </c>
    </row>
    <row r="4443" spans="1:13">
      <c r="A4443" s="1">
        <v>4442</v>
      </c>
      <c r="B4443" s="1">
        <v>934265.52480000001</v>
      </c>
      <c r="C4443" s="1">
        <v>905298.91558471695</v>
      </c>
      <c r="D4443" s="1">
        <f t="shared" si="69"/>
        <v>28966.609215283068</v>
      </c>
      <c r="E4443" s="1">
        <v>19</v>
      </c>
      <c r="F4443" s="1">
        <v>13</v>
      </c>
      <c r="G4443" s="1">
        <v>3</v>
      </c>
      <c r="H4443" s="1">
        <v>0</v>
      </c>
      <c r="I4443" s="1">
        <v>0</v>
      </c>
      <c r="J4443" s="1">
        <v>1</v>
      </c>
      <c r="K4443" s="1">
        <v>1</v>
      </c>
      <c r="L4443" s="1">
        <v>0</v>
      </c>
      <c r="M4443" s="1">
        <v>0</v>
      </c>
    </row>
    <row r="4444" spans="1:13">
      <c r="A4444" s="1">
        <v>4443</v>
      </c>
      <c r="B4444" s="1">
        <v>972378.79130000004</v>
      </c>
      <c r="C4444" s="1">
        <v>726040.11059825576</v>
      </c>
      <c r="D4444" s="1">
        <f t="shared" si="69"/>
        <v>246338.68070174428</v>
      </c>
      <c r="E4444" s="1">
        <v>8</v>
      </c>
      <c r="F4444" s="1">
        <v>20</v>
      </c>
      <c r="G4444" s="1">
        <v>7</v>
      </c>
      <c r="H4444" s="1">
        <v>1</v>
      </c>
      <c r="I4444" s="1">
        <v>0</v>
      </c>
      <c r="J4444" s="1">
        <v>2</v>
      </c>
      <c r="K4444" s="1">
        <v>0</v>
      </c>
      <c r="L4444" s="1">
        <v>0</v>
      </c>
      <c r="M4444" s="1">
        <v>0</v>
      </c>
    </row>
    <row r="4445" spans="1:13">
      <c r="A4445" s="1">
        <v>4444</v>
      </c>
      <c r="B4445" s="1">
        <v>879410.30819999997</v>
      </c>
      <c r="C4445" s="1">
        <v>570657.95748490223</v>
      </c>
      <c r="D4445" s="1">
        <f t="shared" si="69"/>
        <v>308752.35071509774</v>
      </c>
      <c r="E4445" s="1">
        <v>16</v>
      </c>
      <c r="F4445" s="1">
        <v>13</v>
      </c>
      <c r="G4445" s="1">
        <v>6</v>
      </c>
      <c r="H4445" s="1">
        <v>1</v>
      </c>
      <c r="I4445" s="1">
        <v>0</v>
      </c>
      <c r="J4445" s="1">
        <v>1</v>
      </c>
      <c r="K4445" s="1">
        <v>1</v>
      </c>
      <c r="L4445" s="1">
        <v>0</v>
      </c>
      <c r="M4445" s="1">
        <v>0</v>
      </c>
    </row>
    <row r="4446" spans="1:13">
      <c r="A4446" s="1">
        <v>4445</v>
      </c>
      <c r="B4446" s="1">
        <v>1035266.9649</v>
      </c>
      <c r="C4446" s="1">
        <v>806953.06421935302</v>
      </c>
      <c r="D4446" s="1">
        <f t="shared" si="69"/>
        <v>228313.900680647</v>
      </c>
      <c r="E4446" s="1">
        <v>12</v>
      </c>
      <c r="F4446" s="1">
        <v>18</v>
      </c>
      <c r="G4446" s="1">
        <v>5</v>
      </c>
      <c r="H4446" s="1">
        <v>1</v>
      </c>
      <c r="I4446" s="1">
        <v>0</v>
      </c>
      <c r="J4446" s="1">
        <v>2</v>
      </c>
      <c r="K4446" s="1">
        <v>0</v>
      </c>
      <c r="L4446" s="1">
        <v>0</v>
      </c>
      <c r="M4446" s="1">
        <v>0</v>
      </c>
    </row>
    <row r="4447" spans="1:13">
      <c r="A4447" s="1">
        <v>4446</v>
      </c>
      <c r="B4447" s="1">
        <v>895077.40079999994</v>
      </c>
      <c r="C4447" s="1">
        <v>788843.10251235974</v>
      </c>
      <c r="D4447" s="1">
        <f t="shared" si="69"/>
        <v>106234.29828764021</v>
      </c>
      <c r="E4447" s="1">
        <v>18</v>
      </c>
      <c r="F4447" s="1">
        <v>15</v>
      </c>
      <c r="G4447" s="1">
        <v>2</v>
      </c>
      <c r="H4447" s="1">
        <v>2</v>
      </c>
      <c r="I4447" s="1">
        <v>0</v>
      </c>
      <c r="J4447" s="1">
        <v>0</v>
      </c>
      <c r="K4447" s="1">
        <v>1</v>
      </c>
      <c r="L4447" s="1">
        <v>0</v>
      </c>
      <c r="M4447" s="1">
        <v>1</v>
      </c>
    </row>
    <row r="4448" spans="1:13">
      <c r="A4448" s="1">
        <v>4447</v>
      </c>
      <c r="B4448" s="1">
        <v>971523.02899999998</v>
      </c>
      <c r="C4448" s="1">
        <v>926433.68092427927</v>
      </c>
      <c r="D4448" s="1">
        <f t="shared" si="69"/>
        <v>45089.348075720714</v>
      </c>
      <c r="E4448" s="1">
        <v>7</v>
      </c>
      <c r="F4448" s="1">
        <v>23</v>
      </c>
      <c r="G4448" s="1">
        <v>5</v>
      </c>
      <c r="H4448" s="1">
        <v>0</v>
      </c>
      <c r="I4448" s="1">
        <v>0</v>
      </c>
      <c r="J4448" s="1">
        <v>1</v>
      </c>
      <c r="K4448" s="1">
        <v>1</v>
      </c>
      <c r="L4448" s="1">
        <v>0</v>
      </c>
      <c r="M4448" s="1">
        <v>0</v>
      </c>
    </row>
    <row r="4449" spans="1:13">
      <c r="A4449" s="1">
        <v>4448</v>
      </c>
      <c r="B4449" s="1">
        <v>954218.42689999996</v>
      </c>
      <c r="C4449" s="1">
        <v>1205148.4867447689</v>
      </c>
      <c r="D4449" s="1">
        <f t="shared" si="69"/>
        <v>-250930.05984476896</v>
      </c>
      <c r="E4449" s="1">
        <v>16</v>
      </c>
      <c r="F4449" s="1">
        <v>14</v>
      </c>
      <c r="G4449" s="1">
        <v>5</v>
      </c>
      <c r="H4449" s="1">
        <v>0</v>
      </c>
      <c r="I4449" s="1">
        <v>0</v>
      </c>
      <c r="J4449" s="1">
        <v>0</v>
      </c>
      <c r="K4449" s="1">
        <v>1</v>
      </c>
      <c r="L4449" s="1">
        <v>0</v>
      </c>
      <c r="M4449" s="1">
        <v>0</v>
      </c>
    </row>
    <row r="4450" spans="1:13">
      <c r="A4450" s="1">
        <v>4449</v>
      </c>
      <c r="B4450" s="1">
        <v>944161.16260000004</v>
      </c>
      <c r="C4450" s="1">
        <v>2050067.2415429512</v>
      </c>
      <c r="D4450" s="1">
        <f t="shared" si="69"/>
        <v>-1105906.0789429513</v>
      </c>
      <c r="E4450" s="1">
        <v>16</v>
      </c>
      <c r="F4450" s="1">
        <v>16</v>
      </c>
      <c r="G4450" s="1">
        <v>3</v>
      </c>
      <c r="H4450" s="1">
        <v>1</v>
      </c>
      <c r="I4450" s="1">
        <v>1</v>
      </c>
      <c r="J4450" s="1">
        <v>0</v>
      </c>
      <c r="K4450" s="1">
        <v>0</v>
      </c>
      <c r="L4450" s="1">
        <v>0</v>
      </c>
      <c r="M4450" s="1">
        <v>0</v>
      </c>
    </row>
    <row r="4451" spans="1:13">
      <c r="A4451" s="1">
        <v>4450</v>
      </c>
      <c r="B4451" s="1">
        <v>852738.16200000001</v>
      </c>
      <c r="C4451" s="1">
        <v>1276952.383531424</v>
      </c>
      <c r="D4451" s="1">
        <f t="shared" si="69"/>
        <v>-424214.22153142397</v>
      </c>
      <c r="E4451" s="1">
        <v>24</v>
      </c>
      <c r="F4451" s="1">
        <v>8</v>
      </c>
      <c r="G4451" s="1">
        <v>3</v>
      </c>
      <c r="H4451" s="1">
        <v>0</v>
      </c>
      <c r="I4451" s="1">
        <v>0</v>
      </c>
      <c r="J4451" s="1">
        <v>0</v>
      </c>
      <c r="K4451" s="1">
        <v>2</v>
      </c>
      <c r="L4451" s="1">
        <v>0</v>
      </c>
      <c r="M4451" s="1">
        <v>0</v>
      </c>
    </row>
    <row r="4452" spans="1:13">
      <c r="A4452" s="1">
        <v>4451</v>
      </c>
      <c r="B4452" s="1">
        <v>975590.89820000005</v>
      </c>
      <c r="C4452" s="1">
        <v>1104262.2914185701</v>
      </c>
      <c r="D4452" s="1">
        <f t="shared" si="69"/>
        <v>-128671.39321857004</v>
      </c>
      <c r="E4452" s="1">
        <v>16</v>
      </c>
      <c r="F4452" s="1">
        <v>10</v>
      </c>
      <c r="G4452" s="1">
        <v>9</v>
      </c>
      <c r="H4452" s="1">
        <v>1</v>
      </c>
      <c r="I4452" s="1">
        <v>1</v>
      </c>
      <c r="J4452" s="1">
        <v>1</v>
      </c>
      <c r="K4452" s="1">
        <v>0</v>
      </c>
      <c r="L4452" s="1">
        <v>0</v>
      </c>
      <c r="M4452" s="1">
        <v>0</v>
      </c>
    </row>
    <row r="4453" spans="1:13">
      <c r="A4453" s="1">
        <v>4452</v>
      </c>
      <c r="B4453" s="1">
        <v>1013959.2204</v>
      </c>
      <c r="C4453" s="1">
        <v>968060.09258175036</v>
      </c>
      <c r="D4453" s="1">
        <f t="shared" si="69"/>
        <v>45899.127818249632</v>
      </c>
      <c r="E4453" s="1">
        <v>9</v>
      </c>
      <c r="F4453" s="1">
        <v>19</v>
      </c>
      <c r="G4453" s="1">
        <v>7</v>
      </c>
      <c r="H4453" s="1">
        <v>0</v>
      </c>
      <c r="I4453" s="1">
        <v>0</v>
      </c>
      <c r="J4453" s="1">
        <v>0</v>
      </c>
      <c r="K4453" s="1">
        <v>1</v>
      </c>
      <c r="L4453" s="1">
        <v>1</v>
      </c>
      <c r="M4453" s="1">
        <v>0</v>
      </c>
    </row>
    <row r="4454" spans="1:13">
      <c r="A4454" s="1">
        <v>4453</v>
      </c>
      <c r="B4454" s="1">
        <v>981588.77009999997</v>
      </c>
      <c r="C4454" s="1">
        <v>768616.46738400985</v>
      </c>
      <c r="D4454" s="1">
        <f t="shared" si="69"/>
        <v>212972.30271599011</v>
      </c>
      <c r="E4454" s="1">
        <v>12</v>
      </c>
      <c r="F4454" s="1">
        <v>18</v>
      </c>
      <c r="G4454" s="1">
        <v>5</v>
      </c>
      <c r="H4454" s="1">
        <v>1</v>
      </c>
      <c r="I4454" s="1">
        <v>0</v>
      </c>
      <c r="J4454" s="1">
        <v>1</v>
      </c>
      <c r="K4454" s="1">
        <v>0</v>
      </c>
      <c r="L4454" s="1">
        <v>0</v>
      </c>
      <c r="M4454" s="1">
        <v>0</v>
      </c>
    </row>
    <row r="4455" spans="1:13">
      <c r="A4455" s="1">
        <v>4454</v>
      </c>
      <c r="B4455" s="1">
        <v>947988.15359999996</v>
      </c>
      <c r="C4455" s="1">
        <v>3001637.2046008594</v>
      </c>
      <c r="D4455" s="1">
        <f t="shared" si="69"/>
        <v>-2053649.0510008596</v>
      </c>
      <c r="E4455" s="1">
        <v>11</v>
      </c>
      <c r="F4455" s="1">
        <v>23</v>
      </c>
      <c r="G4455" s="1">
        <v>1</v>
      </c>
      <c r="H4455" s="1">
        <v>2</v>
      </c>
      <c r="I4455" s="1">
        <v>0</v>
      </c>
      <c r="J4455" s="1">
        <v>2</v>
      </c>
      <c r="K4455" s="1">
        <v>0</v>
      </c>
      <c r="L4455" s="1">
        <v>0</v>
      </c>
      <c r="M4455" s="1">
        <v>0</v>
      </c>
    </row>
    <row r="4456" spans="1:13">
      <c r="A4456" s="1">
        <v>4455</v>
      </c>
      <c r="B4456" s="1">
        <v>1016791.9583000001</v>
      </c>
      <c r="C4456" s="1">
        <v>775577.76144358516</v>
      </c>
      <c r="D4456" s="1">
        <f t="shared" si="69"/>
        <v>241214.1968564149</v>
      </c>
      <c r="E4456" s="1">
        <v>6</v>
      </c>
      <c r="F4456" s="1">
        <v>20</v>
      </c>
      <c r="G4456" s="1">
        <v>9</v>
      </c>
      <c r="H4456" s="1">
        <v>1</v>
      </c>
      <c r="I4456" s="1">
        <v>0</v>
      </c>
      <c r="J4456" s="1">
        <v>1</v>
      </c>
      <c r="K4456" s="1">
        <v>0</v>
      </c>
      <c r="L4456" s="1">
        <v>0</v>
      </c>
      <c r="M4456" s="1">
        <v>0</v>
      </c>
    </row>
    <row r="4457" spans="1:13">
      <c r="A4457" s="1">
        <v>4456</v>
      </c>
      <c r="B4457" s="1">
        <v>934885.75699999998</v>
      </c>
      <c r="C4457" s="1">
        <v>932845.13202171726</v>
      </c>
      <c r="D4457" s="1">
        <f t="shared" si="69"/>
        <v>2040.6249782827217</v>
      </c>
      <c r="E4457" s="1">
        <v>7</v>
      </c>
      <c r="F4457" s="1">
        <v>21</v>
      </c>
      <c r="G4457" s="1">
        <v>7</v>
      </c>
      <c r="H4457" s="1">
        <v>0</v>
      </c>
      <c r="I4457" s="1">
        <v>0</v>
      </c>
      <c r="J4457" s="1">
        <v>0</v>
      </c>
      <c r="K4457" s="1">
        <v>2</v>
      </c>
      <c r="L4457" s="1">
        <v>0</v>
      </c>
      <c r="M4457" s="1">
        <v>1</v>
      </c>
    </row>
    <row r="4458" spans="1:13">
      <c r="A4458" s="1">
        <v>4457</v>
      </c>
      <c r="B4458" s="1">
        <v>877462.17209999997</v>
      </c>
      <c r="C4458" s="1">
        <v>800711.30588474893</v>
      </c>
      <c r="D4458" s="1">
        <f t="shared" si="69"/>
        <v>76750.866215251037</v>
      </c>
      <c r="E4458" s="1">
        <v>16</v>
      </c>
      <c r="F4458" s="1">
        <v>16</v>
      </c>
      <c r="G4458" s="1">
        <v>3</v>
      </c>
      <c r="H4458" s="1">
        <v>1</v>
      </c>
      <c r="I4458" s="1">
        <v>0</v>
      </c>
      <c r="J4458" s="1">
        <v>0</v>
      </c>
      <c r="K4458" s="1">
        <v>0</v>
      </c>
      <c r="L4458" s="1">
        <v>1</v>
      </c>
      <c r="M4458" s="1">
        <v>1</v>
      </c>
    </row>
    <row r="4459" spans="1:13">
      <c r="A4459" s="1">
        <v>4458</v>
      </c>
      <c r="B4459" s="1">
        <v>1023244.6855</v>
      </c>
      <c r="C4459" s="1">
        <v>1803485.2347772401</v>
      </c>
      <c r="D4459" s="1">
        <f t="shared" si="69"/>
        <v>-780240.54927724006</v>
      </c>
      <c r="E4459" s="1">
        <v>16</v>
      </c>
      <c r="F4459" s="1">
        <v>14</v>
      </c>
      <c r="G4459" s="1">
        <v>5</v>
      </c>
      <c r="H4459" s="1">
        <v>2</v>
      </c>
      <c r="I4459" s="1">
        <v>0</v>
      </c>
      <c r="J4459" s="1">
        <v>0</v>
      </c>
      <c r="K4459" s="1">
        <v>1</v>
      </c>
      <c r="L4459" s="1">
        <v>0</v>
      </c>
      <c r="M4459" s="1">
        <v>1</v>
      </c>
    </row>
    <row r="4460" spans="1:13">
      <c r="A4460" s="1">
        <v>4459</v>
      </c>
      <c r="B4460" s="1">
        <v>973428.54509999999</v>
      </c>
      <c r="C4460" s="1">
        <v>1069097.3826006465</v>
      </c>
      <c r="D4460" s="1">
        <f t="shared" si="69"/>
        <v>-95668.837500646478</v>
      </c>
      <c r="E4460" s="1">
        <v>13</v>
      </c>
      <c r="F4460" s="1">
        <v>14</v>
      </c>
      <c r="G4460" s="1">
        <v>8</v>
      </c>
      <c r="H4460" s="1">
        <v>0</v>
      </c>
      <c r="I4460" s="1">
        <v>1</v>
      </c>
      <c r="J4460" s="1">
        <v>1</v>
      </c>
      <c r="K4460" s="1">
        <v>1</v>
      </c>
      <c r="L4460" s="1">
        <v>0</v>
      </c>
      <c r="M4460" s="1">
        <v>1</v>
      </c>
    </row>
    <row r="4461" spans="1:13">
      <c r="A4461" s="1">
        <v>4460</v>
      </c>
      <c r="B4461" s="1">
        <v>844569.52350000001</v>
      </c>
      <c r="C4461" s="1">
        <v>698146.68159348972</v>
      </c>
      <c r="D4461" s="1">
        <f t="shared" si="69"/>
        <v>146422.84190651029</v>
      </c>
      <c r="E4461" s="1">
        <v>13</v>
      </c>
      <c r="F4461" s="1">
        <v>18</v>
      </c>
      <c r="G4461" s="1">
        <v>4</v>
      </c>
      <c r="H4461" s="1">
        <v>2</v>
      </c>
      <c r="I4461" s="1">
        <v>0</v>
      </c>
      <c r="J4461" s="1">
        <v>0</v>
      </c>
      <c r="K4461" s="1">
        <v>1</v>
      </c>
      <c r="L4461" s="1">
        <v>0</v>
      </c>
      <c r="M4461" s="1">
        <v>0</v>
      </c>
    </row>
    <row r="4462" spans="1:13">
      <c r="A4462" s="1">
        <v>4461</v>
      </c>
      <c r="B4462" s="1">
        <v>945083.83609999996</v>
      </c>
      <c r="C4462" s="1">
        <v>1037859.4920469288</v>
      </c>
      <c r="D4462" s="1">
        <f t="shared" si="69"/>
        <v>-92775.655946928891</v>
      </c>
      <c r="E4462" s="1">
        <v>13</v>
      </c>
      <c r="F4462" s="1">
        <v>16</v>
      </c>
      <c r="G4462" s="1">
        <v>6</v>
      </c>
      <c r="H4462" s="1">
        <v>0</v>
      </c>
      <c r="I4462" s="1">
        <v>0</v>
      </c>
      <c r="J4462" s="1">
        <v>0</v>
      </c>
      <c r="K4462" s="1">
        <v>1</v>
      </c>
      <c r="L4462" s="1">
        <v>0</v>
      </c>
      <c r="M4462" s="1">
        <v>0</v>
      </c>
    </row>
    <row r="4463" spans="1:13">
      <c r="A4463" s="1">
        <v>4462</v>
      </c>
      <c r="B4463" s="1">
        <v>954026.48659999995</v>
      </c>
      <c r="C4463" s="1">
        <v>551175.02076126635</v>
      </c>
      <c r="D4463" s="1">
        <f t="shared" si="69"/>
        <v>402851.46583873359</v>
      </c>
      <c r="E4463" s="1">
        <v>16</v>
      </c>
      <c r="F4463" s="1">
        <v>12</v>
      </c>
      <c r="G4463" s="1">
        <v>7</v>
      </c>
      <c r="H4463" s="1">
        <v>0</v>
      </c>
      <c r="I4463" s="1">
        <v>0</v>
      </c>
      <c r="J4463" s="1">
        <v>0</v>
      </c>
      <c r="K4463" s="1">
        <v>0</v>
      </c>
      <c r="L4463" s="1">
        <v>1</v>
      </c>
      <c r="M4463" s="1">
        <v>0</v>
      </c>
    </row>
    <row r="4464" spans="1:13">
      <c r="A4464" s="1">
        <v>4463</v>
      </c>
      <c r="B4464" s="1">
        <v>904736.62159999995</v>
      </c>
      <c r="C4464" s="1">
        <v>1208649.3679197505</v>
      </c>
      <c r="D4464" s="1">
        <f t="shared" si="69"/>
        <v>-303912.74631975056</v>
      </c>
      <c r="E4464" s="1">
        <v>21</v>
      </c>
      <c r="F4464" s="1">
        <v>8</v>
      </c>
      <c r="G4464" s="1">
        <v>6</v>
      </c>
      <c r="H4464" s="1">
        <v>1</v>
      </c>
      <c r="I4464" s="1">
        <v>0</v>
      </c>
      <c r="J4464" s="1">
        <v>0</v>
      </c>
      <c r="K4464" s="1">
        <v>0</v>
      </c>
      <c r="L4464" s="1">
        <v>0</v>
      </c>
      <c r="M4464" s="1">
        <v>0</v>
      </c>
    </row>
    <row r="4465" spans="1:13">
      <c r="A4465" s="1">
        <v>4464</v>
      </c>
      <c r="B4465" s="1">
        <v>982980.03630000004</v>
      </c>
      <c r="C4465" s="1">
        <v>944109.20687359839</v>
      </c>
      <c r="D4465" s="1">
        <f t="shared" si="69"/>
        <v>38870.829426401644</v>
      </c>
      <c r="E4465" s="1">
        <v>11</v>
      </c>
      <c r="F4465" s="1">
        <v>18</v>
      </c>
      <c r="G4465" s="1">
        <v>6</v>
      </c>
      <c r="H4465" s="1">
        <v>2</v>
      </c>
      <c r="I4465" s="1">
        <v>0</v>
      </c>
      <c r="J4465" s="1">
        <v>1</v>
      </c>
      <c r="K4465" s="1">
        <v>1</v>
      </c>
      <c r="L4465" s="1">
        <v>0</v>
      </c>
      <c r="M4465" s="1">
        <v>1</v>
      </c>
    </row>
    <row r="4466" spans="1:13">
      <c r="A4466" s="1">
        <v>4465</v>
      </c>
      <c r="B4466" s="1">
        <v>941224.5122</v>
      </c>
      <c r="C4466" s="1">
        <v>781533.19455032784</v>
      </c>
      <c r="D4466" s="1">
        <f t="shared" si="69"/>
        <v>159691.31764967216</v>
      </c>
      <c r="E4466" s="1">
        <v>14</v>
      </c>
      <c r="F4466" s="1">
        <v>17</v>
      </c>
      <c r="G4466" s="1">
        <v>4</v>
      </c>
      <c r="H4466" s="1">
        <v>1</v>
      </c>
      <c r="I4466" s="1">
        <v>0</v>
      </c>
      <c r="J4466" s="1">
        <v>0</v>
      </c>
      <c r="K4466" s="1">
        <v>0</v>
      </c>
      <c r="L4466" s="1">
        <v>1</v>
      </c>
      <c r="M4466" s="1">
        <v>1</v>
      </c>
    </row>
    <row r="4467" spans="1:13">
      <c r="A4467" s="1">
        <v>4466</v>
      </c>
      <c r="B4467" s="1">
        <v>855534.65839999996</v>
      </c>
      <c r="C4467" s="1">
        <v>765942.09078283852</v>
      </c>
      <c r="D4467" s="1">
        <f t="shared" si="69"/>
        <v>89592.567617161432</v>
      </c>
      <c r="E4467" s="1">
        <v>12</v>
      </c>
      <c r="F4467" s="1">
        <v>17</v>
      </c>
      <c r="G4467" s="1">
        <v>6</v>
      </c>
      <c r="H4467" s="1">
        <v>0</v>
      </c>
      <c r="I4467" s="1">
        <v>0</v>
      </c>
      <c r="J4467" s="1">
        <v>0</v>
      </c>
      <c r="K4467" s="1">
        <v>0</v>
      </c>
      <c r="L4467" s="1">
        <v>0</v>
      </c>
      <c r="M4467" s="1">
        <v>1</v>
      </c>
    </row>
    <row r="4468" spans="1:13">
      <c r="A4468" s="1">
        <v>4467</v>
      </c>
      <c r="B4468" s="1">
        <v>983203.326</v>
      </c>
      <c r="C4468" s="1">
        <v>778282.59713907447</v>
      </c>
      <c r="D4468" s="1">
        <f t="shared" si="69"/>
        <v>204920.72886092553</v>
      </c>
      <c r="E4468" s="1">
        <v>8</v>
      </c>
      <c r="F4468" s="1">
        <v>23</v>
      </c>
      <c r="G4468" s="1">
        <v>4</v>
      </c>
      <c r="H4468" s="1">
        <v>2</v>
      </c>
      <c r="I4468" s="1">
        <v>0</v>
      </c>
      <c r="J4468" s="1">
        <v>0</v>
      </c>
      <c r="K4468" s="1">
        <v>0</v>
      </c>
      <c r="L4468" s="1">
        <v>0</v>
      </c>
      <c r="M4468" s="1">
        <v>1</v>
      </c>
    </row>
    <row r="4469" spans="1:13">
      <c r="A4469" s="1">
        <v>4468</v>
      </c>
      <c r="B4469" s="1">
        <v>833798.1128</v>
      </c>
      <c r="C4469" s="1">
        <v>1043425.5008809527</v>
      </c>
      <c r="D4469" s="1">
        <f t="shared" si="69"/>
        <v>-209627.38808095269</v>
      </c>
      <c r="E4469" s="1">
        <v>12</v>
      </c>
      <c r="F4469" s="1">
        <v>19</v>
      </c>
      <c r="G4469" s="1">
        <v>4</v>
      </c>
      <c r="H4469" s="1">
        <v>0</v>
      </c>
      <c r="I4469" s="1">
        <v>0</v>
      </c>
      <c r="J4469" s="1">
        <v>2</v>
      </c>
      <c r="K4469" s="1">
        <v>0</v>
      </c>
      <c r="L4469" s="1">
        <v>0</v>
      </c>
      <c r="M4469" s="1">
        <v>0</v>
      </c>
    </row>
    <row r="4470" spans="1:13">
      <c r="A4470" s="1">
        <v>4469</v>
      </c>
      <c r="B4470" s="1">
        <v>823361.63410000002</v>
      </c>
      <c r="C4470" s="1">
        <v>846513.77353983407</v>
      </c>
      <c r="D4470" s="1">
        <f t="shared" si="69"/>
        <v>-23152.139439834049</v>
      </c>
      <c r="E4470" s="1">
        <v>18</v>
      </c>
      <c r="F4470" s="1">
        <v>13</v>
      </c>
      <c r="G4470" s="1">
        <v>4</v>
      </c>
      <c r="H4470" s="1">
        <v>1</v>
      </c>
      <c r="I4470" s="1">
        <v>1</v>
      </c>
      <c r="J4470" s="1">
        <v>0</v>
      </c>
      <c r="K4470" s="1">
        <v>0</v>
      </c>
      <c r="L4470" s="1">
        <v>1</v>
      </c>
      <c r="M4470" s="1">
        <v>0</v>
      </c>
    </row>
    <row r="4471" spans="1:13">
      <c r="A4471" s="1">
        <v>4470</v>
      </c>
      <c r="B4471" s="1">
        <v>988142.24360000005</v>
      </c>
      <c r="C4471" s="1">
        <v>1117705.3125109402</v>
      </c>
      <c r="D4471" s="1">
        <f t="shared" si="69"/>
        <v>-129563.0689109402</v>
      </c>
      <c r="E4471" s="1">
        <v>10</v>
      </c>
      <c r="F4471" s="1">
        <v>19</v>
      </c>
      <c r="G4471" s="1">
        <v>6</v>
      </c>
      <c r="H4471" s="1">
        <v>1</v>
      </c>
      <c r="I4471" s="1">
        <v>0</v>
      </c>
      <c r="J4471" s="1">
        <v>1</v>
      </c>
      <c r="K4471" s="1">
        <v>1</v>
      </c>
      <c r="L4471" s="1">
        <v>0</v>
      </c>
      <c r="M4471" s="1">
        <v>0</v>
      </c>
    </row>
    <row r="4472" spans="1:13">
      <c r="A4472" s="1">
        <v>4471</v>
      </c>
      <c r="B4472" s="1">
        <v>983934.46580000001</v>
      </c>
      <c r="C4472" s="1">
        <v>864226.405429821</v>
      </c>
      <c r="D4472" s="1">
        <f t="shared" si="69"/>
        <v>119708.06037017901</v>
      </c>
      <c r="E4472" s="1">
        <v>16</v>
      </c>
      <c r="F4472" s="1">
        <v>14</v>
      </c>
      <c r="G4472" s="1">
        <v>5</v>
      </c>
      <c r="H4472" s="1">
        <v>0</v>
      </c>
      <c r="I4472" s="1">
        <v>1</v>
      </c>
      <c r="J4472" s="1">
        <v>1</v>
      </c>
      <c r="K4472" s="1">
        <v>1</v>
      </c>
      <c r="L4472" s="1">
        <v>0</v>
      </c>
      <c r="M4472" s="1">
        <v>0</v>
      </c>
    </row>
    <row r="4473" spans="1:13">
      <c r="A4473" s="1">
        <v>4472</v>
      </c>
      <c r="B4473" s="1">
        <v>925094.41760000004</v>
      </c>
      <c r="C4473" s="1">
        <v>897121.16161367565</v>
      </c>
      <c r="D4473" s="1">
        <f t="shared" si="69"/>
        <v>27973.255986324395</v>
      </c>
      <c r="E4473" s="1">
        <v>6</v>
      </c>
      <c r="F4473" s="1">
        <v>22</v>
      </c>
      <c r="G4473" s="1">
        <v>7</v>
      </c>
      <c r="H4473" s="1">
        <v>1</v>
      </c>
      <c r="I4473" s="1">
        <v>0</v>
      </c>
      <c r="J4473" s="1">
        <v>0</v>
      </c>
      <c r="K4473" s="1">
        <v>0</v>
      </c>
      <c r="L4473" s="1">
        <v>0</v>
      </c>
      <c r="M4473" s="1">
        <v>0</v>
      </c>
    </row>
    <row r="4474" spans="1:13">
      <c r="A4474" s="1">
        <v>4473</v>
      </c>
      <c r="B4474" s="1">
        <v>960028.54689999996</v>
      </c>
      <c r="C4474" s="1">
        <v>1047820.7072589241</v>
      </c>
      <c r="D4474" s="1">
        <f t="shared" si="69"/>
        <v>-87792.160358924186</v>
      </c>
      <c r="E4474" s="1">
        <v>10</v>
      </c>
      <c r="F4474" s="1">
        <v>18</v>
      </c>
      <c r="G4474" s="1">
        <v>7</v>
      </c>
      <c r="H4474" s="1">
        <v>0</v>
      </c>
      <c r="I4474" s="1">
        <v>0</v>
      </c>
      <c r="J4474" s="1">
        <v>1</v>
      </c>
      <c r="K4474" s="1">
        <v>0</v>
      </c>
      <c r="L4474" s="1">
        <v>0</v>
      </c>
      <c r="M4474" s="1">
        <v>0</v>
      </c>
    </row>
    <row r="4475" spans="1:13">
      <c r="A4475" s="1">
        <v>4474</v>
      </c>
      <c r="B4475" s="1">
        <v>836873.38600000006</v>
      </c>
      <c r="C4475" s="1">
        <v>769894.78086336947</v>
      </c>
      <c r="D4475" s="1">
        <f t="shared" si="69"/>
        <v>66978.605136630591</v>
      </c>
      <c r="E4475" s="1">
        <v>8</v>
      </c>
      <c r="F4475" s="1">
        <v>20</v>
      </c>
      <c r="G4475" s="1">
        <v>7</v>
      </c>
      <c r="H4475" s="1">
        <v>0</v>
      </c>
      <c r="I4475" s="1">
        <v>0</v>
      </c>
      <c r="J4475" s="1">
        <v>0</v>
      </c>
      <c r="K4475" s="1">
        <v>1</v>
      </c>
      <c r="L4475" s="1">
        <v>0</v>
      </c>
      <c r="M4475" s="1">
        <v>0</v>
      </c>
    </row>
    <row r="4476" spans="1:13">
      <c r="A4476" s="1">
        <v>4475</v>
      </c>
      <c r="B4476" s="1">
        <v>931302.08459999994</v>
      </c>
      <c r="C4476" s="1">
        <v>781730.36800526187</v>
      </c>
      <c r="D4476" s="1">
        <f t="shared" si="69"/>
        <v>149571.71659473807</v>
      </c>
      <c r="E4476" s="1">
        <v>11</v>
      </c>
      <c r="F4476" s="1">
        <v>16</v>
      </c>
      <c r="G4476" s="1">
        <v>8</v>
      </c>
      <c r="H4476" s="1">
        <v>0</v>
      </c>
      <c r="I4476" s="1">
        <v>0</v>
      </c>
      <c r="J4476" s="1">
        <v>0</v>
      </c>
      <c r="K4476" s="1">
        <v>1</v>
      </c>
      <c r="L4476" s="1">
        <v>0</v>
      </c>
      <c r="M4476" s="1">
        <v>0</v>
      </c>
    </row>
    <row r="4477" spans="1:13">
      <c r="A4477" s="1">
        <v>4476</v>
      </c>
      <c r="B4477" s="1">
        <v>1047715.6979</v>
      </c>
      <c r="C4477" s="1">
        <v>845919.34724840615</v>
      </c>
      <c r="D4477" s="1">
        <f t="shared" si="69"/>
        <v>201796.35065159388</v>
      </c>
      <c r="E4477" s="1">
        <v>7</v>
      </c>
      <c r="F4477" s="1">
        <v>22</v>
      </c>
      <c r="G4477" s="1">
        <v>6</v>
      </c>
      <c r="H4477" s="1">
        <v>0</v>
      </c>
      <c r="I4477" s="1">
        <v>0</v>
      </c>
      <c r="J4477" s="1">
        <v>1</v>
      </c>
      <c r="K4477" s="1">
        <v>0</v>
      </c>
      <c r="L4477" s="1">
        <v>0</v>
      </c>
      <c r="M4477" s="1">
        <v>0</v>
      </c>
    </row>
    <row r="4478" spans="1:13">
      <c r="A4478" s="1">
        <v>4477</v>
      </c>
      <c r="B4478" s="1">
        <v>847097.68279999995</v>
      </c>
      <c r="C4478" s="1">
        <v>731819.28225493163</v>
      </c>
      <c r="D4478" s="1">
        <f t="shared" si="69"/>
        <v>115278.40054506832</v>
      </c>
      <c r="E4478" s="1">
        <v>20</v>
      </c>
      <c r="F4478" s="1">
        <v>9</v>
      </c>
      <c r="G4478" s="1">
        <v>6</v>
      </c>
      <c r="H4478" s="1">
        <v>0</v>
      </c>
      <c r="I4478" s="1">
        <v>0</v>
      </c>
      <c r="J4478" s="1">
        <v>0</v>
      </c>
      <c r="K4478" s="1">
        <v>2</v>
      </c>
      <c r="L4478" s="1">
        <v>0</v>
      </c>
      <c r="M4478" s="1">
        <v>0</v>
      </c>
    </row>
    <row r="4479" spans="1:13">
      <c r="A4479" s="1">
        <v>4478</v>
      </c>
      <c r="B4479" s="1">
        <v>1021437.9867</v>
      </c>
      <c r="C4479" s="1">
        <v>841158.64036235271</v>
      </c>
      <c r="D4479" s="1">
        <f t="shared" si="69"/>
        <v>180279.34633764729</v>
      </c>
      <c r="E4479" s="1">
        <v>14</v>
      </c>
      <c r="F4479" s="1">
        <v>15</v>
      </c>
      <c r="G4479" s="1">
        <v>6</v>
      </c>
      <c r="H4479" s="1">
        <v>0</v>
      </c>
      <c r="I4479" s="1">
        <v>1</v>
      </c>
      <c r="J4479" s="1">
        <v>1</v>
      </c>
      <c r="K4479" s="1">
        <v>0</v>
      </c>
      <c r="L4479" s="1">
        <v>0</v>
      </c>
      <c r="M4479" s="1">
        <v>1</v>
      </c>
    </row>
    <row r="4480" spans="1:13">
      <c r="A4480" s="1">
        <v>4479</v>
      </c>
      <c r="B4480" s="1">
        <v>950499.59629999998</v>
      </c>
      <c r="C4480" s="1">
        <v>897103.88296836126</v>
      </c>
      <c r="D4480" s="1">
        <f t="shared" si="69"/>
        <v>53395.713331638719</v>
      </c>
      <c r="E4480" s="1">
        <v>15</v>
      </c>
      <c r="F4480" s="1">
        <v>16</v>
      </c>
      <c r="G4480" s="1">
        <v>4</v>
      </c>
      <c r="H4480" s="1">
        <v>0</v>
      </c>
      <c r="I4480" s="1">
        <v>0</v>
      </c>
      <c r="J4480" s="1">
        <v>0</v>
      </c>
      <c r="K4480" s="1">
        <v>1</v>
      </c>
      <c r="L4480" s="1">
        <v>0</v>
      </c>
      <c r="M4480" s="1">
        <v>1</v>
      </c>
    </row>
    <row r="4481" spans="1:13">
      <c r="A4481" s="1">
        <v>4480</v>
      </c>
      <c r="B4481" s="1">
        <v>870570.97979999997</v>
      </c>
      <c r="C4481" s="1">
        <v>1600361.7212171657</v>
      </c>
      <c r="D4481" s="1">
        <f t="shared" si="69"/>
        <v>-729790.74141716573</v>
      </c>
      <c r="E4481" s="1">
        <v>18</v>
      </c>
      <c r="F4481" s="1">
        <v>14</v>
      </c>
      <c r="G4481" s="1">
        <v>3</v>
      </c>
      <c r="H4481" s="1">
        <v>2</v>
      </c>
      <c r="I4481" s="1">
        <v>0</v>
      </c>
      <c r="J4481" s="1">
        <v>0</v>
      </c>
      <c r="K4481" s="1">
        <v>2</v>
      </c>
      <c r="L4481" s="1">
        <v>0</v>
      </c>
      <c r="M4481" s="1">
        <v>0</v>
      </c>
    </row>
    <row r="4482" spans="1:13">
      <c r="A4482" s="1">
        <v>4481</v>
      </c>
      <c r="B4482" s="1">
        <v>991062.65229999996</v>
      </c>
      <c r="C4482" s="1">
        <v>636683.5638589696</v>
      </c>
      <c r="D4482" s="1">
        <f t="shared" ref="D4482:D4545" si="70">B4482-C4482</f>
        <v>354379.08844103036</v>
      </c>
      <c r="E4482" s="1">
        <v>8</v>
      </c>
      <c r="F4482" s="1">
        <v>24</v>
      </c>
      <c r="G4482" s="1">
        <v>3</v>
      </c>
      <c r="H4482" s="1">
        <v>2</v>
      </c>
      <c r="I4482" s="1">
        <v>0</v>
      </c>
      <c r="J4482" s="1">
        <v>0</v>
      </c>
      <c r="K4482" s="1">
        <v>2</v>
      </c>
      <c r="L4482" s="1">
        <v>0</v>
      </c>
      <c r="M4482" s="1">
        <v>0</v>
      </c>
    </row>
    <row r="4483" spans="1:13">
      <c r="A4483" s="1">
        <v>4482</v>
      </c>
      <c r="B4483" s="1">
        <v>953487.51599999995</v>
      </c>
      <c r="C4483" s="1">
        <v>1188078.0343973343</v>
      </c>
      <c r="D4483" s="1">
        <f t="shared" si="70"/>
        <v>-234590.51839733438</v>
      </c>
      <c r="E4483" s="1">
        <v>13</v>
      </c>
      <c r="F4483" s="1">
        <v>19</v>
      </c>
      <c r="G4483" s="1">
        <v>3</v>
      </c>
      <c r="H4483" s="1">
        <v>0</v>
      </c>
      <c r="I4483" s="1">
        <v>0</v>
      </c>
      <c r="J4483" s="1">
        <v>0</v>
      </c>
      <c r="K4483" s="1">
        <v>2</v>
      </c>
      <c r="L4483" s="1">
        <v>0</v>
      </c>
      <c r="M4483" s="1">
        <v>0</v>
      </c>
    </row>
    <row r="4484" spans="1:13">
      <c r="A4484" s="1">
        <v>4483</v>
      </c>
      <c r="B4484" s="1">
        <v>853283.43209999998</v>
      </c>
      <c r="C4484" s="1">
        <v>558196.65429500979</v>
      </c>
      <c r="D4484" s="1">
        <f t="shared" si="70"/>
        <v>295086.77780499018</v>
      </c>
      <c r="E4484" s="1">
        <v>9</v>
      </c>
      <c r="F4484" s="1">
        <v>20</v>
      </c>
      <c r="G4484" s="1">
        <v>6</v>
      </c>
      <c r="H4484" s="1">
        <v>1</v>
      </c>
      <c r="I4484" s="1">
        <v>1</v>
      </c>
      <c r="J4484" s="1">
        <v>0</v>
      </c>
      <c r="K4484" s="1">
        <v>0</v>
      </c>
      <c r="L4484" s="1">
        <v>0</v>
      </c>
      <c r="M4484" s="1">
        <v>0</v>
      </c>
    </row>
    <row r="4485" spans="1:13">
      <c r="A4485" s="1">
        <v>4484</v>
      </c>
      <c r="B4485" s="1">
        <v>921986.91810000001</v>
      </c>
      <c r="C4485" s="1">
        <v>760724.12267017784</v>
      </c>
      <c r="D4485" s="1">
        <f t="shared" si="70"/>
        <v>161262.79542982217</v>
      </c>
      <c r="E4485" s="1">
        <v>16</v>
      </c>
      <c r="F4485" s="1">
        <v>15</v>
      </c>
      <c r="G4485" s="1">
        <v>4</v>
      </c>
      <c r="H4485" s="1">
        <v>0</v>
      </c>
      <c r="I4485" s="1">
        <v>0</v>
      </c>
      <c r="J4485" s="1">
        <v>0</v>
      </c>
      <c r="K4485" s="1">
        <v>0</v>
      </c>
      <c r="L4485" s="1">
        <v>0</v>
      </c>
      <c r="M4485" s="1">
        <v>0</v>
      </c>
    </row>
    <row r="4486" spans="1:13">
      <c r="A4486" s="1">
        <v>4485</v>
      </c>
      <c r="B4486" s="1">
        <v>893066.92050000001</v>
      </c>
      <c r="C4486" s="1">
        <v>1048689.6735887909</v>
      </c>
      <c r="D4486" s="1">
        <f t="shared" si="70"/>
        <v>-155622.75308879092</v>
      </c>
      <c r="E4486" s="1">
        <v>10</v>
      </c>
      <c r="F4486" s="1">
        <v>22</v>
      </c>
      <c r="G4486" s="1">
        <v>3</v>
      </c>
      <c r="H4486" s="1">
        <v>1</v>
      </c>
      <c r="I4486" s="1">
        <v>0</v>
      </c>
      <c r="J4486" s="1">
        <v>0</v>
      </c>
      <c r="K4486" s="1">
        <v>1</v>
      </c>
      <c r="L4486" s="1">
        <v>0</v>
      </c>
      <c r="M4486" s="1">
        <v>1</v>
      </c>
    </row>
    <row r="4487" spans="1:13">
      <c r="A4487" s="1">
        <v>4486</v>
      </c>
      <c r="B4487" s="1">
        <v>968389.76399999997</v>
      </c>
      <c r="C4487" s="1">
        <v>1041176.2716845879</v>
      </c>
      <c r="D4487" s="1">
        <f t="shared" si="70"/>
        <v>-72786.507684587967</v>
      </c>
      <c r="E4487" s="1">
        <v>11</v>
      </c>
      <c r="F4487" s="1">
        <v>19</v>
      </c>
      <c r="G4487" s="1">
        <v>5</v>
      </c>
      <c r="H4487" s="1">
        <v>1</v>
      </c>
      <c r="I4487" s="1">
        <v>0</v>
      </c>
      <c r="J4487" s="1">
        <v>0</v>
      </c>
      <c r="K4487" s="1">
        <v>0</v>
      </c>
      <c r="L4487" s="1">
        <v>0</v>
      </c>
      <c r="M4487" s="1">
        <v>1</v>
      </c>
    </row>
    <row r="4488" spans="1:13">
      <c r="A4488" s="1">
        <v>4487</v>
      </c>
      <c r="B4488" s="1">
        <v>905999.60880000005</v>
      </c>
      <c r="C4488" s="1">
        <v>877156.71034110966</v>
      </c>
      <c r="D4488" s="1">
        <f t="shared" si="70"/>
        <v>28842.898458890384</v>
      </c>
      <c r="E4488" s="1">
        <v>12</v>
      </c>
      <c r="F4488" s="1">
        <v>18</v>
      </c>
      <c r="G4488" s="1">
        <v>5</v>
      </c>
      <c r="H4488" s="1">
        <v>0</v>
      </c>
      <c r="I4488" s="1">
        <v>0</v>
      </c>
      <c r="J4488" s="1">
        <v>2</v>
      </c>
      <c r="K4488" s="1">
        <v>0</v>
      </c>
      <c r="L4488" s="1">
        <v>0</v>
      </c>
      <c r="M4488" s="1">
        <v>0</v>
      </c>
    </row>
    <row r="4489" spans="1:13">
      <c r="A4489" s="1">
        <v>4488</v>
      </c>
      <c r="B4489" s="1">
        <v>866355.08180000004</v>
      </c>
      <c r="C4489" s="1">
        <v>483174.33330865204</v>
      </c>
      <c r="D4489" s="1">
        <f t="shared" si="70"/>
        <v>383180.748491348</v>
      </c>
      <c r="E4489" s="1">
        <v>19</v>
      </c>
      <c r="F4489" s="1">
        <v>9</v>
      </c>
      <c r="G4489" s="1">
        <v>7</v>
      </c>
      <c r="H4489" s="1">
        <v>0</v>
      </c>
      <c r="I4489" s="1">
        <v>0</v>
      </c>
      <c r="J4489" s="1">
        <v>0</v>
      </c>
      <c r="K4489" s="1">
        <v>2</v>
      </c>
      <c r="L4489" s="1">
        <v>0</v>
      </c>
      <c r="M4489" s="1">
        <v>0</v>
      </c>
    </row>
    <row r="4490" spans="1:13">
      <c r="A4490" s="1">
        <v>4489</v>
      </c>
      <c r="B4490" s="1">
        <v>985380.30570000003</v>
      </c>
      <c r="C4490" s="1">
        <v>601184.08942118392</v>
      </c>
      <c r="D4490" s="1">
        <f t="shared" si="70"/>
        <v>384196.21627881611</v>
      </c>
      <c r="E4490" s="1">
        <v>5</v>
      </c>
      <c r="F4490" s="1">
        <v>23</v>
      </c>
      <c r="G4490" s="1">
        <v>7</v>
      </c>
      <c r="H4490" s="1">
        <v>0</v>
      </c>
      <c r="I4490" s="1">
        <v>0</v>
      </c>
      <c r="J4490" s="1">
        <v>1</v>
      </c>
      <c r="K4490" s="1">
        <v>0</v>
      </c>
      <c r="L4490" s="1">
        <v>1</v>
      </c>
      <c r="M4490" s="1">
        <v>1</v>
      </c>
    </row>
    <row r="4491" spans="1:13">
      <c r="A4491" s="1">
        <v>4490</v>
      </c>
      <c r="B4491" s="1">
        <v>921466.00490000006</v>
      </c>
      <c r="C4491" s="1">
        <v>1122587.619202333</v>
      </c>
      <c r="D4491" s="1">
        <f t="shared" si="70"/>
        <v>-201121.61430233298</v>
      </c>
      <c r="E4491" s="1">
        <v>14</v>
      </c>
      <c r="F4491" s="1">
        <v>17</v>
      </c>
      <c r="G4491" s="1">
        <v>4</v>
      </c>
      <c r="H4491" s="1">
        <v>0</v>
      </c>
      <c r="I4491" s="1">
        <v>0</v>
      </c>
      <c r="J4491" s="1">
        <v>0</v>
      </c>
      <c r="K4491" s="1">
        <v>0</v>
      </c>
      <c r="L4491" s="1">
        <v>1</v>
      </c>
      <c r="M4491" s="1">
        <v>0</v>
      </c>
    </row>
    <row r="4492" spans="1:13">
      <c r="A4492" s="1">
        <v>4491</v>
      </c>
      <c r="B4492" s="1">
        <v>888349.51150000002</v>
      </c>
      <c r="C4492" s="1">
        <v>1213744.424975927</v>
      </c>
      <c r="D4492" s="1">
        <f t="shared" si="70"/>
        <v>-325394.91347592697</v>
      </c>
      <c r="E4492" s="1">
        <v>16</v>
      </c>
      <c r="F4492" s="1">
        <v>13</v>
      </c>
      <c r="G4492" s="1">
        <v>6</v>
      </c>
      <c r="H4492" s="1">
        <v>2</v>
      </c>
      <c r="I4492" s="1">
        <v>0</v>
      </c>
      <c r="J4492" s="1">
        <v>0</v>
      </c>
      <c r="K4492" s="1">
        <v>1</v>
      </c>
      <c r="L4492" s="1">
        <v>0</v>
      </c>
      <c r="M4492" s="1">
        <v>0</v>
      </c>
    </row>
    <row r="4493" spans="1:13">
      <c r="A4493" s="1">
        <v>4492</v>
      </c>
      <c r="B4493" s="1">
        <v>992920.4656</v>
      </c>
      <c r="C4493" s="1">
        <v>782466.08892230561</v>
      </c>
      <c r="D4493" s="1">
        <f t="shared" si="70"/>
        <v>210454.37667769438</v>
      </c>
      <c r="E4493" s="1">
        <v>9</v>
      </c>
      <c r="F4493" s="1">
        <v>19</v>
      </c>
      <c r="G4493" s="1">
        <v>7</v>
      </c>
      <c r="H4493" s="1">
        <v>1</v>
      </c>
      <c r="I4493" s="1">
        <v>0</v>
      </c>
      <c r="J4493" s="1">
        <v>1</v>
      </c>
      <c r="K4493" s="1">
        <v>0</v>
      </c>
      <c r="L4493" s="1">
        <v>0</v>
      </c>
      <c r="M4493" s="1">
        <v>0</v>
      </c>
    </row>
    <row r="4494" spans="1:13">
      <c r="A4494" s="1">
        <v>4493</v>
      </c>
      <c r="B4494" s="1">
        <v>1069036.9487999999</v>
      </c>
      <c r="C4494" s="1">
        <v>713656.55562384927</v>
      </c>
      <c r="D4494" s="1">
        <f t="shared" si="70"/>
        <v>355380.39317615062</v>
      </c>
      <c r="E4494" s="1">
        <v>13</v>
      </c>
      <c r="F4494" s="1">
        <v>13</v>
      </c>
      <c r="G4494" s="1">
        <v>9</v>
      </c>
      <c r="H4494" s="1">
        <v>2</v>
      </c>
      <c r="I4494" s="1">
        <v>0</v>
      </c>
      <c r="J4494" s="1">
        <v>1</v>
      </c>
      <c r="K4494" s="1">
        <v>0</v>
      </c>
      <c r="L4494" s="1">
        <v>0</v>
      </c>
      <c r="M4494" s="1">
        <v>0</v>
      </c>
    </row>
    <row r="4495" spans="1:13">
      <c r="A4495" s="1">
        <v>4494</v>
      </c>
      <c r="B4495" s="1">
        <v>885297.15540000005</v>
      </c>
      <c r="C4495" s="1">
        <v>1261882.2415533857</v>
      </c>
      <c r="D4495" s="1">
        <f t="shared" si="70"/>
        <v>-376585.0861533857</v>
      </c>
      <c r="E4495" s="1">
        <v>16</v>
      </c>
      <c r="F4495" s="1">
        <v>13</v>
      </c>
      <c r="G4495" s="1">
        <v>6</v>
      </c>
      <c r="H4495" s="1">
        <v>2</v>
      </c>
      <c r="I4495" s="1">
        <v>0</v>
      </c>
      <c r="J4495" s="1">
        <v>1</v>
      </c>
      <c r="K4495" s="1">
        <v>0</v>
      </c>
      <c r="L4495" s="1">
        <v>1</v>
      </c>
      <c r="M4495" s="1">
        <v>0</v>
      </c>
    </row>
    <row r="4496" spans="1:13">
      <c r="A4496" s="1">
        <v>4495</v>
      </c>
      <c r="B4496" s="1">
        <v>782914.58799999999</v>
      </c>
      <c r="C4496" s="1">
        <v>812293.39579331502</v>
      </c>
      <c r="D4496" s="1">
        <f t="shared" si="70"/>
        <v>-29378.807793315034</v>
      </c>
      <c r="E4496" s="1">
        <v>15</v>
      </c>
      <c r="F4496" s="1">
        <v>17</v>
      </c>
      <c r="G4496" s="1">
        <v>3</v>
      </c>
      <c r="H4496" s="1">
        <v>1</v>
      </c>
      <c r="I4496" s="1">
        <v>0</v>
      </c>
      <c r="J4496" s="1">
        <v>0</v>
      </c>
      <c r="K4496" s="1">
        <v>2</v>
      </c>
      <c r="L4496" s="1">
        <v>0</v>
      </c>
      <c r="M4496" s="1">
        <v>0</v>
      </c>
    </row>
    <row r="4497" spans="1:13">
      <c r="A4497" s="1">
        <v>4496</v>
      </c>
      <c r="B4497" s="1">
        <v>930074.73990000004</v>
      </c>
      <c r="C4497" s="1">
        <v>810520.32441864919</v>
      </c>
      <c r="D4497" s="1">
        <f t="shared" si="70"/>
        <v>119554.41548135085</v>
      </c>
      <c r="E4497" s="1">
        <v>14</v>
      </c>
      <c r="F4497" s="1">
        <v>18</v>
      </c>
      <c r="G4497" s="1">
        <v>3</v>
      </c>
      <c r="H4497" s="1">
        <v>1</v>
      </c>
      <c r="I4497" s="1">
        <v>0</v>
      </c>
      <c r="J4497" s="1">
        <v>0</v>
      </c>
      <c r="K4497" s="1">
        <v>1</v>
      </c>
      <c r="L4497" s="1">
        <v>0</v>
      </c>
      <c r="M4497" s="1">
        <v>1</v>
      </c>
    </row>
    <row r="4498" spans="1:13">
      <c r="A4498" s="1">
        <v>4497</v>
      </c>
      <c r="B4498" s="1">
        <v>876006.76809999999</v>
      </c>
      <c r="C4498" s="1">
        <v>618653.06964519131</v>
      </c>
      <c r="D4498" s="1">
        <f t="shared" si="70"/>
        <v>257353.69845480868</v>
      </c>
      <c r="E4498" s="1">
        <v>21</v>
      </c>
      <c r="F4498" s="1">
        <v>10</v>
      </c>
      <c r="G4498" s="1">
        <v>4</v>
      </c>
      <c r="H4498" s="1">
        <v>1</v>
      </c>
      <c r="I4498" s="1">
        <v>0</v>
      </c>
      <c r="J4498" s="1">
        <v>0</v>
      </c>
      <c r="K4498" s="1">
        <v>1</v>
      </c>
      <c r="L4498" s="1">
        <v>0</v>
      </c>
      <c r="M4498" s="1">
        <v>0</v>
      </c>
    </row>
    <row r="4499" spans="1:13">
      <c r="A4499" s="1">
        <v>4498</v>
      </c>
      <c r="B4499" s="1">
        <v>932366.95310000004</v>
      </c>
      <c r="C4499" s="1">
        <v>498008.85700969666</v>
      </c>
      <c r="D4499" s="1">
        <f t="shared" si="70"/>
        <v>434358.09609030338</v>
      </c>
      <c r="E4499" s="1">
        <v>5</v>
      </c>
      <c r="F4499" s="1">
        <v>24</v>
      </c>
      <c r="G4499" s="1">
        <v>6</v>
      </c>
      <c r="H4499" s="1">
        <v>0</v>
      </c>
      <c r="I4499" s="1">
        <v>0</v>
      </c>
      <c r="J4499" s="1">
        <v>0</v>
      </c>
      <c r="K4499" s="1">
        <v>1</v>
      </c>
      <c r="L4499" s="1">
        <v>0</v>
      </c>
      <c r="M4499" s="1">
        <v>0</v>
      </c>
    </row>
    <row r="4500" spans="1:13">
      <c r="A4500" s="1">
        <v>4499</v>
      </c>
      <c r="B4500" s="1">
        <v>895486.81880000001</v>
      </c>
      <c r="C4500" s="1">
        <v>1416061.2022089073</v>
      </c>
      <c r="D4500" s="1">
        <f t="shared" si="70"/>
        <v>-520574.38340890734</v>
      </c>
      <c r="E4500" s="1">
        <v>9</v>
      </c>
      <c r="F4500" s="1">
        <v>19</v>
      </c>
      <c r="G4500" s="1">
        <v>7</v>
      </c>
      <c r="H4500" s="1">
        <v>0</v>
      </c>
      <c r="I4500" s="1">
        <v>0</v>
      </c>
      <c r="J4500" s="1">
        <v>0</v>
      </c>
      <c r="K4500" s="1">
        <v>1</v>
      </c>
      <c r="L4500" s="1">
        <v>0</v>
      </c>
      <c r="M4500" s="1">
        <v>0</v>
      </c>
    </row>
    <row r="4501" spans="1:13">
      <c r="A4501" s="1">
        <v>4500</v>
      </c>
      <c r="B4501" s="1">
        <v>918045.89240000001</v>
      </c>
      <c r="C4501" s="1">
        <v>1029858.0293471918</v>
      </c>
      <c r="D4501" s="1">
        <f t="shared" si="70"/>
        <v>-111812.13694719179</v>
      </c>
      <c r="E4501" s="1">
        <v>10</v>
      </c>
      <c r="F4501" s="1">
        <v>21</v>
      </c>
      <c r="G4501" s="1">
        <v>4</v>
      </c>
      <c r="H4501" s="1">
        <v>1</v>
      </c>
      <c r="I4501" s="1">
        <v>0</v>
      </c>
      <c r="J4501" s="1">
        <v>1</v>
      </c>
      <c r="K4501" s="1">
        <v>1</v>
      </c>
      <c r="L4501" s="1">
        <v>0</v>
      </c>
      <c r="M4501" s="1">
        <v>0</v>
      </c>
    </row>
    <row r="4502" spans="1:13">
      <c r="A4502" s="1">
        <v>4501</v>
      </c>
      <c r="B4502" s="1">
        <v>846071.59600000002</v>
      </c>
      <c r="C4502" s="1">
        <v>1003011.7091055991</v>
      </c>
      <c r="D4502" s="1">
        <f t="shared" si="70"/>
        <v>-156940.11310559907</v>
      </c>
      <c r="E4502" s="1">
        <v>14</v>
      </c>
      <c r="F4502" s="1">
        <v>17</v>
      </c>
      <c r="G4502" s="1">
        <v>4</v>
      </c>
      <c r="H4502" s="1">
        <v>1</v>
      </c>
      <c r="I4502" s="1">
        <v>0</v>
      </c>
      <c r="J4502" s="1">
        <v>0</v>
      </c>
      <c r="K4502" s="1">
        <v>0</v>
      </c>
      <c r="L4502" s="1">
        <v>0</v>
      </c>
      <c r="M4502" s="1">
        <v>0</v>
      </c>
    </row>
    <row r="4503" spans="1:13">
      <c r="A4503" s="1">
        <v>4502</v>
      </c>
      <c r="B4503" s="1">
        <v>905740.31709999999</v>
      </c>
      <c r="C4503" s="1">
        <v>880207.54560361756</v>
      </c>
      <c r="D4503" s="1">
        <f t="shared" si="70"/>
        <v>25532.771496382426</v>
      </c>
      <c r="E4503" s="1">
        <v>12</v>
      </c>
      <c r="F4503" s="1">
        <v>18</v>
      </c>
      <c r="G4503" s="1">
        <v>5</v>
      </c>
      <c r="H4503" s="1">
        <v>1</v>
      </c>
      <c r="I4503" s="1">
        <v>0</v>
      </c>
      <c r="J4503" s="1">
        <v>2</v>
      </c>
      <c r="K4503" s="1">
        <v>0</v>
      </c>
      <c r="L4503" s="1">
        <v>0</v>
      </c>
      <c r="M4503" s="1">
        <v>1</v>
      </c>
    </row>
    <row r="4504" spans="1:13">
      <c r="A4504" s="1">
        <v>4503</v>
      </c>
      <c r="B4504" s="1">
        <v>988062.6618</v>
      </c>
      <c r="C4504" s="1">
        <v>848901.70551059663</v>
      </c>
      <c r="D4504" s="1">
        <f t="shared" si="70"/>
        <v>139160.95628940337</v>
      </c>
      <c r="E4504" s="1">
        <v>20</v>
      </c>
      <c r="F4504" s="1">
        <v>10</v>
      </c>
      <c r="G4504" s="1">
        <v>5</v>
      </c>
      <c r="H4504" s="1">
        <v>0</v>
      </c>
      <c r="I4504" s="1">
        <v>0</v>
      </c>
      <c r="J4504" s="1">
        <v>1</v>
      </c>
      <c r="K4504" s="1">
        <v>1</v>
      </c>
      <c r="L4504" s="1">
        <v>0</v>
      </c>
      <c r="M4504" s="1">
        <v>0</v>
      </c>
    </row>
    <row r="4505" spans="1:13">
      <c r="A4505" s="1">
        <v>4504</v>
      </c>
      <c r="B4505" s="1">
        <v>912589.15379999997</v>
      </c>
      <c r="C4505" s="1">
        <v>866531.9970585074</v>
      </c>
      <c r="D4505" s="1">
        <f t="shared" si="70"/>
        <v>46057.156741492567</v>
      </c>
      <c r="E4505" s="1">
        <v>15</v>
      </c>
      <c r="F4505" s="1">
        <v>16</v>
      </c>
      <c r="G4505" s="1">
        <v>4</v>
      </c>
      <c r="H4505" s="1">
        <v>0</v>
      </c>
      <c r="I4505" s="1">
        <v>0</v>
      </c>
      <c r="J4505" s="1">
        <v>0</v>
      </c>
      <c r="K4505" s="1">
        <v>1</v>
      </c>
      <c r="L4505" s="1">
        <v>0</v>
      </c>
      <c r="M4505" s="1">
        <v>1</v>
      </c>
    </row>
    <row r="4506" spans="1:13">
      <c r="A4506" s="1">
        <v>4505</v>
      </c>
      <c r="B4506" s="1">
        <v>995455.46629999997</v>
      </c>
      <c r="C4506" s="1">
        <v>808968.86472163384</v>
      </c>
      <c r="D4506" s="1">
        <f t="shared" si="70"/>
        <v>186486.60157836613</v>
      </c>
      <c r="E4506" s="1">
        <v>4</v>
      </c>
      <c r="F4506" s="1">
        <v>26</v>
      </c>
      <c r="G4506" s="1">
        <v>5</v>
      </c>
      <c r="H4506" s="1">
        <v>2</v>
      </c>
      <c r="I4506" s="1">
        <v>0</v>
      </c>
      <c r="J4506" s="1">
        <v>0</v>
      </c>
      <c r="K4506" s="1">
        <v>1</v>
      </c>
      <c r="L4506" s="1">
        <v>0</v>
      </c>
      <c r="M4506" s="1">
        <v>0</v>
      </c>
    </row>
    <row r="4507" spans="1:13">
      <c r="A4507" s="1">
        <v>4506</v>
      </c>
      <c r="B4507" s="1">
        <v>960786.38459999999</v>
      </c>
      <c r="C4507" s="1">
        <v>834589.92669792322</v>
      </c>
      <c r="D4507" s="1">
        <f t="shared" si="70"/>
        <v>126196.45790207677</v>
      </c>
      <c r="E4507" s="1">
        <v>12</v>
      </c>
      <c r="F4507" s="1">
        <v>17</v>
      </c>
      <c r="G4507" s="1">
        <v>6</v>
      </c>
      <c r="H4507" s="1">
        <v>0</v>
      </c>
      <c r="I4507" s="1">
        <v>0</v>
      </c>
      <c r="J4507" s="1">
        <v>0</v>
      </c>
      <c r="K4507" s="1">
        <v>0</v>
      </c>
      <c r="L4507" s="1">
        <v>0</v>
      </c>
      <c r="M4507" s="1">
        <v>0</v>
      </c>
    </row>
    <row r="4508" spans="1:13">
      <c r="A4508" s="1">
        <v>4507</v>
      </c>
      <c r="B4508" s="1">
        <v>914298.8</v>
      </c>
      <c r="C4508" s="1">
        <v>2279898.7975401003</v>
      </c>
      <c r="D4508" s="1">
        <f t="shared" si="70"/>
        <v>-1365599.9975401002</v>
      </c>
      <c r="E4508" s="1">
        <v>11</v>
      </c>
      <c r="F4508" s="1">
        <v>19</v>
      </c>
      <c r="G4508" s="1">
        <v>5</v>
      </c>
      <c r="H4508" s="1">
        <v>2</v>
      </c>
      <c r="I4508" s="1">
        <v>0</v>
      </c>
      <c r="J4508" s="1">
        <v>0</v>
      </c>
      <c r="K4508" s="1">
        <v>2</v>
      </c>
      <c r="L4508" s="1">
        <v>0</v>
      </c>
      <c r="M4508" s="1">
        <v>0</v>
      </c>
    </row>
    <row r="4509" spans="1:13">
      <c r="A4509" s="1">
        <v>4508</v>
      </c>
      <c r="B4509" s="1">
        <v>863938.53130000003</v>
      </c>
      <c r="C4509" s="1">
        <v>610856.60155884072</v>
      </c>
      <c r="D4509" s="1">
        <f t="shared" si="70"/>
        <v>253081.92974115931</v>
      </c>
      <c r="E4509" s="1">
        <v>14</v>
      </c>
      <c r="F4509" s="1">
        <v>16</v>
      </c>
      <c r="G4509" s="1">
        <v>5</v>
      </c>
      <c r="H4509" s="1">
        <v>0</v>
      </c>
      <c r="I4509" s="1">
        <v>0</v>
      </c>
      <c r="J4509" s="1">
        <v>1</v>
      </c>
      <c r="K4509" s="1">
        <v>1</v>
      </c>
      <c r="L4509" s="1">
        <v>0</v>
      </c>
      <c r="M4509" s="1">
        <v>1</v>
      </c>
    </row>
    <row r="4510" spans="1:13">
      <c r="A4510" s="1">
        <v>4509</v>
      </c>
      <c r="B4510" s="1">
        <v>1066723.8539</v>
      </c>
      <c r="C4510" s="1">
        <v>897120.46103847842</v>
      </c>
      <c r="D4510" s="1">
        <f t="shared" si="70"/>
        <v>169603.39286152157</v>
      </c>
      <c r="E4510" s="1">
        <v>7</v>
      </c>
      <c r="F4510" s="1">
        <v>20</v>
      </c>
      <c r="G4510" s="1">
        <v>8</v>
      </c>
      <c r="H4510" s="1">
        <v>1</v>
      </c>
      <c r="I4510" s="1">
        <v>1</v>
      </c>
      <c r="J4510" s="1">
        <v>1</v>
      </c>
      <c r="K4510" s="1">
        <v>1</v>
      </c>
      <c r="L4510" s="1">
        <v>0</v>
      </c>
      <c r="M4510" s="1">
        <v>0</v>
      </c>
    </row>
    <row r="4511" spans="1:13">
      <c r="A4511" s="1">
        <v>4510</v>
      </c>
      <c r="B4511" s="1">
        <v>906523.05409999995</v>
      </c>
      <c r="C4511" s="1">
        <v>1162868.7789778938</v>
      </c>
      <c r="D4511" s="1">
        <f t="shared" si="70"/>
        <v>-256345.72487789381</v>
      </c>
      <c r="E4511" s="1">
        <v>5</v>
      </c>
      <c r="F4511" s="1">
        <v>24</v>
      </c>
      <c r="G4511" s="1">
        <v>6</v>
      </c>
      <c r="H4511" s="1">
        <v>0</v>
      </c>
      <c r="I4511" s="1">
        <v>1</v>
      </c>
      <c r="J4511" s="1">
        <v>1</v>
      </c>
      <c r="K4511" s="1">
        <v>1</v>
      </c>
      <c r="L4511" s="1">
        <v>0</v>
      </c>
      <c r="M4511" s="1">
        <v>0</v>
      </c>
    </row>
    <row r="4512" spans="1:13">
      <c r="A4512" s="1">
        <v>4511</v>
      </c>
      <c r="B4512" s="1">
        <v>965261.14489999996</v>
      </c>
      <c r="C4512" s="1">
        <v>725365.7815991597</v>
      </c>
      <c r="D4512" s="1">
        <f t="shared" si="70"/>
        <v>239895.36330084025</v>
      </c>
      <c r="E4512" s="1">
        <v>13</v>
      </c>
      <c r="F4512" s="1">
        <v>18</v>
      </c>
      <c r="G4512" s="1">
        <v>4</v>
      </c>
      <c r="H4512" s="1">
        <v>1</v>
      </c>
      <c r="I4512" s="1">
        <v>0</v>
      </c>
      <c r="J4512" s="1">
        <v>0</v>
      </c>
      <c r="K4512" s="1">
        <v>2</v>
      </c>
      <c r="L4512" s="1">
        <v>0</v>
      </c>
      <c r="M4512" s="1">
        <v>1</v>
      </c>
    </row>
    <row r="4513" spans="1:13">
      <c r="A4513" s="1">
        <v>4512</v>
      </c>
      <c r="B4513" s="1">
        <v>896478.31499999994</v>
      </c>
      <c r="C4513" s="1">
        <v>483721.46469244582</v>
      </c>
      <c r="D4513" s="1">
        <f t="shared" si="70"/>
        <v>412756.85030755412</v>
      </c>
      <c r="E4513" s="1">
        <v>8</v>
      </c>
      <c r="F4513" s="1">
        <v>20</v>
      </c>
      <c r="G4513" s="1">
        <v>7</v>
      </c>
      <c r="H4513" s="1">
        <v>1</v>
      </c>
      <c r="I4513" s="1">
        <v>0</v>
      </c>
      <c r="J4513" s="1">
        <v>2</v>
      </c>
      <c r="K4513" s="1">
        <v>0</v>
      </c>
      <c r="L4513" s="1">
        <v>0</v>
      </c>
      <c r="M4513" s="1">
        <v>1</v>
      </c>
    </row>
    <row r="4514" spans="1:13">
      <c r="A4514" s="1">
        <v>4513</v>
      </c>
      <c r="B4514" s="1">
        <v>974648.13260000001</v>
      </c>
      <c r="C4514" s="1">
        <v>1034242.6094208338</v>
      </c>
      <c r="D4514" s="1">
        <f t="shared" si="70"/>
        <v>-59594.476820833748</v>
      </c>
      <c r="E4514" s="1">
        <v>8</v>
      </c>
      <c r="F4514" s="1">
        <v>21</v>
      </c>
      <c r="G4514" s="1">
        <v>6</v>
      </c>
      <c r="H4514" s="1">
        <v>0</v>
      </c>
      <c r="I4514" s="1">
        <v>1</v>
      </c>
      <c r="J4514" s="1">
        <v>0</v>
      </c>
      <c r="K4514" s="1">
        <v>1</v>
      </c>
      <c r="L4514" s="1">
        <v>0</v>
      </c>
      <c r="M4514" s="1">
        <v>0</v>
      </c>
    </row>
    <row r="4515" spans="1:13">
      <c r="A4515" s="1">
        <v>4514</v>
      </c>
      <c r="B4515" s="1">
        <v>866200.09849999996</v>
      </c>
      <c r="C4515" s="1">
        <v>878143.12683939899</v>
      </c>
      <c r="D4515" s="1">
        <f t="shared" si="70"/>
        <v>-11943.028339399025</v>
      </c>
      <c r="E4515" s="1">
        <v>15</v>
      </c>
      <c r="F4515" s="1">
        <v>14</v>
      </c>
      <c r="G4515" s="1">
        <v>6</v>
      </c>
      <c r="H4515" s="1">
        <v>0</v>
      </c>
      <c r="I4515" s="1">
        <v>0</v>
      </c>
      <c r="J4515" s="1">
        <v>0</v>
      </c>
      <c r="K4515" s="1">
        <v>1</v>
      </c>
      <c r="L4515" s="1">
        <v>0</v>
      </c>
      <c r="M4515" s="1">
        <v>0</v>
      </c>
    </row>
    <row r="4516" spans="1:13">
      <c r="A4516" s="1">
        <v>4515</v>
      </c>
      <c r="B4516" s="1">
        <v>1099142.8544000001</v>
      </c>
      <c r="C4516" s="1">
        <v>812629.97473351331</v>
      </c>
      <c r="D4516" s="1">
        <f t="shared" si="70"/>
        <v>286512.87966648676</v>
      </c>
      <c r="E4516" s="1">
        <v>7</v>
      </c>
      <c r="F4516" s="1">
        <v>23</v>
      </c>
      <c r="G4516" s="1">
        <v>5</v>
      </c>
      <c r="H4516" s="1">
        <v>0</v>
      </c>
      <c r="I4516" s="1">
        <v>0</v>
      </c>
      <c r="J4516" s="1">
        <v>1</v>
      </c>
      <c r="K4516" s="1">
        <v>0</v>
      </c>
      <c r="L4516" s="1">
        <v>0</v>
      </c>
      <c r="M4516" s="1">
        <v>0</v>
      </c>
    </row>
    <row r="4517" spans="1:13">
      <c r="A4517" s="1">
        <v>4516</v>
      </c>
      <c r="B4517" s="1">
        <v>944163.41720000003</v>
      </c>
      <c r="C4517" s="1">
        <v>829756.12893317081</v>
      </c>
      <c r="D4517" s="1">
        <f t="shared" si="70"/>
        <v>114407.28826682921</v>
      </c>
      <c r="E4517" s="1">
        <v>13</v>
      </c>
      <c r="F4517" s="1">
        <v>17</v>
      </c>
      <c r="G4517" s="1">
        <v>5</v>
      </c>
      <c r="H4517" s="1">
        <v>1</v>
      </c>
      <c r="I4517" s="1">
        <v>0</v>
      </c>
      <c r="J4517" s="1">
        <v>0</v>
      </c>
      <c r="K4517" s="1">
        <v>1</v>
      </c>
      <c r="L4517" s="1">
        <v>0</v>
      </c>
      <c r="M4517" s="1">
        <v>0</v>
      </c>
    </row>
    <row r="4518" spans="1:13">
      <c r="A4518" s="1">
        <v>4517</v>
      </c>
      <c r="B4518" s="1">
        <v>1098012.1366000001</v>
      </c>
      <c r="C4518" s="1">
        <v>675766.03834726976</v>
      </c>
      <c r="D4518" s="1">
        <f t="shared" si="70"/>
        <v>422246.09825273033</v>
      </c>
      <c r="E4518" s="1">
        <v>7</v>
      </c>
      <c r="F4518" s="1">
        <v>19</v>
      </c>
      <c r="G4518" s="1">
        <v>9</v>
      </c>
      <c r="H4518" s="1">
        <v>2</v>
      </c>
      <c r="I4518" s="1">
        <v>0</v>
      </c>
      <c r="J4518" s="1">
        <v>0</v>
      </c>
      <c r="K4518" s="1">
        <v>1</v>
      </c>
      <c r="L4518" s="1">
        <v>0</v>
      </c>
      <c r="M4518" s="1">
        <v>0</v>
      </c>
    </row>
    <row r="4519" spans="1:13">
      <c r="A4519" s="1">
        <v>4518</v>
      </c>
      <c r="B4519" s="1">
        <v>907549.70120000001</v>
      </c>
      <c r="C4519" s="1">
        <v>1073642.6852671318</v>
      </c>
      <c r="D4519" s="1">
        <f t="shared" si="70"/>
        <v>-166092.98406713177</v>
      </c>
      <c r="E4519" s="1">
        <v>11</v>
      </c>
      <c r="F4519" s="1">
        <v>19</v>
      </c>
      <c r="G4519" s="1">
        <v>5</v>
      </c>
      <c r="H4519" s="1">
        <v>2</v>
      </c>
      <c r="I4519" s="1">
        <v>0</v>
      </c>
      <c r="J4519" s="1">
        <v>0</v>
      </c>
      <c r="K4519" s="1">
        <v>1</v>
      </c>
      <c r="L4519" s="1">
        <v>0</v>
      </c>
      <c r="M4519" s="1">
        <v>0</v>
      </c>
    </row>
    <row r="4520" spans="1:13">
      <c r="A4520" s="1">
        <v>4519</v>
      </c>
      <c r="B4520" s="1">
        <v>941337.6298</v>
      </c>
      <c r="C4520" s="1">
        <v>1096713.9914846318</v>
      </c>
      <c r="D4520" s="1">
        <f t="shared" si="70"/>
        <v>-155376.36168463179</v>
      </c>
      <c r="E4520" s="1">
        <v>9</v>
      </c>
      <c r="F4520" s="1">
        <v>20</v>
      </c>
      <c r="G4520" s="1">
        <v>6</v>
      </c>
      <c r="H4520" s="1">
        <v>0</v>
      </c>
      <c r="I4520" s="1">
        <v>0</v>
      </c>
      <c r="J4520" s="1">
        <v>1</v>
      </c>
      <c r="K4520" s="1">
        <v>0</v>
      </c>
      <c r="L4520" s="1">
        <v>0</v>
      </c>
      <c r="M4520" s="1">
        <v>1</v>
      </c>
    </row>
    <row r="4521" spans="1:13">
      <c r="A4521" s="1">
        <v>4520</v>
      </c>
      <c r="B4521" s="1">
        <v>1035852.6432</v>
      </c>
      <c r="C4521" s="1">
        <v>998063.84013416548</v>
      </c>
      <c r="D4521" s="1">
        <f t="shared" si="70"/>
        <v>37788.803065834567</v>
      </c>
      <c r="E4521" s="1">
        <v>12</v>
      </c>
      <c r="F4521" s="1">
        <v>17</v>
      </c>
      <c r="G4521" s="1">
        <v>6</v>
      </c>
      <c r="H4521" s="1">
        <v>0</v>
      </c>
      <c r="I4521" s="1">
        <v>0</v>
      </c>
      <c r="J4521" s="1">
        <v>0</v>
      </c>
      <c r="K4521" s="1">
        <v>0</v>
      </c>
      <c r="L4521" s="1">
        <v>0</v>
      </c>
      <c r="M4521" s="1">
        <v>0</v>
      </c>
    </row>
    <row r="4522" spans="1:13">
      <c r="A4522" s="1">
        <v>4521</v>
      </c>
      <c r="B4522" s="1">
        <v>951322.77469999995</v>
      </c>
      <c r="C4522" s="1">
        <v>802326.29345987202</v>
      </c>
      <c r="D4522" s="1">
        <f t="shared" si="70"/>
        <v>148996.48124012793</v>
      </c>
      <c r="E4522" s="1">
        <v>22</v>
      </c>
      <c r="F4522" s="1">
        <v>9</v>
      </c>
      <c r="G4522" s="1">
        <v>4</v>
      </c>
      <c r="H4522" s="1">
        <v>0</v>
      </c>
      <c r="I4522" s="1">
        <v>0</v>
      </c>
      <c r="J4522" s="1">
        <v>1</v>
      </c>
      <c r="K4522" s="1">
        <v>1</v>
      </c>
      <c r="L4522" s="1">
        <v>0</v>
      </c>
      <c r="M4522" s="1">
        <v>0</v>
      </c>
    </row>
    <row r="4523" spans="1:13">
      <c r="A4523" s="1">
        <v>4522</v>
      </c>
      <c r="B4523" s="1">
        <v>921524.2254</v>
      </c>
      <c r="C4523" s="1">
        <v>1033606.7968667579</v>
      </c>
      <c r="D4523" s="1">
        <f t="shared" si="70"/>
        <v>-112082.57146675792</v>
      </c>
      <c r="E4523" s="1">
        <v>16</v>
      </c>
      <c r="F4523" s="1">
        <v>15</v>
      </c>
      <c r="G4523" s="1">
        <v>4</v>
      </c>
      <c r="H4523" s="1">
        <v>0</v>
      </c>
      <c r="I4523" s="1">
        <v>0</v>
      </c>
      <c r="J4523" s="1">
        <v>2</v>
      </c>
      <c r="K4523" s="1">
        <v>0</v>
      </c>
      <c r="L4523" s="1">
        <v>0</v>
      </c>
      <c r="M4523" s="1">
        <v>0</v>
      </c>
    </row>
    <row r="4524" spans="1:13">
      <c r="A4524" s="1">
        <v>4523</v>
      </c>
      <c r="B4524" s="1">
        <v>946121.40879999998</v>
      </c>
      <c r="C4524" s="1">
        <v>925144.29397190246</v>
      </c>
      <c r="D4524" s="1">
        <f t="shared" si="70"/>
        <v>20977.114828097518</v>
      </c>
      <c r="E4524" s="1">
        <v>12</v>
      </c>
      <c r="F4524" s="1">
        <v>18</v>
      </c>
      <c r="G4524" s="1">
        <v>5</v>
      </c>
      <c r="H4524" s="1">
        <v>1</v>
      </c>
      <c r="I4524" s="1">
        <v>0</v>
      </c>
      <c r="J4524" s="1">
        <v>2</v>
      </c>
      <c r="K4524" s="1">
        <v>0</v>
      </c>
      <c r="L4524" s="1">
        <v>0</v>
      </c>
      <c r="M4524" s="1">
        <v>0</v>
      </c>
    </row>
    <row r="4525" spans="1:13">
      <c r="A4525" s="1">
        <v>4524</v>
      </c>
      <c r="B4525" s="1">
        <v>892896.51910000003</v>
      </c>
      <c r="C4525" s="1">
        <v>822665.16700355907</v>
      </c>
      <c r="D4525" s="1">
        <f t="shared" si="70"/>
        <v>70231.352096440969</v>
      </c>
      <c r="E4525" s="1">
        <v>21</v>
      </c>
      <c r="F4525" s="1">
        <v>11</v>
      </c>
      <c r="G4525" s="1">
        <v>3</v>
      </c>
      <c r="H4525" s="1">
        <v>1</v>
      </c>
      <c r="I4525" s="1">
        <v>0</v>
      </c>
      <c r="J4525" s="1">
        <v>0</v>
      </c>
      <c r="K4525" s="1">
        <v>1</v>
      </c>
      <c r="L4525" s="1">
        <v>0</v>
      </c>
      <c r="M4525" s="1">
        <v>0</v>
      </c>
    </row>
    <row r="4526" spans="1:13">
      <c r="A4526" s="1">
        <v>4525</v>
      </c>
      <c r="B4526" s="1">
        <v>988953.78760000004</v>
      </c>
      <c r="C4526" s="1">
        <v>621889.39564951765</v>
      </c>
      <c r="D4526" s="1">
        <f t="shared" si="70"/>
        <v>367064.39195048239</v>
      </c>
      <c r="E4526" s="1">
        <v>10</v>
      </c>
      <c r="F4526" s="1">
        <v>20</v>
      </c>
      <c r="G4526" s="1">
        <v>5</v>
      </c>
      <c r="H4526" s="1">
        <v>1</v>
      </c>
      <c r="I4526" s="1">
        <v>1</v>
      </c>
      <c r="J4526" s="1">
        <v>0</v>
      </c>
      <c r="K4526" s="1">
        <v>0</v>
      </c>
      <c r="L4526" s="1">
        <v>0</v>
      </c>
      <c r="M4526" s="1">
        <v>1</v>
      </c>
    </row>
    <row r="4527" spans="1:13">
      <c r="A4527" s="1">
        <v>4526</v>
      </c>
      <c r="B4527" s="1">
        <v>1086103.1856</v>
      </c>
      <c r="C4527" s="1">
        <v>2018700.9662376642</v>
      </c>
      <c r="D4527" s="1">
        <f t="shared" si="70"/>
        <v>-932597.78063766425</v>
      </c>
      <c r="E4527" s="1">
        <v>7</v>
      </c>
      <c r="F4527" s="1">
        <v>23</v>
      </c>
      <c r="G4527" s="1">
        <v>5</v>
      </c>
      <c r="H4527" s="1">
        <v>2</v>
      </c>
      <c r="I4527" s="1">
        <v>0</v>
      </c>
      <c r="J4527" s="1">
        <v>0</v>
      </c>
      <c r="K4527" s="1">
        <v>0</v>
      </c>
      <c r="L4527" s="1">
        <v>0</v>
      </c>
      <c r="M4527" s="1">
        <v>1</v>
      </c>
    </row>
    <row r="4528" spans="1:13">
      <c r="A4528" s="1">
        <v>4527</v>
      </c>
      <c r="B4528" s="1">
        <v>827245.49060000002</v>
      </c>
      <c r="C4528" s="1">
        <v>890094.13597844064</v>
      </c>
      <c r="D4528" s="1">
        <f t="shared" si="70"/>
        <v>-62848.645378440619</v>
      </c>
      <c r="E4528" s="1">
        <v>20</v>
      </c>
      <c r="F4528" s="1">
        <v>12</v>
      </c>
      <c r="G4528" s="1">
        <v>3</v>
      </c>
      <c r="H4528" s="1">
        <v>1</v>
      </c>
      <c r="I4528" s="1">
        <v>0</v>
      </c>
      <c r="J4528" s="1">
        <v>0</v>
      </c>
      <c r="K4528" s="1">
        <v>1</v>
      </c>
      <c r="L4528" s="1">
        <v>0</v>
      </c>
      <c r="M4528" s="1">
        <v>0</v>
      </c>
    </row>
    <row r="4529" spans="1:13">
      <c r="A4529" s="1">
        <v>4528</v>
      </c>
      <c r="B4529" s="1">
        <v>1000848.9512</v>
      </c>
      <c r="C4529" s="1">
        <v>501703.83549397881</v>
      </c>
      <c r="D4529" s="1">
        <f t="shared" si="70"/>
        <v>499145.1157060212</v>
      </c>
      <c r="E4529" s="1">
        <v>7</v>
      </c>
      <c r="F4529" s="1">
        <v>24</v>
      </c>
      <c r="G4529" s="1">
        <v>4</v>
      </c>
      <c r="H4529" s="1">
        <v>1</v>
      </c>
      <c r="I4529" s="1">
        <v>0</v>
      </c>
      <c r="J4529" s="1">
        <v>2</v>
      </c>
      <c r="K4529" s="1">
        <v>0</v>
      </c>
      <c r="L4529" s="1">
        <v>0</v>
      </c>
      <c r="M4529" s="1">
        <v>0</v>
      </c>
    </row>
    <row r="4530" spans="1:13">
      <c r="A4530" s="1">
        <v>4529</v>
      </c>
      <c r="B4530" s="1">
        <v>933878.32790000003</v>
      </c>
      <c r="C4530" s="1">
        <v>1818293.2394460505</v>
      </c>
      <c r="D4530" s="1">
        <f t="shared" si="70"/>
        <v>-884414.91154605045</v>
      </c>
      <c r="E4530" s="1">
        <v>20</v>
      </c>
      <c r="F4530" s="1">
        <v>11</v>
      </c>
      <c r="G4530" s="1">
        <v>4</v>
      </c>
      <c r="H4530" s="1">
        <v>0</v>
      </c>
      <c r="I4530" s="1">
        <v>0</v>
      </c>
      <c r="J4530" s="1">
        <v>1</v>
      </c>
      <c r="K4530" s="1">
        <v>1</v>
      </c>
      <c r="L4530" s="1">
        <v>0</v>
      </c>
      <c r="M4530" s="1">
        <v>0</v>
      </c>
    </row>
    <row r="4531" spans="1:13">
      <c r="A4531" s="1">
        <v>4530</v>
      </c>
      <c r="B4531" s="1">
        <v>961392.91370000003</v>
      </c>
      <c r="C4531" s="1">
        <v>964056.01937567885</v>
      </c>
      <c r="D4531" s="1">
        <f t="shared" si="70"/>
        <v>-2663.1056756788166</v>
      </c>
      <c r="E4531" s="1">
        <v>8</v>
      </c>
      <c r="F4531" s="1">
        <v>21</v>
      </c>
      <c r="G4531" s="1">
        <v>6</v>
      </c>
      <c r="H4531" s="1">
        <v>0</v>
      </c>
      <c r="I4531" s="1">
        <v>0</v>
      </c>
      <c r="J4531" s="1">
        <v>0</v>
      </c>
      <c r="K4531" s="1">
        <v>1</v>
      </c>
      <c r="L4531" s="1">
        <v>0</v>
      </c>
      <c r="M4531" s="1">
        <v>1</v>
      </c>
    </row>
    <row r="4532" spans="1:13">
      <c r="A4532" s="1">
        <v>4531</v>
      </c>
      <c r="B4532" s="1">
        <v>939317.8602</v>
      </c>
      <c r="C4532" s="1">
        <v>855092.80002611422</v>
      </c>
      <c r="D4532" s="1">
        <f t="shared" si="70"/>
        <v>84225.06017388578</v>
      </c>
      <c r="E4532" s="1">
        <v>16</v>
      </c>
      <c r="F4532" s="1">
        <v>11</v>
      </c>
      <c r="G4532" s="1">
        <v>8</v>
      </c>
      <c r="H4532" s="1">
        <v>2</v>
      </c>
      <c r="I4532" s="1">
        <v>0</v>
      </c>
      <c r="J4532" s="1">
        <v>0</v>
      </c>
      <c r="K4532" s="1">
        <v>1</v>
      </c>
      <c r="L4532" s="1">
        <v>0</v>
      </c>
      <c r="M4532" s="1">
        <v>1</v>
      </c>
    </row>
    <row r="4533" spans="1:13">
      <c r="A4533" s="1">
        <v>4532</v>
      </c>
      <c r="B4533" s="1">
        <v>825764.43180000002</v>
      </c>
      <c r="C4533" s="1">
        <v>900799.93860875745</v>
      </c>
      <c r="D4533" s="1">
        <f t="shared" si="70"/>
        <v>-75035.506808757433</v>
      </c>
      <c r="E4533" s="1">
        <v>18</v>
      </c>
      <c r="F4533" s="1">
        <v>13</v>
      </c>
      <c r="G4533" s="1">
        <v>4</v>
      </c>
      <c r="H4533" s="1">
        <v>2</v>
      </c>
      <c r="I4533" s="1">
        <v>0</v>
      </c>
      <c r="J4533" s="1">
        <v>1</v>
      </c>
      <c r="K4533" s="1">
        <v>0</v>
      </c>
      <c r="L4533" s="1">
        <v>0</v>
      </c>
      <c r="M4533" s="1">
        <v>1</v>
      </c>
    </row>
    <row r="4534" spans="1:13">
      <c r="A4534" s="1">
        <v>4533</v>
      </c>
      <c r="B4534" s="1">
        <v>1017126.0945</v>
      </c>
      <c r="C4534" s="1">
        <v>641252.42118055269</v>
      </c>
      <c r="D4534" s="1">
        <f t="shared" si="70"/>
        <v>375873.67331944732</v>
      </c>
      <c r="E4534" s="1">
        <v>13</v>
      </c>
      <c r="F4534" s="1">
        <v>16</v>
      </c>
      <c r="G4534" s="1">
        <v>6</v>
      </c>
      <c r="H4534" s="1">
        <v>1</v>
      </c>
      <c r="I4534" s="1">
        <v>0</v>
      </c>
      <c r="J4534" s="1">
        <v>0</v>
      </c>
      <c r="K4534" s="1">
        <v>2</v>
      </c>
      <c r="L4534" s="1">
        <v>0</v>
      </c>
      <c r="M4534" s="1">
        <v>0</v>
      </c>
    </row>
    <row r="4535" spans="1:13">
      <c r="A4535" s="1">
        <v>4534</v>
      </c>
      <c r="B4535" s="1">
        <v>866074.48629999999</v>
      </c>
      <c r="C4535" s="1">
        <v>558244.59931832156</v>
      </c>
      <c r="D4535" s="1">
        <f t="shared" si="70"/>
        <v>307829.88698167843</v>
      </c>
      <c r="E4535" s="1">
        <v>10</v>
      </c>
      <c r="F4535" s="1">
        <v>19</v>
      </c>
      <c r="G4535" s="1">
        <v>6</v>
      </c>
      <c r="H4535" s="1">
        <v>1</v>
      </c>
      <c r="I4535" s="1">
        <v>0</v>
      </c>
      <c r="J4535" s="1">
        <v>0</v>
      </c>
      <c r="K4535" s="1">
        <v>1</v>
      </c>
      <c r="L4535" s="1">
        <v>0</v>
      </c>
      <c r="M4535" s="1">
        <v>1</v>
      </c>
    </row>
    <row r="4536" spans="1:13">
      <c r="A4536" s="1">
        <v>4535</v>
      </c>
      <c r="B4536" s="1">
        <v>880744.57400000002</v>
      </c>
      <c r="C4536" s="1">
        <v>1425522.4374916242</v>
      </c>
      <c r="D4536" s="1">
        <f t="shared" si="70"/>
        <v>-544777.86349162413</v>
      </c>
      <c r="E4536" s="1">
        <v>17</v>
      </c>
      <c r="F4536" s="1">
        <v>12</v>
      </c>
      <c r="G4536" s="1">
        <v>6</v>
      </c>
      <c r="H4536" s="1">
        <v>1</v>
      </c>
      <c r="I4536" s="1">
        <v>0</v>
      </c>
      <c r="J4536" s="1">
        <v>1</v>
      </c>
      <c r="K4536" s="1">
        <v>0</v>
      </c>
      <c r="L4536" s="1">
        <v>0</v>
      </c>
      <c r="M4536" s="1">
        <v>1</v>
      </c>
    </row>
    <row r="4537" spans="1:13">
      <c r="A4537" s="1">
        <v>4536</v>
      </c>
      <c r="B4537" s="1">
        <v>861516.39390000002</v>
      </c>
      <c r="C4537" s="1">
        <v>898129.61415555712</v>
      </c>
      <c r="D4537" s="1">
        <f t="shared" si="70"/>
        <v>-36613.220255557098</v>
      </c>
      <c r="E4537" s="1">
        <v>19</v>
      </c>
      <c r="F4537" s="1">
        <v>8</v>
      </c>
      <c r="G4537" s="1">
        <v>8</v>
      </c>
      <c r="H4537" s="1">
        <v>1</v>
      </c>
      <c r="I4537" s="1">
        <v>0</v>
      </c>
      <c r="J4537" s="1">
        <v>1</v>
      </c>
      <c r="K4537" s="1">
        <v>1</v>
      </c>
      <c r="L4537" s="1">
        <v>0</v>
      </c>
      <c r="M4537" s="1">
        <v>1</v>
      </c>
    </row>
    <row r="4538" spans="1:13">
      <c r="A4538" s="1">
        <v>4537</v>
      </c>
      <c r="B4538" s="1">
        <v>861352.53529999999</v>
      </c>
      <c r="C4538" s="1">
        <v>520338.12035593775</v>
      </c>
      <c r="D4538" s="1">
        <f t="shared" si="70"/>
        <v>341014.41494406224</v>
      </c>
      <c r="E4538" s="1">
        <v>23</v>
      </c>
      <c r="F4538" s="1">
        <v>8</v>
      </c>
      <c r="G4538" s="1">
        <v>4</v>
      </c>
      <c r="H4538" s="1">
        <v>0</v>
      </c>
      <c r="I4538" s="1">
        <v>1</v>
      </c>
      <c r="J4538" s="1">
        <v>0</v>
      </c>
      <c r="K4538" s="1">
        <v>1</v>
      </c>
      <c r="L4538" s="1">
        <v>0</v>
      </c>
      <c r="M4538" s="1">
        <v>0</v>
      </c>
    </row>
    <row r="4539" spans="1:13">
      <c r="A4539" s="1">
        <v>4538</v>
      </c>
      <c r="B4539" s="1">
        <v>998140.80359999998</v>
      </c>
      <c r="C4539" s="1">
        <v>1061846.3051998569</v>
      </c>
      <c r="D4539" s="1">
        <f t="shared" si="70"/>
        <v>-63705.501599856885</v>
      </c>
      <c r="E4539" s="1">
        <v>15</v>
      </c>
      <c r="F4539" s="1">
        <v>17</v>
      </c>
      <c r="G4539" s="1">
        <v>3</v>
      </c>
      <c r="H4539" s="1">
        <v>1</v>
      </c>
      <c r="I4539" s="1">
        <v>0</v>
      </c>
      <c r="J4539" s="1">
        <v>0</v>
      </c>
      <c r="K4539" s="1">
        <v>0</v>
      </c>
      <c r="L4539" s="1">
        <v>0</v>
      </c>
      <c r="M4539" s="1">
        <v>0</v>
      </c>
    </row>
    <row r="4540" spans="1:13">
      <c r="A4540" s="1">
        <v>4539</v>
      </c>
      <c r="B4540" s="1">
        <v>907475.48860000004</v>
      </c>
      <c r="C4540" s="1">
        <v>3075553.0303072562</v>
      </c>
      <c r="D4540" s="1">
        <f t="shared" si="70"/>
        <v>-2168077.5417072559</v>
      </c>
      <c r="E4540" s="1">
        <v>13</v>
      </c>
      <c r="F4540" s="1">
        <v>17</v>
      </c>
      <c r="G4540" s="1">
        <v>5</v>
      </c>
      <c r="H4540" s="1">
        <v>2</v>
      </c>
      <c r="I4540" s="1">
        <v>0</v>
      </c>
      <c r="J4540" s="1">
        <v>1</v>
      </c>
      <c r="K4540" s="1">
        <v>1</v>
      </c>
      <c r="L4540" s="1">
        <v>0</v>
      </c>
      <c r="M4540" s="1">
        <v>0</v>
      </c>
    </row>
    <row r="4541" spans="1:13">
      <c r="A4541" s="1">
        <v>4540</v>
      </c>
      <c r="B4541" s="1">
        <v>895827.34149999998</v>
      </c>
      <c r="C4541" s="1">
        <v>1201071.979654511</v>
      </c>
      <c r="D4541" s="1">
        <f t="shared" si="70"/>
        <v>-305244.63815451099</v>
      </c>
      <c r="E4541" s="1">
        <v>16</v>
      </c>
      <c r="F4541" s="1">
        <v>16</v>
      </c>
      <c r="G4541" s="1">
        <v>3</v>
      </c>
      <c r="H4541" s="1">
        <v>0</v>
      </c>
      <c r="I4541" s="1">
        <v>0</v>
      </c>
      <c r="J4541" s="1">
        <v>1</v>
      </c>
      <c r="K4541" s="1">
        <v>0</v>
      </c>
      <c r="L4541" s="1">
        <v>0</v>
      </c>
      <c r="M4541" s="1">
        <v>0</v>
      </c>
    </row>
    <row r="4542" spans="1:13">
      <c r="A4542" s="1">
        <v>4541</v>
      </c>
      <c r="B4542" s="1">
        <v>995752.37340000004</v>
      </c>
      <c r="C4542" s="1">
        <v>708809.66759352502</v>
      </c>
      <c r="D4542" s="1">
        <f t="shared" si="70"/>
        <v>286942.70580647502</v>
      </c>
      <c r="E4542" s="1">
        <v>8</v>
      </c>
      <c r="F4542" s="1">
        <v>20</v>
      </c>
      <c r="G4542" s="1">
        <v>7</v>
      </c>
      <c r="H4542" s="1">
        <v>2</v>
      </c>
      <c r="I4542" s="1">
        <v>0</v>
      </c>
      <c r="J4542" s="1">
        <v>0</v>
      </c>
      <c r="K4542" s="1">
        <v>1</v>
      </c>
      <c r="L4542" s="1">
        <v>0</v>
      </c>
      <c r="M4542" s="1">
        <v>0</v>
      </c>
    </row>
    <row r="4543" spans="1:13">
      <c r="A4543" s="1">
        <v>4542</v>
      </c>
      <c r="B4543" s="1">
        <v>877820.44770000002</v>
      </c>
      <c r="C4543" s="1">
        <v>713205.11177310906</v>
      </c>
      <c r="D4543" s="1">
        <f t="shared" si="70"/>
        <v>164615.33592689096</v>
      </c>
      <c r="E4543" s="1">
        <v>1</v>
      </c>
      <c r="F4543" s="1">
        <v>28</v>
      </c>
      <c r="G4543" s="1">
        <v>6</v>
      </c>
      <c r="H4543" s="1">
        <v>2</v>
      </c>
      <c r="I4543" s="1">
        <v>0</v>
      </c>
      <c r="J4543" s="1">
        <v>0</v>
      </c>
      <c r="K4543" s="1">
        <v>0</v>
      </c>
      <c r="L4543" s="1">
        <v>0</v>
      </c>
      <c r="M4543" s="1">
        <v>0</v>
      </c>
    </row>
    <row r="4544" spans="1:13">
      <c r="A4544" s="1">
        <v>4543</v>
      </c>
      <c r="B4544" s="1">
        <v>981874.19010000001</v>
      </c>
      <c r="C4544" s="1">
        <v>597798.87333232199</v>
      </c>
      <c r="D4544" s="1">
        <f t="shared" si="70"/>
        <v>384075.31676767801</v>
      </c>
      <c r="E4544" s="1">
        <v>9</v>
      </c>
      <c r="F4544" s="1">
        <v>18</v>
      </c>
      <c r="G4544" s="1">
        <v>8</v>
      </c>
      <c r="H4544" s="1">
        <v>0</v>
      </c>
      <c r="I4544" s="1">
        <v>1</v>
      </c>
      <c r="J4544" s="1">
        <v>1</v>
      </c>
      <c r="K4544" s="1">
        <v>1</v>
      </c>
      <c r="L4544" s="1">
        <v>0</v>
      </c>
      <c r="M4544" s="1">
        <v>0</v>
      </c>
    </row>
    <row r="4545" spans="1:13">
      <c r="A4545" s="1">
        <v>4544</v>
      </c>
      <c r="B4545" s="1">
        <v>900444.95330000005</v>
      </c>
      <c r="C4545" s="1">
        <v>763023.88141407038</v>
      </c>
      <c r="D4545" s="1">
        <f t="shared" si="70"/>
        <v>137421.07188592968</v>
      </c>
      <c r="E4545" s="1">
        <v>17</v>
      </c>
      <c r="F4545" s="1">
        <v>11</v>
      </c>
      <c r="G4545" s="1">
        <v>7</v>
      </c>
      <c r="H4545" s="1">
        <v>0</v>
      </c>
      <c r="I4545" s="1">
        <v>0</v>
      </c>
      <c r="J4545" s="1">
        <v>0</v>
      </c>
      <c r="K4545" s="1">
        <v>1</v>
      </c>
      <c r="L4545" s="1">
        <v>0</v>
      </c>
      <c r="M4545" s="1">
        <v>0</v>
      </c>
    </row>
    <row r="4546" spans="1:13">
      <c r="A4546" s="1">
        <v>4545</v>
      </c>
      <c r="B4546" s="1">
        <v>971413.30079999997</v>
      </c>
      <c r="C4546" s="1">
        <v>716765.72949994542</v>
      </c>
      <c r="D4546" s="1">
        <f t="shared" ref="D4546:D4609" si="71">B4546-C4546</f>
        <v>254647.57130005455</v>
      </c>
      <c r="E4546" s="1">
        <v>12</v>
      </c>
      <c r="F4546" s="1">
        <v>20</v>
      </c>
      <c r="G4546" s="1">
        <v>3</v>
      </c>
      <c r="H4546" s="1">
        <v>1</v>
      </c>
      <c r="I4546" s="1">
        <v>0</v>
      </c>
      <c r="J4546" s="1">
        <v>1</v>
      </c>
      <c r="K4546" s="1">
        <v>1</v>
      </c>
      <c r="L4546" s="1">
        <v>0</v>
      </c>
      <c r="M4546" s="1">
        <v>0</v>
      </c>
    </row>
    <row r="4547" spans="1:13">
      <c r="A4547" s="1">
        <v>4546</v>
      </c>
      <c r="B4547" s="1">
        <v>822296.48589999997</v>
      </c>
      <c r="C4547" s="1">
        <v>701683.09551084379</v>
      </c>
      <c r="D4547" s="1">
        <f t="shared" si="71"/>
        <v>120613.39038915618</v>
      </c>
      <c r="E4547" s="1">
        <v>13</v>
      </c>
      <c r="F4547" s="1">
        <v>18</v>
      </c>
      <c r="G4547" s="1">
        <v>4</v>
      </c>
      <c r="H4547" s="1">
        <v>2</v>
      </c>
      <c r="I4547" s="1">
        <v>0</v>
      </c>
      <c r="J4547" s="1">
        <v>0</v>
      </c>
      <c r="K4547" s="1">
        <v>0</v>
      </c>
      <c r="L4547" s="1">
        <v>0</v>
      </c>
      <c r="M4547" s="1">
        <v>1</v>
      </c>
    </row>
    <row r="4548" spans="1:13">
      <c r="A4548" s="1">
        <v>4547</v>
      </c>
      <c r="B4548" s="1">
        <v>927757.0111</v>
      </c>
      <c r="C4548" s="1">
        <v>600877.41252439911</v>
      </c>
      <c r="D4548" s="1">
        <f t="shared" si="71"/>
        <v>326879.59857560089</v>
      </c>
      <c r="E4548" s="1">
        <v>18</v>
      </c>
      <c r="F4548" s="1">
        <v>13</v>
      </c>
      <c r="G4548" s="1">
        <v>4</v>
      </c>
      <c r="H4548" s="1">
        <v>0</v>
      </c>
      <c r="I4548" s="1">
        <v>1</v>
      </c>
      <c r="J4548" s="1">
        <v>0</v>
      </c>
      <c r="K4548" s="1">
        <v>0</v>
      </c>
      <c r="L4548" s="1">
        <v>0</v>
      </c>
      <c r="M4548" s="1">
        <v>1</v>
      </c>
    </row>
    <row r="4549" spans="1:13">
      <c r="A4549" s="1">
        <v>4548</v>
      </c>
      <c r="B4549" s="1">
        <v>1040460.2564</v>
      </c>
      <c r="C4549" s="1">
        <v>1987445.1408832839</v>
      </c>
      <c r="D4549" s="1">
        <f t="shared" si="71"/>
        <v>-946984.88448328397</v>
      </c>
      <c r="E4549" s="1">
        <v>10</v>
      </c>
      <c r="F4549" s="1">
        <v>18</v>
      </c>
      <c r="G4549" s="1">
        <v>7</v>
      </c>
      <c r="H4549" s="1">
        <v>1</v>
      </c>
      <c r="I4549" s="1">
        <v>0</v>
      </c>
      <c r="J4549" s="1">
        <v>1</v>
      </c>
      <c r="K4549" s="1">
        <v>1</v>
      </c>
      <c r="L4549" s="1">
        <v>0</v>
      </c>
      <c r="M4549" s="1">
        <v>0</v>
      </c>
    </row>
    <row r="4550" spans="1:13">
      <c r="A4550" s="1">
        <v>4549</v>
      </c>
      <c r="B4550" s="1">
        <v>1054867.3547</v>
      </c>
      <c r="C4550" s="1">
        <v>845838.65490173094</v>
      </c>
      <c r="D4550" s="1">
        <f t="shared" si="71"/>
        <v>209028.69979826908</v>
      </c>
      <c r="E4550" s="1">
        <v>7</v>
      </c>
      <c r="F4550" s="1">
        <v>22</v>
      </c>
      <c r="G4550" s="1">
        <v>6</v>
      </c>
      <c r="H4550" s="1">
        <v>0</v>
      </c>
      <c r="I4550" s="1">
        <v>0</v>
      </c>
      <c r="J4550" s="1">
        <v>0</v>
      </c>
      <c r="K4550" s="1">
        <v>1</v>
      </c>
      <c r="L4550" s="1">
        <v>0</v>
      </c>
      <c r="M4550" s="1">
        <v>0</v>
      </c>
    </row>
    <row r="4551" spans="1:13">
      <c r="A4551" s="1">
        <v>4550</v>
      </c>
      <c r="B4551" s="1">
        <v>881147.58510000003</v>
      </c>
      <c r="C4551" s="1">
        <v>636167.52414686128</v>
      </c>
      <c r="D4551" s="1">
        <f t="shared" si="71"/>
        <v>244980.06095313875</v>
      </c>
      <c r="E4551" s="1">
        <v>14</v>
      </c>
      <c r="F4551" s="1">
        <v>15</v>
      </c>
      <c r="G4551" s="1">
        <v>6</v>
      </c>
      <c r="H4551" s="1">
        <v>0</v>
      </c>
      <c r="I4551" s="1">
        <v>1</v>
      </c>
      <c r="J4551" s="1">
        <v>1</v>
      </c>
      <c r="K4551" s="1">
        <v>0</v>
      </c>
      <c r="L4551" s="1">
        <v>0</v>
      </c>
      <c r="M4551" s="1">
        <v>0</v>
      </c>
    </row>
    <row r="4552" spans="1:13">
      <c r="A4552" s="1">
        <v>4551</v>
      </c>
      <c r="B4552" s="1">
        <v>870338.74750000006</v>
      </c>
      <c r="C4552" s="1">
        <v>811198.44473081606</v>
      </c>
      <c r="D4552" s="1">
        <f t="shared" si="71"/>
        <v>59140.302769183996</v>
      </c>
      <c r="E4552" s="1">
        <v>15</v>
      </c>
      <c r="F4552" s="1">
        <v>15</v>
      </c>
      <c r="G4552" s="1">
        <v>5</v>
      </c>
      <c r="H4552" s="1">
        <v>0</v>
      </c>
      <c r="I4552" s="1">
        <v>0</v>
      </c>
      <c r="J4552" s="1">
        <v>0</v>
      </c>
      <c r="K4552" s="1">
        <v>1</v>
      </c>
      <c r="L4552" s="1">
        <v>0</v>
      </c>
      <c r="M4552" s="1">
        <v>1</v>
      </c>
    </row>
    <row r="4553" spans="1:13">
      <c r="A4553" s="1">
        <v>4552</v>
      </c>
      <c r="B4553" s="1">
        <v>878334.53060000006</v>
      </c>
      <c r="C4553" s="1">
        <v>1205733.962457641</v>
      </c>
      <c r="D4553" s="1">
        <f t="shared" si="71"/>
        <v>-327399.43185764097</v>
      </c>
      <c r="E4553" s="1">
        <v>20</v>
      </c>
      <c r="F4553" s="1">
        <v>15</v>
      </c>
      <c r="G4553" s="1">
        <v>0</v>
      </c>
      <c r="H4553" s="1">
        <v>1</v>
      </c>
      <c r="I4553" s="1">
        <v>0</v>
      </c>
      <c r="J4553" s="1">
        <v>1</v>
      </c>
      <c r="K4553" s="1">
        <v>0</v>
      </c>
      <c r="L4553" s="1">
        <v>0</v>
      </c>
      <c r="M4553" s="1">
        <v>1</v>
      </c>
    </row>
    <row r="4554" spans="1:13">
      <c r="A4554" s="1">
        <v>4553</v>
      </c>
      <c r="B4554" s="1">
        <v>870572.15590000001</v>
      </c>
      <c r="C4554" s="1">
        <v>1511895.1472948319</v>
      </c>
      <c r="D4554" s="1">
        <f t="shared" si="71"/>
        <v>-641322.99139483192</v>
      </c>
      <c r="E4554" s="1">
        <v>24</v>
      </c>
      <c r="F4554" s="1">
        <v>7</v>
      </c>
      <c r="G4554" s="1">
        <v>4</v>
      </c>
      <c r="H4554" s="1">
        <v>1</v>
      </c>
      <c r="I4554" s="1">
        <v>0</v>
      </c>
      <c r="J4554" s="1">
        <v>0</v>
      </c>
      <c r="K4554" s="1">
        <v>0</v>
      </c>
      <c r="L4554" s="1">
        <v>1</v>
      </c>
      <c r="M4554" s="1">
        <v>1</v>
      </c>
    </row>
    <row r="4555" spans="1:13">
      <c r="A4555" s="1">
        <v>4554</v>
      </c>
      <c r="B4555" s="1">
        <v>889631.35519999999</v>
      </c>
      <c r="C4555" s="1">
        <v>625690.35650959669</v>
      </c>
      <c r="D4555" s="1">
        <f t="shared" si="71"/>
        <v>263940.9986904033</v>
      </c>
      <c r="E4555" s="1">
        <v>12</v>
      </c>
      <c r="F4555" s="1">
        <v>18</v>
      </c>
      <c r="G4555" s="1">
        <v>5</v>
      </c>
      <c r="H4555" s="1">
        <v>0</v>
      </c>
      <c r="I4555" s="1">
        <v>1</v>
      </c>
      <c r="J4555" s="1">
        <v>0</v>
      </c>
      <c r="K4555" s="1">
        <v>1</v>
      </c>
      <c r="L4555" s="1">
        <v>0</v>
      </c>
      <c r="M4555" s="1">
        <v>0</v>
      </c>
    </row>
    <row r="4556" spans="1:13">
      <c r="A4556" s="1">
        <v>4555</v>
      </c>
      <c r="B4556" s="1">
        <v>959393.41689999995</v>
      </c>
      <c r="C4556" s="1">
        <v>937914.77254854282</v>
      </c>
      <c r="D4556" s="1">
        <f t="shared" si="71"/>
        <v>21478.644351457129</v>
      </c>
      <c r="E4556" s="1">
        <v>4</v>
      </c>
      <c r="F4556" s="1">
        <v>28</v>
      </c>
      <c r="G4556" s="1">
        <v>3</v>
      </c>
      <c r="H4556" s="1">
        <v>0</v>
      </c>
      <c r="I4556" s="1">
        <v>0</v>
      </c>
      <c r="J4556" s="1">
        <v>0</v>
      </c>
      <c r="K4556" s="1">
        <v>1</v>
      </c>
      <c r="L4556" s="1">
        <v>0</v>
      </c>
      <c r="M4556" s="1">
        <v>1</v>
      </c>
    </row>
    <row r="4557" spans="1:13">
      <c r="A4557" s="1">
        <v>4556</v>
      </c>
      <c r="B4557" s="1">
        <v>989567.11239999998</v>
      </c>
      <c r="C4557" s="1">
        <v>889157.86677744787</v>
      </c>
      <c r="D4557" s="1">
        <f t="shared" si="71"/>
        <v>100409.24562255212</v>
      </c>
      <c r="E4557" s="1">
        <v>14</v>
      </c>
      <c r="F4557" s="1">
        <v>16</v>
      </c>
      <c r="G4557" s="1">
        <v>5</v>
      </c>
      <c r="H4557" s="1">
        <v>1</v>
      </c>
      <c r="I4557" s="1">
        <v>1</v>
      </c>
      <c r="J4557" s="1">
        <v>0</v>
      </c>
      <c r="K4557" s="1">
        <v>0</v>
      </c>
      <c r="L4557" s="1">
        <v>0</v>
      </c>
      <c r="M4557" s="1">
        <v>0</v>
      </c>
    </row>
    <row r="4558" spans="1:13">
      <c r="A4558" s="1">
        <v>4557</v>
      </c>
      <c r="B4558" s="1">
        <v>916223.79280000005</v>
      </c>
      <c r="C4558" s="1">
        <v>788682.9556814509</v>
      </c>
      <c r="D4558" s="1">
        <f t="shared" si="71"/>
        <v>127540.83711854916</v>
      </c>
      <c r="E4558" s="1">
        <v>18</v>
      </c>
      <c r="F4558" s="1">
        <v>13</v>
      </c>
      <c r="G4558" s="1">
        <v>4</v>
      </c>
      <c r="H4558" s="1">
        <v>2</v>
      </c>
      <c r="I4558" s="1">
        <v>0</v>
      </c>
      <c r="J4558" s="1">
        <v>0</v>
      </c>
      <c r="K4558" s="1">
        <v>1</v>
      </c>
      <c r="L4558" s="1">
        <v>0</v>
      </c>
      <c r="M4558" s="1">
        <v>0</v>
      </c>
    </row>
    <row r="4559" spans="1:13">
      <c r="A4559" s="1">
        <v>4558</v>
      </c>
      <c r="B4559" s="1">
        <v>807383.46669999999</v>
      </c>
      <c r="C4559" s="1">
        <v>1155543.7913179237</v>
      </c>
      <c r="D4559" s="1">
        <f t="shared" si="71"/>
        <v>-348160.3246179237</v>
      </c>
      <c r="E4559" s="1">
        <v>19</v>
      </c>
      <c r="F4559" s="1">
        <v>11</v>
      </c>
      <c r="G4559" s="1">
        <v>5</v>
      </c>
      <c r="H4559" s="1">
        <v>2</v>
      </c>
      <c r="I4559" s="1">
        <v>0</v>
      </c>
      <c r="J4559" s="1">
        <v>0</v>
      </c>
      <c r="K4559" s="1">
        <v>0</v>
      </c>
      <c r="L4559" s="1">
        <v>0</v>
      </c>
      <c r="M4559" s="1">
        <v>1</v>
      </c>
    </row>
    <row r="4560" spans="1:13">
      <c r="A4560" s="1">
        <v>4559</v>
      </c>
      <c r="B4560" s="1">
        <v>1021563.6609</v>
      </c>
      <c r="C4560" s="1">
        <v>748648.38412073988</v>
      </c>
      <c r="D4560" s="1">
        <f t="shared" si="71"/>
        <v>272915.27677926014</v>
      </c>
      <c r="E4560" s="1">
        <v>10</v>
      </c>
      <c r="F4560" s="1">
        <v>17</v>
      </c>
      <c r="G4560" s="1">
        <v>8</v>
      </c>
      <c r="H4560" s="1">
        <v>1</v>
      </c>
      <c r="I4560" s="1">
        <v>1</v>
      </c>
      <c r="J4560" s="1">
        <v>1</v>
      </c>
      <c r="K4560" s="1">
        <v>1</v>
      </c>
      <c r="L4560" s="1">
        <v>0</v>
      </c>
      <c r="M4560" s="1">
        <v>0</v>
      </c>
    </row>
    <row r="4561" spans="1:13">
      <c r="A4561" s="1">
        <v>4560</v>
      </c>
      <c r="B4561" s="1">
        <v>960648.51340000005</v>
      </c>
      <c r="C4561" s="1">
        <v>1251972.1402103701</v>
      </c>
      <c r="D4561" s="1">
        <f t="shared" si="71"/>
        <v>-291323.62681037001</v>
      </c>
      <c r="E4561" s="1">
        <v>9</v>
      </c>
      <c r="F4561" s="1">
        <v>22</v>
      </c>
      <c r="G4561" s="1">
        <v>4</v>
      </c>
      <c r="H4561" s="1">
        <v>0</v>
      </c>
      <c r="I4561" s="1">
        <v>0</v>
      </c>
      <c r="J4561" s="1">
        <v>2</v>
      </c>
      <c r="K4561" s="1">
        <v>0</v>
      </c>
      <c r="L4561" s="1">
        <v>0</v>
      </c>
      <c r="M4561" s="1">
        <v>0</v>
      </c>
    </row>
    <row r="4562" spans="1:13">
      <c r="A4562" s="1">
        <v>4561</v>
      </c>
      <c r="B4562" s="1">
        <v>852863.02350000001</v>
      </c>
      <c r="C4562" s="1">
        <v>614188.14726104448</v>
      </c>
      <c r="D4562" s="1">
        <f t="shared" si="71"/>
        <v>238674.87623895553</v>
      </c>
      <c r="E4562" s="1">
        <v>13</v>
      </c>
      <c r="F4562" s="1">
        <v>18</v>
      </c>
      <c r="G4562" s="1">
        <v>4</v>
      </c>
      <c r="H4562" s="1">
        <v>1</v>
      </c>
      <c r="I4562" s="1">
        <v>0</v>
      </c>
      <c r="J4562" s="1">
        <v>2</v>
      </c>
      <c r="K4562" s="1">
        <v>0</v>
      </c>
      <c r="L4562" s="1">
        <v>0</v>
      </c>
      <c r="M4562" s="1">
        <v>0</v>
      </c>
    </row>
    <row r="4563" spans="1:13">
      <c r="A4563" s="1">
        <v>4562</v>
      </c>
      <c r="B4563" s="1">
        <v>1005773.0045</v>
      </c>
      <c r="C4563" s="1">
        <v>1278485.6726992652</v>
      </c>
      <c r="D4563" s="1">
        <f t="shared" si="71"/>
        <v>-272712.66819926514</v>
      </c>
      <c r="E4563" s="1">
        <v>18</v>
      </c>
      <c r="F4563" s="1">
        <v>13</v>
      </c>
      <c r="G4563" s="1">
        <v>4</v>
      </c>
      <c r="H4563" s="1">
        <v>0</v>
      </c>
      <c r="I4563" s="1">
        <v>0</v>
      </c>
      <c r="J4563" s="1">
        <v>0</v>
      </c>
      <c r="K4563" s="1">
        <v>0</v>
      </c>
      <c r="L4563" s="1">
        <v>0</v>
      </c>
      <c r="M4563" s="1">
        <v>1</v>
      </c>
    </row>
    <row r="4564" spans="1:13">
      <c r="A4564" s="1">
        <v>4563</v>
      </c>
      <c r="B4564" s="1">
        <v>943594.48289999994</v>
      </c>
      <c r="C4564" s="1">
        <v>586744.92529128632</v>
      </c>
      <c r="D4564" s="1">
        <f t="shared" si="71"/>
        <v>356849.55760871363</v>
      </c>
      <c r="E4564" s="1">
        <v>13</v>
      </c>
      <c r="F4564" s="1">
        <v>16</v>
      </c>
      <c r="G4564" s="1">
        <v>6</v>
      </c>
      <c r="H4564" s="1">
        <v>0</v>
      </c>
      <c r="I4564" s="1">
        <v>0</v>
      </c>
      <c r="J4564" s="1">
        <v>1</v>
      </c>
      <c r="K4564" s="1">
        <v>0</v>
      </c>
      <c r="L4564" s="1">
        <v>0</v>
      </c>
      <c r="M4564" s="1">
        <v>0</v>
      </c>
    </row>
    <row r="4565" spans="1:13">
      <c r="A4565" s="1">
        <v>4564</v>
      </c>
      <c r="B4565" s="1">
        <v>874424.58490000002</v>
      </c>
      <c r="C4565" s="1">
        <v>784944.40271527413</v>
      </c>
      <c r="D4565" s="1">
        <f t="shared" si="71"/>
        <v>89480.182184725883</v>
      </c>
      <c r="E4565" s="1">
        <v>28</v>
      </c>
      <c r="F4565" s="1">
        <v>4</v>
      </c>
      <c r="G4565" s="1">
        <v>3</v>
      </c>
      <c r="H4565" s="1">
        <v>1</v>
      </c>
      <c r="I4565" s="1">
        <v>0</v>
      </c>
      <c r="J4565" s="1">
        <v>0</v>
      </c>
      <c r="K4565" s="1">
        <v>0</v>
      </c>
      <c r="L4565" s="1">
        <v>0</v>
      </c>
      <c r="M4565" s="1">
        <v>0</v>
      </c>
    </row>
    <row r="4566" spans="1:13">
      <c r="A4566" s="1">
        <v>4565</v>
      </c>
      <c r="B4566" s="1">
        <v>983563.36259999999</v>
      </c>
      <c r="C4566" s="1">
        <v>1266702.0770416011</v>
      </c>
      <c r="D4566" s="1">
        <f t="shared" si="71"/>
        <v>-283138.71444160107</v>
      </c>
      <c r="E4566" s="1">
        <v>12</v>
      </c>
      <c r="F4566" s="1">
        <v>19</v>
      </c>
      <c r="G4566" s="1">
        <v>4</v>
      </c>
      <c r="H4566" s="1">
        <v>2</v>
      </c>
      <c r="I4566" s="1">
        <v>0</v>
      </c>
      <c r="J4566" s="1">
        <v>1</v>
      </c>
      <c r="K4566" s="1">
        <v>0</v>
      </c>
      <c r="L4566" s="1">
        <v>0</v>
      </c>
      <c r="M4566" s="1">
        <v>0</v>
      </c>
    </row>
    <row r="4567" spans="1:13">
      <c r="A4567" s="1">
        <v>4566</v>
      </c>
      <c r="B4567" s="1">
        <v>937002.75859999994</v>
      </c>
      <c r="C4567" s="1">
        <v>916733.45302851836</v>
      </c>
      <c r="D4567" s="1">
        <f t="shared" si="71"/>
        <v>20269.305571481586</v>
      </c>
      <c r="E4567" s="1">
        <v>10</v>
      </c>
      <c r="F4567" s="1">
        <v>20</v>
      </c>
      <c r="G4567" s="1">
        <v>5</v>
      </c>
      <c r="H4567" s="1">
        <v>0</v>
      </c>
      <c r="I4567" s="1">
        <v>0</v>
      </c>
      <c r="J4567" s="1">
        <v>0</v>
      </c>
      <c r="K4567" s="1">
        <v>1</v>
      </c>
      <c r="L4567" s="1">
        <v>0</v>
      </c>
      <c r="M4567" s="1">
        <v>1</v>
      </c>
    </row>
    <row r="4568" spans="1:13">
      <c r="A4568" s="1">
        <v>4567</v>
      </c>
      <c r="B4568" s="1">
        <v>882007.70299999998</v>
      </c>
      <c r="C4568" s="1">
        <v>908970.67316515383</v>
      </c>
      <c r="D4568" s="1">
        <f t="shared" si="71"/>
        <v>-26962.970165153849</v>
      </c>
      <c r="E4568" s="1">
        <v>19</v>
      </c>
      <c r="F4568" s="1">
        <v>12</v>
      </c>
      <c r="G4568" s="1">
        <v>4</v>
      </c>
      <c r="H4568" s="1">
        <v>0</v>
      </c>
      <c r="I4568" s="1">
        <v>1</v>
      </c>
      <c r="J4568" s="1">
        <v>0</v>
      </c>
      <c r="K4568" s="1">
        <v>1</v>
      </c>
      <c r="L4568" s="1">
        <v>1</v>
      </c>
      <c r="M4568" s="1">
        <v>1</v>
      </c>
    </row>
    <row r="4569" spans="1:13">
      <c r="A4569" s="1">
        <v>4568</v>
      </c>
      <c r="B4569" s="1">
        <v>871874.81969999999</v>
      </c>
      <c r="C4569" s="1">
        <v>641813.29547440913</v>
      </c>
      <c r="D4569" s="1">
        <f t="shared" si="71"/>
        <v>230061.52422559087</v>
      </c>
      <c r="E4569" s="1">
        <v>8</v>
      </c>
      <c r="F4569" s="1">
        <v>23</v>
      </c>
      <c r="G4569" s="1">
        <v>4</v>
      </c>
      <c r="H4569" s="1">
        <v>1</v>
      </c>
      <c r="I4569" s="1">
        <v>0</v>
      </c>
      <c r="J4569" s="1">
        <v>0</v>
      </c>
      <c r="K4569" s="1">
        <v>2</v>
      </c>
      <c r="L4569" s="1">
        <v>0</v>
      </c>
      <c r="M4569" s="1">
        <v>1</v>
      </c>
    </row>
    <row r="4570" spans="1:13">
      <c r="A4570" s="1">
        <v>4569</v>
      </c>
      <c r="B4570" s="1">
        <v>1043939.7774</v>
      </c>
      <c r="C4570" s="1">
        <v>898125.05563571164</v>
      </c>
      <c r="D4570" s="1">
        <f t="shared" si="71"/>
        <v>145814.72176428838</v>
      </c>
      <c r="E4570" s="1">
        <v>5</v>
      </c>
      <c r="F4570" s="1">
        <v>26</v>
      </c>
      <c r="G4570" s="1">
        <v>4</v>
      </c>
      <c r="H4570" s="1">
        <v>0</v>
      </c>
      <c r="I4570" s="1">
        <v>1</v>
      </c>
      <c r="J4570" s="1">
        <v>0</v>
      </c>
      <c r="K4570" s="1">
        <v>0</v>
      </c>
      <c r="L4570" s="1">
        <v>0</v>
      </c>
      <c r="M4570" s="1">
        <v>1</v>
      </c>
    </row>
    <row r="4571" spans="1:13">
      <c r="A4571" s="1">
        <v>4570</v>
      </c>
      <c r="B4571" s="1">
        <v>874512.9192</v>
      </c>
      <c r="C4571" s="1">
        <v>711982.04247708584</v>
      </c>
      <c r="D4571" s="1">
        <f t="shared" si="71"/>
        <v>162530.87672291417</v>
      </c>
      <c r="E4571" s="1">
        <v>16</v>
      </c>
      <c r="F4571" s="1">
        <v>15</v>
      </c>
      <c r="G4571" s="1">
        <v>4</v>
      </c>
      <c r="H4571" s="1">
        <v>1</v>
      </c>
      <c r="I4571" s="1">
        <v>1</v>
      </c>
      <c r="J4571" s="1">
        <v>1</v>
      </c>
      <c r="K4571" s="1">
        <v>0</v>
      </c>
      <c r="L4571" s="1">
        <v>0</v>
      </c>
      <c r="M4571" s="1">
        <v>0</v>
      </c>
    </row>
    <row r="4572" spans="1:13">
      <c r="A4572" s="1">
        <v>4571</v>
      </c>
      <c r="B4572" s="1">
        <v>962974.13260000001</v>
      </c>
      <c r="C4572" s="1">
        <v>1288007.6375212008</v>
      </c>
      <c r="D4572" s="1">
        <f t="shared" si="71"/>
        <v>-325033.5049212008</v>
      </c>
      <c r="E4572" s="1">
        <v>12</v>
      </c>
      <c r="F4572" s="1">
        <v>18</v>
      </c>
      <c r="G4572" s="1">
        <v>5</v>
      </c>
      <c r="H4572" s="1">
        <v>1</v>
      </c>
      <c r="I4572" s="1">
        <v>0</v>
      </c>
      <c r="J4572" s="1">
        <v>0</v>
      </c>
      <c r="K4572" s="1">
        <v>0</v>
      </c>
      <c r="L4572" s="1">
        <v>1</v>
      </c>
      <c r="M4572" s="1">
        <v>0</v>
      </c>
    </row>
    <row r="4573" spans="1:13">
      <c r="A4573" s="1">
        <v>4572</v>
      </c>
      <c r="B4573" s="1">
        <v>974157.58860000002</v>
      </c>
      <c r="C4573" s="1">
        <v>1420281.2942496657</v>
      </c>
      <c r="D4573" s="1">
        <f t="shared" si="71"/>
        <v>-446123.70564966567</v>
      </c>
      <c r="E4573" s="1">
        <v>15</v>
      </c>
      <c r="F4573" s="1">
        <v>16</v>
      </c>
      <c r="G4573" s="1">
        <v>4</v>
      </c>
      <c r="H4573" s="1">
        <v>2</v>
      </c>
      <c r="I4573" s="1">
        <v>0</v>
      </c>
      <c r="J4573" s="1">
        <v>1</v>
      </c>
      <c r="K4573" s="1">
        <v>0</v>
      </c>
      <c r="L4573" s="1">
        <v>1</v>
      </c>
      <c r="M4573" s="1">
        <v>0</v>
      </c>
    </row>
    <row r="4574" spans="1:13">
      <c r="A4574" s="1">
        <v>4573</v>
      </c>
      <c r="B4574" s="1">
        <v>850073.82059999998</v>
      </c>
      <c r="C4574" s="1">
        <v>782229.95320458559</v>
      </c>
      <c r="D4574" s="1">
        <f t="shared" si="71"/>
        <v>67843.867395414389</v>
      </c>
      <c r="E4574" s="1">
        <v>11</v>
      </c>
      <c r="F4574" s="1">
        <v>19</v>
      </c>
      <c r="G4574" s="1">
        <v>5</v>
      </c>
      <c r="H4574" s="1">
        <v>0</v>
      </c>
      <c r="I4574" s="1">
        <v>0</v>
      </c>
      <c r="J4574" s="1">
        <v>0</v>
      </c>
      <c r="K4574" s="1">
        <v>1</v>
      </c>
      <c r="L4574" s="1">
        <v>1</v>
      </c>
      <c r="M4574" s="1">
        <v>1</v>
      </c>
    </row>
    <row r="4575" spans="1:13">
      <c r="A4575" s="1">
        <v>4574</v>
      </c>
      <c r="B4575" s="1">
        <v>1030752.8619</v>
      </c>
      <c r="C4575" s="1">
        <v>682299.89427857404</v>
      </c>
      <c r="D4575" s="1">
        <f t="shared" si="71"/>
        <v>348452.96762142598</v>
      </c>
      <c r="E4575" s="1">
        <v>9</v>
      </c>
      <c r="F4575" s="1">
        <v>19</v>
      </c>
      <c r="G4575" s="1">
        <v>7</v>
      </c>
      <c r="H4575" s="1">
        <v>0</v>
      </c>
      <c r="I4575" s="1">
        <v>0</v>
      </c>
      <c r="J4575" s="1">
        <v>0</v>
      </c>
      <c r="K4575" s="1">
        <v>1</v>
      </c>
      <c r="L4575" s="1">
        <v>0</v>
      </c>
      <c r="M4575" s="1">
        <v>0</v>
      </c>
    </row>
    <row r="4576" spans="1:13">
      <c r="A4576" s="1">
        <v>4575</v>
      </c>
      <c r="B4576" s="1">
        <v>1115526.5236</v>
      </c>
      <c r="C4576" s="1">
        <v>860746.93256013771</v>
      </c>
      <c r="D4576" s="1">
        <f t="shared" si="71"/>
        <v>254779.59103986225</v>
      </c>
      <c r="E4576" s="1">
        <v>9</v>
      </c>
      <c r="F4576" s="1">
        <v>17</v>
      </c>
      <c r="G4576" s="1">
        <v>9</v>
      </c>
      <c r="H4576" s="1">
        <v>1</v>
      </c>
      <c r="I4576" s="1">
        <v>1</v>
      </c>
      <c r="J4576" s="1">
        <v>0</v>
      </c>
      <c r="K4576" s="1">
        <v>2</v>
      </c>
      <c r="L4576" s="1">
        <v>0</v>
      </c>
      <c r="M4576" s="1">
        <v>1</v>
      </c>
    </row>
    <row r="4577" spans="1:13">
      <c r="A4577" s="1">
        <v>4576</v>
      </c>
      <c r="B4577" s="1">
        <v>848898.96849999996</v>
      </c>
      <c r="C4577" s="1">
        <v>977382.3246995433</v>
      </c>
      <c r="D4577" s="1">
        <f t="shared" si="71"/>
        <v>-128483.35619954334</v>
      </c>
      <c r="E4577" s="1">
        <v>22</v>
      </c>
      <c r="F4577" s="1">
        <v>11</v>
      </c>
      <c r="G4577" s="1">
        <v>2</v>
      </c>
      <c r="H4577" s="1">
        <v>0</v>
      </c>
      <c r="I4577" s="1">
        <v>1</v>
      </c>
      <c r="J4577" s="1">
        <v>1</v>
      </c>
      <c r="K4577" s="1">
        <v>1</v>
      </c>
      <c r="L4577" s="1">
        <v>0</v>
      </c>
      <c r="M4577" s="1">
        <v>0</v>
      </c>
    </row>
    <row r="4578" spans="1:13">
      <c r="A4578" s="1">
        <v>4577</v>
      </c>
      <c r="B4578" s="1">
        <v>1033560.2619</v>
      </c>
      <c r="C4578" s="1">
        <v>854736.09296911396</v>
      </c>
      <c r="D4578" s="1">
        <f t="shared" si="71"/>
        <v>178824.16893088608</v>
      </c>
      <c r="E4578" s="1">
        <v>8</v>
      </c>
      <c r="F4578" s="1">
        <v>19</v>
      </c>
      <c r="G4578" s="1">
        <v>8</v>
      </c>
      <c r="H4578" s="1">
        <v>0</v>
      </c>
      <c r="I4578" s="1">
        <v>0</v>
      </c>
      <c r="J4578" s="1">
        <v>0</v>
      </c>
      <c r="K4578" s="1">
        <v>2</v>
      </c>
      <c r="L4578" s="1">
        <v>0</v>
      </c>
      <c r="M4578" s="1">
        <v>0</v>
      </c>
    </row>
    <row r="4579" spans="1:13">
      <c r="A4579" s="1">
        <v>4578</v>
      </c>
      <c r="B4579" s="1">
        <v>933252.91130000004</v>
      </c>
      <c r="C4579" s="1">
        <v>713402.37977576768</v>
      </c>
      <c r="D4579" s="1">
        <f t="shared" si="71"/>
        <v>219850.53152423236</v>
      </c>
      <c r="E4579" s="1">
        <v>10</v>
      </c>
      <c r="F4579" s="1">
        <v>19</v>
      </c>
      <c r="G4579" s="1">
        <v>6</v>
      </c>
      <c r="H4579" s="1">
        <v>0</v>
      </c>
      <c r="I4579" s="1">
        <v>1</v>
      </c>
      <c r="J4579" s="1">
        <v>0</v>
      </c>
      <c r="K4579" s="1">
        <v>0</v>
      </c>
      <c r="L4579" s="1">
        <v>0</v>
      </c>
      <c r="M4579" s="1">
        <v>0</v>
      </c>
    </row>
    <row r="4580" spans="1:13">
      <c r="A4580" s="1">
        <v>4579</v>
      </c>
      <c r="B4580" s="1">
        <v>896843.97290000005</v>
      </c>
      <c r="C4580" s="1">
        <v>706657.47168163687</v>
      </c>
      <c r="D4580" s="1">
        <f t="shared" si="71"/>
        <v>190186.50121836318</v>
      </c>
      <c r="E4580" s="1">
        <v>9</v>
      </c>
      <c r="F4580" s="1">
        <v>20</v>
      </c>
      <c r="G4580" s="1">
        <v>6</v>
      </c>
      <c r="H4580" s="1">
        <v>0</v>
      </c>
      <c r="I4580" s="1">
        <v>0</v>
      </c>
      <c r="J4580" s="1">
        <v>2</v>
      </c>
      <c r="K4580" s="1">
        <v>0</v>
      </c>
      <c r="L4580" s="1">
        <v>0</v>
      </c>
      <c r="M4580" s="1">
        <v>0</v>
      </c>
    </row>
    <row r="4581" spans="1:13">
      <c r="A4581" s="1">
        <v>4580</v>
      </c>
      <c r="B4581" s="1">
        <v>972048.07149999996</v>
      </c>
      <c r="C4581" s="1">
        <v>814939.1162134296</v>
      </c>
      <c r="D4581" s="1">
        <f t="shared" si="71"/>
        <v>157108.95528657036</v>
      </c>
      <c r="E4581" s="1">
        <v>6</v>
      </c>
      <c r="F4581" s="1">
        <v>22</v>
      </c>
      <c r="G4581" s="1">
        <v>7</v>
      </c>
      <c r="H4581" s="1">
        <v>2</v>
      </c>
      <c r="I4581" s="1">
        <v>0</v>
      </c>
      <c r="J4581" s="1">
        <v>1</v>
      </c>
      <c r="K4581" s="1">
        <v>0</v>
      </c>
      <c r="L4581" s="1">
        <v>1</v>
      </c>
      <c r="M4581" s="1">
        <v>0</v>
      </c>
    </row>
    <row r="4582" spans="1:13">
      <c r="A4582" s="1">
        <v>4581</v>
      </c>
      <c r="B4582" s="1">
        <v>995423.01679999998</v>
      </c>
      <c r="C4582" s="1">
        <v>914765.5503636311</v>
      </c>
      <c r="D4582" s="1">
        <f t="shared" si="71"/>
        <v>80657.466436368879</v>
      </c>
      <c r="E4582" s="1">
        <v>15</v>
      </c>
      <c r="F4582" s="1">
        <v>16</v>
      </c>
      <c r="G4582" s="1">
        <v>4</v>
      </c>
      <c r="H4582" s="1">
        <v>1</v>
      </c>
      <c r="I4582" s="1">
        <v>0</v>
      </c>
      <c r="J4582" s="1">
        <v>1</v>
      </c>
      <c r="K4582" s="1">
        <v>1</v>
      </c>
      <c r="L4582" s="1">
        <v>0</v>
      </c>
      <c r="M4582" s="1">
        <v>0</v>
      </c>
    </row>
    <row r="4583" spans="1:13">
      <c r="A4583" s="1">
        <v>4582</v>
      </c>
      <c r="B4583" s="1">
        <v>842941.41810000001</v>
      </c>
      <c r="C4583" s="1">
        <v>2795498.1738761375</v>
      </c>
      <c r="D4583" s="1">
        <f t="shared" si="71"/>
        <v>-1952556.7557761376</v>
      </c>
      <c r="E4583" s="1">
        <v>13</v>
      </c>
      <c r="F4583" s="1">
        <v>16</v>
      </c>
      <c r="G4583" s="1">
        <v>6</v>
      </c>
      <c r="H4583" s="1">
        <v>2</v>
      </c>
      <c r="I4583" s="1">
        <v>0</v>
      </c>
      <c r="J4583" s="1">
        <v>0</v>
      </c>
      <c r="K4583" s="1">
        <v>2</v>
      </c>
      <c r="L4583" s="1">
        <v>0</v>
      </c>
      <c r="M4583" s="1">
        <v>0</v>
      </c>
    </row>
    <row r="4584" spans="1:13">
      <c r="A4584" s="1">
        <v>4583</v>
      </c>
      <c r="B4584" s="1">
        <v>947189.47169999999</v>
      </c>
      <c r="C4584" s="1">
        <v>1441042.3517346659</v>
      </c>
      <c r="D4584" s="1">
        <f t="shared" si="71"/>
        <v>-493852.88003466593</v>
      </c>
      <c r="E4584" s="1">
        <v>8</v>
      </c>
      <c r="F4584" s="1">
        <v>23</v>
      </c>
      <c r="G4584" s="1">
        <v>4</v>
      </c>
      <c r="H4584" s="1">
        <v>0</v>
      </c>
      <c r="I4584" s="1">
        <v>1</v>
      </c>
      <c r="J4584" s="1">
        <v>0</v>
      </c>
      <c r="K4584" s="1">
        <v>1</v>
      </c>
      <c r="L4584" s="1">
        <v>0</v>
      </c>
      <c r="M4584" s="1">
        <v>1</v>
      </c>
    </row>
    <row r="4585" spans="1:13">
      <c r="A4585" s="1">
        <v>4584</v>
      </c>
      <c r="B4585" s="1">
        <v>957365.33660000004</v>
      </c>
      <c r="C4585" s="1">
        <v>947261.58375210967</v>
      </c>
      <c r="D4585" s="1">
        <f t="shared" si="71"/>
        <v>10103.75284789037</v>
      </c>
      <c r="E4585" s="1">
        <v>6</v>
      </c>
      <c r="F4585" s="1">
        <v>20</v>
      </c>
      <c r="G4585" s="1">
        <v>9</v>
      </c>
      <c r="H4585" s="1">
        <v>0</v>
      </c>
      <c r="I4585" s="1">
        <v>0</v>
      </c>
      <c r="J4585" s="1">
        <v>0</v>
      </c>
      <c r="K4585" s="1">
        <v>1</v>
      </c>
      <c r="L4585" s="1">
        <v>0</v>
      </c>
      <c r="M4585" s="1">
        <v>0</v>
      </c>
    </row>
    <row r="4586" spans="1:13">
      <c r="A4586" s="1">
        <v>4585</v>
      </c>
      <c r="B4586" s="1">
        <v>998535.30530000001</v>
      </c>
      <c r="C4586" s="1">
        <v>1384701.8168985355</v>
      </c>
      <c r="D4586" s="1">
        <f t="shared" si="71"/>
        <v>-386166.51159853546</v>
      </c>
      <c r="E4586" s="1">
        <v>8</v>
      </c>
      <c r="F4586" s="1">
        <v>19</v>
      </c>
      <c r="G4586" s="1">
        <v>8</v>
      </c>
      <c r="H4586" s="1">
        <v>0</v>
      </c>
      <c r="I4586" s="1">
        <v>0</v>
      </c>
      <c r="J4586" s="1">
        <v>0</v>
      </c>
      <c r="K4586" s="1">
        <v>2</v>
      </c>
      <c r="L4586" s="1">
        <v>0</v>
      </c>
      <c r="M4586" s="1">
        <v>0</v>
      </c>
    </row>
    <row r="4587" spans="1:13">
      <c r="A4587" s="1">
        <v>4586</v>
      </c>
      <c r="B4587" s="1">
        <v>863751.50630000001</v>
      </c>
      <c r="C4587" s="1">
        <v>857521.28743773652</v>
      </c>
      <c r="D4587" s="1">
        <f t="shared" si="71"/>
        <v>6230.2188622634858</v>
      </c>
      <c r="E4587" s="1">
        <v>21</v>
      </c>
      <c r="F4587" s="1">
        <v>10</v>
      </c>
      <c r="G4587" s="1">
        <v>4</v>
      </c>
      <c r="H4587" s="1">
        <v>2</v>
      </c>
      <c r="I4587" s="1">
        <v>0</v>
      </c>
      <c r="J4587" s="1">
        <v>1</v>
      </c>
      <c r="K4587" s="1">
        <v>1</v>
      </c>
      <c r="L4587" s="1">
        <v>0</v>
      </c>
      <c r="M4587" s="1">
        <v>1</v>
      </c>
    </row>
    <row r="4588" spans="1:13">
      <c r="A4588" s="1">
        <v>4587</v>
      </c>
      <c r="B4588" s="1">
        <v>938666.6801</v>
      </c>
      <c r="C4588" s="1">
        <v>521784.77317612036</v>
      </c>
      <c r="D4588" s="1">
        <f t="shared" si="71"/>
        <v>416881.90692387964</v>
      </c>
      <c r="E4588" s="1">
        <v>10</v>
      </c>
      <c r="F4588" s="1">
        <v>18</v>
      </c>
      <c r="G4588" s="1">
        <v>7</v>
      </c>
      <c r="H4588" s="1">
        <v>1</v>
      </c>
      <c r="I4588" s="1">
        <v>0</v>
      </c>
      <c r="J4588" s="1">
        <v>0</v>
      </c>
      <c r="K4588" s="1">
        <v>1</v>
      </c>
      <c r="L4588" s="1">
        <v>0</v>
      </c>
      <c r="M4588" s="1">
        <v>0</v>
      </c>
    </row>
    <row r="4589" spans="1:13">
      <c r="A4589" s="1">
        <v>4588</v>
      </c>
      <c r="B4589" s="1">
        <v>960732.75470000005</v>
      </c>
      <c r="C4589" s="1">
        <v>1242999.7003056412</v>
      </c>
      <c r="D4589" s="1">
        <f t="shared" si="71"/>
        <v>-282266.94560564111</v>
      </c>
      <c r="E4589" s="1">
        <v>7</v>
      </c>
      <c r="F4589" s="1">
        <v>23</v>
      </c>
      <c r="G4589" s="1">
        <v>5</v>
      </c>
      <c r="H4589" s="1">
        <v>0</v>
      </c>
      <c r="I4589" s="1">
        <v>0</v>
      </c>
      <c r="J4589" s="1">
        <v>0</v>
      </c>
      <c r="K4589" s="1">
        <v>0</v>
      </c>
      <c r="L4589" s="1">
        <v>0</v>
      </c>
      <c r="M4589" s="1">
        <v>0</v>
      </c>
    </row>
    <row r="4590" spans="1:13">
      <c r="A4590" s="1">
        <v>4589</v>
      </c>
      <c r="B4590" s="1">
        <v>1022860.7278</v>
      </c>
      <c r="C4590" s="1">
        <v>690010.29927460989</v>
      </c>
      <c r="D4590" s="1">
        <f t="shared" si="71"/>
        <v>332850.4285253901</v>
      </c>
      <c r="E4590" s="1">
        <v>12</v>
      </c>
      <c r="F4590" s="1">
        <v>18</v>
      </c>
      <c r="G4590" s="1">
        <v>5</v>
      </c>
      <c r="H4590" s="1">
        <v>0</v>
      </c>
      <c r="I4590" s="1">
        <v>0</v>
      </c>
      <c r="J4590" s="1">
        <v>0</v>
      </c>
      <c r="K4590" s="1">
        <v>2</v>
      </c>
      <c r="L4590" s="1">
        <v>0</v>
      </c>
      <c r="M4590" s="1">
        <v>0</v>
      </c>
    </row>
    <row r="4591" spans="1:13">
      <c r="A4591" s="1">
        <v>4590</v>
      </c>
      <c r="B4591" s="1">
        <v>1032652.3824999999</v>
      </c>
      <c r="C4591" s="1">
        <v>528143.90058891277</v>
      </c>
      <c r="D4591" s="1">
        <f t="shared" si="71"/>
        <v>504508.48191108718</v>
      </c>
      <c r="E4591" s="1">
        <v>5</v>
      </c>
      <c r="F4591" s="1">
        <v>25</v>
      </c>
      <c r="G4591" s="1">
        <v>5</v>
      </c>
      <c r="H4591" s="1">
        <v>0</v>
      </c>
      <c r="I4591" s="1">
        <v>0</v>
      </c>
      <c r="J4591" s="1">
        <v>0</v>
      </c>
      <c r="K4591" s="1">
        <v>1</v>
      </c>
      <c r="L4591" s="1">
        <v>0</v>
      </c>
      <c r="M4591" s="1">
        <v>0</v>
      </c>
    </row>
    <row r="4592" spans="1:13">
      <c r="A4592" s="1">
        <v>4591</v>
      </c>
      <c r="B4592" s="1">
        <v>989268.27269999997</v>
      </c>
      <c r="C4592" s="1">
        <v>1029771.4220063679</v>
      </c>
      <c r="D4592" s="1">
        <f t="shared" si="71"/>
        <v>-40503.149306367966</v>
      </c>
      <c r="E4592" s="1">
        <v>9</v>
      </c>
      <c r="F4592" s="1">
        <v>21</v>
      </c>
      <c r="G4592" s="1">
        <v>5</v>
      </c>
      <c r="H4592" s="1">
        <v>0</v>
      </c>
      <c r="I4592" s="1">
        <v>1</v>
      </c>
      <c r="J4592" s="1">
        <v>0</v>
      </c>
      <c r="K4592" s="1">
        <v>1</v>
      </c>
      <c r="L4592" s="1">
        <v>0</v>
      </c>
      <c r="M4592" s="1">
        <v>1</v>
      </c>
    </row>
    <row r="4593" spans="1:13">
      <c r="A4593" s="1">
        <v>4592</v>
      </c>
      <c r="B4593" s="1">
        <v>1026019.5305</v>
      </c>
      <c r="C4593" s="1">
        <v>1503798.3680890389</v>
      </c>
      <c r="D4593" s="1">
        <f t="shared" si="71"/>
        <v>-477778.83758903889</v>
      </c>
      <c r="E4593" s="1">
        <v>15</v>
      </c>
      <c r="F4593" s="1">
        <v>14</v>
      </c>
      <c r="G4593" s="1">
        <v>6</v>
      </c>
      <c r="H4593" s="1">
        <v>0</v>
      </c>
      <c r="I4593" s="1">
        <v>0</v>
      </c>
      <c r="J4593" s="1">
        <v>1</v>
      </c>
      <c r="K4593" s="1">
        <v>0</v>
      </c>
      <c r="L4593" s="1">
        <v>0</v>
      </c>
      <c r="M4593" s="1">
        <v>0</v>
      </c>
    </row>
    <row r="4594" spans="1:13">
      <c r="A4594" s="1">
        <v>4593</v>
      </c>
      <c r="B4594" s="1">
        <v>938706.99529999995</v>
      </c>
      <c r="C4594" s="1">
        <v>843665.52433862269</v>
      </c>
      <c r="D4594" s="1">
        <f t="shared" si="71"/>
        <v>95041.470961377257</v>
      </c>
      <c r="E4594" s="1">
        <v>18</v>
      </c>
      <c r="F4594" s="1">
        <v>12</v>
      </c>
      <c r="G4594" s="1">
        <v>5</v>
      </c>
      <c r="H4594" s="1">
        <v>2</v>
      </c>
      <c r="I4594" s="1">
        <v>0</v>
      </c>
      <c r="J4594" s="1">
        <v>1</v>
      </c>
      <c r="K4594" s="1">
        <v>0</v>
      </c>
      <c r="L4594" s="1">
        <v>0</v>
      </c>
      <c r="M4594" s="1">
        <v>0</v>
      </c>
    </row>
    <row r="4595" spans="1:13">
      <c r="A4595" s="1">
        <v>4594</v>
      </c>
      <c r="B4595" s="1">
        <v>942964.06350000005</v>
      </c>
      <c r="C4595" s="1">
        <v>1100783.4972816468</v>
      </c>
      <c r="D4595" s="1">
        <f t="shared" si="71"/>
        <v>-157819.43378164677</v>
      </c>
      <c r="E4595" s="1">
        <v>8</v>
      </c>
      <c r="F4595" s="1">
        <v>20</v>
      </c>
      <c r="G4595" s="1">
        <v>7</v>
      </c>
      <c r="H4595" s="1">
        <v>1</v>
      </c>
      <c r="I4595" s="1">
        <v>1</v>
      </c>
      <c r="J4595" s="1">
        <v>0</v>
      </c>
      <c r="K4595" s="1">
        <v>0</v>
      </c>
      <c r="L4595" s="1">
        <v>1</v>
      </c>
      <c r="M4595" s="1">
        <v>0</v>
      </c>
    </row>
    <row r="4596" spans="1:13">
      <c r="A4596" s="1">
        <v>4595</v>
      </c>
      <c r="B4596" s="1">
        <v>908931.41310000001</v>
      </c>
      <c r="C4596" s="1">
        <v>1722033.6958210303</v>
      </c>
      <c r="D4596" s="1">
        <f t="shared" si="71"/>
        <v>-813102.28272103029</v>
      </c>
      <c r="E4596" s="1">
        <v>16</v>
      </c>
      <c r="F4596" s="1">
        <v>16</v>
      </c>
      <c r="G4596" s="1">
        <v>3</v>
      </c>
      <c r="H4596" s="1">
        <v>2</v>
      </c>
      <c r="I4596" s="1">
        <v>0</v>
      </c>
      <c r="J4596" s="1">
        <v>1</v>
      </c>
      <c r="K4596" s="1">
        <v>0</v>
      </c>
      <c r="L4596" s="1">
        <v>0</v>
      </c>
      <c r="M4596" s="1">
        <v>1</v>
      </c>
    </row>
    <row r="4597" spans="1:13">
      <c r="A4597" s="1">
        <v>4596</v>
      </c>
      <c r="B4597" s="1">
        <v>918273.03289999999</v>
      </c>
      <c r="C4597" s="1">
        <v>708726.36871625786</v>
      </c>
      <c r="D4597" s="1">
        <f t="shared" si="71"/>
        <v>209546.66418374213</v>
      </c>
      <c r="E4597" s="1">
        <v>16</v>
      </c>
      <c r="F4597" s="1">
        <v>19</v>
      </c>
      <c r="G4597" s="1">
        <v>0</v>
      </c>
      <c r="H4597" s="1">
        <v>1</v>
      </c>
      <c r="I4597" s="1">
        <v>0</v>
      </c>
      <c r="J4597" s="1">
        <v>1</v>
      </c>
      <c r="K4597" s="1">
        <v>1</v>
      </c>
      <c r="L4597" s="1">
        <v>0</v>
      </c>
      <c r="M4597" s="1">
        <v>1</v>
      </c>
    </row>
    <row r="4598" spans="1:13">
      <c r="A4598" s="1">
        <v>4597</v>
      </c>
      <c r="B4598" s="1">
        <v>1034683.4486</v>
      </c>
      <c r="C4598" s="1">
        <v>971088.02394875593</v>
      </c>
      <c r="D4598" s="1">
        <f t="shared" si="71"/>
        <v>63595.424651244073</v>
      </c>
      <c r="E4598" s="1">
        <v>7</v>
      </c>
      <c r="F4598" s="1">
        <v>21</v>
      </c>
      <c r="G4598" s="1">
        <v>7</v>
      </c>
      <c r="H4598" s="1">
        <v>1</v>
      </c>
      <c r="I4598" s="1">
        <v>0</v>
      </c>
      <c r="J4598" s="1">
        <v>0</v>
      </c>
      <c r="K4598" s="1">
        <v>2</v>
      </c>
      <c r="L4598" s="1">
        <v>0</v>
      </c>
      <c r="M4598" s="1">
        <v>0</v>
      </c>
    </row>
    <row r="4599" spans="1:13">
      <c r="A4599" s="1">
        <v>4598</v>
      </c>
      <c r="B4599" s="1">
        <v>1060530.1606999999</v>
      </c>
      <c r="C4599" s="1">
        <v>1059093.0558562847</v>
      </c>
      <c r="D4599" s="1">
        <f t="shared" si="71"/>
        <v>1437.1048437152058</v>
      </c>
      <c r="E4599" s="1">
        <v>9</v>
      </c>
      <c r="F4599" s="1">
        <v>19</v>
      </c>
      <c r="G4599" s="1">
        <v>7</v>
      </c>
      <c r="H4599" s="1">
        <v>0</v>
      </c>
      <c r="I4599" s="1">
        <v>0</v>
      </c>
      <c r="J4599" s="1">
        <v>1</v>
      </c>
      <c r="K4599" s="1">
        <v>0</v>
      </c>
      <c r="L4599" s="1">
        <v>0</v>
      </c>
      <c r="M4599" s="1">
        <v>1</v>
      </c>
    </row>
    <row r="4600" spans="1:13">
      <c r="A4600" s="1">
        <v>4599</v>
      </c>
      <c r="B4600" s="1">
        <v>931510.94559999998</v>
      </c>
      <c r="C4600" s="1">
        <v>820123.35987860407</v>
      </c>
      <c r="D4600" s="1">
        <f t="shared" si="71"/>
        <v>111387.58572139591</v>
      </c>
      <c r="E4600" s="1">
        <v>12</v>
      </c>
      <c r="F4600" s="1">
        <v>15</v>
      </c>
      <c r="G4600" s="1">
        <v>8</v>
      </c>
      <c r="H4600" s="1">
        <v>2</v>
      </c>
      <c r="I4600" s="1">
        <v>0</v>
      </c>
      <c r="J4600" s="1">
        <v>1</v>
      </c>
      <c r="K4600" s="1">
        <v>0</v>
      </c>
      <c r="L4600" s="1">
        <v>0</v>
      </c>
      <c r="M4600" s="1">
        <v>0</v>
      </c>
    </row>
    <row r="4601" spans="1:13">
      <c r="A4601" s="1">
        <v>4600</v>
      </c>
      <c r="B4601" s="1">
        <v>973627.42619999999</v>
      </c>
      <c r="C4601" s="1">
        <v>1000495.0714305703</v>
      </c>
      <c r="D4601" s="1">
        <f t="shared" si="71"/>
        <v>-26867.645230570342</v>
      </c>
      <c r="E4601" s="1">
        <v>9</v>
      </c>
      <c r="F4601" s="1">
        <v>19</v>
      </c>
      <c r="G4601" s="1">
        <v>7</v>
      </c>
      <c r="H4601" s="1">
        <v>2</v>
      </c>
      <c r="I4601" s="1">
        <v>0</v>
      </c>
      <c r="J4601" s="1">
        <v>0</v>
      </c>
      <c r="K4601" s="1">
        <v>1</v>
      </c>
      <c r="L4601" s="1">
        <v>0</v>
      </c>
      <c r="M4601" s="1">
        <v>1</v>
      </c>
    </row>
    <row r="4602" spans="1:13">
      <c r="A4602" s="1">
        <v>4601</v>
      </c>
      <c r="B4602" s="1">
        <v>943329.82790000003</v>
      </c>
      <c r="C4602" s="1">
        <v>1178659.5431721916</v>
      </c>
      <c r="D4602" s="1">
        <f t="shared" si="71"/>
        <v>-235329.71527219156</v>
      </c>
      <c r="E4602" s="1">
        <v>18</v>
      </c>
      <c r="F4602" s="1">
        <v>11</v>
      </c>
      <c r="G4602" s="1">
        <v>6</v>
      </c>
      <c r="H4602" s="1">
        <v>0</v>
      </c>
      <c r="I4602" s="1">
        <v>0</v>
      </c>
      <c r="J4602" s="1">
        <v>0</v>
      </c>
      <c r="K4602" s="1">
        <v>0</v>
      </c>
      <c r="L4602" s="1">
        <v>0</v>
      </c>
      <c r="M4602" s="1">
        <v>0</v>
      </c>
    </row>
    <row r="4603" spans="1:13">
      <c r="A4603" s="1">
        <v>4602</v>
      </c>
      <c r="B4603" s="1">
        <v>984117.08149999997</v>
      </c>
      <c r="C4603" s="1">
        <v>878856.12632030016</v>
      </c>
      <c r="D4603" s="1">
        <f t="shared" si="71"/>
        <v>105260.95517969981</v>
      </c>
      <c r="E4603" s="1">
        <v>8</v>
      </c>
      <c r="F4603" s="1">
        <v>23</v>
      </c>
      <c r="G4603" s="1">
        <v>4</v>
      </c>
      <c r="H4603" s="1">
        <v>0</v>
      </c>
      <c r="I4603" s="1">
        <v>1</v>
      </c>
      <c r="J4603" s="1">
        <v>0</v>
      </c>
      <c r="K4603" s="1">
        <v>1</v>
      </c>
      <c r="L4603" s="1">
        <v>0</v>
      </c>
      <c r="M4603" s="1">
        <v>0</v>
      </c>
    </row>
    <row r="4604" spans="1:13">
      <c r="A4604" s="1">
        <v>4603</v>
      </c>
      <c r="B4604" s="1">
        <v>936273.17660000001</v>
      </c>
      <c r="C4604" s="1">
        <v>633355.46411039762</v>
      </c>
      <c r="D4604" s="1">
        <f t="shared" si="71"/>
        <v>302917.71248960239</v>
      </c>
      <c r="E4604" s="1">
        <v>8</v>
      </c>
      <c r="F4604" s="1">
        <v>22</v>
      </c>
      <c r="G4604" s="1">
        <v>5</v>
      </c>
      <c r="H4604" s="1">
        <v>0</v>
      </c>
      <c r="I4604" s="1">
        <v>0</v>
      </c>
      <c r="J4604" s="1">
        <v>0</v>
      </c>
      <c r="K4604" s="1">
        <v>1</v>
      </c>
      <c r="L4604" s="1">
        <v>0</v>
      </c>
      <c r="M4604" s="1">
        <v>0</v>
      </c>
    </row>
    <row r="4605" spans="1:13">
      <c r="A4605" s="1">
        <v>4604</v>
      </c>
      <c r="B4605" s="1">
        <v>965759.08840000001</v>
      </c>
      <c r="C4605" s="1">
        <v>941965.20746900234</v>
      </c>
      <c r="D4605" s="1">
        <f t="shared" si="71"/>
        <v>23793.880930997664</v>
      </c>
      <c r="E4605" s="1">
        <v>10</v>
      </c>
      <c r="F4605" s="1">
        <v>17</v>
      </c>
      <c r="G4605" s="1">
        <v>8</v>
      </c>
      <c r="H4605" s="1">
        <v>1</v>
      </c>
      <c r="I4605" s="1">
        <v>0</v>
      </c>
      <c r="J4605" s="1">
        <v>0</v>
      </c>
      <c r="K4605" s="1">
        <v>1</v>
      </c>
      <c r="L4605" s="1">
        <v>0</v>
      </c>
      <c r="M4605" s="1">
        <v>0</v>
      </c>
    </row>
    <row r="4606" spans="1:13">
      <c r="A4606" s="1">
        <v>4605</v>
      </c>
      <c r="B4606" s="1">
        <v>1115681.3125</v>
      </c>
      <c r="C4606" s="1">
        <v>781372.35333876382</v>
      </c>
      <c r="D4606" s="1">
        <f t="shared" si="71"/>
        <v>334308.95916123618</v>
      </c>
      <c r="E4606" s="1">
        <v>7</v>
      </c>
      <c r="F4606" s="1">
        <v>22</v>
      </c>
      <c r="G4606" s="1">
        <v>6</v>
      </c>
      <c r="H4606" s="1">
        <v>0</v>
      </c>
      <c r="I4606" s="1">
        <v>0</v>
      </c>
      <c r="J4606" s="1">
        <v>1</v>
      </c>
      <c r="K4606" s="1">
        <v>0</v>
      </c>
      <c r="L4606" s="1">
        <v>1</v>
      </c>
      <c r="M4606" s="1">
        <v>0</v>
      </c>
    </row>
    <row r="4607" spans="1:13">
      <c r="A4607" s="1">
        <v>4606</v>
      </c>
      <c r="B4607" s="1">
        <v>928501.20889999997</v>
      </c>
      <c r="C4607" s="1">
        <v>830268.04200190655</v>
      </c>
      <c r="D4607" s="1">
        <f t="shared" si="71"/>
        <v>98233.166898093419</v>
      </c>
      <c r="E4607" s="1">
        <v>14</v>
      </c>
      <c r="F4607" s="1">
        <v>17</v>
      </c>
      <c r="G4607" s="1">
        <v>4</v>
      </c>
      <c r="H4607" s="1">
        <v>1</v>
      </c>
      <c r="I4607" s="1">
        <v>0</v>
      </c>
      <c r="J4607" s="1">
        <v>2</v>
      </c>
      <c r="K4607" s="1">
        <v>0</v>
      </c>
      <c r="L4607" s="1">
        <v>0</v>
      </c>
      <c r="M4607" s="1">
        <v>0</v>
      </c>
    </row>
    <row r="4608" spans="1:13">
      <c r="A4608" s="1">
        <v>4607</v>
      </c>
      <c r="B4608" s="1">
        <v>908968.01119999995</v>
      </c>
      <c r="C4608" s="1">
        <v>600836.27936318342</v>
      </c>
      <c r="D4608" s="1">
        <f t="shared" si="71"/>
        <v>308131.73183681653</v>
      </c>
      <c r="E4608" s="1">
        <v>20</v>
      </c>
      <c r="F4608" s="1">
        <v>11</v>
      </c>
      <c r="G4608" s="1">
        <v>4</v>
      </c>
      <c r="H4608" s="1">
        <v>2</v>
      </c>
      <c r="I4608" s="1">
        <v>0</v>
      </c>
      <c r="J4608" s="1">
        <v>1</v>
      </c>
      <c r="K4608" s="1">
        <v>1</v>
      </c>
      <c r="L4608" s="1">
        <v>0</v>
      </c>
      <c r="M4608" s="1">
        <v>1</v>
      </c>
    </row>
    <row r="4609" spans="1:13">
      <c r="A4609" s="1">
        <v>4608</v>
      </c>
      <c r="B4609" s="1">
        <v>874779.53240000003</v>
      </c>
      <c r="C4609" s="1">
        <v>664890.05011705856</v>
      </c>
      <c r="D4609" s="1">
        <f t="shared" si="71"/>
        <v>209889.48228294146</v>
      </c>
      <c r="E4609" s="1">
        <v>14</v>
      </c>
      <c r="F4609" s="1">
        <v>18</v>
      </c>
      <c r="G4609" s="1">
        <v>3</v>
      </c>
      <c r="H4609" s="1">
        <v>2</v>
      </c>
      <c r="I4609" s="1">
        <v>0</v>
      </c>
      <c r="J4609" s="1">
        <v>2</v>
      </c>
      <c r="K4609" s="1">
        <v>0</v>
      </c>
      <c r="L4609" s="1">
        <v>0</v>
      </c>
      <c r="M4609" s="1">
        <v>1</v>
      </c>
    </row>
    <row r="4610" spans="1:13">
      <c r="A4610" s="1">
        <v>4609</v>
      </c>
      <c r="B4610" s="1">
        <v>891495.74589999998</v>
      </c>
      <c r="C4610" s="1">
        <v>994685.02741628722</v>
      </c>
      <c r="D4610" s="1">
        <f t="shared" ref="D4610:D4673" si="72">B4610-C4610</f>
        <v>-103189.28151628724</v>
      </c>
      <c r="E4610" s="1">
        <v>12</v>
      </c>
      <c r="F4610" s="1">
        <v>16</v>
      </c>
      <c r="G4610" s="1">
        <v>7</v>
      </c>
      <c r="H4610" s="1">
        <v>1</v>
      </c>
      <c r="I4610" s="1">
        <v>0</v>
      </c>
      <c r="J4610" s="1">
        <v>0</v>
      </c>
      <c r="K4610" s="1">
        <v>0</v>
      </c>
      <c r="L4610" s="1">
        <v>0</v>
      </c>
      <c r="M4610" s="1">
        <v>1</v>
      </c>
    </row>
    <row r="4611" spans="1:13">
      <c r="A4611" s="1">
        <v>4610</v>
      </c>
      <c r="B4611" s="1">
        <v>990189.5514</v>
      </c>
      <c r="C4611" s="1">
        <v>1370172.566983806</v>
      </c>
      <c r="D4611" s="1">
        <f t="shared" si="72"/>
        <v>-379983.01558380597</v>
      </c>
      <c r="E4611" s="1">
        <v>10</v>
      </c>
      <c r="F4611" s="1">
        <v>18</v>
      </c>
      <c r="G4611" s="1">
        <v>7</v>
      </c>
      <c r="H4611" s="1">
        <v>0</v>
      </c>
      <c r="I4611" s="1">
        <v>1</v>
      </c>
      <c r="J4611" s="1">
        <v>0</v>
      </c>
      <c r="K4611" s="1">
        <v>1</v>
      </c>
      <c r="L4611" s="1">
        <v>0</v>
      </c>
      <c r="M4611" s="1">
        <v>0</v>
      </c>
    </row>
    <row r="4612" spans="1:13">
      <c r="A4612" s="1">
        <v>4611</v>
      </c>
      <c r="B4612" s="1">
        <v>853298.02890000003</v>
      </c>
      <c r="C4612" s="1">
        <v>656397.37394225202</v>
      </c>
      <c r="D4612" s="1">
        <f t="shared" si="72"/>
        <v>196900.65495774802</v>
      </c>
      <c r="E4612" s="1">
        <v>16</v>
      </c>
      <c r="F4612" s="1">
        <v>14</v>
      </c>
      <c r="G4612" s="1">
        <v>5</v>
      </c>
      <c r="H4612" s="1">
        <v>2</v>
      </c>
      <c r="I4612" s="1">
        <v>0</v>
      </c>
      <c r="J4612" s="1">
        <v>0</v>
      </c>
      <c r="K4612" s="1">
        <v>1</v>
      </c>
      <c r="L4612" s="1">
        <v>0</v>
      </c>
      <c r="M4612" s="1">
        <v>1</v>
      </c>
    </row>
    <row r="4613" spans="1:13">
      <c r="A4613" s="1">
        <v>4612</v>
      </c>
      <c r="B4613" s="1">
        <v>948722.03260000004</v>
      </c>
      <c r="C4613" s="1">
        <v>794808.3035756324</v>
      </c>
      <c r="D4613" s="1">
        <f t="shared" si="72"/>
        <v>153913.72902436764</v>
      </c>
      <c r="E4613" s="1">
        <v>15</v>
      </c>
      <c r="F4613" s="1">
        <v>16</v>
      </c>
      <c r="G4613" s="1">
        <v>4</v>
      </c>
      <c r="H4613" s="1">
        <v>2</v>
      </c>
      <c r="I4613" s="1">
        <v>0</v>
      </c>
      <c r="J4613" s="1">
        <v>2</v>
      </c>
      <c r="K4613" s="1">
        <v>0</v>
      </c>
      <c r="L4613" s="1">
        <v>0</v>
      </c>
      <c r="M4613" s="1">
        <v>0</v>
      </c>
    </row>
    <row r="4614" spans="1:13">
      <c r="A4614" s="1">
        <v>4613</v>
      </c>
      <c r="B4614" s="1">
        <v>887543.90139999997</v>
      </c>
      <c r="C4614" s="1">
        <v>619062.38193453103</v>
      </c>
      <c r="D4614" s="1">
        <f t="shared" si="72"/>
        <v>268481.51946546894</v>
      </c>
      <c r="E4614" s="1">
        <v>9</v>
      </c>
      <c r="F4614" s="1">
        <v>22</v>
      </c>
      <c r="G4614" s="1">
        <v>4</v>
      </c>
      <c r="H4614" s="1">
        <v>2</v>
      </c>
      <c r="I4614" s="1">
        <v>0</v>
      </c>
      <c r="J4614" s="1">
        <v>0</v>
      </c>
      <c r="K4614" s="1">
        <v>1</v>
      </c>
      <c r="L4614" s="1">
        <v>1</v>
      </c>
      <c r="M4614" s="1">
        <v>0</v>
      </c>
    </row>
    <row r="4615" spans="1:13">
      <c r="A4615" s="1">
        <v>4614</v>
      </c>
      <c r="B4615" s="1">
        <v>1038961.833</v>
      </c>
      <c r="C4615" s="1">
        <v>886782.53675856744</v>
      </c>
      <c r="D4615" s="1">
        <f t="shared" si="72"/>
        <v>152179.29624143254</v>
      </c>
      <c r="E4615" s="1">
        <v>5</v>
      </c>
      <c r="F4615" s="1">
        <v>23</v>
      </c>
      <c r="G4615" s="1">
        <v>7</v>
      </c>
      <c r="H4615" s="1">
        <v>2</v>
      </c>
      <c r="I4615" s="1">
        <v>0</v>
      </c>
      <c r="J4615" s="1">
        <v>0</v>
      </c>
      <c r="K4615" s="1">
        <v>0</v>
      </c>
      <c r="L4615" s="1">
        <v>0</v>
      </c>
      <c r="M4615" s="1">
        <v>0</v>
      </c>
    </row>
    <row r="4616" spans="1:13">
      <c r="A4616" s="1">
        <v>4615</v>
      </c>
      <c r="B4616" s="1">
        <v>902817.52659999998</v>
      </c>
      <c r="C4616" s="1">
        <v>520029.97699377325</v>
      </c>
      <c r="D4616" s="1">
        <f t="shared" si="72"/>
        <v>382787.54960622673</v>
      </c>
      <c r="E4616" s="1">
        <v>12</v>
      </c>
      <c r="F4616" s="1">
        <v>18</v>
      </c>
      <c r="G4616" s="1">
        <v>5</v>
      </c>
      <c r="H4616" s="1">
        <v>2</v>
      </c>
      <c r="I4616" s="1">
        <v>0</v>
      </c>
      <c r="J4616" s="1">
        <v>1</v>
      </c>
      <c r="K4616" s="1">
        <v>1</v>
      </c>
      <c r="L4616" s="1">
        <v>0</v>
      </c>
      <c r="M4616" s="1">
        <v>0</v>
      </c>
    </row>
    <row r="4617" spans="1:13">
      <c r="A4617" s="1">
        <v>4616</v>
      </c>
      <c r="B4617" s="1">
        <v>891940.67110000004</v>
      </c>
      <c r="C4617" s="1">
        <v>1028938.4526857046</v>
      </c>
      <c r="D4617" s="1">
        <f t="shared" si="72"/>
        <v>-136997.78158570454</v>
      </c>
      <c r="E4617" s="1">
        <v>10</v>
      </c>
      <c r="F4617" s="1">
        <v>21</v>
      </c>
      <c r="G4617" s="1">
        <v>4</v>
      </c>
      <c r="H4617" s="1">
        <v>1</v>
      </c>
      <c r="I4617" s="1">
        <v>1</v>
      </c>
      <c r="J4617" s="1">
        <v>0</v>
      </c>
      <c r="K4617" s="1">
        <v>2</v>
      </c>
      <c r="L4617" s="1">
        <v>0</v>
      </c>
      <c r="M4617" s="1">
        <v>0</v>
      </c>
    </row>
    <row r="4618" spans="1:13">
      <c r="A4618" s="1">
        <v>4617</v>
      </c>
      <c r="B4618" s="1">
        <v>868949.48400000005</v>
      </c>
      <c r="C4618" s="1">
        <v>341081.0196311702</v>
      </c>
      <c r="D4618" s="1">
        <f t="shared" si="72"/>
        <v>527868.46436882985</v>
      </c>
      <c r="E4618" s="1">
        <v>20</v>
      </c>
      <c r="F4618" s="1">
        <v>8</v>
      </c>
      <c r="G4618" s="1">
        <v>7</v>
      </c>
      <c r="H4618" s="1">
        <v>1</v>
      </c>
      <c r="I4618" s="1">
        <v>0</v>
      </c>
      <c r="J4618" s="1">
        <v>0</v>
      </c>
      <c r="K4618" s="1">
        <v>1</v>
      </c>
      <c r="L4618" s="1">
        <v>0</v>
      </c>
      <c r="M4618" s="1">
        <v>1</v>
      </c>
    </row>
    <row r="4619" spans="1:13">
      <c r="A4619" s="1">
        <v>4618</v>
      </c>
      <c r="B4619" s="1">
        <v>829061.13890000002</v>
      </c>
      <c r="C4619" s="1">
        <v>945396.06463699148</v>
      </c>
      <c r="D4619" s="1">
        <f t="shared" si="72"/>
        <v>-116334.92573699146</v>
      </c>
      <c r="E4619" s="1">
        <v>14</v>
      </c>
      <c r="F4619" s="1">
        <v>15</v>
      </c>
      <c r="G4619" s="1">
        <v>6</v>
      </c>
      <c r="H4619" s="1">
        <v>2</v>
      </c>
      <c r="I4619" s="1">
        <v>0</v>
      </c>
      <c r="J4619" s="1">
        <v>0</v>
      </c>
      <c r="K4619" s="1">
        <v>0</v>
      </c>
      <c r="L4619" s="1">
        <v>0</v>
      </c>
      <c r="M4619" s="1">
        <v>0</v>
      </c>
    </row>
    <row r="4620" spans="1:13">
      <c r="A4620" s="1">
        <v>4619</v>
      </c>
      <c r="B4620" s="1">
        <v>949890.66980000003</v>
      </c>
      <c r="C4620" s="1">
        <v>1073142.044601229</v>
      </c>
      <c r="D4620" s="1">
        <f t="shared" si="72"/>
        <v>-123251.37480122899</v>
      </c>
      <c r="E4620" s="1">
        <v>15</v>
      </c>
      <c r="F4620" s="1">
        <v>16</v>
      </c>
      <c r="G4620" s="1">
        <v>4</v>
      </c>
      <c r="H4620" s="1">
        <v>0</v>
      </c>
      <c r="I4620" s="1">
        <v>0</v>
      </c>
      <c r="J4620" s="1">
        <v>0</v>
      </c>
      <c r="K4620" s="1">
        <v>2</v>
      </c>
      <c r="L4620" s="1">
        <v>0</v>
      </c>
      <c r="M4620" s="1">
        <v>0</v>
      </c>
    </row>
    <row r="4621" spans="1:13">
      <c r="A4621" s="1">
        <v>4620</v>
      </c>
      <c r="B4621" s="1">
        <v>1041233.7029</v>
      </c>
      <c r="C4621" s="1">
        <v>909021.90332573955</v>
      </c>
      <c r="D4621" s="1">
        <f t="shared" si="72"/>
        <v>132211.79957426048</v>
      </c>
      <c r="E4621" s="1">
        <v>12</v>
      </c>
      <c r="F4621" s="1">
        <v>16</v>
      </c>
      <c r="G4621" s="1">
        <v>7</v>
      </c>
      <c r="H4621" s="1">
        <v>2</v>
      </c>
      <c r="I4621" s="1">
        <v>0</v>
      </c>
      <c r="J4621" s="1">
        <v>2</v>
      </c>
      <c r="K4621" s="1">
        <v>0</v>
      </c>
      <c r="L4621" s="1">
        <v>0</v>
      </c>
      <c r="M4621" s="1">
        <v>0</v>
      </c>
    </row>
    <row r="4622" spans="1:13">
      <c r="A4622" s="1">
        <v>4621</v>
      </c>
      <c r="B4622" s="1">
        <v>956029.91890000005</v>
      </c>
      <c r="C4622" s="1">
        <v>1164186.9664792942</v>
      </c>
      <c r="D4622" s="1">
        <f t="shared" si="72"/>
        <v>-208157.04757929419</v>
      </c>
      <c r="E4622" s="1">
        <v>11</v>
      </c>
      <c r="F4622" s="1">
        <v>15</v>
      </c>
      <c r="G4622" s="1">
        <v>9</v>
      </c>
      <c r="H4622" s="1">
        <v>1</v>
      </c>
      <c r="I4622" s="1">
        <v>1</v>
      </c>
      <c r="J4622" s="1">
        <v>2</v>
      </c>
      <c r="K4622" s="1">
        <v>0</v>
      </c>
      <c r="L4622" s="1">
        <v>0</v>
      </c>
      <c r="M4622" s="1">
        <v>1</v>
      </c>
    </row>
    <row r="4623" spans="1:13">
      <c r="A4623" s="1">
        <v>4622</v>
      </c>
      <c r="B4623" s="1">
        <v>789178.65029999998</v>
      </c>
      <c r="C4623" s="1">
        <v>798849.1072276826</v>
      </c>
      <c r="D4623" s="1">
        <f t="shared" si="72"/>
        <v>-9670.4569276826223</v>
      </c>
      <c r="E4623" s="1">
        <v>14</v>
      </c>
      <c r="F4623" s="1">
        <v>16</v>
      </c>
      <c r="G4623" s="1">
        <v>5</v>
      </c>
      <c r="H4623" s="1">
        <v>2</v>
      </c>
      <c r="I4623" s="1">
        <v>0</v>
      </c>
      <c r="J4623" s="1">
        <v>0</v>
      </c>
      <c r="K4623" s="1">
        <v>1</v>
      </c>
      <c r="L4623" s="1">
        <v>0</v>
      </c>
      <c r="M4623" s="1">
        <v>0</v>
      </c>
    </row>
    <row r="4624" spans="1:13">
      <c r="A4624" s="1">
        <v>4623</v>
      </c>
      <c r="B4624" s="1">
        <v>877522.66170000006</v>
      </c>
      <c r="C4624" s="1">
        <v>1034979.1719974763</v>
      </c>
      <c r="D4624" s="1">
        <f t="shared" si="72"/>
        <v>-157456.5102974762</v>
      </c>
      <c r="E4624" s="1">
        <v>9</v>
      </c>
      <c r="F4624" s="1">
        <v>19</v>
      </c>
      <c r="G4624" s="1">
        <v>7</v>
      </c>
      <c r="H4624" s="1">
        <v>2</v>
      </c>
      <c r="I4624" s="1">
        <v>0</v>
      </c>
      <c r="J4624" s="1">
        <v>1</v>
      </c>
      <c r="K4624" s="1">
        <v>1</v>
      </c>
      <c r="L4624" s="1">
        <v>0</v>
      </c>
      <c r="M4624" s="1">
        <v>0</v>
      </c>
    </row>
    <row r="4625" spans="1:13">
      <c r="A4625" s="1">
        <v>4624</v>
      </c>
      <c r="B4625" s="1">
        <v>945710.85250000004</v>
      </c>
      <c r="C4625" s="1">
        <v>948971.88111629966</v>
      </c>
      <c r="D4625" s="1">
        <f t="shared" si="72"/>
        <v>-3261.0286162996199</v>
      </c>
      <c r="E4625" s="1">
        <v>16</v>
      </c>
      <c r="F4625" s="1">
        <v>14</v>
      </c>
      <c r="G4625" s="1">
        <v>5</v>
      </c>
      <c r="H4625" s="1">
        <v>0</v>
      </c>
      <c r="I4625" s="1">
        <v>0</v>
      </c>
      <c r="J4625" s="1">
        <v>1</v>
      </c>
      <c r="K4625" s="1">
        <v>0</v>
      </c>
      <c r="L4625" s="1">
        <v>0</v>
      </c>
      <c r="M4625" s="1">
        <v>1</v>
      </c>
    </row>
    <row r="4626" spans="1:13">
      <c r="A4626" s="1">
        <v>4625</v>
      </c>
      <c r="B4626" s="1">
        <v>835970.28859999997</v>
      </c>
      <c r="C4626" s="1">
        <v>1082217.2758062547</v>
      </c>
      <c r="D4626" s="1">
        <f t="shared" si="72"/>
        <v>-246246.98720625474</v>
      </c>
      <c r="E4626" s="1">
        <v>11</v>
      </c>
      <c r="F4626" s="1">
        <v>17</v>
      </c>
      <c r="G4626" s="1">
        <v>7</v>
      </c>
      <c r="H4626" s="1">
        <v>2</v>
      </c>
      <c r="I4626" s="1">
        <v>0</v>
      </c>
      <c r="J4626" s="1">
        <v>1</v>
      </c>
      <c r="K4626" s="1">
        <v>1</v>
      </c>
      <c r="L4626" s="1">
        <v>0</v>
      </c>
      <c r="M4626" s="1">
        <v>0</v>
      </c>
    </row>
    <row r="4627" spans="1:13">
      <c r="A4627" s="1">
        <v>4626</v>
      </c>
      <c r="B4627" s="1">
        <v>886244.73190000001</v>
      </c>
      <c r="C4627" s="1">
        <v>857947.25543558656</v>
      </c>
      <c r="D4627" s="1">
        <f t="shared" si="72"/>
        <v>28297.476464413456</v>
      </c>
      <c r="E4627" s="1">
        <v>17</v>
      </c>
      <c r="F4627" s="1">
        <v>15</v>
      </c>
      <c r="G4627" s="1">
        <v>3</v>
      </c>
      <c r="H4627" s="1">
        <v>1</v>
      </c>
      <c r="I4627" s="1">
        <v>0</v>
      </c>
      <c r="J4627" s="1">
        <v>2</v>
      </c>
      <c r="K4627" s="1">
        <v>0</v>
      </c>
      <c r="L4627" s="1">
        <v>0</v>
      </c>
      <c r="M4627" s="1">
        <v>0</v>
      </c>
    </row>
    <row r="4628" spans="1:13">
      <c r="A4628" s="1">
        <v>4627</v>
      </c>
      <c r="B4628" s="1">
        <v>1003943.8051</v>
      </c>
      <c r="C4628" s="1">
        <v>770109.9782052458</v>
      </c>
      <c r="D4628" s="1">
        <f t="shared" si="72"/>
        <v>233833.82689475419</v>
      </c>
      <c r="E4628" s="1">
        <v>6</v>
      </c>
      <c r="F4628" s="1">
        <v>25</v>
      </c>
      <c r="G4628" s="1">
        <v>4</v>
      </c>
      <c r="H4628" s="1">
        <v>0</v>
      </c>
      <c r="I4628" s="1">
        <v>0</v>
      </c>
      <c r="J4628" s="1">
        <v>0</v>
      </c>
      <c r="K4628" s="1">
        <v>0</v>
      </c>
      <c r="L4628" s="1">
        <v>0</v>
      </c>
      <c r="M4628" s="1">
        <v>0</v>
      </c>
    </row>
    <row r="4629" spans="1:13">
      <c r="A4629" s="1">
        <v>4628</v>
      </c>
      <c r="B4629" s="1">
        <v>1018335.4613</v>
      </c>
      <c r="C4629" s="1">
        <v>832460.67112639942</v>
      </c>
      <c r="D4629" s="1">
        <f t="shared" si="72"/>
        <v>185874.79017360054</v>
      </c>
      <c r="E4629" s="1">
        <v>4</v>
      </c>
      <c r="F4629" s="1">
        <v>25</v>
      </c>
      <c r="G4629" s="1">
        <v>6</v>
      </c>
      <c r="H4629" s="1">
        <v>0</v>
      </c>
      <c r="I4629" s="1">
        <v>0</v>
      </c>
      <c r="J4629" s="1">
        <v>1</v>
      </c>
      <c r="K4629" s="1">
        <v>0</v>
      </c>
      <c r="L4629" s="1">
        <v>0</v>
      </c>
      <c r="M4629" s="1">
        <v>0</v>
      </c>
    </row>
    <row r="4630" spans="1:13">
      <c r="A4630" s="1">
        <v>4629</v>
      </c>
      <c r="B4630" s="1">
        <v>899997.94550000003</v>
      </c>
      <c r="C4630" s="1">
        <v>618662.43937911279</v>
      </c>
      <c r="D4630" s="1">
        <f t="shared" si="72"/>
        <v>281335.50612088724</v>
      </c>
      <c r="E4630" s="1">
        <v>21</v>
      </c>
      <c r="F4630" s="1">
        <v>6</v>
      </c>
      <c r="G4630" s="1">
        <v>8</v>
      </c>
      <c r="H4630" s="1">
        <v>2</v>
      </c>
      <c r="I4630" s="1">
        <v>0</v>
      </c>
      <c r="J4630" s="1">
        <v>0</v>
      </c>
      <c r="K4630" s="1">
        <v>0</v>
      </c>
      <c r="L4630" s="1">
        <v>0</v>
      </c>
      <c r="M4630" s="1">
        <v>0</v>
      </c>
    </row>
    <row r="4631" spans="1:13">
      <c r="A4631" s="1">
        <v>4630</v>
      </c>
      <c r="B4631" s="1">
        <v>874967.23129999998</v>
      </c>
      <c r="C4631" s="1">
        <v>1522549.19148891</v>
      </c>
      <c r="D4631" s="1">
        <f t="shared" si="72"/>
        <v>-647581.96018891002</v>
      </c>
      <c r="E4631" s="1">
        <v>20</v>
      </c>
      <c r="F4631" s="1">
        <v>10</v>
      </c>
      <c r="G4631" s="1">
        <v>5</v>
      </c>
      <c r="H4631" s="1">
        <v>0</v>
      </c>
      <c r="I4631" s="1">
        <v>0</v>
      </c>
      <c r="J4631" s="1">
        <v>0</v>
      </c>
      <c r="K4631" s="1">
        <v>0</v>
      </c>
      <c r="L4631" s="1">
        <v>0</v>
      </c>
      <c r="M4631" s="1">
        <v>0</v>
      </c>
    </row>
    <row r="4632" spans="1:13">
      <c r="A4632" s="1">
        <v>4631</v>
      </c>
      <c r="B4632" s="1">
        <v>857009.60930000001</v>
      </c>
      <c r="C4632" s="1">
        <v>899526.87805327913</v>
      </c>
      <c r="D4632" s="1">
        <f t="shared" si="72"/>
        <v>-42517.268753279117</v>
      </c>
      <c r="E4632" s="1">
        <v>16</v>
      </c>
      <c r="F4632" s="1">
        <v>18</v>
      </c>
      <c r="G4632" s="1">
        <v>1</v>
      </c>
      <c r="H4632" s="1">
        <v>1</v>
      </c>
      <c r="I4632" s="1">
        <v>1</v>
      </c>
      <c r="J4632" s="1">
        <v>2</v>
      </c>
      <c r="K4632" s="1">
        <v>0</v>
      </c>
      <c r="L4632" s="1">
        <v>0</v>
      </c>
      <c r="M4632" s="1">
        <v>0</v>
      </c>
    </row>
    <row r="4633" spans="1:13">
      <c r="A4633" s="1">
        <v>4632</v>
      </c>
      <c r="B4633" s="1">
        <v>908105.04550000001</v>
      </c>
      <c r="C4633" s="1">
        <v>666678.04345974594</v>
      </c>
      <c r="D4633" s="1">
        <f t="shared" si="72"/>
        <v>241427.00204025407</v>
      </c>
      <c r="E4633" s="1">
        <v>12</v>
      </c>
      <c r="F4633" s="1">
        <v>18</v>
      </c>
      <c r="G4633" s="1">
        <v>5</v>
      </c>
      <c r="H4633" s="1">
        <v>1</v>
      </c>
      <c r="I4633" s="1">
        <v>0</v>
      </c>
      <c r="J4633" s="1">
        <v>0</v>
      </c>
      <c r="K4633" s="1">
        <v>1</v>
      </c>
      <c r="L4633" s="1">
        <v>0</v>
      </c>
      <c r="M4633" s="1">
        <v>1</v>
      </c>
    </row>
    <row r="4634" spans="1:13">
      <c r="A4634" s="1">
        <v>4633</v>
      </c>
      <c r="B4634" s="1">
        <v>999628.6557</v>
      </c>
      <c r="C4634" s="1">
        <v>849680.40583463688</v>
      </c>
      <c r="D4634" s="1">
        <f t="shared" si="72"/>
        <v>149948.24986536312</v>
      </c>
      <c r="E4634" s="1">
        <v>4</v>
      </c>
      <c r="F4634" s="1">
        <v>28</v>
      </c>
      <c r="G4634" s="1">
        <v>3</v>
      </c>
      <c r="H4634" s="1">
        <v>1</v>
      </c>
      <c r="I4634" s="1">
        <v>1</v>
      </c>
      <c r="J4634" s="1">
        <v>0</v>
      </c>
      <c r="K4634" s="1">
        <v>1</v>
      </c>
      <c r="L4634" s="1">
        <v>0</v>
      </c>
      <c r="M4634" s="1">
        <v>0</v>
      </c>
    </row>
    <row r="4635" spans="1:13">
      <c r="A4635" s="1">
        <v>4634</v>
      </c>
      <c r="B4635" s="1">
        <v>995967.93539999996</v>
      </c>
      <c r="C4635" s="1">
        <v>1017784.0920893522</v>
      </c>
      <c r="D4635" s="1">
        <f t="shared" si="72"/>
        <v>-21816.156689352239</v>
      </c>
      <c r="E4635" s="1">
        <v>16</v>
      </c>
      <c r="F4635" s="1">
        <v>12</v>
      </c>
      <c r="G4635" s="1">
        <v>7</v>
      </c>
      <c r="H4635" s="1">
        <v>2</v>
      </c>
      <c r="I4635" s="1">
        <v>0</v>
      </c>
      <c r="J4635" s="1">
        <v>0</v>
      </c>
      <c r="K4635" s="1">
        <v>2</v>
      </c>
      <c r="L4635" s="1">
        <v>0</v>
      </c>
      <c r="M4635" s="1">
        <v>0</v>
      </c>
    </row>
    <row r="4636" spans="1:13">
      <c r="A4636" s="1">
        <v>4635</v>
      </c>
      <c r="B4636" s="1">
        <v>954895.43519999995</v>
      </c>
      <c r="C4636" s="1">
        <v>1138572.7767403363</v>
      </c>
      <c r="D4636" s="1">
        <f t="shared" si="72"/>
        <v>-183677.34154033638</v>
      </c>
      <c r="E4636" s="1">
        <v>15</v>
      </c>
      <c r="F4636" s="1">
        <v>16</v>
      </c>
      <c r="G4636" s="1">
        <v>4</v>
      </c>
      <c r="H4636" s="1">
        <v>0</v>
      </c>
      <c r="I4636" s="1">
        <v>1</v>
      </c>
      <c r="J4636" s="1">
        <v>1</v>
      </c>
      <c r="K4636" s="1">
        <v>0</v>
      </c>
      <c r="L4636" s="1">
        <v>0</v>
      </c>
      <c r="M4636" s="1">
        <v>1</v>
      </c>
    </row>
    <row r="4637" spans="1:13">
      <c r="A4637" s="1">
        <v>4636</v>
      </c>
      <c r="B4637" s="1">
        <v>1012677.2418</v>
      </c>
      <c r="C4637" s="1">
        <v>517277.11531568633</v>
      </c>
      <c r="D4637" s="1">
        <f t="shared" si="72"/>
        <v>495400.12648431363</v>
      </c>
      <c r="E4637" s="1">
        <v>4</v>
      </c>
      <c r="F4637" s="1">
        <v>22</v>
      </c>
      <c r="G4637" s="1">
        <v>9</v>
      </c>
      <c r="H4637" s="1">
        <v>0</v>
      </c>
      <c r="I4637" s="1">
        <v>1</v>
      </c>
      <c r="J4637" s="1">
        <v>1</v>
      </c>
      <c r="K4637" s="1">
        <v>1</v>
      </c>
      <c r="L4637" s="1">
        <v>0</v>
      </c>
      <c r="M4637" s="1">
        <v>0</v>
      </c>
    </row>
    <row r="4638" spans="1:13">
      <c r="A4638" s="1">
        <v>4637</v>
      </c>
      <c r="B4638" s="1">
        <v>893648.64509999997</v>
      </c>
      <c r="C4638" s="1">
        <v>965021.70743395737</v>
      </c>
      <c r="D4638" s="1">
        <f t="shared" si="72"/>
        <v>-71373.062333957409</v>
      </c>
      <c r="E4638" s="1">
        <v>12</v>
      </c>
      <c r="F4638" s="1">
        <v>20</v>
      </c>
      <c r="G4638" s="1">
        <v>3</v>
      </c>
      <c r="H4638" s="1">
        <v>1</v>
      </c>
      <c r="I4638" s="1">
        <v>0</v>
      </c>
      <c r="J4638" s="1">
        <v>1</v>
      </c>
      <c r="K4638" s="1">
        <v>1</v>
      </c>
      <c r="L4638" s="1">
        <v>0</v>
      </c>
      <c r="M4638" s="1">
        <v>1</v>
      </c>
    </row>
    <row r="4639" spans="1:13">
      <c r="A4639" s="1">
        <v>4638</v>
      </c>
      <c r="B4639" s="1">
        <v>909094.21499999997</v>
      </c>
      <c r="C4639" s="1">
        <v>712290.09868553339</v>
      </c>
      <c r="D4639" s="1">
        <f t="shared" si="72"/>
        <v>196804.11631446658</v>
      </c>
      <c r="E4639" s="1">
        <v>11</v>
      </c>
      <c r="F4639" s="1">
        <v>20</v>
      </c>
      <c r="G4639" s="1">
        <v>4</v>
      </c>
      <c r="H4639" s="1">
        <v>2</v>
      </c>
      <c r="I4639" s="1">
        <v>0</v>
      </c>
      <c r="J4639" s="1">
        <v>0</v>
      </c>
      <c r="K4639" s="1">
        <v>0</v>
      </c>
      <c r="L4639" s="1">
        <v>0</v>
      </c>
      <c r="M4639" s="1">
        <v>0</v>
      </c>
    </row>
    <row r="4640" spans="1:13">
      <c r="A4640" s="1">
        <v>4639</v>
      </c>
      <c r="B4640" s="1">
        <v>938121.27209999994</v>
      </c>
      <c r="C4640" s="1">
        <v>701544.39955224248</v>
      </c>
      <c r="D4640" s="1">
        <f t="shared" si="72"/>
        <v>236576.87254775746</v>
      </c>
      <c r="E4640" s="1">
        <v>10</v>
      </c>
      <c r="F4640" s="1">
        <v>21</v>
      </c>
      <c r="G4640" s="1">
        <v>4</v>
      </c>
      <c r="H4640" s="1">
        <v>0</v>
      </c>
      <c r="I4640" s="1">
        <v>0</v>
      </c>
      <c r="J4640" s="1">
        <v>2</v>
      </c>
      <c r="K4640" s="1">
        <v>0</v>
      </c>
      <c r="L4640" s="1">
        <v>0</v>
      </c>
      <c r="M4640" s="1">
        <v>0</v>
      </c>
    </row>
    <row r="4641" spans="1:13">
      <c r="A4641" s="1">
        <v>4640</v>
      </c>
      <c r="B4641" s="1">
        <v>929997.25349999999</v>
      </c>
      <c r="C4641" s="1">
        <v>1491753.7752095973</v>
      </c>
      <c r="D4641" s="1">
        <f t="shared" si="72"/>
        <v>-561756.52170959732</v>
      </c>
      <c r="E4641" s="1">
        <v>6</v>
      </c>
      <c r="F4641" s="1">
        <v>24</v>
      </c>
      <c r="G4641" s="1">
        <v>5</v>
      </c>
      <c r="H4641" s="1">
        <v>0</v>
      </c>
      <c r="I4641" s="1">
        <v>0</v>
      </c>
      <c r="J4641" s="1">
        <v>0</v>
      </c>
      <c r="K4641" s="1">
        <v>0</v>
      </c>
      <c r="L4641" s="1">
        <v>0</v>
      </c>
      <c r="M4641" s="1">
        <v>0</v>
      </c>
    </row>
    <row r="4642" spans="1:13">
      <c r="A4642" s="1">
        <v>4641</v>
      </c>
      <c r="B4642" s="1">
        <v>869825.12470000004</v>
      </c>
      <c r="C4642" s="1">
        <v>384697.09654963261</v>
      </c>
      <c r="D4642" s="1">
        <f t="shared" si="72"/>
        <v>485128.02815036743</v>
      </c>
      <c r="E4642" s="1">
        <v>10</v>
      </c>
      <c r="F4642" s="1">
        <v>21</v>
      </c>
      <c r="G4642" s="1">
        <v>4</v>
      </c>
      <c r="H4642" s="1">
        <v>2</v>
      </c>
      <c r="I4642" s="1">
        <v>0</v>
      </c>
      <c r="J4642" s="1">
        <v>2</v>
      </c>
      <c r="K4642" s="1">
        <v>0</v>
      </c>
      <c r="L4642" s="1">
        <v>0</v>
      </c>
      <c r="M4642" s="1">
        <v>1</v>
      </c>
    </row>
    <row r="4643" spans="1:13">
      <c r="A4643" s="1">
        <v>4642</v>
      </c>
      <c r="B4643" s="1">
        <v>953323.13619999995</v>
      </c>
      <c r="C4643" s="1">
        <v>932141.45655153657</v>
      </c>
      <c r="D4643" s="1">
        <f t="shared" si="72"/>
        <v>21181.679648463381</v>
      </c>
      <c r="E4643" s="1">
        <v>4</v>
      </c>
      <c r="F4643" s="1">
        <v>25</v>
      </c>
      <c r="G4643" s="1">
        <v>6</v>
      </c>
      <c r="H4643" s="1">
        <v>1</v>
      </c>
      <c r="I4643" s="1">
        <v>0</v>
      </c>
      <c r="J4643" s="1">
        <v>0</v>
      </c>
      <c r="K4643" s="1">
        <v>0</v>
      </c>
      <c r="L4643" s="1">
        <v>0</v>
      </c>
      <c r="M4643" s="1">
        <v>0</v>
      </c>
    </row>
    <row r="4644" spans="1:13">
      <c r="A4644" s="1">
        <v>4643</v>
      </c>
      <c r="B4644" s="1">
        <v>1076349.8885999999</v>
      </c>
      <c r="C4644" s="1">
        <v>998303.57962925709</v>
      </c>
      <c r="D4644" s="1">
        <f t="shared" si="72"/>
        <v>78046.308970742859</v>
      </c>
      <c r="E4644" s="1">
        <v>5</v>
      </c>
      <c r="F4644" s="1">
        <v>25</v>
      </c>
      <c r="G4644" s="1">
        <v>5</v>
      </c>
      <c r="H4644" s="1">
        <v>1</v>
      </c>
      <c r="I4644" s="1">
        <v>0</v>
      </c>
      <c r="J4644" s="1">
        <v>1</v>
      </c>
      <c r="K4644" s="1">
        <v>1</v>
      </c>
      <c r="L4644" s="1">
        <v>0</v>
      </c>
      <c r="M4644" s="1">
        <v>1</v>
      </c>
    </row>
    <row r="4645" spans="1:13">
      <c r="A4645" s="1">
        <v>4644</v>
      </c>
      <c r="B4645" s="1">
        <v>896171.88950000005</v>
      </c>
      <c r="C4645" s="1">
        <v>832487.63099046599</v>
      </c>
      <c r="D4645" s="1">
        <f t="shared" si="72"/>
        <v>63684.258509534062</v>
      </c>
      <c r="E4645" s="1">
        <v>19</v>
      </c>
      <c r="F4645" s="1">
        <v>10</v>
      </c>
      <c r="G4645" s="1">
        <v>6</v>
      </c>
      <c r="H4645" s="1">
        <v>1</v>
      </c>
      <c r="I4645" s="1">
        <v>0</v>
      </c>
      <c r="J4645" s="1">
        <v>0</v>
      </c>
      <c r="K4645" s="1">
        <v>0</v>
      </c>
      <c r="L4645" s="1">
        <v>0</v>
      </c>
      <c r="M4645" s="1">
        <v>0</v>
      </c>
    </row>
    <row r="4646" spans="1:13">
      <c r="A4646" s="1">
        <v>4645</v>
      </c>
      <c r="B4646" s="1">
        <v>906284.13119999995</v>
      </c>
      <c r="C4646" s="1">
        <v>659289.8070671258</v>
      </c>
      <c r="D4646" s="1">
        <f t="shared" si="72"/>
        <v>246994.32413287414</v>
      </c>
      <c r="E4646" s="1">
        <v>14</v>
      </c>
      <c r="F4646" s="1">
        <v>16</v>
      </c>
      <c r="G4646" s="1">
        <v>5</v>
      </c>
      <c r="H4646" s="1">
        <v>1</v>
      </c>
      <c r="I4646" s="1">
        <v>0</v>
      </c>
      <c r="J4646" s="1">
        <v>1</v>
      </c>
      <c r="K4646" s="1">
        <v>1</v>
      </c>
      <c r="L4646" s="1">
        <v>0</v>
      </c>
      <c r="M4646" s="1">
        <v>1</v>
      </c>
    </row>
    <row r="4647" spans="1:13">
      <c r="A4647" s="1">
        <v>4646</v>
      </c>
      <c r="B4647" s="1">
        <v>982650.21349999995</v>
      </c>
      <c r="C4647" s="1">
        <v>1695987.2605086146</v>
      </c>
      <c r="D4647" s="1">
        <f t="shared" si="72"/>
        <v>-713337.04700861464</v>
      </c>
      <c r="E4647" s="1">
        <v>11</v>
      </c>
      <c r="F4647" s="1">
        <v>17</v>
      </c>
      <c r="G4647" s="1">
        <v>7</v>
      </c>
      <c r="H4647" s="1">
        <v>1</v>
      </c>
      <c r="I4647" s="1">
        <v>1</v>
      </c>
      <c r="J4647" s="1">
        <v>1</v>
      </c>
      <c r="K4647" s="1">
        <v>0</v>
      </c>
      <c r="L4647" s="1">
        <v>1</v>
      </c>
      <c r="M4647" s="1">
        <v>0</v>
      </c>
    </row>
    <row r="4648" spans="1:13">
      <c r="A4648" s="1">
        <v>4647</v>
      </c>
      <c r="B4648" s="1">
        <v>1011533.0539000001</v>
      </c>
      <c r="C4648" s="1">
        <v>549387.05665845913</v>
      </c>
      <c r="D4648" s="1">
        <f t="shared" si="72"/>
        <v>462145.99724154093</v>
      </c>
      <c r="E4648" s="1">
        <v>8</v>
      </c>
      <c r="F4648" s="1">
        <v>24</v>
      </c>
      <c r="G4648" s="1">
        <v>3</v>
      </c>
      <c r="H4648" s="1">
        <v>1</v>
      </c>
      <c r="I4648" s="1">
        <v>0</v>
      </c>
      <c r="J4648" s="1">
        <v>0</v>
      </c>
      <c r="K4648" s="1">
        <v>0</v>
      </c>
      <c r="L4648" s="1">
        <v>0</v>
      </c>
      <c r="M4648" s="1">
        <v>0</v>
      </c>
    </row>
    <row r="4649" spans="1:13">
      <c r="A4649" s="1">
        <v>4648</v>
      </c>
      <c r="B4649" s="1">
        <v>946506.05550000002</v>
      </c>
      <c r="C4649" s="1">
        <v>714037.45658342459</v>
      </c>
      <c r="D4649" s="1">
        <f t="shared" si="72"/>
        <v>232468.59891657543</v>
      </c>
      <c r="E4649" s="1">
        <v>20</v>
      </c>
      <c r="F4649" s="1">
        <v>12</v>
      </c>
      <c r="G4649" s="1">
        <v>3</v>
      </c>
      <c r="H4649" s="1">
        <v>1</v>
      </c>
      <c r="I4649" s="1">
        <v>0</v>
      </c>
      <c r="J4649" s="1">
        <v>2</v>
      </c>
      <c r="K4649" s="1">
        <v>0</v>
      </c>
      <c r="L4649" s="1">
        <v>0</v>
      </c>
      <c r="M4649" s="1">
        <v>0</v>
      </c>
    </row>
    <row r="4650" spans="1:13">
      <c r="A4650" s="1">
        <v>4649</v>
      </c>
      <c r="B4650" s="1">
        <v>922802.87109999999</v>
      </c>
      <c r="C4650" s="1">
        <v>808536.32701319316</v>
      </c>
      <c r="D4650" s="1">
        <f t="shared" si="72"/>
        <v>114266.54408680683</v>
      </c>
      <c r="E4650" s="1">
        <v>11</v>
      </c>
      <c r="F4650" s="1">
        <v>22</v>
      </c>
      <c r="G4650" s="1">
        <v>2</v>
      </c>
      <c r="H4650" s="1">
        <v>0</v>
      </c>
      <c r="I4650" s="1">
        <v>0</v>
      </c>
      <c r="J4650" s="1">
        <v>0</v>
      </c>
      <c r="K4650" s="1">
        <v>0</v>
      </c>
      <c r="L4650" s="1">
        <v>0</v>
      </c>
      <c r="M4650" s="1">
        <v>0</v>
      </c>
    </row>
    <row r="4651" spans="1:13">
      <c r="A4651" s="1">
        <v>4650</v>
      </c>
      <c r="B4651" s="1">
        <v>956446.32559999998</v>
      </c>
      <c r="C4651" s="1">
        <v>1265832.9601248396</v>
      </c>
      <c r="D4651" s="1">
        <f t="shared" si="72"/>
        <v>-309386.63452483958</v>
      </c>
      <c r="E4651" s="1">
        <v>9</v>
      </c>
      <c r="F4651" s="1">
        <v>22</v>
      </c>
      <c r="G4651" s="1">
        <v>4</v>
      </c>
      <c r="H4651" s="1">
        <v>0</v>
      </c>
      <c r="I4651" s="1">
        <v>0</v>
      </c>
      <c r="J4651" s="1">
        <v>0</v>
      </c>
      <c r="K4651" s="1">
        <v>0</v>
      </c>
      <c r="L4651" s="1">
        <v>1</v>
      </c>
      <c r="M4651" s="1">
        <v>0</v>
      </c>
    </row>
    <row r="4652" spans="1:13">
      <c r="A4652" s="1">
        <v>4651</v>
      </c>
      <c r="B4652" s="1">
        <v>933878.03469999996</v>
      </c>
      <c r="C4652" s="1">
        <v>800157.95120087615</v>
      </c>
      <c r="D4652" s="1">
        <f t="shared" si="72"/>
        <v>133720.08349912381</v>
      </c>
      <c r="E4652" s="1">
        <v>9</v>
      </c>
      <c r="F4652" s="1">
        <v>25</v>
      </c>
      <c r="G4652" s="1">
        <v>1</v>
      </c>
      <c r="H4652" s="1">
        <v>0</v>
      </c>
      <c r="I4652" s="1">
        <v>1</v>
      </c>
      <c r="J4652" s="1">
        <v>1</v>
      </c>
      <c r="K4652" s="1">
        <v>1</v>
      </c>
      <c r="L4652" s="1">
        <v>0</v>
      </c>
      <c r="M4652" s="1">
        <v>0</v>
      </c>
    </row>
    <row r="4653" spans="1:13">
      <c r="A4653" s="1">
        <v>4652</v>
      </c>
      <c r="B4653" s="1">
        <v>923936.59889999998</v>
      </c>
      <c r="C4653" s="1">
        <v>1272633.72884998</v>
      </c>
      <c r="D4653" s="1">
        <f t="shared" si="72"/>
        <v>-348697.12994998007</v>
      </c>
      <c r="E4653" s="1">
        <v>17</v>
      </c>
      <c r="F4653" s="1">
        <v>12</v>
      </c>
      <c r="G4653" s="1">
        <v>6</v>
      </c>
      <c r="H4653" s="1">
        <v>0</v>
      </c>
      <c r="I4653" s="1">
        <v>1</v>
      </c>
      <c r="J4653" s="1">
        <v>1</v>
      </c>
      <c r="K4653" s="1">
        <v>0</v>
      </c>
      <c r="L4653" s="1">
        <v>0</v>
      </c>
      <c r="M4653" s="1">
        <v>0</v>
      </c>
    </row>
    <row r="4654" spans="1:13">
      <c r="A4654" s="1">
        <v>4653</v>
      </c>
      <c r="B4654" s="1">
        <v>994572.25679999997</v>
      </c>
      <c r="C4654" s="1">
        <v>921814.11067320697</v>
      </c>
      <c r="D4654" s="1">
        <f t="shared" si="72"/>
        <v>72758.146126792999</v>
      </c>
      <c r="E4654" s="1">
        <v>9</v>
      </c>
      <c r="F4654" s="1">
        <v>18</v>
      </c>
      <c r="G4654" s="1">
        <v>8</v>
      </c>
      <c r="H4654" s="1">
        <v>1</v>
      </c>
      <c r="I4654" s="1">
        <v>1</v>
      </c>
      <c r="J4654" s="1">
        <v>0</v>
      </c>
      <c r="K4654" s="1">
        <v>1</v>
      </c>
      <c r="L4654" s="1">
        <v>0</v>
      </c>
      <c r="M4654" s="1">
        <v>0</v>
      </c>
    </row>
    <row r="4655" spans="1:13">
      <c r="A4655" s="1">
        <v>4654</v>
      </c>
      <c r="B4655" s="1">
        <v>890447.0466</v>
      </c>
      <c r="C4655" s="1">
        <v>774750.6869325377</v>
      </c>
      <c r="D4655" s="1">
        <f t="shared" si="72"/>
        <v>115696.3596674623</v>
      </c>
      <c r="E4655" s="1">
        <v>17</v>
      </c>
      <c r="F4655" s="1">
        <v>14</v>
      </c>
      <c r="G4655" s="1">
        <v>4</v>
      </c>
      <c r="H4655" s="1">
        <v>0</v>
      </c>
      <c r="I4655" s="1">
        <v>0</v>
      </c>
      <c r="J4655" s="1">
        <v>0</v>
      </c>
      <c r="K4655" s="1">
        <v>2</v>
      </c>
      <c r="L4655" s="1">
        <v>0</v>
      </c>
      <c r="M4655" s="1">
        <v>0</v>
      </c>
    </row>
    <row r="4656" spans="1:13">
      <c r="A4656" s="1">
        <v>4655</v>
      </c>
      <c r="B4656" s="1">
        <v>802485.79650000005</v>
      </c>
      <c r="C4656" s="1">
        <v>856523.89207644993</v>
      </c>
      <c r="D4656" s="1">
        <f t="shared" si="72"/>
        <v>-54038.095576449879</v>
      </c>
      <c r="E4656" s="1">
        <v>22</v>
      </c>
      <c r="F4656" s="1">
        <v>8</v>
      </c>
      <c r="G4656" s="1">
        <v>5</v>
      </c>
      <c r="H4656" s="1">
        <v>1</v>
      </c>
      <c r="I4656" s="1">
        <v>1</v>
      </c>
      <c r="J4656" s="1">
        <v>0</v>
      </c>
      <c r="K4656" s="1">
        <v>1</v>
      </c>
      <c r="L4656" s="1">
        <v>0</v>
      </c>
      <c r="M4656" s="1">
        <v>0</v>
      </c>
    </row>
    <row r="4657" spans="1:13">
      <c r="A4657" s="1">
        <v>4656</v>
      </c>
      <c r="B4657" s="1">
        <v>877450.58750000002</v>
      </c>
      <c r="C4657" s="1">
        <v>882281.22927368456</v>
      </c>
      <c r="D4657" s="1">
        <f t="shared" si="72"/>
        <v>-4830.6417736845324</v>
      </c>
      <c r="E4657" s="1">
        <v>18</v>
      </c>
      <c r="F4657" s="1">
        <v>13</v>
      </c>
      <c r="G4657" s="1">
        <v>4</v>
      </c>
      <c r="H4657" s="1">
        <v>2</v>
      </c>
      <c r="I4657" s="1">
        <v>0</v>
      </c>
      <c r="J4657" s="1">
        <v>0</v>
      </c>
      <c r="K4657" s="1">
        <v>1</v>
      </c>
      <c r="L4657" s="1">
        <v>0</v>
      </c>
      <c r="M4657" s="1">
        <v>1</v>
      </c>
    </row>
    <row r="4658" spans="1:13">
      <c r="A4658" s="1">
        <v>4657</v>
      </c>
      <c r="B4658" s="1">
        <v>939696.43799999997</v>
      </c>
      <c r="C4658" s="1">
        <v>541482.32567439973</v>
      </c>
      <c r="D4658" s="1">
        <f t="shared" si="72"/>
        <v>398214.11232560023</v>
      </c>
      <c r="E4658" s="1">
        <v>15</v>
      </c>
      <c r="F4658" s="1">
        <v>15</v>
      </c>
      <c r="G4658" s="1">
        <v>5</v>
      </c>
      <c r="H4658" s="1">
        <v>1</v>
      </c>
      <c r="I4658" s="1">
        <v>1</v>
      </c>
      <c r="J4658" s="1">
        <v>0</v>
      </c>
      <c r="K4658" s="1">
        <v>2</v>
      </c>
      <c r="L4658" s="1">
        <v>0</v>
      </c>
      <c r="M4658" s="1">
        <v>0</v>
      </c>
    </row>
    <row r="4659" spans="1:13">
      <c r="A4659" s="1">
        <v>4658</v>
      </c>
      <c r="B4659" s="1">
        <v>1045008.8996</v>
      </c>
      <c r="C4659" s="1">
        <v>855267.29782695882</v>
      </c>
      <c r="D4659" s="1">
        <f t="shared" si="72"/>
        <v>189741.60177304118</v>
      </c>
      <c r="E4659" s="1">
        <v>11</v>
      </c>
      <c r="F4659" s="1">
        <v>16</v>
      </c>
      <c r="G4659" s="1">
        <v>8</v>
      </c>
      <c r="H4659" s="1">
        <v>0</v>
      </c>
      <c r="I4659" s="1">
        <v>0</v>
      </c>
      <c r="J4659" s="1">
        <v>0</v>
      </c>
      <c r="K4659" s="1">
        <v>1</v>
      </c>
      <c r="L4659" s="1">
        <v>0</v>
      </c>
      <c r="M4659" s="1">
        <v>0</v>
      </c>
    </row>
    <row r="4660" spans="1:13">
      <c r="A4660" s="1">
        <v>4659</v>
      </c>
      <c r="B4660" s="1">
        <v>911306.56229999999</v>
      </c>
      <c r="C4660" s="1">
        <v>732177.44886860589</v>
      </c>
      <c r="D4660" s="1">
        <f t="shared" si="72"/>
        <v>179129.1134313941</v>
      </c>
      <c r="E4660" s="1">
        <v>19</v>
      </c>
      <c r="F4660" s="1">
        <v>14</v>
      </c>
      <c r="G4660" s="1">
        <v>2</v>
      </c>
      <c r="H4660" s="1">
        <v>1</v>
      </c>
      <c r="I4660" s="1">
        <v>1</v>
      </c>
      <c r="J4660" s="1">
        <v>1</v>
      </c>
      <c r="K4660" s="1">
        <v>1</v>
      </c>
      <c r="L4660" s="1">
        <v>0</v>
      </c>
      <c r="M4660" s="1">
        <v>1</v>
      </c>
    </row>
    <row r="4661" spans="1:13">
      <c r="A4661" s="1">
        <v>4660</v>
      </c>
      <c r="B4661" s="1">
        <v>1050334.8293000001</v>
      </c>
      <c r="C4661" s="1">
        <v>806978.57188768743</v>
      </c>
      <c r="D4661" s="1">
        <f t="shared" si="72"/>
        <v>243356.25741231267</v>
      </c>
      <c r="E4661" s="1">
        <v>17</v>
      </c>
      <c r="F4661" s="1">
        <v>13</v>
      </c>
      <c r="G4661" s="1">
        <v>5</v>
      </c>
      <c r="H4661" s="1">
        <v>0</v>
      </c>
      <c r="I4661" s="1">
        <v>0</v>
      </c>
      <c r="J4661" s="1">
        <v>1</v>
      </c>
      <c r="K4661" s="1">
        <v>0</v>
      </c>
      <c r="L4661" s="1">
        <v>0</v>
      </c>
      <c r="M4661" s="1">
        <v>0</v>
      </c>
    </row>
    <row r="4662" spans="1:13">
      <c r="A4662" s="1">
        <v>4661</v>
      </c>
      <c r="B4662" s="1">
        <v>985312.15850000002</v>
      </c>
      <c r="C4662" s="1">
        <v>1561500.5903213448</v>
      </c>
      <c r="D4662" s="1">
        <f t="shared" si="72"/>
        <v>-576188.43182134477</v>
      </c>
      <c r="E4662" s="1">
        <v>9</v>
      </c>
      <c r="F4662" s="1">
        <v>20</v>
      </c>
      <c r="G4662" s="1">
        <v>6</v>
      </c>
      <c r="H4662" s="1">
        <v>0</v>
      </c>
      <c r="I4662" s="1">
        <v>0</v>
      </c>
      <c r="J4662" s="1">
        <v>2</v>
      </c>
      <c r="K4662" s="1">
        <v>0</v>
      </c>
      <c r="L4662" s="1">
        <v>0</v>
      </c>
      <c r="M4662" s="1">
        <v>1</v>
      </c>
    </row>
    <row r="4663" spans="1:13">
      <c r="A4663" s="1">
        <v>4662</v>
      </c>
      <c r="B4663" s="1">
        <v>902087.83929999999</v>
      </c>
      <c r="C4663" s="1">
        <v>1016260.769896359</v>
      </c>
      <c r="D4663" s="1">
        <f t="shared" si="72"/>
        <v>-114172.93059635896</v>
      </c>
      <c r="E4663" s="1">
        <v>9</v>
      </c>
      <c r="F4663" s="1">
        <v>23</v>
      </c>
      <c r="G4663" s="1">
        <v>3</v>
      </c>
      <c r="H4663" s="1">
        <v>1</v>
      </c>
      <c r="I4663" s="1">
        <v>0</v>
      </c>
      <c r="J4663" s="1">
        <v>1</v>
      </c>
      <c r="K4663" s="1">
        <v>1</v>
      </c>
      <c r="L4663" s="1">
        <v>0</v>
      </c>
      <c r="M4663" s="1">
        <v>0</v>
      </c>
    </row>
    <row r="4664" spans="1:13">
      <c r="A4664" s="1">
        <v>4663</v>
      </c>
      <c r="B4664" s="1">
        <v>950200.85990000004</v>
      </c>
      <c r="C4664" s="1">
        <v>744040.53223354265</v>
      </c>
      <c r="D4664" s="1">
        <f t="shared" si="72"/>
        <v>206160.32766645739</v>
      </c>
      <c r="E4664" s="1">
        <v>18</v>
      </c>
      <c r="F4664" s="1">
        <v>12</v>
      </c>
      <c r="G4664" s="1">
        <v>5</v>
      </c>
      <c r="H4664" s="1">
        <v>1</v>
      </c>
      <c r="I4664" s="1">
        <v>0</v>
      </c>
      <c r="J4664" s="1">
        <v>0</v>
      </c>
      <c r="K4664" s="1">
        <v>2</v>
      </c>
      <c r="L4664" s="1">
        <v>0</v>
      </c>
      <c r="M4664" s="1">
        <v>0</v>
      </c>
    </row>
    <row r="4665" spans="1:13">
      <c r="A4665" s="1">
        <v>4664</v>
      </c>
      <c r="B4665" s="1">
        <v>1029131.7445</v>
      </c>
      <c r="C4665" s="1">
        <v>942296.20123329828</v>
      </c>
      <c r="D4665" s="1">
        <f t="shared" si="72"/>
        <v>86835.543266701745</v>
      </c>
      <c r="E4665" s="1">
        <v>11</v>
      </c>
      <c r="F4665" s="1">
        <v>17</v>
      </c>
      <c r="G4665" s="1">
        <v>7</v>
      </c>
      <c r="H4665" s="1">
        <v>0</v>
      </c>
      <c r="I4665" s="1">
        <v>0</v>
      </c>
      <c r="J4665" s="1">
        <v>0</v>
      </c>
      <c r="K4665" s="1">
        <v>1</v>
      </c>
      <c r="L4665" s="1">
        <v>1</v>
      </c>
      <c r="M4665" s="1">
        <v>0</v>
      </c>
    </row>
    <row r="4666" spans="1:13">
      <c r="A4666" s="1">
        <v>4665</v>
      </c>
      <c r="B4666" s="1">
        <v>888851.75329999998</v>
      </c>
      <c r="C4666" s="1">
        <v>482170.80087262776</v>
      </c>
      <c r="D4666" s="1">
        <f t="shared" si="72"/>
        <v>406680.95242737222</v>
      </c>
      <c r="E4666" s="1">
        <v>13</v>
      </c>
      <c r="F4666" s="1">
        <v>17</v>
      </c>
      <c r="G4666" s="1">
        <v>5</v>
      </c>
      <c r="H4666" s="1">
        <v>2</v>
      </c>
      <c r="I4666" s="1">
        <v>0</v>
      </c>
      <c r="J4666" s="1">
        <v>1</v>
      </c>
      <c r="K4666" s="1">
        <v>1</v>
      </c>
      <c r="L4666" s="1">
        <v>0</v>
      </c>
      <c r="M4666" s="1">
        <v>0</v>
      </c>
    </row>
    <row r="4667" spans="1:13">
      <c r="A4667" s="1">
        <v>4666</v>
      </c>
      <c r="B4667" s="1">
        <v>952714.89410000003</v>
      </c>
      <c r="C4667" s="1">
        <v>676051.02929776558</v>
      </c>
      <c r="D4667" s="1">
        <f t="shared" si="72"/>
        <v>276663.86480223446</v>
      </c>
      <c r="E4667" s="1">
        <v>14</v>
      </c>
      <c r="F4667" s="1">
        <v>14</v>
      </c>
      <c r="G4667" s="1">
        <v>7</v>
      </c>
      <c r="H4667" s="1">
        <v>2</v>
      </c>
      <c r="I4667" s="1">
        <v>0</v>
      </c>
      <c r="J4667" s="1">
        <v>1</v>
      </c>
      <c r="K4667" s="1">
        <v>0</v>
      </c>
      <c r="L4667" s="1">
        <v>0</v>
      </c>
      <c r="M4667" s="1">
        <v>0</v>
      </c>
    </row>
    <row r="4668" spans="1:13">
      <c r="A4668" s="1">
        <v>4667</v>
      </c>
      <c r="B4668" s="1">
        <v>983687.04799999995</v>
      </c>
      <c r="C4668" s="1">
        <v>832007.38433643582</v>
      </c>
      <c r="D4668" s="1">
        <f t="shared" si="72"/>
        <v>151679.66366356413</v>
      </c>
      <c r="E4668" s="1">
        <v>8</v>
      </c>
      <c r="F4668" s="1">
        <v>21</v>
      </c>
      <c r="G4668" s="1">
        <v>6</v>
      </c>
      <c r="H4668" s="1">
        <v>1</v>
      </c>
      <c r="I4668" s="1">
        <v>0</v>
      </c>
      <c r="J4668" s="1">
        <v>2</v>
      </c>
      <c r="K4668" s="1">
        <v>0</v>
      </c>
      <c r="L4668" s="1">
        <v>0</v>
      </c>
      <c r="M4668" s="1">
        <v>0</v>
      </c>
    </row>
    <row r="4669" spans="1:13">
      <c r="A4669" s="1">
        <v>4668</v>
      </c>
      <c r="B4669" s="1">
        <v>1017998.6054999999</v>
      </c>
      <c r="C4669" s="1">
        <v>732794.98500423064</v>
      </c>
      <c r="D4669" s="1">
        <f t="shared" si="72"/>
        <v>285203.62049576931</v>
      </c>
      <c r="E4669" s="1">
        <v>11</v>
      </c>
      <c r="F4669" s="1">
        <v>19</v>
      </c>
      <c r="G4669" s="1">
        <v>5</v>
      </c>
      <c r="H4669" s="1">
        <v>0</v>
      </c>
      <c r="I4669" s="1">
        <v>0</v>
      </c>
      <c r="J4669" s="1">
        <v>1</v>
      </c>
      <c r="K4669" s="1">
        <v>1</v>
      </c>
      <c r="L4669" s="1">
        <v>0</v>
      </c>
      <c r="M4669" s="1">
        <v>1</v>
      </c>
    </row>
    <row r="4670" spans="1:13">
      <c r="A4670" s="1">
        <v>4669</v>
      </c>
      <c r="B4670" s="1">
        <v>946481.55570000003</v>
      </c>
      <c r="C4670" s="1">
        <v>924269.428223731</v>
      </c>
      <c r="D4670" s="1">
        <f t="shared" si="72"/>
        <v>22212.12747626903</v>
      </c>
      <c r="E4670" s="1">
        <v>13</v>
      </c>
      <c r="F4670" s="1">
        <v>18</v>
      </c>
      <c r="G4670" s="1">
        <v>4</v>
      </c>
      <c r="H4670" s="1">
        <v>0</v>
      </c>
      <c r="I4670" s="1">
        <v>0</v>
      </c>
      <c r="J4670" s="1">
        <v>0</v>
      </c>
      <c r="K4670" s="1">
        <v>1</v>
      </c>
      <c r="L4670" s="1">
        <v>0</v>
      </c>
      <c r="M4670" s="1">
        <v>0</v>
      </c>
    </row>
    <row r="4671" spans="1:13">
      <c r="A4671" s="1">
        <v>4670</v>
      </c>
      <c r="B4671" s="1">
        <v>895325.69759999996</v>
      </c>
      <c r="C4671" s="1">
        <v>871790.45664314739</v>
      </c>
      <c r="D4671" s="1">
        <f t="shared" si="72"/>
        <v>23535.240956852562</v>
      </c>
      <c r="E4671" s="1">
        <v>12</v>
      </c>
      <c r="F4671" s="1">
        <v>18</v>
      </c>
      <c r="G4671" s="1">
        <v>5</v>
      </c>
      <c r="H4671" s="1">
        <v>1</v>
      </c>
      <c r="I4671" s="1">
        <v>0</v>
      </c>
      <c r="J4671" s="1">
        <v>0</v>
      </c>
      <c r="K4671" s="1">
        <v>0</v>
      </c>
      <c r="L4671" s="1">
        <v>0</v>
      </c>
      <c r="M4671" s="1">
        <v>1</v>
      </c>
    </row>
    <row r="4672" spans="1:13">
      <c r="A4672" s="1">
        <v>4671</v>
      </c>
      <c r="B4672" s="1">
        <v>986212.49199999997</v>
      </c>
      <c r="C4672" s="1">
        <v>587095.01155765541</v>
      </c>
      <c r="D4672" s="1">
        <f t="shared" si="72"/>
        <v>399117.48044234456</v>
      </c>
      <c r="E4672" s="1">
        <v>12</v>
      </c>
      <c r="F4672" s="1">
        <v>12</v>
      </c>
      <c r="G4672" s="1">
        <v>11</v>
      </c>
      <c r="H4672" s="1">
        <v>1</v>
      </c>
      <c r="I4672" s="1">
        <v>0</v>
      </c>
      <c r="J4672" s="1">
        <v>1</v>
      </c>
      <c r="K4672" s="1">
        <v>0</v>
      </c>
      <c r="L4672" s="1">
        <v>0</v>
      </c>
      <c r="M4672" s="1">
        <v>0</v>
      </c>
    </row>
    <row r="4673" spans="1:13">
      <c r="A4673" s="1">
        <v>4672</v>
      </c>
      <c r="B4673" s="1">
        <v>867654.09490000003</v>
      </c>
      <c r="C4673" s="1">
        <v>819094.40566039307</v>
      </c>
      <c r="D4673" s="1">
        <f t="shared" si="72"/>
        <v>48559.68923960696</v>
      </c>
      <c r="E4673" s="1">
        <v>19</v>
      </c>
      <c r="F4673" s="1">
        <v>14</v>
      </c>
      <c r="G4673" s="1">
        <v>2</v>
      </c>
      <c r="H4673" s="1">
        <v>0</v>
      </c>
      <c r="I4673" s="1">
        <v>0</v>
      </c>
      <c r="J4673" s="1">
        <v>1</v>
      </c>
      <c r="K4673" s="1">
        <v>1</v>
      </c>
      <c r="L4673" s="1">
        <v>0</v>
      </c>
      <c r="M4673" s="1">
        <v>0</v>
      </c>
    </row>
    <row r="4674" spans="1:13">
      <c r="A4674" s="1">
        <v>4673</v>
      </c>
      <c r="B4674" s="1">
        <v>987528.46950000001</v>
      </c>
      <c r="C4674" s="1">
        <v>981059.2716415131</v>
      </c>
      <c r="D4674" s="1">
        <f t="shared" ref="D4674:D4737" si="73">B4674-C4674</f>
        <v>6469.1978584869066</v>
      </c>
      <c r="E4674" s="1">
        <v>9</v>
      </c>
      <c r="F4674" s="1">
        <v>23</v>
      </c>
      <c r="G4674" s="1">
        <v>3</v>
      </c>
      <c r="H4674" s="1">
        <v>0</v>
      </c>
      <c r="I4674" s="1">
        <v>0</v>
      </c>
      <c r="J4674" s="1">
        <v>0</v>
      </c>
      <c r="K4674" s="1">
        <v>1</v>
      </c>
      <c r="L4674" s="1">
        <v>0</v>
      </c>
      <c r="M4674" s="1">
        <v>0</v>
      </c>
    </row>
    <row r="4675" spans="1:13">
      <c r="A4675" s="1">
        <v>4674</v>
      </c>
      <c r="B4675" s="1">
        <v>995678.05440000002</v>
      </c>
      <c r="C4675" s="1">
        <v>1103426.0440977858</v>
      </c>
      <c r="D4675" s="1">
        <f t="shared" si="73"/>
        <v>-107747.98969778582</v>
      </c>
      <c r="E4675" s="1">
        <v>5</v>
      </c>
      <c r="F4675" s="1">
        <v>26</v>
      </c>
      <c r="G4675" s="1">
        <v>4</v>
      </c>
      <c r="H4675" s="1">
        <v>2</v>
      </c>
      <c r="I4675" s="1">
        <v>0</v>
      </c>
      <c r="J4675" s="1">
        <v>0</v>
      </c>
      <c r="K4675" s="1">
        <v>0</v>
      </c>
      <c r="L4675" s="1">
        <v>0</v>
      </c>
      <c r="M4675" s="1">
        <v>0</v>
      </c>
    </row>
    <row r="4676" spans="1:13">
      <c r="A4676" s="1">
        <v>4675</v>
      </c>
      <c r="B4676" s="1">
        <v>950992.92469999997</v>
      </c>
      <c r="C4676" s="1">
        <v>777426.12508315011</v>
      </c>
      <c r="D4676" s="1">
        <f t="shared" si="73"/>
        <v>173566.79961684986</v>
      </c>
      <c r="E4676" s="1">
        <v>25</v>
      </c>
      <c r="F4676" s="1">
        <v>6</v>
      </c>
      <c r="G4676" s="1">
        <v>4</v>
      </c>
      <c r="H4676" s="1">
        <v>1</v>
      </c>
      <c r="I4676" s="1">
        <v>0</v>
      </c>
      <c r="J4676" s="1">
        <v>0</v>
      </c>
      <c r="K4676" s="1">
        <v>1</v>
      </c>
      <c r="L4676" s="1">
        <v>0</v>
      </c>
      <c r="M4676" s="1">
        <v>1</v>
      </c>
    </row>
    <row r="4677" spans="1:13">
      <c r="A4677" s="1">
        <v>4676</v>
      </c>
      <c r="B4677" s="1">
        <v>879019.1557</v>
      </c>
      <c r="C4677" s="1">
        <v>897854.09637445654</v>
      </c>
      <c r="D4677" s="1">
        <f t="shared" si="73"/>
        <v>-18834.940674456535</v>
      </c>
      <c r="E4677" s="1">
        <v>19</v>
      </c>
      <c r="F4677" s="1">
        <v>12</v>
      </c>
      <c r="G4677" s="1">
        <v>4</v>
      </c>
      <c r="H4677" s="1">
        <v>1</v>
      </c>
      <c r="I4677" s="1">
        <v>0</v>
      </c>
      <c r="J4677" s="1">
        <v>0</v>
      </c>
      <c r="K4677" s="1">
        <v>0</v>
      </c>
      <c r="L4677" s="1">
        <v>0</v>
      </c>
      <c r="M4677" s="1">
        <v>1</v>
      </c>
    </row>
    <row r="4678" spans="1:13">
      <c r="A4678" s="1">
        <v>4677</v>
      </c>
      <c r="B4678" s="1">
        <v>896927.6703</v>
      </c>
      <c r="C4678" s="1">
        <v>1748911.1577689135</v>
      </c>
      <c r="D4678" s="1">
        <f t="shared" si="73"/>
        <v>-851983.48746891355</v>
      </c>
      <c r="E4678" s="1">
        <v>12</v>
      </c>
      <c r="F4678" s="1">
        <v>19</v>
      </c>
      <c r="G4678" s="1">
        <v>4</v>
      </c>
      <c r="H4678" s="1">
        <v>0</v>
      </c>
      <c r="I4678" s="1">
        <v>0</v>
      </c>
      <c r="J4678" s="1">
        <v>1</v>
      </c>
      <c r="K4678" s="1">
        <v>1</v>
      </c>
      <c r="L4678" s="1">
        <v>0</v>
      </c>
      <c r="M4678" s="1">
        <v>0</v>
      </c>
    </row>
    <row r="4679" spans="1:13">
      <c r="A4679" s="1">
        <v>4678</v>
      </c>
      <c r="B4679" s="1">
        <v>902880.65899999999</v>
      </c>
      <c r="C4679" s="1">
        <v>1007178.3389026654</v>
      </c>
      <c r="D4679" s="1">
        <f t="shared" si="73"/>
        <v>-104297.67990266543</v>
      </c>
      <c r="E4679" s="1">
        <v>15</v>
      </c>
      <c r="F4679" s="1">
        <v>19</v>
      </c>
      <c r="G4679" s="1">
        <v>1</v>
      </c>
      <c r="H4679" s="1">
        <v>2</v>
      </c>
      <c r="I4679" s="1">
        <v>0</v>
      </c>
      <c r="J4679" s="1">
        <v>0</v>
      </c>
      <c r="K4679" s="1">
        <v>2</v>
      </c>
      <c r="L4679" s="1">
        <v>0</v>
      </c>
      <c r="M4679" s="1">
        <v>0</v>
      </c>
    </row>
    <row r="4680" spans="1:13">
      <c r="A4680" s="1">
        <v>4679</v>
      </c>
      <c r="B4680" s="1">
        <v>914030.29630000005</v>
      </c>
      <c r="C4680" s="1">
        <v>705746.33355560049</v>
      </c>
      <c r="D4680" s="1">
        <f t="shared" si="73"/>
        <v>208283.96274439956</v>
      </c>
      <c r="E4680" s="1">
        <v>14</v>
      </c>
      <c r="F4680" s="1">
        <v>16</v>
      </c>
      <c r="G4680" s="1">
        <v>5</v>
      </c>
      <c r="H4680" s="1">
        <v>2</v>
      </c>
      <c r="I4680" s="1">
        <v>0</v>
      </c>
      <c r="J4680" s="1">
        <v>1</v>
      </c>
      <c r="K4680" s="1">
        <v>1</v>
      </c>
      <c r="L4680" s="1">
        <v>0</v>
      </c>
      <c r="M4680" s="1">
        <v>1</v>
      </c>
    </row>
    <row r="4681" spans="1:13">
      <c r="A4681" s="1">
        <v>4680</v>
      </c>
      <c r="B4681" s="1">
        <v>964697.83169999998</v>
      </c>
      <c r="C4681" s="1">
        <v>849848.79874021118</v>
      </c>
      <c r="D4681" s="1">
        <f t="shared" si="73"/>
        <v>114849.0329597888</v>
      </c>
      <c r="E4681" s="1">
        <v>3</v>
      </c>
      <c r="F4681" s="1">
        <v>30</v>
      </c>
      <c r="G4681" s="1">
        <v>2</v>
      </c>
      <c r="H4681" s="1">
        <v>0</v>
      </c>
      <c r="I4681" s="1">
        <v>0</v>
      </c>
      <c r="J4681" s="1">
        <v>1</v>
      </c>
      <c r="K4681" s="1">
        <v>0</v>
      </c>
      <c r="L4681" s="1">
        <v>0</v>
      </c>
      <c r="M4681" s="1">
        <v>0</v>
      </c>
    </row>
    <row r="4682" spans="1:13">
      <c r="A4682" s="1">
        <v>4681</v>
      </c>
      <c r="B4682" s="1">
        <v>957795.85730000003</v>
      </c>
      <c r="C4682" s="1">
        <v>818687.1660007945</v>
      </c>
      <c r="D4682" s="1">
        <f t="shared" si="73"/>
        <v>139108.69129920553</v>
      </c>
      <c r="E4682" s="1">
        <v>10</v>
      </c>
      <c r="F4682" s="1">
        <v>22</v>
      </c>
      <c r="G4682" s="1">
        <v>3</v>
      </c>
      <c r="H4682" s="1">
        <v>1</v>
      </c>
      <c r="I4682" s="1">
        <v>1</v>
      </c>
      <c r="J4682" s="1">
        <v>1</v>
      </c>
      <c r="K4682" s="1">
        <v>1</v>
      </c>
      <c r="L4682" s="1">
        <v>0</v>
      </c>
      <c r="M4682" s="1">
        <v>0</v>
      </c>
    </row>
    <row r="4683" spans="1:13">
      <c r="A4683" s="1">
        <v>4682</v>
      </c>
      <c r="B4683" s="1">
        <v>930381.51789999998</v>
      </c>
      <c r="C4683" s="1">
        <v>911087.48480419605</v>
      </c>
      <c r="D4683" s="1">
        <f t="shared" si="73"/>
        <v>19294.033095803927</v>
      </c>
      <c r="E4683" s="1">
        <v>11</v>
      </c>
      <c r="F4683" s="1">
        <v>18</v>
      </c>
      <c r="G4683" s="1">
        <v>6</v>
      </c>
      <c r="H4683" s="1">
        <v>2</v>
      </c>
      <c r="I4683" s="1">
        <v>0</v>
      </c>
      <c r="J4683" s="1">
        <v>0</v>
      </c>
      <c r="K4683" s="1">
        <v>0</v>
      </c>
      <c r="L4683" s="1">
        <v>0</v>
      </c>
      <c r="M4683" s="1">
        <v>1</v>
      </c>
    </row>
    <row r="4684" spans="1:13">
      <c r="A4684" s="1">
        <v>4683</v>
      </c>
      <c r="B4684" s="1">
        <v>1032267.9756</v>
      </c>
      <c r="C4684" s="1">
        <v>866205.26590628235</v>
      </c>
      <c r="D4684" s="1">
        <f t="shared" si="73"/>
        <v>166062.70969371765</v>
      </c>
      <c r="E4684" s="1">
        <v>12</v>
      </c>
      <c r="F4684" s="1">
        <v>16</v>
      </c>
      <c r="G4684" s="1">
        <v>7</v>
      </c>
      <c r="H4684" s="1">
        <v>1</v>
      </c>
      <c r="I4684" s="1">
        <v>0</v>
      </c>
      <c r="J4684" s="1">
        <v>2</v>
      </c>
      <c r="K4684" s="1">
        <v>0</v>
      </c>
      <c r="L4684" s="1">
        <v>0</v>
      </c>
      <c r="M4684" s="1">
        <v>1</v>
      </c>
    </row>
    <row r="4685" spans="1:13">
      <c r="A4685" s="1">
        <v>4684</v>
      </c>
      <c r="B4685" s="1">
        <v>903966.80249999999</v>
      </c>
      <c r="C4685" s="1">
        <v>792062.58011066972</v>
      </c>
      <c r="D4685" s="1">
        <f t="shared" si="73"/>
        <v>111904.22238933027</v>
      </c>
      <c r="E4685" s="1">
        <v>19</v>
      </c>
      <c r="F4685" s="1">
        <v>13</v>
      </c>
      <c r="G4685" s="1">
        <v>3</v>
      </c>
      <c r="H4685" s="1">
        <v>0</v>
      </c>
      <c r="I4685" s="1">
        <v>0</v>
      </c>
      <c r="J4685" s="1">
        <v>2</v>
      </c>
      <c r="K4685" s="1">
        <v>0</v>
      </c>
      <c r="L4685" s="1">
        <v>0</v>
      </c>
      <c r="M4685" s="1">
        <v>0</v>
      </c>
    </row>
    <row r="4686" spans="1:13">
      <c r="A4686" s="1">
        <v>4685</v>
      </c>
      <c r="B4686" s="1">
        <v>882554.42409999995</v>
      </c>
      <c r="C4686" s="1">
        <v>981941.65117351641</v>
      </c>
      <c r="D4686" s="1">
        <f t="shared" si="73"/>
        <v>-99387.227073516464</v>
      </c>
      <c r="E4686" s="1">
        <v>16</v>
      </c>
      <c r="F4686" s="1">
        <v>14</v>
      </c>
      <c r="G4686" s="1">
        <v>5</v>
      </c>
      <c r="H4686" s="1">
        <v>1</v>
      </c>
      <c r="I4686" s="1">
        <v>0</v>
      </c>
      <c r="J4686" s="1">
        <v>2</v>
      </c>
      <c r="K4686" s="1">
        <v>0</v>
      </c>
      <c r="L4686" s="1">
        <v>0</v>
      </c>
      <c r="M4686" s="1">
        <v>0</v>
      </c>
    </row>
    <row r="4687" spans="1:13">
      <c r="A4687" s="1">
        <v>4686</v>
      </c>
      <c r="B4687" s="1">
        <v>952540.179</v>
      </c>
      <c r="C4687" s="1">
        <v>840225.41925105068</v>
      </c>
      <c r="D4687" s="1">
        <f t="shared" si="73"/>
        <v>112314.75974894932</v>
      </c>
      <c r="E4687" s="1">
        <v>11</v>
      </c>
      <c r="F4687" s="1">
        <v>20</v>
      </c>
      <c r="G4687" s="1">
        <v>4</v>
      </c>
      <c r="H4687" s="1">
        <v>1</v>
      </c>
      <c r="I4687" s="1">
        <v>0</v>
      </c>
      <c r="J4687" s="1">
        <v>1</v>
      </c>
      <c r="K4687" s="1">
        <v>1</v>
      </c>
      <c r="L4687" s="1">
        <v>0</v>
      </c>
      <c r="M4687" s="1">
        <v>0</v>
      </c>
    </row>
    <row r="4688" spans="1:13">
      <c r="A4688" s="1">
        <v>4687</v>
      </c>
      <c r="B4688" s="1">
        <v>824527.34080000001</v>
      </c>
      <c r="C4688" s="1">
        <v>1120429.9869144387</v>
      </c>
      <c r="D4688" s="1">
        <f t="shared" si="73"/>
        <v>-295902.64611443866</v>
      </c>
      <c r="E4688" s="1">
        <v>24</v>
      </c>
      <c r="F4688" s="1">
        <v>10</v>
      </c>
      <c r="G4688" s="1">
        <v>1</v>
      </c>
      <c r="H4688" s="1">
        <v>2</v>
      </c>
      <c r="I4688" s="1">
        <v>0</v>
      </c>
      <c r="J4688" s="1">
        <v>0</v>
      </c>
      <c r="K4688" s="1">
        <v>1</v>
      </c>
      <c r="L4688" s="1">
        <v>0</v>
      </c>
      <c r="M4688" s="1">
        <v>1</v>
      </c>
    </row>
    <row r="4689" spans="1:13">
      <c r="A4689" s="1">
        <v>4688</v>
      </c>
      <c r="B4689" s="1">
        <v>945654.50179999997</v>
      </c>
      <c r="C4689" s="1">
        <v>941773.53218908049</v>
      </c>
      <c r="D4689" s="1">
        <f t="shared" si="73"/>
        <v>3880.9696109194774</v>
      </c>
      <c r="E4689" s="1">
        <v>14</v>
      </c>
      <c r="F4689" s="1">
        <v>21</v>
      </c>
      <c r="G4689" s="1">
        <v>0</v>
      </c>
      <c r="H4689" s="1">
        <v>0</v>
      </c>
      <c r="I4689" s="1">
        <v>0</v>
      </c>
      <c r="J4689" s="1">
        <v>1</v>
      </c>
      <c r="K4689" s="1">
        <v>1</v>
      </c>
      <c r="L4689" s="1">
        <v>0</v>
      </c>
      <c r="M4689" s="1">
        <v>0</v>
      </c>
    </row>
    <row r="4690" spans="1:13">
      <c r="A4690" s="1">
        <v>4689</v>
      </c>
      <c r="B4690" s="1">
        <v>942004.98979999998</v>
      </c>
      <c r="C4690" s="1">
        <v>1854951.7352386725</v>
      </c>
      <c r="D4690" s="1">
        <f t="shared" si="73"/>
        <v>-912946.74543867249</v>
      </c>
      <c r="E4690" s="1">
        <v>18</v>
      </c>
      <c r="F4690" s="1">
        <v>12</v>
      </c>
      <c r="G4690" s="1">
        <v>5</v>
      </c>
      <c r="H4690" s="1">
        <v>1</v>
      </c>
      <c r="I4690" s="1">
        <v>0</v>
      </c>
      <c r="J4690" s="1">
        <v>0</v>
      </c>
      <c r="K4690" s="1">
        <v>1</v>
      </c>
      <c r="L4690" s="1">
        <v>0</v>
      </c>
      <c r="M4690" s="1">
        <v>0</v>
      </c>
    </row>
    <row r="4691" spans="1:13">
      <c r="A4691" s="1">
        <v>4690</v>
      </c>
      <c r="B4691" s="1">
        <v>951479.21169999999</v>
      </c>
      <c r="C4691" s="1">
        <v>978092.98412540019</v>
      </c>
      <c r="D4691" s="1">
        <f t="shared" si="73"/>
        <v>-26613.77242540021</v>
      </c>
      <c r="E4691" s="1">
        <v>14</v>
      </c>
      <c r="F4691" s="1">
        <v>16</v>
      </c>
      <c r="G4691" s="1">
        <v>5</v>
      </c>
      <c r="H4691" s="1">
        <v>0</v>
      </c>
      <c r="I4691" s="1">
        <v>0</v>
      </c>
      <c r="J4691" s="1">
        <v>0</v>
      </c>
      <c r="K4691" s="1">
        <v>2</v>
      </c>
      <c r="L4691" s="1">
        <v>0</v>
      </c>
      <c r="M4691" s="1">
        <v>0</v>
      </c>
    </row>
    <row r="4692" spans="1:13">
      <c r="A4692" s="1">
        <v>4691</v>
      </c>
      <c r="B4692" s="1">
        <v>987477.83169999998</v>
      </c>
      <c r="C4692" s="1">
        <v>1418186.7786554331</v>
      </c>
      <c r="D4692" s="1">
        <f t="shared" si="73"/>
        <v>-430708.94695543312</v>
      </c>
      <c r="E4692" s="1">
        <v>7</v>
      </c>
      <c r="F4692" s="1">
        <v>24</v>
      </c>
      <c r="G4692" s="1">
        <v>4</v>
      </c>
      <c r="H4692" s="1">
        <v>1</v>
      </c>
      <c r="I4692" s="1">
        <v>1</v>
      </c>
      <c r="J4692" s="1">
        <v>1</v>
      </c>
      <c r="K4692" s="1">
        <v>1</v>
      </c>
      <c r="L4692" s="1">
        <v>0</v>
      </c>
      <c r="M4692" s="1">
        <v>0</v>
      </c>
    </row>
    <row r="4693" spans="1:13">
      <c r="A4693" s="1">
        <v>4692</v>
      </c>
      <c r="B4693" s="1">
        <v>939007.79399999999</v>
      </c>
      <c r="C4693" s="1">
        <v>1166735.9303493472</v>
      </c>
      <c r="D4693" s="1">
        <f t="shared" si="73"/>
        <v>-227728.13634934719</v>
      </c>
      <c r="E4693" s="1">
        <v>15</v>
      </c>
      <c r="F4693" s="1">
        <v>15</v>
      </c>
      <c r="G4693" s="1">
        <v>5</v>
      </c>
      <c r="H4693" s="1">
        <v>1</v>
      </c>
      <c r="I4693" s="1">
        <v>0</v>
      </c>
      <c r="J4693" s="1">
        <v>0</v>
      </c>
      <c r="K4693" s="1">
        <v>1</v>
      </c>
      <c r="L4693" s="1">
        <v>0</v>
      </c>
      <c r="M4693" s="1">
        <v>0</v>
      </c>
    </row>
    <row r="4694" spans="1:13">
      <c r="A4694" s="1">
        <v>4693</v>
      </c>
      <c r="B4694" s="1">
        <v>958700.97900000005</v>
      </c>
      <c r="C4694" s="1">
        <v>693468.25063203787</v>
      </c>
      <c r="D4694" s="1">
        <f t="shared" si="73"/>
        <v>265232.72836796218</v>
      </c>
      <c r="E4694" s="1">
        <v>11</v>
      </c>
      <c r="F4694" s="1">
        <v>20</v>
      </c>
      <c r="G4694" s="1">
        <v>4</v>
      </c>
      <c r="H4694" s="1">
        <v>1</v>
      </c>
      <c r="I4694" s="1">
        <v>0</v>
      </c>
      <c r="J4694" s="1">
        <v>2</v>
      </c>
      <c r="K4694" s="1">
        <v>0</v>
      </c>
      <c r="L4694" s="1">
        <v>0</v>
      </c>
      <c r="M4694" s="1">
        <v>0</v>
      </c>
    </row>
    <row r="4695" spans="1:13">
      <c r="A4695" s="1">
        <v>4694</v>
      </c>
      <c r="B4695" s="1">
        <v>858119.93400000001</v>
      </c>
      <c r="C4695" s="1">
        <v>804351.54764993582</v>
      </c>
      <c r="D4695" s="1">
        <f t="shared" si="73"/>
        <v>53768.386350064189</v>
      </c>
      <c r="E4695" s="1">
        <v>11</v>
      </c>
      <c r="F4695" s="1">
        <v>22</v>
      </c>
      <c r="G4695" s="1">
        <v>2</v>
      </c>
      <c r="H4695" s="1">
        <v>1</v>
      </c>
      <c r="I4695" s="1">
        <v>0</v>
      </c>
      <c r="J4695" s="1">
        <v>0</v>
      </c>
      <c r="K4695" s="1">
        <v>0</v>
      </c>
      <c r="L4695" s="1">
        <v>1</v>
      </c>
      <c r="M4695" s="1">
        <v>1</v>
      </c>
    </row>
    <row r="4696" spans="1:13">
      <c r="A4696" s="1">
        <v>4695</v>
      </c>
      <c r="B4696" s="1">
        <v>863945.47420000006</v>
      </c>
      <c r="C4696" s="1">
        <v>997301.27669983893</v>
      </c>
      <c r="D4696" s="1">
        <f t="shared" si="73"/>
        <v>-133355.80249983887</v>
      </c>
      <c r="E4696" s="1">
        <v>12</v>
      </c>
      <c r="F4696" s="1">
        <v>17</v>
      </c>
      <c r="G4696" s="1">
        <v>6</v>
      </c>
      <c r="H4696" s="1">
        <v>1</v>
      </c>
      <c r="I4696" s="1">
        <v>1</v>
      </c>
      <c r="J4696" s="1">
        <v>0</v>
      </c>
      <c r="K4696" s="1">
        <v>1</v>
      </c>
      <c r="L4696" s="1">
        <v>1</v>
      </c>
      <c r="M4696" s="1">
        <v>1</v>
      </c>
    </row>
    <row r="4697" spans="1:13">
      <c r="A4697" s="1">
        <v>4696</v>
      </c>
      <c r="B4697" s="1">
        <v>867086.01870000002</v>
      </c>
      <c r="C4697" s="1">
        <v>792740.55178716127</v>
      </c>
      <c r="D4697" s="1">
        <f t="shared" si="73"/>
        <v>74345.466912838747</v>
      </c>
      <c r="E4697" s="1">
        <v>18</v>
      </c>
      <c r="F4697" s="1">
        <v>12</v>
      </c>
      <c r="G4697" s="1">
        <v>5</v>
      </c>
      <c r="H4697" s="1">
        <v>1</v>
      </c>
      <c r="I4697" s="1">
        <v>0</v>
      </c>
      <c r="J4697" s="1">
        <v>1</v>
      </c>
      <c r="K4697" s="1">
        <v>0</v>
      </c>
      <c r="L4697" s="1">
        <v>0</v>
      </c>
      <c r="M4697" s="1">
        <v>1</v>
      </c>
    </row>
    <row r="4698" spans="1:13">
      <c r="A4698" s="1">
        <v>4697</v>
      </c>
      <c r="B4698" s="1">
        <v>889595.53799999994</v>
      </c>
      <c r="C4698" s="1">
        <v>923769.61436850124</v>
      </c>
      <c r="D4698" s="1">
        <f t="shared" si="73"/>
        <v>-34174.076368501293</v>
      </c>
      <c r="E4698" s="1">
        <v>15</v>
      </c>
      <c r="F4698" s="1">
        <v>13</v>
      </c>
      <c r="G4698" s="1">
        <v>7</v>
      </c>
      <c r="H4698" s="1">
        <v>2</v>
      </c>
      <c r="I4698" s="1">
        <v>0</v>
      </c>
      <c r="J4698" s="1">
        <v>1</v>
      </c>
      <c r="K4698" s="1">
        <v>0</v>
      </c>
      <c r="L4698" s="1">
        <v>0</v>
      </c>
      <c r="M4698" s="1">
        <v>0</v>
      </c>
    </row>
    <row r="4699" spans="1:13">
      <c r="A4699" s="1">
        <v>4698</v>
      </c>
      <c r="B4699" s="1">
        <v>933875.78410000005</v>
      </c>
      <c r="C4699" s="1">
        <v>795375.67395780724</v>
      </c>
      <c r="D4699" s="1">
        <f t="shared" si="73"/>
        <v>138500.1101421928</v>
      </c>
      <c r="E4699" s="1">
        <v>13</v>
      </c>
      <c r="F4699" s="1">
        <v>19</v>
      </c>
      <c r="G4699" s="1">
        <v>3</v>
      </c>
      <c r="H4699" s="1">
        <v>1</v>
      </c>
      <c r="I4699" s="1">
        <v>0</v>
      </c>
      <c r="J4699" s="1">
        <v>1</v>
      </c>
      <c r="K4699" s="1">
        <v>0</v>
      </c>
      <c r="L4699" s="1">
        <v>0</v>
      </c>
      <c r="M4699" s="1">
        <v>0</v>
      </c>
    </row>
    <row r="4700" spans="1:13">
      <c r="A4700" s="1">
        <v>4699</v>
      </c>
      <c r="B4700" s="1">
        <v>874912.59239999996</v>
      </c>
      <c r="C4700" s="1">
        <v>728722.6587603403</v>
      </c>
      <c r="D4700" s="1">
        <f t="shared" si="73"/>
        <v>146189.93363965966</v>
      </c>
      <c r="E4700" s="1">
        <v>15</v>
      </c>
      <c r="F4700" s="1">
        <v>11</v>
      </c>
      <c r="G4700" s="1">
        <v>9</v>
      </c>
      <c r="H4700" s="1">
        <v>1</v>
      </c>
      <c r="I4700" s="1">
        <v>0</v>
      </c>
      <c r="J4700" s="1">
        <v>0</v>
      </c>
      <c r="K4700" s="1">
        <v>1</v>
      </c>
      <c r="L4700" s="1">
        <v>0</v>
      </c>
      <c r="M4700" s="1">
        <v>1</v>
      </c>
    </row>
    <row r="4701" spans="1:13">
      <c r="A4701" s="1">
        <v>4700</v>
      </c>
      <c r="B4701" s="1">
        <v>893506.81420000002</v>
      </c>
      <c r="C4701" s="1">
        <v>963415.51685832464</v>
      </c>
      <c r="D4701" s="1">
        <f t="shared" si="73"/>
        <v>-69908.702658324619</v>
      </c>
      <c r="E4701" s="1">
        <v>13</v>
      </c>
      <c r="F4701" s="1">
        <v>18</v>
      </c>
      <c r="G4701" s="1">
        <v>4</v>
      </c>
      <c r="H4701" s="1">
        <v>1</v>
      </c>
      <c r="I4701" s="1">
        <v>1</v>
      </c>
      <c r="J4701" s="1">
        <v>1</v>
      </c>
      <c r="K4701" s="1">
        <v>1</v>
      </c>
      <c r="L4701" s="1">
        <v>0</v>
      </c>
      <c r="M4701" s="1">
        <v>1</v>
      </c>
    </row>
    <row r="4702" spans="1:13">
      <c r="A4702" s="1">
        <v>4701</v>
      </c>
      <c r="B4702" s="1">
        <v>888414.15960000001</v>
      </c>
      <c r="C4702" s="1">
        <v>921271.53693646088</v>
      </c>
      <c r="D4702" s="1">
        <f t="shared" si="73"/>
        <v>-32857.377336460864</v>
      </c>
      <c r="E4702" s="1">
        <v>17</v>
      </c>
      <c r="F4702" s="1">
        <v>13</v>
      </c>
      <c r="G4702" s="1">
        <v>5</v>
      </c>
      <c r="H4702" s="1">
        <v>2</v>
      </c>
      <c r="I4702" s="1">
        <v>0</v>
      </c>
      <c r="J4702" s="1">
        <v>1</v>
      </c>
      <c r="K4702" s="1">
        <v>0</v>
      </c>
      <c r="L4702" s="1">
        <v>0</v>
      </c>
      <c r="M4702" s="1">
        <v>0</v>
      </c>
    </row>
    <row r="4703" spans="1:13">
      <c r="A4703" s="1">
        <v>4702</v>
      </c>
      <c r="B4703" s="1">
        <v>938916.14950000006</v>
      </c>
      <c r="C4703" s="1">
        <v>1019826.4526774345</v>
      </c>
      <c r="D4703" s="1">
        <f t="shared" si="73"/>
        <v>-80910.303177434485</v>
      </c>
      <c r="E4703" s="1">
        <v>24</v>
      </c>
      <c r="F4703" s="1">
        <v>8</v>
      </c>
      <c r="G4703" s="1">
        <v>3</v>
      </c>
      <c r="H4703" s="1">
        <v>2</v>
      </c>
      <c r="I4703" s="1">
        <v>0</v>
      </c>
      <c r="J4703" s="1">
        <v>0</v>
      </c>
      <c r="K4703" s="1">
        <v>1</v>
      </c>
      <c r="L4703" s="1">
        <v>0</v>
      </c>
      <c r="M4703" s="1">
        <v>0</v>
      </c>
    </row>
    <row r="4704" spans="1:13">
      <c r="A4704" s="1">
        <v>4703</v>
      </c>
      <c r="B4704" s="1">
        <v>933611.81429999997</v>
      </c>
      <c r="C4704" s="1">
        <v>1033415.6920514894</v>
      </c>
      <c r="D4704" s="1">
        <f t="shared" si="73"/>
        <v>-99803.877751489403</v>
      </c>
      <c r="E4704" s="1">
        <v>13</v>
      </c>
      <c r="F4704" s="1">
        <v>16</v>
      </c>
      <c r="G4704" s="1">
        <v>6</v>
      </c>
      <c r="H4704" s="1">
        <v>1</v>
      </c>
      <c r="I4704" s="1">
        <v>0</v>
      </c>
      <c r="J4704" s="1">
        <v>0</v>
      </c>
      <c r="K4704" s="1">
        <v>2</v>
      </c>
      <c r="L4704" s="1">
        <v>0</v>
      </c>
      <c r="M4704" s="1">
        <v>0</v>
      </c>
    </row>
    <row r="4705" spans="1:13">
      <c r="A4705" s="1">
        <v>4704</v>
      </c>
      <c r="B4705" s="1">
        <v>921301.64119999995</v>
      </c>
      <c r="C4705" s="1">
        <v>1176154.8501255638</v>
      </c>
      <c r="D4705" s="1">
        <f t="shared" si="73"/>
        <v>-254853.20892556384</v>
      </c>
      <c r="E4705" s="1">
        <v>14</v>
      </c>
      <c r="F4705" s="1">
        <v>14</v>
      </c>
      <c r="G4705" s="1">
        <v>7</v>
      </c>
      <c r="H4705" s="1">
        <v>1</v>
      </c>
      <c r="I4705" s="1">
        <v>1</v>
      </c>
      <c r="J4705" s="1">
        <v>1</v>
      </c>
      <c r="K4705" s="1">
        <v>1</v>
      </c>
      <c r="L4705" s="1">
        <v>0</v>
      </c>
      <c r="M4705" s="1">
        <v>0</v>
      </c>
    </row>
    <row r="4706" spans="1:13">
      <c r="A4706" s="1">
        <v>4705</v>
      </c>
      <c r="B4706" s="1">
        <v>931344.29260000004</v>
      </c>
      <c r="C4706" s="1">
        <v>562210.87078578828</v>
      </c>
      <c r="D4706" s="1">
        <f t="shared" si="73"/>
        <v>369133.42181421176</v>
      </c>
      <c r="E4706" s="1">
        <v>11</v>
      </c>
      <c r="F4706" s="1">
        <v>19</v>
      </c>
      <c r="G4706" s="1">
        <v>5</v>
      </c>
      <c r="H4706" s="1">
        <v>1</v>
      </c>
      <c r="I4706" s="1">
        <v>0</v>
      </c>
      <c r="J4706" s="1">
        <v>2</v>
      </c>
      <c r="K4706" s="1">
        <v>0</v>
      </c>
      <c r="L4706" s="1">
        <v>0</v>
      </c>
      <c r="M4706" s="1">
        <v>0</v>
      </c>
    </row>
    <row r="4707" spans="1:13">
      <c r="A4707" s="1">
        <v>4706</v>
      </c>
      <c r="B4707" s="1">
        <v>887091.17200000002</v>
      </c>
      <c r="C4707" s="1">
        <v>752782.36544126878</v>
      </c>
      <c r="D4707" s="1">
        <f t="shared" si="73"/>
        <v>134308.80655873124</v>
      </c>
      <c r="E4707" s="1">
        <v>15</v>
      </c>
      <c r="F4707" s="1">
        <v>15</v>
      </c>
      <c r="G4707" s="1">
        <v>5</v>
      </c>
      <c r="H4707" s="1">
        <v>1</v>
      </c>
      <c r="I4707" s="1">
        <v>0</v>
      </c>
      <c r="J4707" s="1">
        <v>0</v>
      </c>
      <c r="K4707" s="1">
        <v>1</v>
      </c>
      <c r="L4707" s="1">
        <v>0</v>
      </c>
      <c r="M4707" s="1">
        <v>0</v>
      </c>
    </row>
    <row r="4708" spans="1:13">
      <c r="A4708" s="1">
        <v>4707</v>
      </c>
      <c r="B4708" s="1">
        <v>897789.73199999996</v>
      </c>
      <c r="C4708" s="1">
        <v>974236.00555982662</v>
      </c>
      <c r="D4708" s="1">
        <f t="shared" si="73"/>
        <v>-76446.273559826659</v>
      </c>
      <c r="E4708" s="1">
        <v>13</v>
      </c>
      <c r="F4708" s="1">
        <v>17</v>
      </c>
      <c r="G4708" s="1">
        <v>5</v>
      </c>
      <c r="H4708" s="1">
        <v>1</v>
      </c>
      <c r="I4708" s="1">
        <v>0</v>
      </c>
      <c r="J4708" s="1">
        <v>1</v>
      </c>
      <c r="K4708" s="1">
        <v>1</v>
      </c>
      <c r="L4708" s="1">
        <v>0</v>
      </c>
      <c r="M4708" s="1">
        <v>1</v>
      </c>
    </row>
    <row r="4709" spans="1:13">
      <c r="A4709" s="1">
        <v>4708</v>
      </c>
      <c r="B4709" s="1">
        <v>951544.4166</v>
      </c>
      <c r="C4709" s="1">
        <v>569306.37910299527</v>
      </c>
      <c r="D4709" s="1">
        <f t="shared" si="73"/>
        <v>382238.03749700473</v>
      </c>
      <c r="E4709" s="1">
        <v>18</v>
      </c>
      <c r="F4709" s="1">
        <v>13</v>
      </c>
      <c r="G4709" s="1">
        <v>4</v>
      </c>
      <c r="H4709" s="1">
        <v>0</v>
      </c>
      <c r="I4709" s="1">
        <v>0</v>
      </c>
      <c r="J4709" s="1">
        <v>0</v>
      </c>
      <c r="K4709" s="1">
        <v>0</v>
      </c>
      <c r="L4709" s="1">
        <v>0</v>
      </c>
      <c r="M4709" s="1">
        <v>0</v>
      </c>
    </row>
    <row r="4710" spans="1:13">
      <c r="A4710" s="1">
        <v>4709</v>
      </c>
      <c r="B4710" s="1">
        <v>851120.81909999996</v>
      </c>
      <c r="C4710" s="1">
        <v>1489316.0528911254</v>
      </c>
      <c r="D4710" s="1">
        <f t="shared" si="73"/>
        <v>-638195.23379112547</v>
      </c>
      <c r="E4710" s="1">
        <v>19</v>
      </c>
      <c r="F4710" s="1">
        <v>11</v>
      </c>
      <c r="G4710" s="1">
        <v>5</v>
      </c>
      <c r="H4710" s="1">
        <v>1</v>
      </c>
      <c r="I4710" s="1">
        <v>0</v>
      </c>
      <c r="J4710" s="1">
        <v>0</v>
      </c>
      <c r="K4710" s="1">
        <v>0</v>
      </c>
      <c r="L4710" s="1">
        <v>0</v>
      </c>
      <c r="M4710" s="1">
        <v>0</v>
      </c>
    </row>
    <row r="4711" spans="1:13">
      <c r="A4711" s="1">
        <v>4710</v>
      </c>
      <c r="B4711" s="1">
        <v>904544.5477</v>
      </c>
      <c r="C4711" s="1">
        <v>832218.18427333154</v>
      </c>
      <c r="D4711" s="1">
        <f t="shared" si="73"/>
        <v>72326.363426668453</v>
      </c>
      <c r="E4711" s="1">
        <v>13</v>
      </c>
      <c r="F4711" s="1">
        <v>17</v>
      </c>
      <c r="G4711" s="1">
        <v>5</v>
      </c>
      <c r="H4711" s="1">
        <v>1</v>
      </c>
      <c r="I4711" s="1">
        <v>0</v>
      </c>
      <c r="J4711" s="1">
        <v>2</v>
      </c>
      <c r="K4711" s="1">
        <v>0</v>
      </c>
      <c r="L4711" s="1">
        <v>0</v>
      </c>
      <c r="M4711" s="1">
        <v>0</v>
      </c>
    </row>
    <row r="4712" spans="1:13">
      <c r="A4712" s="1">
        <v>4711</v>
      </c>
      <c r="B4712" s="1">
        <v>926867.73360000004</v>
      </c>
      <c r="C4712" s="1">
        <v>718969.43348487501</v>
      </c>
      <c r="D4712" s="1">
        <f t="shared" si="73"/>
        <v>207898.30011512502</v>
      </c>
      <c r="E4712" s="1">
        <v>9</v>
      </c>
      <c r="F4712" s="1">
        <v>21</v>
      </c>
      <c r="G4712" s="1">
        <v>5</v>
      </c>
      <c r="H4712" s="1">
        <v>0</v>
      </c>
      <c r="I4712" s="1">
        <v>0</v>
      </c>
      <c r="J4712" s="1">
        <v>0</v>
      </c>
      <c r="K4712" s="1">
        <v>0</v>
      </c>
      <c r="L4712" s="1">
        <v>1</v>
      </c>
      <c r="M4712" s="1">
        <v>0</v>
      </c>
    </row>
    <row r="4713" spans="1:13">
      <c r="A4713" s="1">
        <v>4712</v>
      </c>
      <c r="B4713" s="1">
        <v>948481.39879999997</v>
      </c>
      <c r="C4713" s="1">
        <v>923202.22611557203</v>
      </c>
      <c r="D4713" s="1">
        <f t="shared" si="73"/>
        <v>25279.172684427933</v>
      </c>
      <c r="E4713" s="1">
        <v>16</v>
      </c>
      <c r="F4713" s="1">
        <v>15</v>
      </c>
      <c r="G4713" s="1">
        <v>4</v>
      </c>
      <c r="H4713" s="1">
        <v>0</v>
      </c>
      <c r="I4713" s="1">
        <v>1</v>
      </c>
      <c r="J4713" s="1">
        <v>0</v>
      </c>
      <c r="K4713" s="1">
        <v>0</v>
      </c>
      <c r="L4713" s="1">
        <v>0</v>
      </c>
      <c r="M4713" s="1">
        <v>0</v>
      </c>
    </row>
    <row r="4714" spans="1:13">
      <c r="A4714" s="1">
        <v>4713</v>
      </c>
      <c r="B4714" s="1">
        <v>866127.3027</v>
      </c>
      <c r="C4714" s="1">
        <v>729082.74514761835</v>
      </c>
      <c r="D4714" s="1">
        <f t="shared" si="73"/>
        <v>137044.55755238165</v>
      </c>
      <c r="E4714" s="1">
        <v>20</v>
      </c>
      <c r="F4714" s="1">
        <v>12</v>
      </c>
      <c r="G4714" s="1">
        <v>3</v>
      </c>
      <c r="H4714" s="1">
        <v>0</v>
      </c>
      <c r="I4714" s="1">
        <v>1</v>
      </c>
      <c r="J4714" s="1">
        <v>0</v>
      </c>
      <c r="K4714" s="1">
        <v>1</v>
      </c>
      <c r="L4714" s="1">
        <v>0</v>
      </c>
      <c r="M4714" s="1">
        <v>1</v>
      </c>
    </row>
    <row r="4715" spans="1:13">
      <c r="A4715" s="1">
        <v>4714</v>
      </c>
      <c r="B4715" s="1">
        <v>924304.70519999997</v>
      </c>
      <c r="C4715" s="1">
        <v>597274.95098790177</v>
      </c>
      <c r="D4715" s="1">
        <f t="shared" si="73"/>
        <v>327029.7542120982</v>
      </c>
      <c r="E4715" s="1">
        <v>8</v>
      </c>
      <c r="F4715" s="1">
        <v>24</v>
      </c>
      <c r="G4715" s="1">
        <v>3</v>
      </c>
      <c r="H4715" s="1">
        <v>2</v>
      </c>
      <c r="I4715" s="1">
        <v>0</v>
      </c>
      <c r="J4715" s="1">
        <v>0</v>
      </c>
      <c r="K4715" s="1">
        <v>2</v>
      </c>
      <c r="L4715" s="1">
        <v>0</v>
      </c>
      <c r="M4715" s="1">
        <v>0</v>
      </c>
    </row>
    <row r="4716" spans="1:13">
      <c r="A4716" s="1">
        <v>4715</v>
      </c>
      <c r="B4716" s="1">
        <v>958562.84369999997</v>
      </c>
      <c r="C4716" s="1">
        <v>851248.82424302283</v>
      </c>
      <c r="D4716" s="1">
        <f t="shared" si="73"/>
        <v>107314.01945697714</v>
      </c>
      <c r="E4716" s="1">
        <v>9</v>
      </c>
      <c r="F4716" s="1">
        <v>20</v>
      </c>
      <c r="G4716" s="1">
        <v>6</v>
      </c>
      <c r="H4716" s="1">
        <v>2</v>
      </c>
      <c r="I4716" s="1">
        <v>0</v>
      </c>
      <c r="J4716" s="1">
        <v>0</v>
      </c>
      <c r="K4716" s="1">
        <v>1</v>
      </c>
      <c r="L4716" s="1">
        <v>1</v>
      </c>
      <c r="M4716" s="1">
        <v>0</v>
      </c>
    </row>
    <row r="4717" spans="1:13">
      <c r="A4717" s="1">
        <v>4716</v>
      </c>
      <c r="B4717" s="1">
        <v>997501.78489999997</v>
      </c>
      <c r="C4717" s="1">
        <v>1120858.7237981949</v>
      </c>
      <c r="D4717" s="1">
        <f t="shared" si="73"/>
        <v>-123356.93889819493</v>
      </c>
      <c r="E4717" s="1">
        <v>11</v>
      </c>
      <c r="F4717" s="1">
        <v>18</v>
      </c>
      <c r="G4717" s="1">
        <v>6</v>
      </c>
      <c r="H4717" s="1">
        <v>2</v>
      </c>
      <c r="I4717" s="1">
        <v>0</v>
      </c>
      <c r="J4717" s="1">
        <v>1</v>
      </c>
      <c r="K4717" s="1">
        <v>0</v>
      </c>
      <c r="L4717" s="1">
        <v>0</v>
      </c>
      <c r="M4717" s="1">
        <v>0</v>
      </c>
    </row>
    <row r="4718" spans="1:13">
      <c r="A4718" s="1">
        <v>4717</v>
      </c>
      <c r="B4718" s="1">
        <v>900004.85369999998</v>
      </c>
      <c r="C4718" s="1">
        <v>1065273.3437217067</v>
      </c>
      <c r="D4718" s="1">
        <f t="shared" si="73"/>
        <v>-165268.49002170668</v>
      </c>
      <c r="E4718" s="1">
        <v>12</v>
      </c>
      <c r="F4718" s="1">
        <v>16</v>
      </c>
      <c r="G4718" s="1">
        <v>7</v>
      </c>
      <c r="H4718" s="1">
        <v>2</v>
      </c>
      <c r="I4718" s="1">
        <v>0</v>
      </c>
      <c r="J4718" s="1">
        <v>1</v>
      </c>
      <c r="K4718" s="1">
        <v>1</v>
      </c>
      <c r="L4718" s="1">
        <v>0</v>
      </c>
      <c r="M4718" s="1">
        <v>0</v>
      </c>
    </row>
    <row r="4719" spans="1:13">
      <c r="A4719" s="1">
        <v>4718</v>
      </c>
      <c r="B4719" s="1">
        <v>992540.68579999998</v>
      </c>
      <c r="C4719" s="1">
        <v>1048828.2883047331</v>
      </c>
      <c r="D4719" s="1">
        <f t="shared" si="73"/>
        <v>-56287.602504733135</v>
      </c>
      <c r="E4719" s="1">
        <v>6</v>
      </c>
      <c r="F4719" s="1">
        <v>23</v>
      </c>
      <c r="G4719" s="1">
        <v>6</v>
      </c>
      <c r="H4719" s="1">
        <v>2</v>
      </c>
      <c r="I4719" s="1">
        <v>0</v>
      </c>
      <c r="J4719" s="1">
        <v>0</v>
      </c>
      <c r="K4719" s="1">
        <v>1</v>
      </c>
      <c r="L4719" s="1">
        <v>1</v>
      </c>
      <c r="M4719" s="1">
        <v>0</v>
      </c>
    </row>
    <row r="4720" spans="1:13">
      <c r="A4720" s="1">
        <v>4719</v>
      </c>
      <c r="B4720" s="1">
        <v>912902.27350000001</v>
      </c>
      <c r="C4720" s="1">
        <v>786920.97845016862</v>
      </c>
      <c r="D4720" s="1">
        <f t="shared" si="73"/>
        <v>125981.29504983139</v>
      </c>
      <c r="E4720" s="1">
        <v>6</v>
      </c>
      <c r="F4720" s="1">
        <v>25</v>
      </c>
      <c r="G4720" s="1">
        <v>4</v>
      </c>
      <c r="H4720" s="1">
        <v>2</v>
      </c>
      <c r="I4720" s="1">
        <v>0</v>
      </c>
      <c r="J4720" s="1">
        <v>0</v>
      </c>
      <c r="K4720" s="1">
        <v>2</v>
      </c>
      <c r="L4720" s="1">
        <v>0</v>
      </c>
      <c r="M4720" s="1">
        <v>0</v>
      </c>
    </row>
    <row r="4721" spans="1:13">
      <c r="A4721" s="1">
        <v>4720</v>
      </c>
      <c r="B4721" s="1">
        <v>904600.18449999997</v>
      </c>
      <c r="C4721" s="1">
        <v>1533841.202490624</v>
      </c>
      <c r="D4721" s="1">
        <f t="shared" si="73"/>
        <v>-629241.01799062407</v>
      </c>
      <c r="E4721" s="1">
        <v>20</v>
      </c>
      <c r="F4721" s="1">
        <v>11</v>
      </c>
      <c r="G4721" s="1">
        <v>4</v>
      </c>
      <c r="H4721" s="1">
        <v>2</v>
      </c>
      <c r="I4721" s="1">
        <v>0</v>
      </c>
      <c r="J4721" s="1">
        <v>1</v>
      </c>
      <c r="K4721" s="1">
        <v>0</v>
      </c>
      <c r="L4721" s="1">
        <v>0</v>
      </c>
      <c r="M4721" s="1">
        <v>0</v>
      </c>
    </row>
    <row r="4722" spans="1:13">
      <c r="A4722" s="1">
        <v>4721</v>
      </c>
      <c r="B4722" s="1">
        <v>910840.00890000002</v>
      </c>
      <c r="C4722" s="1">
        <v>1733087.2403190054</v>
      </c>
      <c r="D4722" s="1">
        <f t="shared" si="73"/>
        <v>-822247.23141900543</v>
      </c>
      <c r="E4722" s="1">
        <v>9</v>
      </c>
      <c r="F4722" s="1">
        <v>23</v>
      </c>
      <c r="G4722" s="1">
        <v>3</v>
      </c>
      <c r="H4722" s="1">
        <v>0</v>
      </c>
      <c r="I4722" s="1">
        <v>0</v>
      </c>
      <c r="J4722" s="1">
        <v>0</v>
      </c>
      <c r="K4722" s="1">
        <v>2</v>
      </c>
      <c r="L4722" s="1">
        <v>0</v>
      </c>
      <c r="M4722" s="1">
        <v>1</v>
      </c>
    </row>
    <row r="4723" spans="1:13">
      <c r="A4723" s="1">
        <v>4722</v>
      </c>
      <c r="B4723" s="1">
        <v>804930.02309999999</v>
      </c>
      <c r="C4723" s="1">
        <v>793510.02375012054</v>
      </c>
      <c r="D4723" s="1">
        <f t="shared" si="73"/>
        <v>11419.99934987945</v>
      </c>
      <c r="E4723" s="1">
        <v>16</v>
      </c>
      <c r="F4723" s="1">
        <v>14</v>
      </c>
      <c r="G4723" s="1">
        <v>5</v>
      </c>
      <c r="H4723" s="1">
        <v>0</v>
      </c>
      <c r="I4723" s="1">
        <v>0</v>
      </c>
      <c r="J4723" s="1">
        <v>0</v>
      </c>
      <c r="K4723" s="1">
        <v>1</v>
      </c>
      <c r="L4723" s="1">
        <v>0</v>
      </c>
      <c r="M4723" s="1">
        <v>0</v>
      </c>
    </row>
    <row r="4724" spans="1:13">
      <c r="A4724" s="1">
        <v>4723</v>
      </c>
      <c r="B4724" s="1">
        <v>918810.94030000002</v>
      </c>
      <c r="C4724" s="1">
        <v>729126.63981506461</v>
      </c>
      <c r="D4724" s="1">
        <f t="shared" si="73"/>
        <v>189684.3004849354</v>
      </c>
      <c r="E4724" s="1">
        <v>10</v>
      </c>
      <c r="F4724" s="1">
        <v>19</v>
      </c>
      <c r="G4724" s="1">
        <v>6</v>
      </c>
      <c r="H4724" s="1">
        <v>0</v>
      </c>
      <c r="I4724" s="1">
        <v>0</v>
      </c>
      <c r="J4724" s="1">
        <v>0</v>
      </c>
      <c r="K4724" s="1">
        <v>1</v>
      </c>
      <c r="L4724" s="1">
        <v>0</v>
      </c>
      <c r="M4724" s="1">
        <v>0</v>
      </c>
    </row>
    <row r="4725" spans="1:13">
      <c r="A4725" s="1">
        <v>4724</v>
      </c>
      <c r="B4725" s="1">
        <v>977162.00600000005</v>
      </c>
      <c r="C4725" s="1">
        <v>1673336.7583074477</v>
      </c>
      <c r="D4725" s="1">
        <f t="shared" si="73"/>
        <v>-696174.7523074476</v>
      </c>
      <c r="E4725" s="1">
        <v>7</v>
      </c>
      <c r="F4725" s="1">
        <v>23</v>
      </c>
      <c r="G4725" s="1">
        <v>5</v>
      </c>
      <c r="H4725" s="1">
        <v>1</v>
      </c>
      <c r="I4725" s="1">
        <v>0</v>
      </c>
      <c r="J4725" s="1">
        <v>0</v>
      </c>
      <c r="K4725" s="1">
        <v>0</v>
      </c>
      <c r="L4725" s="1">
        <v>0</v>
      </c>
      <c r="M4725" s="1">
        <v>0</v>
      </c>
    </row>
    <row r="4726" spans="1:13">
      <c r="A4726" s="1">
        <v>4725</v>
      </c>
      <c r="B4726" s="1">
        <v>946045.13520000002</v>
      </c>
      <c r="C4726" s="1">
        <v>1421385.6042572148</v>
      </c>
      <c r="D4726" s="1">
        <f t="shared" si="73"/>
        <v>-475340.4690572148</v>
      </c>
      <c r="E4726" s="1">
        <v>3</v>
      </c>
      <c r="F4726" s="1">
        <v>25</v>
      </c>
      <c r="G4726" s="1">
        <v>7</v>
      </c>
      <c r="H4726" s="1">
        <v>0</v>
      </c>
      <c r="I4726" s="1">
        <v>0</v>
      </c>
      <c r="J4726" s="1">
        <v>0</v>
      </c>
      <c r="K4726" s="1">
        <v>1</v>
      </c>
      <c r="L4726" s="1">
        <v>1</v>
      </c>
      <c r="M4726" s="1">
        <v>0</v>
      </c>
    </row>
    <row r="4727" spans="1:13">
      <c r="A4727" s="1">
        <v>4726</v>
      </c>
      <c r="B4727" s="1">
        <v>902514.60309999995</v>
      </c>
      <c r="C4727" s="1">
        <v>1111134.154751664</v>
      </c>
      <c r="D4727" s="1">
        <f t="shared" si="73"/>
        <v>-208619.55165166408</v>
      </c>
      <c r="E4727" s="1">
        <v>19</v>
      </c>
      <c r="F4727" s="1">
        <v>13</v>
      </c>
      <c r="G4727" s="1">
        <v>3</v>
      </c>
      <c r="H4727" s="1">
        <v>0</v>
      </c>
      <c r="I4727" s="1">
        <v>1</v>
      </c>
      <c r="J4727" s="1">
        <v>1</v>
      </c>
      <c r="K4727" s="1">
        <v>0</v>
      </c>
      <c r="L4727" s="1">
        <v>0</v>
      </c>
      <c r="M4727" s="1">
        <v>0</v>
      </c>
    </row>
    <row r="4728" spans="1:13">
      <c r="A4728" s="1">
        <v>4727</v>
      </c>
      <c r="B4728" s="1">
        <v>1026793.7356</v>
      </c>
      <c r="C4728" s="1">
        <v>365839.34574609576</v>
      </c>
      <c r="D4728" s="1">
        <f t="shared" si="73"/>
        <v>660954.38985390426</v>
      </c>
      <c r="E4728" s="1">
        <v>8</v>
      </c>
      <c r="F4728" s="1">
        <v>21</v>
      </c>
      <c r="G4728" s="1">
        <v>6</v>
      </c>
      <c r="H4728" s="1">
        <v>2</v>
      </c>
      <c r="I4728" s="1">
        <v>0</v>
      </c>
      <c r="J4728" s="1">
        <v>0</v>
      </c>
      <c r="K4728" s="1">
        <v>2</v>
      </c>
      <c r="L4728" s="1">
        <v>0</v>
      </c>
      <c r="M4728" s="1">
        <v>0</v>
      </c>
    </row>
    <row r="4729" spans="1:13">
      <c r="A4729" s="1">
        <v>4728</v>
      </c>
      <c r="B4729" s="1">
        <v>913648.821</v>
      </c>
      <c r="C4729" s="1">
        <v>995495.94600422797</v>
      </c>
      <c r="D4729" s="1">
        <f t="shared" si="73"/>
        <v>-81847.125004227972</v>
      </c>
      <c r="E4729" s="1">
        <v>12</v>
      </c>
      <c r="F4729" s="1">
        <v>19</v>
      </c>
      <c r="G4729" s="1">
        <v>4</v>
      </c>
      <c r="H4729" s="1">
        <v>1</v>
      </c>
      <c r="I4729" s="1">
        <v>1</v>
      </c>
      <c r="J4729" s="1">
        <v>1</v>
      </c>
      <c r="K4729" s="1">
        <v>1</v>
      </c>
      <c r="L4729" s="1">
        <v>0</v>
      </c>
      <c r="M4729" s="1">
        <v>0</v>
      </c>
    </row>
    <row r="4730" spans="1:13">
      <c r="A4730" s="1">
        <v>4729</v>
      </c>
      <c r="B4730" s="1">
        <v>1096242.0885000001</v>
      </c>
      <c r="C4730" s="1">
        <v>1361419.69039191</v>
      </c>
      <c r="D4730" s="1">
        <f t="shared" si="73"/>
        <v>-265177.60189190996</v>
      </c>
      <c r="E4730" s="1">
        <v>4</v>
      </c>
      <c r="F4730" s="1">
        <v>24</v>
      </c>
      <c r="G4730" s="1">
        <v>7</v>
      </c>
      <c r="H4730" s="1">
        <v>1</v>
      </c>
      <c r="I4730" s="1">
        <v>0</v>
      </c>
      <c r="J4730" s="1">
        <v>0</v>
      </c>
      <c r="K4730" s="1">
        <v>0</v>
      </c>
      <c r="L4730" s="1">
        <v>0</v>
      </c>
      <c r="M4730" s="1">
        <v>0</v>
      </c>
    </row>
    <row r="4731" spans="1:13">
      <c r="A4731" s="1">
        <v>4730</v>
      </c>
      <c r="B4731" s="1">
        <v>933695.31770000001</v>
      </c>
      <c r="C4731" s="1">
        <v>772958.68450355786</v>
      </c>
      <c r="D4731" s="1">
        <f t="shared" si="73"/>
        <v>160736.63319644216</v>
      </c>
      <c r="E4731" s="1">
        <v>16</v>
      </c>
      <c r="F4731" s="1">
        <v>16</v>
      </c>
      <c r="G4731" s="1">
        <v>3</v>
      </c>
      <c r="H4731" s="1">
        <v>1</v>
      </c>
      <c r="I4731" s="1">
        <v>0</v>
      </c>
      <c r="J4731" s="1">
        <v>0</v>
      </c>
      <c r="K4731" s="1">
        <v>0</v>
      </c>
      <c r="L4731" s="1">
        <v>0</v>
      </c>
      <c r="M4731" s="1">
        <v>1</v>
      </c>
    </row>
    <row r="4732" spans="1:13">
      <c r="A4732" s="1">
        <v>4731</v>
      </c>
      <c r="B4732" s="1">
        <v>843516.59640000004</v>
      </c>
      <c r="C4732" s="1">
        <v>859662.39224670106</v>
      </c>
      <c r="D4732" s="1">
        <f t="shared" si="73"/>
        <v>-16145.795846701018</v>
      </c>
      <c r="E4732" s="1">
        <v>15</v>
      </c>
      <c r="F4732" s="1">
        <v>15</v>
      </c>
      <c r="G4732" s="1">
        <v>5</v>
      </c>
      <c r="H4732" s="1">
        <v>1</v>
      </c>
      <c r="I4732" s="1">
        <v>0</v>
      </c>
      <c r="J4732" s="1">
        <v>0</v>
      </c>
      <c r="K4732" s="1">
        <v>0</v>
      </c>
      <c r="L4732" s="1">
        <v>0</v>
      </c>
      <c r="M4732" s="1">
        <v>0</v>
      </c>
    </row>
    <row r="4733" spans="1:13">
      <c r="A4733" s="1">
        <v>4732</v>
      </c>
      <c r="B4733" s="1">
        <v>915692.57189999998</v>
      </c>
      <c r="C4733" s="1">
        <v>692334.4089692859</v>
      </c>
      <c r="D4733" s="1">
        <f t="shared" si="73"/>
        <v>223358.16293071408</v>
      </c>
      <c r="E4733" s="1">
        <v>12</v>
      </c>
      <c r="F4733" s="1">
        <v>19</v>
      </c>
      <c r="G4733" s="1">
        <v>4</v>
      </c>
      <c r="H4733" s="1">
        <v>1</v>
      </c>
      <c r="I4733" s="1">
        <v>0</v>
      </c>
      <c r="J4733" s="1">
        <v>1</v>
      </c>
      <c r="K4733" s="1">
        <v>0</v>
      </c>
      <c r="L4733" s="1">
        <v>0</v>
      </c>
      <c r="M4733" s="1">
        <v>1</v>
      </c>
    </row>
    <row r="4734" spans="1:13">
      <c r="A4734" s="1">
        <v>4733</v>
      </c>
      <c r="B4734" s="1">
        <v>860044.85990000004</v>
      </c>
      <c r="C4734" s="1">
        <v>630164.55841912271</v>
      </c>
      <c r="D4734" s="1">
        <f t="shared" si="73"/>
        <v>229880.30148087733</v>
      </c>
      <c r="E4734" s="1">
        <v>3</v>
      </c>
      <c r="F4734" s="1">
        <v>27</v>
      </c>
      <c r="G4734" s="1">
        <v>5</v>
      </c>
      <c r="H4734" s="1">
        <v>1</v>
      </c>
      <c r="I4734" s="1">
        <v>0</v>
      </c>
      <c r="J4734" s="1">
        <v>0</v>
      </c>
      <c r="K4734" s="1">
        <v>2</v>
      </c>
      <c r="L4734" s="1">
        <v>0</v>
      </c>
      <c r="M4734" s="1">
        <v>0</v>
      </c>
    </row>
    <row r="4735" spans="1:13">
      <c r="A4735" s="1">
        <v>4734</v>
      </c>
      <c r="B4735" s="1">
        <v>932652.72039999999</v>
      </c>
      <c r="C4735" s="1">
        <v>916711.1279651724</v>
      </c>
      <c r="D4735" s="1">
        <f t="shared" si="73"/>
        <v>15941.592434827588</v>
      </c>
      <c r="E4735" s="1">
        <v>16</v>
      </c>
      <c r="F4735" s="1">
        <v>13</v>
      </c>
      <c r="G4735" s="1">
        <v>6</v>
      </c>
      <c r="H4735" s="1">
        <v>1</v>
      </c>
      <c r="I4735" s="1">
        <v>1</v>
      </c>
      <c r="J4735" s="1">
        <v>1</v>
      </c>
      <c r="K4735" s="1">
        <v>0</v>
      </c>
      <c r="L4735" s="1">
        <v>0</v>
      </c>
      <c r="M4735" s="1">
        <v>0</v>
      </c>
    </row>
    <row r="4736" spans="1:13">
      <c r="A4736" s="1">
        <v>4735</v>
      </c>
      <c r="B4736" s="1">
        <v>994632.15419999999</v>
      </c>
      <c r="C4736" s="1">
        <v>1709754.2809660546</v>
      </c>
      <c r="D4736" s="1">
        <f t="shared" si="73"/>
        <v>-715122.12676605466</v>
      </c>
      <c r="E4736" s="1">
        <v>10</v>
      </c>
      <c r="F4736" s="1">
        <v>21</v>
      </c>
      <c r="G4736" s="1">
        <v>4</v>
      </c>
      <c r="H4736" s="1">
        <v>1</v>
      </c>
      <c r="I4736" s="1">
        <v>0</v>
      </c>
      <c r="J4736" s="1">
        <v>1</v>
      </c>
      <c r="K4736" s="1">
        <v>1</v>
      </c>
      <c r="L4736" s="1">
        <v>0</v>
      </c>
      <c r="M4736" s="1">
        <v>0</v>
      </c>
    </row>
    <row r="4737" spans="1:13">
      <c r="A4737" s="1">
        <v>4736</v>
      </c>
      <c r="B4737" s="1">
        <v>869946.53060000006</v>
      </c>
      <c r="C4737" s="1">
        <v>1066700.901190856</v>
      </c>
      <c r="D4737" s="1">
        <f t="shared" si="73"/>
        <v>-196754.37059085595</v>
      </c>
      <c r="E4737" s="1">
        <v>14</v>
      </c>
      <c r="F4737" s="1">
        <v>16</v>
      </c>
      <c r="G4737" s="1">
        <v>5</v>
      </c>
      <c r="H4737" s="1">
        <v>1</v>
      </c>
      <c r="I4737" s="1">
        <v>1</v>
      </c>
      <c r="J4737" s="1">
        <v>0</v>
      </c>
      <c r="K4737" s="1">
        <v>0</v>
      </c>
      <c r="L4737" s="1">
        <v>0</v>
      </c>
      <c r="M4737" s="1">
        <v>0</v>
      </c>
    </row>
    <row r="4738" spans="1:13">
      <c r="A4738" s="1">
        <v>4737</v>
      </c>
      <c r="B4738" s="1">
        <v>1060944.2050999999</v>
      </c>
      <c r="C4738" s="1">
        <v>809931.63968148746</v>
      </c>
      <c r="D4738" s="1">
        <f t="shared" ref="D4738:D4801" si="74">B4738-C4738</f>
        <v>251012.56541851244</v>
      </c>
      <c r="E4738" s="1">
        <v>6</v>
      </c>
      <c r="F4738" s="1">
        <v>21</v>
      </c>
      <c r="G4738" s="1">
        <v>8</v>
      </c>
      <c r="H4738" s="1">
        <v>1</v>
      </c>
      <c r="I4738" s="1">
        <v>0</v>
      </c>
      <c r="J4738" s="1">
        <v>0</v>
      </c>
      <c r="K4738" s="1">
        <v>1</v>
      </c>
      <c r="L4738" s="1">
        <v>0</v>
      </c>
      <c r="M4738" s="1">
        <v>0</v>
      </c>
    </row>
    <row r="4739" spans="1:13">
      <c r="A4739" s="1">
        <v>4738</v>
      </c>
      <c r="B4739" s="1">
        <v>905317.88370000001</v>
      </c>
      <c r="C4739" s="1">
        <v>925069.95531006856</v>
      </c>
      <c r="D4739" s="1">
        <f t="shared" si="74"/>
        <v>-19752.071610068553</v>
      </c>
      <c r="E4739" s="1">
        <v>22</v>
      </c>
      <c r="F4739" s="1">
        <v>11</v>
      </c>
      <c r="G4739" s="1">
        <v>2</v>
      </c>
      <c r="H4739" s="1">
        <v>1</v>
      </c>
      <c r="I4739" s="1">
        <v>0</v>
      </c>
      <c r="J4739" s="1">
        <v>2</v>
      </c>
      <c r="K4739" s="1">
        <v>0</v>
      </c>
      <c r="L4739" s="1">
        <v>0</v>
      </c>
      <c r="M4739" s="1">
        <v>1</v>
      </c>
    </row>
    <row r="4740" spans="1:13">
      <c r="A4740" s="1">
        <v>4739</v>
      </c>
      <c r="B4740" s="1">
        <v>956260.99199999997</v>
      </c>
      <c r="C4740" s="1">
        <v>883453.17161152884</v>
      </c>
      <c r="D4740" s="1">
        <f t="shared" si="74"/>
        <v>72807.820388471126</v>
      </c>
      <c r="E4740" s="1">
        <v>11</v>
      </c>
      <c r="F4740" s="1">
        <v>16</v>
      </c>
      <c r="G4740" s="1">
        <v>8</v>
      </c>
      <c r="H4740" s="1">
        <v>0</v>
      </c>
      <c r="I4740" s="1">
        <v>0</v>
      </c>
      <c r="J4740" s="1">
        <v>0</v>
      </c>
      <c r="K4740" s="1">
        <v>0</v>
      </c>
      <c r="L4740" s="1">
        <v>0</v>
      </c>
      <c r="M4740" s="1">
        <v>0</v>
      </c>
    </row>
    <row r="4741" spans="1:13">
      <c r="A4741" s="1">
        <v>4740</v>
      </c>
      <c r="B4741" s="1">
        <v>968673.58360000001</v>
      </c>
      <c r="C4741" s="1">
        <v>874928.0344119682</v>
      </c>
      <c r="D4741" s="1">
        <f t="shared" si="74"/>
        <v>93745.549188031815</v>
      </c>
      <c r="E4741" s="1">
        <v>17</v>
      </c>
      <c r="F4741" s="1">
        <v>12</v>
      </c>
      <c r="G4741" s="1">
        <v>6</v>
      </c>
      <c r="H4741" s="1">
        <v>0</v>
      </c>
      <c r="I4741" s="1">
        <v>2</v>
      </c>
      <c r="J4741" s="1">
        <v>0</v>
      </c>
      <c r="K4741" s="1">
        <v>0</v>
      </c>
      <c r="L4741" s="1">
        <v>0</v>
      </c>
      <c r="M4741" s="1">
        <v>0</v>
      </c>
    </row>
    <row r="4742" spans="1:13">
      <c r="A4742" s="1">
        <v>4741</v>
      </c>
      <c r="B4742" s="1">
        <v>1053978.1939000001</v>
      </c>
      <c r="C4742" s="1">
        <v>1159239.5291816632</v>
      </c>
      <c r="D4742" s="1">
        <f t="shared" si="74"/>
        <v>-105261.33528166311</v>
      </c>
      <c r="E4742" s="1">
        <v>4</v>
      </c>
      <c r="F4742" s="1">
        <v>25</v>
      </c>
      <c r="G4742" s="1">
        <v>6</v>
      </c>
      <c r="H4742" s="1">
        <v>2</v>
      </c>
      <c r="I4742" s="1">
        <v>0</v>
      </c>
      <c r="J4742" s="1">
        <v>0</v>
      </c>
      <c r="K4742" s="1">
        <v>1</v>
      </c>
      <c r="L4742" s="1">
        <v>1</v>
      </c>
      <c r="M4742" s="1">
        <v>0</v>
      </c>
    </row>
    <row r="4743" spans="1:13">
      <c r="A4743" s="1">
        <v>4742</v>
      </c>
      <c r="B4743" s="1">
        <v>995787.8186</v>
      </c>
      <c r="C4743" s="1">
        <v>744520.46103981871</v>
      </c>
      <c r="D4743" s="1">
        <f t="shared" si="74"/>
        <v>251267.35756018129</v>
      </c>
      <c r="E4743" s="1">
        <v>7</v>
      </c>
      <c r="F4743" s="1">
        <v>20</v>
      </c>
      <c r="G4743" s="1">
        <v>8</v>
      </c>
      <c r="H4743" s="1">
        <v>0</v>
      </c>
      <c r="I4743" s="1">
        <v>1</v>
      </c>
      <c r="J4743" s="1">
        <v>0</v>
      </c>
      <c r="K4743" s="1">
        <v>1</v>
      </c>
      <c r="L4743" s="1">
        <v>0</v>
      </c>
      <c r="M4743" s="1">
        <v>0</v>
      </c>
    </row>
    <row r="4744" spans="1:13">
      <c r="A4744" s="1">
        <v>4743</v>
      </c>
      <c r="B4744" s="1">
        <v>1015687.0497</v>
      </c>
      <c r="C4744" s="1">
        <v>640731.40639973781</v>
      </c>
      <c r="D4744" s="1">
        <f t="shared" si="74"/>
        <v>374955.64330026216</v>
      </c>
      <c r="E4744" s="1">
        <v>12</v>
      </c>
      <c r="F4744" s="1">
        <v>20</v>
      </c>
      <c r="G4744" s="1">
        <v>3</v>
      </c>
      <c r="H4744" s="1">
        <v>0</v>
      </c>
      <c r="I4744" s="1">
        <v>0</v>
      </c>
      <c r="J4744" s="1">
        <v>0</v>
      </c>
      <c r="K4744" s="1">
        <v>1</v>
      </c>
      <c r="L4744" s="1">
        <v>0</v>
      </c>
      <c r="M4744" s="1">
        <v>0</v>
      </c>
    </row>
    <row r="4745" spans="1:13">
      <c r="A4745" s="1">
        <v>4744</v>
      </c>
      <c r="B4745" s="1">
        <v>1043101.9144</v>
      </c>
      <c r="C4745" s="1">
        <v>706965.0605370492</v>
      </c>
      <c r="D4745" s="1">
        <f t="shared" si="74"/>
        <v>336136.85386295081</v>
      </c>
      <c r="E4745" s="1">
        <v>5</v>
      </c>
      <c r="F4745" s="1">
        <v>27</v>
      </c>
      <c r="G4745" s="1">
        <v>3</v>
      </c>
      <c r="H4745" s="1">
        <v>1</v>
      </c>
      <c r="I4745" s="1">
        <v>1</v>
      </c>
      <c r="J4745" s="1">
        <v>0</v>
      </c>
      <c r="K4745" s="1">
        <v>2</v>
      </c>
      <c r="L4745" s="1">
        <v>0</v>
      </c>
      <c r="M4745" s="1">
        <v>0</v>
      </c>
    </row>
    <row r="4746" spans="1:13">
      <c r="A4746" s="1">
        <v>4745</v>
      </c>
      <c r="B4746" s="1">
        <v>1066210.9989</v>
      </c>
      <c r="C4746" s="1">
        <v>743353.67591105797</v>
      </c>
      <c r="D4746" s="1">
        <f t="shared" si="74"/>
        <v>322857.32298894203</v>
      </c>
      <c r="E4746" s="1">
        <v>14</v>
      </c>
      <c r="F4746" s="1">
        <v>14</v>
      </c>
      <c r="G4746" s="1">
        <v>7</v>
      </c>
      <c r="H4746" s="1">
        <v>0</v>
      </c>
      <c r="I4746" s="1">
        <v>0</v>
      </c>
      <c r="J4746" s="1">
        <v>1</v>
      </c>
      <c r="K4746" s="1">
        <v>0</v>
      </c>
      <c r="L4746" s="1">
        <v>0</v>
      </c>
      <c r="M4746" s="1">
        <v>0</v>
      </c>
    </row>
    <row r="4747" spans="1:13">
      <c r="A4747" s="1">
        <v>4746</v>
      </c>
      <c r="B4747" s="1">
        <v>883012.69079999998</v>
      </c>
      <c r="C4747" s="1">
        <v>2001993.1009951206</v>
      </c>
      <c r="D4747" s="1">
        <f t="shared" si="74"/>
        <v>-1118980.4101951206</v>
      </c>
      <c r="E4747" s="1">
        <v>13</v>
      </c>
      <c r="F4747" s="1">
        <v>18</v>
      </c>
      <c r="G4747" s="1">
        <v>4</v>
      </c>
      <c r="H4747" s="1">
        <v>2</v>
      </c>
      <c r="I4747" s="1">
        <v>0</v>
      </c>
      <c r="J4747" s="1">
        <v>0</v>
      </c>
      <c r="K4747" s="1">
        <v>2</v>
      </c>
      <c r="L4747" s="1">
        <v>0</v>
      </c>
      <c r="M4747" s="1">
        <v>1</v>
      </c>
    </row>
    <row r="4748" spans="1:13">
      <c r="A4748" s="1">
        <v>4747</v>
      </c>
      <c r="B4748" s="1">
        <v>957316.16870000004</v>
      </c>
      <c r="C4748" s="1">
        <v>764274.28016067354</v>
      </c>
      <c r="D4748" s="1">
        <f t="shared" si="74"/>
        <v>193041.88853932649</v>
      </c>
      <c r="E4748" s="1">
        <v>6</v>
      </c>
      <c r="F4748" s="1">
        <v>20</v>
      </c>
      <c r="G4748" s="1">
        <v>9</v>
      </c>
      <c r="H4748" s="1">
        <v>1</v>
      </c>
      <c r="I4748" s="1">
        <v>0</v>
      </c>
      <c r="J4748" s="1">
        <v>1</v>
      </c>
      <c r="K4748" s="1">
        <v>0</v>
      </c>
      <c r="L4748" s="1">
        <v>0</v>
      </c>
      <c r="M4748" s="1">
        <v>1</v>
      </c>
    </row>
    <row r="4749" spans="1:13">
      <c r="A4749" s="1">
        <v>4748</v>
      </c>
      <c r="B4749" s="1">
        <v>1033051.284</v>
      </c>
      <c r="C4749" s="1">
        <v>865994.2808509696</v>
      </c>
      <c r="D4749" s="1">
        <f t="shared" si="74"/>
        <v>167057.00314903038</v>
      </c>
      <c r="E4749" s="1">
        <v>11</v>
      </c>
      <c r="F4749" s="1">
        <v>16</v>
      </c>
      <c r="G4749" s="1">
        <v>8</v>
      </c>
      <c r="H4749" s="1">
        <v>0</v>
      </c>
      <c r="I4749" s="1">
        <v>1</v>
      </c>
      <c r="J4749" s="1">
        <v>1</v>
      </c>
      <c r="K4749" s="1">
        <v>1</v>
      </c>
      <c r="L4749" s="1">
        <v>0</v>
      </c>
      <c r="M4749" s="1">
        <v>1</v>
      </c>
    </row>
    <row r="4750" spans="1:13">
      <c r="A4750" s="1">
        <v>4749</v>
      </c>
      <c r="B4750" s="1">
        <v>908929.08129999996</v>
      </c>
      <c r="C4750" s="1">
        <v>774468.72861002607</v>
      </c>
      <c r="D4750" s="1">
        <f t="shared" si="74"/>
        <v>134460.35268997389</v>
      </c>
      <c r="E4750" s="1">
        <v>15</v>
      </c>
      <c r="F4750" s="1">
        <v>14</v>
      </c>
      <c r="G4750" s="1">
        <v>6</v>
      </c>
      <c r="H4750" s="1">
        <v>0</v>
      </c>
      <c r="I4750" s="1">
        <v>0</v>
      </c>
      <c r="J4750" s="1">
        <v>0</v>
      </c>
      <c r="K4750" s="1">
        <v>0</v>
      </c>
      <c r="L4750" s="1">
        <v>0</v>
      </c>
      <c r="M4750" s="1">
        <v>1</v>
      </c>
    </row>
    <row r="4751" spans="1:13">
      <c r="A4751" s="1">
        <v>4750</v>
      </c>
      <c r="B4751" s="1">
        <v>961385.17799999996</v>
      </c>
      <c r="C4751" s="1">
        <v>652912.35892220901</v>
      </c>
      <c r="D4751" s="1">
        <f t="shared" si="74"/>
        <v>308472.81907779095</v>
      </c>
      <c r="E4751" s="1">
        <v>3</v>
      </c>
      <c r="F4751" s="1">
        <v>24</v>
      </c>
      <c r="G4751" s="1">
        <v>8</v>
      </c>
      <c r="H4751" s="1">
        <v>1</v>
      </c>
      <c r="I4751" s="1">
        <v>0</v>
      </c>
      <c r="J4751" s="1">
        <v>1</v>
      </c>
      <c r="K4751" s="1">
        <v>1</v>
      </c>
      <c r="L4751" s="1">
        <v>0</v>
      </c>
      <c r="M4751" s="1">
        <v>1</v>
      </c>
    </row>
    <row r="4752" spans="1:13">
      <c r="A4752" s="1">
        <v>4751</v>
      </c>
      <c r="B4752" s="1">
        <v>924296.46860000002</v>
      </c>
      <c r="C4752" s="1">
        <v>830387.16505324771</v>
      </c>
      <c r="D4752" s="1">
        <f t="shared" si="74"/>
        <v>93909.303546752315</v>
      </c>
      <c r="E4752" s="1">
        <v>16</v>
      </c>
      <c r="F4752" s="1">
        <v>13</v>
      </c>
      <c r="G4752" s="1">
        <v>6</v>
      </c>
      <c r="H4752" s="1">
        <v>0</v>
      </c>
      <c r="I4752" s="1">
        <v>1</v>
      </c>
      <c r="J4752" s="1">
        <v>2</v>
      </c>
      <c r="K4752" s="1">
        <v>0</v>
      </c>
      <c r="L4752" s="1">
        <v>0</v>
      </c>
      <c r="M4752" s="1">
        <v>1</v>
      </c>
    </row>
    <row r="4753" spans="1:13">
      <c r="A4753" s="1">
        <v>4752</v>
      </c>
      <c r="B4753" s="1">
        <v>909650.70609999995</v>
      </c>
      <c r="C4753" s="1">
        <v>844183.1185934837</v>
      </c>
      <c r="D4753" s="1">
        <f t="shared" si="74"/>
        <v>65467.587506516255</v>
      </c>
      <c r="E4753" s="1">
        <v>17</v>
      </c>
      <c r="F4753" s="1">
        <v>16</v>
      </c>
      <c r="G4753" s="1">
        <v>2</v>
      </c>
      <c r="H4753" s="1">
        <v>0</v>
      </c>
      <c r="I4753" s="1">
        <v>0</v>
      </c>
      <c r="J4753" s="1">
        <v>0</v>
      </c>
      <c r="K4753" s="1">
        <v>0</v>
      </c>
      <c r="L4753" s="1">
        <v>0</v>
      </c>
      <c r="M4753" s="1">
        <v>0</v>
      </c>
    </row>
    <row r="4754" spans="1:13">
      <c r="A4754" s="1">
        <v>4753</v>
      </c>
      <c r="B4754" s="1">
        <v>869673.75309999997</v>
      </c>
      <c r="C4754" s="1">
        <v>639184.25242802221</v>
      </c>
      <c r="D4754" s="1">
        <f t="shared" si="74"/>
        <v>230489.50067197776</v>
      </c>
      <c r="E4754" s="1">
        <v>19</v>
      </c>
      <c r="F4754" s="1">
        <v>10</v>
      </c>
      <c r="G4754" s="1">
        <v>6</v>
      </c>
      <c r="H4754" s="1">
        <v>2</v>
      </c>
      <c r="I4754" s="1">
        <v>0</v>
      </c>
      <c r="J4754" s="1">
        <v>1</v>
      </c>
      <c r="K4754" s="1">
        <v>0</v>
      </c>
      <c r="L4754" s="1">
        <v>0</v>
      </c>
      <c r="M4754" s="1">
        <v>1</v>
      </c>
    </row>
    <row r="4755" spans="1:13">
      <c r="A4755" s="1">
        <v>4754</v>
      </c>
      <c r="B4755" s="1">
        <v>921876.2622</v>
      </c>
      <c r="C4755" s="1">
        <v>736574.90491681546</v>
      </c>
      <c r="D4755" s="1">
        <f t="shared" si="74"/>
        <v>185301.35728318454</v>
      </c>
      <c r="E4755" s="1">
        <v>18</v>
      </c>
      <c r="F4755" s="1">
        <v>12</v>
      </c>
      <c r="G4755" s="1">
        <v>5</v>
      </c>
      <c r="H4755" s="1">
        <v>1</v>
      </c>
      <c r="I4755" s="1">
        <v>0</v>
      </c>
      <c r="J4755" s="1">
        <v>0</v>
      </c>
      <c r="K4755" s="1">
        <v>0</v>
      </c>
      <c r="L4755" s="1">
        <v>1</v>
      </c>
      <c r="M4755" s="1">
        <v>0</v>
      </c>
    </row>
    <row r="4756" spans="1:13">
      <c r="A4756" s="1">
        <v>4755</v>
      </c>
      <c r="B4756" s="1">
        <v>1135442.4049</v>
      </c>
      <c r="C4756" s="1">
        <v>912349.50320289936</v>
      </c>
      <c r="D4756" s="1">
        <f t="shared" si="74"/>
        <v>223092.90169710061</v>
      </c>
      <c r="E4756" s="1">
        <v>6</v>
      </c>
      <c r="F4756" s="1">
        <v>23</v>
      </c>
      <c r="G4756" s="1">
        <v>6</v>
      </c>
      <c r="H4756" s="1">
        <v>1</v>
      </c>
      <c r="I4756" s="1">
        <v>0</v>
      </c>
      <c r="J4756" s="1">
        <v>0</v>
      </c>
      <c r="K4756" s="1">
        <v>1</v>
      </c>
      <c r="L4756" s="1">
        <v>0</v>
      </c>
      <c r="M4756" s="1">
        <v>1</v>
      </c>
    </row>
    <row r="4757" spans="1:13">
      <c r="A4757" s="1">
        <v>4756</v>
      </c>
      <c r="B4757" s="1">
        <v>1032434.5587000001</v>
      </c>
      <c r="C4757" s="1">
        <v>702305.50995524123</v>
      </c>
      <c r="D4757" s="1">
        <f t="shared" si="74"/>
        <v>330129.04874475882</v>
      </c>
      <c r="E4757" s="1">
        <v>9</v>
      </c>
      <c r="F4757" s="1">
        <v>20</v>
      </c>
      <c r="G4757" s="1">
        <v>6</v>
      </c>
      <c r="H4757" s="1">
        <v>0</v>
      </c>
      <c r="I4757" s="1">
        <v>0</v>
      </c>
      <c r="J4757" s="1">
        <v>2</v>
      </c>
      <c r="K4757" s="1">
        <v>0</v>
      </c>
      <c r="L4757" s="1">
        <v>0</v>
      </c>
      <c r="M4757" s="1">
        <v>1</v>
      </c>
    </row>
    <row r="4758" spans="1:13">
      <c r="A4758" s="1">
        <v>4757</v>
      </c>
      <c r="B4758" s="1">
        <v>918677.10829999996</v>
      </c>
      <c r="C4758" s="1">
        <v>642732.7022103226</v>
      </c>
      <c r="D4758" s="1">
        <f t="shared" si="74"/>
        <v>275944.40608967736</v>
      </c>
      <c r="E4758" s="1">
        <v>13</v>
      </c>
      <c r="F4758" s="1">
        <v>16</v>
      </c>
      <c r="G4758" s="1">
        <v>6</v>
      </c>
      <c r="H4758" s="1">
        <v>0</v>
      </c>
      <c r="I4758" s="1">
        <v>2</v>
      </c>
      <c r="J4758" s="1">
        <v>0</v>
      </c>
      <c r="K4758" s="1">
        <v>0</v>
      </c>
      <c r="L4758" s="1">
        <v>0</v>
      </c>
      <c r="M4758" s="1">
        <v>0</v>
      </c>
    </row>
    <row r="4759" spans="1:13">
      <c r="A4759" s="1">
        <v>4758</v>
      </c>
      <c r="B4759" s="1">
        <v>936188.02879999997</v>
      </c>
      <c r="C4759" s="1">
        <v>684125.72926776833</v>
      </c>
      <c r="D4759" s="1">
        <f t="shared" si="74"/>
        <v>252062.29953223164</v>
      </c>
      <c r="E4759" s="1">
        <v>13</v>
      </c>
      <c r="F4759" s="1">
        <v>18</v>
      </c>
      <c r="G4759" s="1">
        <v>4</v>
      </c>
      <c r="H4759" s="1">
        <v>1</v>
      </c>
      <c r="I4759" s="1">
        <v>0</v>
      </c>
      <c r="J4759" s="1">
        <v>1</v>
      </c>
      <c r="K4759" s="1">
        <v>0</v>
      </c>
      <c r="L4759" s="1">
        <v>1</v>
      </c>
      <c r="M4759" s="1">
        <v>1</v>
      </c>
    </row>
    <row r="4760" spans="1:13">
      <c r="A4760" s="1">
        <v>4759</v>
      </c>
      <c r="B4760" s="1">
        <v>890631.11569999997</v>
      </c>
      <c r="C4760" s="1">
        <v>596147.5952281428</v>
      </c>
      <c r="D4760" s="1">
        <f t="shared" si="74"/>
        <v>294483.52047185716</v>
      </c>
      <c r="E4760" s="1">
        <v>12</v>
      </c>
      <c r="F4760" s="1">
        <v>16</v>
      </c>
      <c r="G4760" s="1">
        <v>7</v>
      </c>
      <c r="H4760" s="1">
        <v>1</v>
      </c>
      <c r="I4760" s="1">
        <v>0</v>
      </c>
      <c r="J4760" s="1">
        <v>0</v>
      </c>
      <c r="K4760" s="1">
        <v>1</v>
      </c>
      <c r="L4760" s="1">
        <v>0</v>
      </c>
      <c r="M4760" s="1">
        <v>0</v>
      </c>
    </row>
    <row r="4761" spans="1:13">
      <c r="A4761" s="1">
        <v>4760</v>
      </c>
      <c r="B4761" s="1">
        <v>963417.56779999996</v>
      </c>
      <c r="C4761" s="1">
        <v>582949.29162415501</v>
      </c>
      <c r="D4761" s="1">
        <f t="shared" si="74"/>
        <v>380468.27617584495</v>
      </c>
      <c r="E4761" s="1">
        <v>15</v>
      </c>
      <c r="F4761" s="1">
        <v>18</v>
      </c>
      <c r="G4761" s="1">
        <v>2</v>
      </c>
      <c r="H4761" s="1">
        <v>1</v>
      </c>
      <c r="I4761" s="1">
        <v>1</v>
      </c>
      <c r="J4761" s="1">
        <v>2</v>
      </c>
      <c r="K4761" s="1">
        <v>0</v>
      </c>
      <c r="L4761" s="1">
        <v>0</v>
      </c>
      <c r="M4761" s="1">
        <v>0</v>
      </c>
    </row>
    <row r="4762" spans="1:13">
      <c r="A4762" s="1">
        <v>4761</v>
      </c>
      <c r="B4762" s="1">
        <v>955533.4952</v>
      </c>
      <c r="C4762" s="1">
        <v>581626.74096683785</v>
      </c>
      <c r="D4762" s="1">
        <f t="shared" si="74"/>
        <v>373906.75423316215</v>
      </c>
      <c r="E4762" s="1">
        <v>10</v>
      </c>
      <c r="F4762" s="1">
        <v>20</v>
      </c>
      <c r="G4762" s="1">
        <v>5</v>
      </c>
      <c r="H4762" s="1">
        <v>1</v>
      </c>
      <c r="I4762" s="1">
        <v>0</v>
      </c>
      <c r="J4762" s="1">
        <v>0</v>
      </c>
      <c r="K4762" s="1">
        <v>0</v>
      </c>
      <c r="L4762" s="1">
        <v>0</v>
      </c>
      <c r="M4762" s="1">
        <v>0</v>
      </c>
    </row>
    <row r="4763" spans="1:13">
      <c r="A4763" s="1">
        <v>4762</v>
      </c>
      <c r="B4763" s="1">
        <v>804927.77560000005</v>
      </c>
      <c r="C4763" s="1">
        <v>629486.19435399026</v>
      </c>
      <c r="D4763" s="1">
        <f t="shared" si="74"/>
        <v>175441.58124600979</v>
      </c>
      <c r="E4763" s="1">
        <v>22</v>
      </c>
      <c r="F4763" s="1">
        <v>8</v>
      </c>
      <c r="G4763" s="1">
        <v>5</v>
      </c>
      <c r="H4763" s="1">
        <v>2</v>
      </c>
      <c r="I4763" s="1">
        <v>0</v>
      </c>
      <c r="J4763" s="1">
        <v>0</v>
      </c>
      <c r="K4763" s="1">
        <v>0</v>
      </c>
      <c r="L4763" s="1">
        <v>0</v>
      </c>
      <c r="M4763" s="1">
        <v>0</v>
      </c>
    </row>
    <row r="4764" spans="1:13">
      <c r="A4764" s="1">
        <v>4763</v>
      </c>
      <c r="B4764" s="1">
        <v>873882.31700000004</v>
      </c>
      <c r="C4764" s="1">
        <v>751153.94071720878</v>
      </c>
      <c r="D4764" s="1">
        <f t="shared" si="74"/>
        <v>122728.37628279126</v>
      </c>
      <c r="E4764" s="1">
        <v>15</v>
      </c>
      <c r="F4764" s="1">
        <v>17</v>
      </c>
      <c r="G4764" s="1">
        <v>3</v>
      </c>
      <c r="H4764" s="1">
        <v>1</v>
      </c>
      <c r="I4764" s="1">
        <v>0</v>
      </c>
      <c r="J4764" s="1">
        <v>0</v>
      </c>
      <c r="K4764" s="1">
        <v>0</v>
      </c>
      <c r="L4764" s="1">
        <v>0</v>
      </c>
      <c r="M4764" s="1">
        <v>0</v>
      </c>
    </row>
    <row r="4765" spans="1:13">
      <c r="A4765" s="1">
        <v>4764</v>
      </c>
      <c r="B4765" s="1">
        <v>906566.91720000003</v>
      </c>
      <c r="C4765" s="1">
        <v>1471443.1242706198</v>
      </c>
      <c r="D4765" s="1">
        <f t="shared" si="74"/>
        <v>-564876.2070706198</v>
      </c>
      <c r="E4765" s="1">
        <v>18</v>
      </c>
      <c r="F4765" s="1">
        <v>12</v>
      </c>
      <c r="G4765" s="1">
        <v>5</v>
      </c>
      <c r="H4765" s="1">
        <v>1</v>
      </c>
      <c r="I4765" s="1">
        <v>1</v>
      </c>
      <c r="J4765" s="1">
        <v>2</v>
      </c>
      <c r="K4765" s="1">
        <v>0</v>
      </c>
      <c r="L4765" s="1">
        <v>0</v>
      </c>
      <c r="M4765" s="1">
        <v>0</v>
      </c>
    </row>
    <row r="4766" spans="1:13">
      <c r="A4766" s="1">
        <v>4765</v>
      </c>
      <c r="B4766" s="1">
        <v>866566.36159999995</v>
      </c>
      <c r="C4766" s="1">
        <v>1336278.4597017402</v>
      </c>
      <c r="D4766" s="1">
        <f t="shared" si="74"/>
        <v>-469712.09810174024</v>
      </c>
      <c r="E4766" s="1">
        <v>25</v>
      </c>
      <c r="F4766" s="1">
        <v>8</v>
      </c>
      <c r="G4766" s="1">
        <v>2</v>
      </c>
      <c r="H4766" s="1">
        <v>0</v>
      </c>
      <c r="I4766" s="1">
        <v>0</v>
      </c>
      <c r="J4766" s="1">
        <v>0</v>
      </c>
      <c r="K4766" s="1">
        <v>0</v>
      </c>
      <c r="L4766" s="1">
        <v>0</v>
      </c>
      <c r="M4766" s="1">
        <v>1</v>
      </c>
    </row>
    <row r="4767" spans="1:13">
      <c r="A4767" s="1">
        <v>4766</v>
      </c>
      <c r="B4767" s="1">
        <v>1059195.5427000001</v>
      </c>
      <c r="C4767" s="1">
        <v>853794.51417351246</v>
      </c>
      <c r="D4767" s="1">
        <f t="shared" si="74"/>
        <v>205401.02852648764</v>
      </c>
      <c r="E4767" s="1">
        <v>8</v>
      </c>
      <c r="F4767" s="1">
        <v>21</v>
      </c>
      <c r="G4767" s="1">
        <v>6</v>
      </c>
      <c r="H4767" s="1">
        <v>0</v>
      </c>
      <c r="I4767" s="1">
        <v>1</v>
      </c>
      <c r="J4767" s="1">
        <v>2</v>
      </c>
      <c r="K4767" s="1">
        <v>0</v>
      </c>
      <c r="L4767" s="1">
        <v>0</v>
      </c>
      <c r="M4767" s="1">
        <v>0</v>
      </c>
    </row>
    <row r="4768" spans="1:13">
      <c r="A4768" s="1">
        <v>4767</v>
      </c>
      <c r="B4768" s="1">
        <v>940594.16379999998</v>
      </c>
      <c r="C4768" s="1">
        <v>3578015.3458224148</v>
      </c>
      <c r="D4768" s="1">
        <f t="shared" si="74"/>
        <v>-2637421.1820224151</v>
      </c>
      <c r="E4768" s="1">
        <v>9</v>
      </c>
      <c r="F4768" s="1">
        <v>22</v>
      </c>
      <c r="G4768" s="1">
        <v>4</v>
      </c>
      <c r="H4768" s="1">
        <v>2</v>
      </c>
      <c r="I4768" s="1">
        <v>0</v>
      </c>
      <c r="J4768" s="1">
        <v>2</v>
      </c>
      <c r="K4768" s="1">
        <v>0</v>
      </c>
      <c r="L4768" s="1">
        <v>0</v>
      </c>
      <c r="M4768" s="1">
        <v>0</v>
      </c>
    </row>
    <row r="4769" spans="1:13">
      <c r="A4769" s="1">
        <v>4768</v>
      </c>
      <c r="B4769" s="1">
        <v>953717.77119999996</v>
      </c>
      <c r="C4769" s="1">
        <v>1018656.7880158011</v>
      </c>
      <c r="D4769" s="1">
        <f t="shared" si="74"/>
        <v>-64939.016815801151</v>
      </c>
      <c r="E4769" s="1">
        <v>14</v>
      </c>
      <c r="F4769" s="1">
        <v>16</v>
      </c>
      <c r="G4769" s="1">
        <v>5</v>
      </c>
      <c r="H4769" s="1">
        <v>0</v>
      </c>
      <c r="I4769" s="1">
        <v>0</v>
      </c>
      <c r="J4769" s="1">
        <v>0</v>
      </c>
      <c r="K4769" s="1">
        <v>0</v>
      </c>
      <c r="L4769" s="1">
        <v>0</v>
      </c>
      <c r="M4769" s="1">
        <v>0</v>
      </c>
    </row>
    <row r="4770" spans="1:13">
      <c r="A4770" s="1">
        <v>4769</v>
      </c>
      <c r="B4770" s="1">
        <v>944256.8554</v>
      </c>
      <c r="C4770" s="1">
        <v>1091619.9212809112</v>
      </c>
      <c r="D4770" s="1">
        <f t="shared" si="74"/>
        <v>-147363.06588091119</v>
      </c>
      <c r="E4770" s="1">
        <v>5</v>
      </c>
      <c r="F4770" s="1">
        <v>24</v>
      </c>
      <c r="G4770" s="1">
        <v>6</v>
      </c>
      <c r="H4770" s="1">
        <v>1</v>
      </c>
      <c r="I4770" s="1">
        <v>1</v>
      </c>
      <c r="J4770" s="1">
        <v>0</v>
      </c>
      <c r="K4770" s="1">
        <v>1</v>
      </c>
      <c r="L4770" s="1">
        <v>1</v>
      </c>
      <c r="M4770" s="1">
        <v>0</v>
      </c>
    </row>
    <row r="4771" spans="1:13">
      <c r="A4771" s="1">
        <v>4770</v>
      </c>
      <c r="B4771" s="1">
        <v>1010948.0118</v>
      </c>
      <c r="C4771" s="1">
        <v>893999.65387774399</v>
      </c>
      <c r="D4771" s="1">
        <f t="shared" si="74"/>
        <v>116948.35792225599</v>
      </c>
      <c r="E4771" s="1">
        <v>7</v>
      </c>
      <c r="F4771" s="1">
        <v>23</v>
      </c>
      <c r="G4771" s="1">
        <v>5</v>
      </c>
      <c r="H4771" s="1">
        <v>1</v>
      </c>
      <c r="I4771" s="1">
        <v>1</v>
      </c>
      <c r="J4771" s="1">
        <v>0</v>
      </c>
      <c r="K4771" s="1">
        <v>1</v>
      </c>
      <c r="L4771" s="1">
        <v>0</v>
      </c>
      <c r="M4771" s="1">
        <v>0</v>
      </c>
    </row>
    <row r="4772" spans="1:13">
      <c r="A4772" s="1">
        <v>4771</v>
      </c>
      <c r="B4772" s="1">
        <v>840342.03810000001</v>
      </c>
      <c r="C4772" s="1">
        <v>811917.09804468788</v>
      </c>
      <c r="D4772" s="1">
        <f t="shared" si="74"/>
        <v>28424.940055312123</v>
      </c>
      <c r="E4772" s="1">
        <v>19</v>
      </c>
      <c r="F4772" s="1">
        <v>12</v>
      </c>
      <c r="G4772" s="1">
        <v>4</v>
      </c>
      <c r="H4772" s="1">
        <v>2</v>
      </c>
      <c r="I4772" s="1">
        <v>0</v>
      </c>
      <c r="J4772" s="1">
        <v>2</v>
      </c>
      <c r="K4772" s="1">
        <v>0</v>
      </c>
      <c r="L4772" s="1">
        <v>0</v>
      </c>
      <c r="M4772" s="1">
        <v>0</v>
      </c>
    </row>
    <row r="4773" spans="1:13">
      <c r="A4773" s="1">
        <v>4772</v>
      </c>
      <c r="B4773" s="1">
        <v>940617.10889999999</v>
      </c>
      <c r="C4773" s="1">
        <v>602229.65626653982</v>
      </c>
      <c r="D4773" s="1">
        <f t="shared" si="74"/>
        <v>338387.45263346017</v>
      </c>
      <c r="E4773" s="1">
        <v>18</v>
      </c>
      <c r="F4773" s="1">
        <v>15</v>
      </c>
      <c r="G4773" s="1">
        <v>2</v>
      </c>
      <c r="H4773" s="1">
        <v>1</v>
      </c>
      <c r="I4773" s="1">
        <v>0</v>
      </c>
      <c r="J4773" s="1">
        <v>0</v>
      </c>
      <c r="K4773" s="1">
        <v>2</v>
      </c>
      <c r="L4773" s="1">
        <v>0</v>
      </c>
      <c r="M4773" s="1">
        <v>0</v>
      </c>
    </row>
    <row r="4774" spans="1:13">
      <c r="A4774" s="1">
        <v>4773</v>
      </c>
      <c r="B4774" s="1">
        <v>928126.88580000005</v>
      </c>
      <c r="C4774" s="1">
        <v>950553.03794355632</v>
      </c>
      <c r="D4774" s="1">
        <f t="shared" si="74"/>
        <v>-22426.152143556275</v>
      </c>
      <c r="E4774" s="1">
        <v>6</v>
      </c>
      <c r="F4774" s="1">
        <v>23</v>
      </c>
      <c r="G4774" s="1">
        <v>6</v>
      </c>
      <c r="H4774" s="1">
        <v>1</v>
      </c>
      <c r="I4774" s="1">
        <v>1</v>
      </c>
      <c r="J4774" s="1">
        <v>2</v>
      </c>
      <c r="K4774" s="1">
        <v>0</v>
      </c>
      <c r="L4774" s="1">
        <v>0</v>
      </c>
      <c r="M4774" s="1">
        <v>1</v>
      </c>
    </row>
    <row r="4775" spans="1:13">
      <c r="A4775" s="1">
        <v>4774</v>
      </c>
      <c r="B4775" s="1">
        <v>928017.74069999997</v>
      </c>
      <c r="C4775" s="1">
        <v>1258796.6285115746</v>
      </c>
      <c r="D4775" s="1">
        <f t="shared" si="74"/>
        <v>-330778.88781157462</v>
      </c>
      <c r="E4775" s="1">
        <v>11</v>
      </c>
      <c r="F4775" s="1">
        <v>22</v>
      </c>
      <c r="G4775" s="1">
        <v>2</v>
      </c>
      <c r="H4775" s="1">
        <v>1</v>
      </c>
      <c r="I4775" s="1">
        <v>0</v>
      </c>
      <c r="J4775" s="1">
        <v>0</v>
      </c>
      <c r="K4775" s="1">
        <v>2</v>
      </c>
      <c r="L4775" s="1">
        <v>0</v>
      </c>
      <c r="M4775" s="1">
        <v>0</v>
      </c>
    </row>
    <row r="4776" spans="1:13">
      <c r="A4776" s="1">
        <v>4775</v>
      </c>
      <c r="B4776" s="1">
        <v>888636.38659999997</v>
      </c>
      <c r="C4776" s="1">
        <v>823035.0628470357</v>
      </c>
      <c r="D4776" s="1">
        <f t="shared" si="74"/>
        <v>65601.323752964265</v>
      </c>
      <c r="E4776" s="1">
        <v>15</v>
      </c>
      <c r="F4776" s="1">
        <v>14</v>
      </c>
      <c r="G4776" s="1">
        <v>6</v>
      </c>
      <c r="H4776" s="1">
        <v>1</v>
      </c>
      <c r="I4776" s="1">
        <v>0</v>
      </c>
      <c r="J4776" s="1">
        <v>1</v>
      </c>
      <c r="K4776" s="1">
        <v>0</v>
      </c>
      <c r="L4776" s="1">
        <v>0</v>
      </c>
      <c r="M4776" s="1">
        <v>0</v>
      </c>
    </row>
    <row r="4777" spans="1:13">
      <c r="A4777" s="1">
        <v>4776</v>
      </c>
      <c r="B4777" s="1">
        <v>870644.60770000005</v>
      </c>
      <c r="C4777" s="1">
        <v>749320.06116199284</v>
      </c>
      <c r="D4777" s="1">
        <f t="shared" si="74"/>
        <v>121324.54653800721</v>
      </c>
      <c r="E4777" s="1">
        <v>10</v>
      </c>
      <c r="F4777" s="1">
        <v>21</v>
      </c>
      <c r="G4777" s="1">
        <v>4</v>
      </c>
      <c r="H4777" s="1">
        <v>0</v>
      </c>
      <c r="I4777" s="1">
        <v>0</v>
      </c>
      <c r="J4777" s="1">
        <v>2</v>
      </c>
      <c r="K4777" s="1">
        <v>0</v>
      </c>
      <c r="L4777" s="1">
        <v>0</v>
      </c>
      <c r="M4777" s="1">
        <v>0</v>
      </c>
    </row>
    <row r="4778" spans="1:13">
      <c r="A4778" s="1">
        <v>4777</v>
      </c>
      <c r="B4778" s="1">
        <v>956868.81110000005</v>
      </c>
      <c r="C4778" s="1">
        <v>720887.02142895665</v>
      </c>
      <c r="D4778" s="1">
        <f t="shared" si="74"/>
        <v>235981.7896710434</v>
      </c>
      <c r="E4778" s="1">
        <v>9</v>
      </c>
      <c r="F4778" s="1">
        <v>18</v>
      </c>
      <c r="G4778" s="1">
        <v>8</v>
      </c>
      <c r="H4778" s="1">
        <v>1</v>
      </c>
      <c r="I4778" s="1">
        <v>0</v>
      </c>
      <c r="J4778" s="1">
        <v>0</v>
      </c>
      <c r="K4778" s="1">
        <v>1</v>
      </c>
      <c r="L4778" s="1">
        <v>0</v>
      </c>
      <c r="M4778" s="1">
        <v>0</v>
      </c>
    </row>
    <row r="4779" spans="1:13">
      <c r="A4779" s="1">
        <v>4778</v>
      </c>
      <c r="B4779" s="1">
        <v>925345.45830000006</v>
      </c>
      <c r="C4779" s="1">
        <v>761676.58109475044</v>
      </c>
      <c r="D4779" s="1">
        <f t="shared" si="74"/>
        <v>163668.87720524962</v>
      </c>
      <c r="E4779" s="1">
        <v>9</v>
      </c>
      <c r="F4779" s="1">
        <v>19</v>
      </c>
      <c r="G4779" s="1">
        <v>7</v>
      </c>
      <c r="H4779" s="1">
        <v>0</v>
      </c>
      <c r="I4779" s="1">
        <v>1</v>
      </c>
      <c r="J4779" s="1">
        <v>0</v>
      </c>
      <c r="K4779" s="1">
        <v>0</v>
      </c>
      <c r="L4779" s="1">
        <v>0</v>
      </c>
      <c r="M4779" s="1">
        <v>1</v>
      </c>
    </row>
    <row r="4780" spans="1:13">
      <c r="A4780" s="1">
        <v>4779</v>
      </c>
      <c r="B4780" s="1">
        <v>910192.04220000003</v>
      </c>
      <c r="C4780" s="1">
        <v>470104.14761737746</v>
      </c>
      <c r="D4780" s="1">
        <f t="shared" si="74"/>
        <v>440087.89458262257</v>
      </c>
      <c r="E4780" s="1">
        <v>15</v>
      </c>
      <c r="F4780" s="1">
        <v>14</v>
      </c>
      <c r="G4780" s="1">
        <v>6</v>
      </c>
      <c r="H4780" s="1">
        <v>2</v>
      </c>
      <c r="I4780" s="1">
        <v>0</v>
      </c>
      <c r="J4780" s="1">
        <v>1</v>
      </c>
      <c r="K4780" s="1">
        <v>1</v>
      </c>
      <c r="L4780" s="1">
        <v>0</v>
      </c>
      <c r="M4780" s="1">
        <v>1</v>
      </c>
    </row>
    <row r="4781" spans="1:13">
      <c r="A4781" s="1">
        <v>4780</v>
      </c>
      <c r="B4781" s="1">
        <v>936223.16529999999</v>
      </c>
      <c r="C4781" s="1">
        <v>713146.40125881578</v>
      </c>
      <c r="D4781" s="1">
        <f t="shared" si="74"/>
        <v>223076.76404118421</v>
      </c>
      <c r="E4781" s="1">
        <v>8</v>
      </c>
      <c r="F4781" s="1">
        <v>24</v>
      </c>
      <c r="G4781" s="1">
        <v>3</v>
      </c>
      <c r="H4781" s="1">
        <v>0</v>
      </c>
      <c r="I4781" s="1">
        <v>1</v>
      </c>
      <c r="J4781" s="1">
        <v>1</v>
      </c>
      <c r="K4781" s="1">
        <v>0</v>
      </c>
      <c r="L4781" s="1">
        <v>0</v>
      </c>
      <c r="M4781" s="1">
        <v>1</v>
      </c>
    </row>
    <row r="4782" spans="1:13">
      <c r="A4782" s="1">
        <v>4781</v>
      </c>
      <c r="B4782" s="1">
        <v>981897.74109999998</v>
      </c>
      <c r="C4782" s="1">
        <v>1711140.9466746901</v>
      </c>
      <c r="D4782" s="1">
        <f t="shared" si="74"/>
        <v>-729243.20557469013</v>
      </c>
      <c r="E4782" s="1">
        <v>8</v>
      </c>
      <c r="F4782" s="1">
        <v>20</v>
      </c>
      <c r="G4782" s="1">
        <v>7</v>
      </c>
      <c r="H4782" s="1">
        <v>0</v>
      </c>
      <c r="I4782" s="1">
        <v>0</v>
      </c>
      <c r="J4782" s="1">
        <v>0</v>
      </c>
      <c r="K4782" s="1">
        <v>0</v>
      </c>
      <c r="L4782" s="1">
        <v>1</v>
      </c>
      <c r="M4782" s="1">
        <v>1</v>
      </c>
    </row>
    <row r="4783" spans="1:13">
      <c r="A4783" s="1">
        <v>4782</v>
      </c>
      <c r="B4783" s="1">
        <v>862908.0932</v>
      </c>
      <c r="C4783" s="1">
        <v>829492.65315134672</v>
      </c>
      <c r="D4783" s="1">
        <f t="shared" si="74"/>
        <v>33415.440048653283</v>
      </c>
      <c r="E4783" s="1">
        <v>19</v>
      </c>
      <c r="F4783" s="1">
        <v>13</v>
      </c>
      <c r="G4783" s="1">
        <v>3</v>
      </c>
      <c r="H4783" s="1">
        <v>1</v>
      </c>
      <c r="I4783" s="1">
        <v>1</v>
      </c>
      <c r="J4783" s="1">
        <v>0</v>
      </c>
      <c r="K4783" s="1">
        <v>2</v>
      </c>
      <c r="L4783" s="1">
        <v>0</v>
      </c>
      <c r="M4783" s="1">
        <v>1</v>
      </c>
    </row>
    <row r="4784" spans="1:13">
      <c r="A4784" s="1">
        <v>4783</v>
      </c>
      <c r="B4784" s="1">
        <v>975190.86270000006</v>
      </c>
      <c r="C4784" s="1">
        <v>719520.03681476449</v>
      </c>
      <c r="D4784" s="1">
        <f t="shared" si="74"/>
        <v>255670.82588523556</v>
      </c>
      <c r="E4784" s="1">
        <v>3</v>
      </c>
      <c r="F4784" s="1">
        <v>27</v>
      </c>
      <c r="G4784" s="1">
        <v>5</v>
      </c>
      <c r="H4784" s="1">
        <v>1</v>
      </c>
      <c r="I4784" s="1">
        <v>1</v>
      </c>
      <c r="J4784" s="1">
        <v>1</v>
      </c>
      <c r="K4784" s="1">
        <v>0</v>
      </c>
      <c r="L4784" s="1">
        <v>0</v>
      </c>
      <c r="M4784" s="1">
        <v>0</v>
      </c>
    </row>
    <row r="4785" spans="1:13">
      <c r="A4785" s="1">
        <v>4784</v>
      </c>
      <c r="B4785" s="1">
        <v>788256.75470000005</v>
      </c>
      <c r="C4785" s="1">
        <v>1441621.2390748812</v>
      </c>
      <c r="D4785" s="1">
        <f t="shared" si="74"/>
        <v>-653364.48437488114</v>
      </c>
      <c r="E4785" s="1">
        <v>20</v>
      </c>
      <c r="F4785" s="1">
        <v>9</v>
      </c>
      <c r="G4785" s="1">
        <v>6</v>
      </c>
      <c r="H4785" s="1">
        <v>1</v>
      </c>
      <c r="I4785" s="1">
        <v>0</v>
      </c>
      <c r="J4785" s="1">
        <v>1</v>
      </c>
      <c r="K4785" s="1">
        <v>0</v>
      </c>
      <c r="L4785" s="1">
        <v>0</v>
      </c>
      <c r="M4785" s="1">
        <v>0</v>
      </c>
    </row>
    <row r="4786" spans="1:13">
      <c r="A4786" s="1">
        <v>4785</v>
      </c>
      <c r="B4786" s="1">
        <v>915967.43359999999</v>
      </c>
      <c r="C4786" s="1">
        <v>1513415.5552333649</v>
      </c>
      <c r="D4786" s="1">
        <f t="shared" si="74"/>
        <v>-597448.12163336494</v>
      </c>
      <c r="E4786" s="1">
        <v>16</v>
      </c>
      <c r="F4786" s="1">
        <v>13</v>
      </c>
      <c r="G4786" s="1">
        <v>6</v>
      </c>
      <c r="H4786" s="1">
        <v>2</v>
      </c>
      <c r="I4786" s="1">
        <v>0</v>
      </c>
      <c r="J4786" s="1">
        <v>1</v>
      </c>
      <c r="K4786" s="1">
        <v>0</v>
      </c>
      <c r="L4786" s="1">
        <v>0</v>
      </c>
      <c r="M4786" s="1">
        <v>0</v>
      </c>
    </row>
    <row r="4787" spans="1:13">
      <c r="A4787" s="1">
        <v>4786</v>
      </c>
      <c r="B4787" s="1">
        <v>984651.23479999998</v>
      </c>
      <c r="C4787" s="1">
        <v>1107286.878922007</v>
      </c>
      <c r="D4787" s="1">
        <f t="shared" si="74"/>
        <v>-122635.64412200707</v>
      </c>
      <c r="E4787" s="1">
        <v>6</v>
      </c>
      <c r="F4787" s="1">
        <v>24</v>
      </c>
      <c r="G4787" s="1">
        <v>5</v>
      </c>
      <c r="H4787" s="1">
        <v>1</v>
      </c>
      <c r="I4787" s="1">
        <v>0</v>
      </c>
      <c r="J4787" s="1">
        <v>0</v>
      </c>
      <c r="K4787" s="1">
        <v>0</v>
      </c>
      <c r="L4787" s="1">
        <v>0</v>
      </c>
      <c r="M4787" s="1">
        <v>0</v>
      </c>
    </row>
    <row r="4788" spans="1:13">
      <c r="A4788" s="1">
        <v>4787</v>
      </c>
      <c r="B4788" s="1">
        <v>955473.07720000006</v>
      </c>
      <c r="C4788" s="1">
        <v>936163.76450986997</v>
      </c>
      <c r="D4788" s="1">
        <f t="shared" si="74"/>
        <v>19309.312690130086</v>
      </c>
      <c r="E4788" s="1">
        <v>13</v>
      </c>
      <c r="F4788" s="1">
        <v>15</v>
      </c>
      <c r="G4788" s="1">
        <v>7</v>
      </c>
      <c r="H4788" s="1">
        <v>0</v>
      </c>
      <c r="I4788" s="1">
        <v>0</v>
      </c>
      <c r="J4788" s="1">
        <v>1</v>
      </c>
      <c r="K4788" s="1">
        <v>0</v>
      </c>
      <c r="L4788" s="1">
        <v>0</v>
      </c>
      <c r="M4788" s="1">
        <v>0</v>
      </c>
    </row>
    <row r="4789" spans="1:13">
      <c r="A4789" s="1">
        <v>4788</v>
      </c>
      <c r="B4789" s="1">
        <v>863212.38809999998</v>
      </c>
      <c r="C4789" s="1">
        <v>813677.77705394779</v>
      </c>
      <c r="D4789" s="1">
        <f t="shared" si="74"/>
        <v>49534.611046052189</v>
      </c>
      <c r="E4789" s="1">
        <v>10</v>
      </c>
      <c r="F4789" s="1">
        <v>22</v>
      </c>
      <c r="G4789" s="1">
        <v>3</v>
      </c>
      <c r="H4789" s="1">
        <v>1</v>
      </c>
      <c r="I4789" s="1">
        <v>0</v>
      </c>
      <c r="J4789" s="1">
        <v>0</v>
      </c>
      <c r="K4789" s="1">
        <v>0</v>
      </c>
      <c r="L4789" s="1">
        <v>0</v>
      </c>
      <c r="M4789" s="1">
        <v>0</v>
      </c>
    </row>
    <row r="4790" spans="1:13">
      <c r="A4790" s="1">
        <v>4789</v>
      </c>
      <c r="B4790" s="1">
        <v>909518.85609999998</v>
      </c>
      <c r="C4790" s="1">
        <v>710904.01746461354</v>
      </c>
      <c r="D4790" s="1">
        <f t="shared" si="74"/>
        <v>198614.83863538643</v>
      </c>
      <c r="E4790" s="1">
        <v>11</v>
      </c>
      <c r="F4790" s="1">
        <v>16</v>
      </c>
      <c r="G4790" s="1">
        <v>8</v>
      </c>
      <c r="H4790" s="1">
        <v>2</v>
      </c>
      <c r="I4790" s="1">
        <v>0</v>
      </c>
      <c r="J4790" s="1">
        <v>0</v>
      </c>
      <c r="K4790" s="1">
        <v>2</v>
      </c>
      <c r="L4790" s="1">
        <v>0</v>
      </c>
      <c r="M4790" s="1">
        <v>1</v>
      </c>
    </row>
    <row r="4791" spans="1:13">
      <c r="A4791" s="1">
        <v>4790</v>
      </c>
      <c r="B4791" s="1">
        <v>1108988.7849000001</v>
      </c>
      <c r="C4791" s="1">
        <v>612970.983868888</v>
      </c>
      <c r="D4791" s="1">
        <f t="shared" si="74"/>
        <v>496017.80103111209</v>
      </c>
      <c r="E4791" s="1">
        <v>3</v>
      </c>
      <c r="F4791" s="1">
        <v>26</v>
      </c>
      <c r="G4791" s="1">
        <v>6</v>
      </c>
      <c r="H4791" s="1">
        <v>0</v>
      </c>
      <c r="I4791" s="1">
        <v>0</v>
      </c>
      <c r="J4791" s="1">
        <v>0</v>
      </c>
      <c r="K4791" s="1">
        <v>2</v>
      </c>
      <c r="L4791" s="1">
        <v>0</v>
      </c>
      <c r="M4791" s="1">
        <v>0</v>
      </c>
    </row>
    <row r="4792" spans="1:13">
      <c r="A4792" s="1">
        <v>4791</v>
      </c>
      <c r="B4792" s="1">
        <v>948292.77919999999</v>
      </c>
      <c r="C4792" s="1">
        <v>735035.37825078785</v>
      </c>
      <c r="D4792" s="1">
        <f t="shared" si="74"/>
        <v>213257.40094921214</v>
      </c>
      <c r="E4792" s="1">
        <v>15</v>
      </c>
      <c r="F4792" s="1">
        <v>15</v>
      </c>
      <c r="G4792" s="1">
        <v>5</v>
      </c>
      <c r="H4792" s="1">
        <v>0</v>
      </c>
      <c r="I4792" s="1">
        <v>1</v>
      </c>
      <c r="J4792" s="1">
        <v>1</v>
      </c>
      <c r="K4792" s="1">
        <v>1</v>
      </c>
      <c r="L4792" s="1">
        <v>0</v>
      </c>
      <c r="M4792" s="1">
        <v>0</v>
      </c>
    </row>
    <row r="4793" spans="1:13">
      <c r="A4793" s="1">
        <v>4792</v>
      </c>
      <c r="B4793" s="1">
        <v>1049276.1026000001</v>
      </c>
      <c r="C4793" s="1">
        <v>1261485.3409521589</v>
      </c>
      <c r="D4793" s="1">
        <f t="shared" si="74"/>
        <v>-212209.23835215881</v>
      </c>
      <c r="E4793" s="1">
        <v>14</v>
      </c>
      <c r="F4793" s="1">
        <v>15</v>
      </c>
      <c r="G4793" s="1">
        <v>6</v>
      </c>
      <c r="H4793" s="1">
        <v>1</v>
      </c>
      <c r="I4793" s="1">
        <v>1</v>
      </c>
      <c r="J4793" s="1">
        <v>0</v>
      </c>
      <c r="K4793" s="1">
        <v>1</v>
      </c>
      <c r="L4793" s="1">
        <v>0</v>
      </c>
      <c r="M4793" s="1">
        <v>0</v>
      </c>
    </row>
    <row r="4794" spans="1:13">
      <c r="A4794" s="1">
        <v>4793</v>
      </c>
      <c r="B4794" s="1">
        <v>883330.56070000003</v>
      </c>
      <c r="C4794" s="1">
        <v>1273530.1206305581</v>
      </c>
      <c r="D4794" s="1">
        <f t="shared" si="74"/>
        <v>-390199.55993055808</v>
      </c>
      <c r="E4794" s="1">
        <v>18</v>
      </c>
      <c r="F4794" s="1">
        <v>11</v>
      </c>
      <c r="G4794" s="1">
        <v>6</v>
      </c>
      <c r="H4794" s="1">
        <v>0</v>
      </c>
      <c r="I4794" s="1">
        <v>1</v>
      </c>
      <c r="J4794" s="1">
        <v>0</v>
      </c>
      <c r="K4794" s="1">
        <v>0</v>
      </c>
      <c r="L4794" s="1">
        <v>0</v>
      </c>
      <c r="M4794" s="1">
        <v>0</v>
      </c>
    </row>
    <row r="4795" spans="1:13">
      <c r="A4795" s="1">
        <v>4794</v>
      </c>
      <c r="B4795" s="1">
        <v>905055.19180000003</v>
      </c>
      <c r="C4795" s="1">
        <v>942724.88048650231</v>
      </c>
      <c r="D4795" s="1">
        <f t="shared" si="74"/>
        <v>-37669.688686502283</v>
      </c>
      <c r="E4795" s="1">
        <v>21</v>
      </c>
      <c r="F4795" s="1">
        <v>10</v>
      </c>
      <c r="G4795" s="1">
        <v>4</v>
      </c>
      <c r="H4795" s="1">
        <v>0</v>
      </c>
      <c r="I4795" s="1">
        <v>0</v>
      </c>
      <c r="J4795" s="1">
        <v>1</v>
      </c>
      <c r="K4795" s="1">
        <v>1</v>
      </c>
      <c r="L4795" s="1">
        <v>0</v>
      </c>
      <c r="M4795" s="1">
        <v>0</v>
      </c>
    </row>
    <row r="4796" spans="1:13">
      <c r="A4796" s="1">
        <v>4795</v>
      </c>
      <c r="B4796" s="1">
        <v>965409.05599999998</v>
      </c>
      <c r="C4796" s="1">
        <v>585338.8635183248</v>
      </c>
      <c r="D4796" s="1">
        <f t="shared" si="74"/>
        <v>380070.19248167519</v>
      </c>
      <c r="E4796" s="1">
        <v>14</v>
      </c>
      <c r="F4796" s="1">
        <v>15</v>
      </c>
      <c r="G4796" s="1">
        <v>6</v>
      </c>
      <c r="H4796" s="1">
        <v>1</v>
      </c>
      <c r="I4796" s="1">
        <v>0</v>
      </c>
      <c r="J4796" s="1">
        <v>0</v>
      </c>
      <c r="K4796" s="1">
        <v>0</v>
      </c>
      <c r="L4796" s="1">
        <v>0</v>
      </c>
      <c r="M4796" s="1">
        <v>0</v>
      </c>
    </row>
    <row r="4797" spans="1:13">
      <c r="A4797" s="1">
        <v>4796</v>
      </c>
      <c r="B4797" s="1">
        <v>942095.67909999995</v>
      </c>
      <c r="C4797" s="1">
        <v>1109751.6560464734</v>
      </c>
      <c r="D4797" s="1">
        <f t="shared" si="74"/>
        <v>-167655.97694647347</v>
      </c>
      <c r="E4797" s="1">
        <v>15</v>
      </c>
      <c r="F4797" s="1">
        <v>15</v>
      </c>
      <c r="G4797" s="1">
        <v>5</v>
      </c>
      <c r="H4797" s="1">
        <v>1</v>
      </c>
      <c r="I4797" s="1">
        <v>0</v>
      </c>
      <c r="J4797" s="1">
        <v>0</v>
      </c>
      <c r="K4797" s="1">
        <v>1</v>
      </c>
      <c r="L4797" s="1">
        <v>1</v>
      </c>
      <c r="M4797" s="1">
        <v>0</v>
      </c>
    </row>
    <row r="4798" spans="1:13">
      <c r="A4798" s="1">
        <v>4797</v>
      </c>
      <c r="B4798" s="1">
        <v>895865.57380000001</v>
      </c>
      <c r="C4798" s="1">
        <v>822987.4051479022</v>
      </c>
      <c r="D4798" s="1">
        <f t="shared" si="74"/>
        <v>72878.168652097811</v>
      </c>
      <c r="E4798" s="1">
        <v>10</v>
      </c>
      <c r="F4798" s="1">
        <v>20</v>
      </c>
      <c r="G4798" s="1">
        <v>5</v>
      </c>
      <c r="H4798" s="1">
        <v>1</v>
      </c>
      <c r="I4798" s="1">
        <v>0</v>
      </c>
      <c r="J4798" s="1">
        <v>0</v>
      </c>
      <c r="K4798" s="1">
        <v>2</v>
      </c>
      <c r="L4798" s="1">
        <v>0</v>
      </c>
      <c r="M4798" s="1">
        <v>1</v>
      </c>
    </row>
    <row r="4799" spans="1:13">
      <c r="A4799" s="1">
        <v>4798</v>
      </c>
      <c r="B4799" s="1">
        <v>892545.16969999997</v>
      </c>
      <c r="C4799" s="1">
        <v>730113.55727975536</v>
      </c>
      <c r="D4799" s="1">
        <f t="shared" si="74"/>
        <v>162431.61242024461</v>
      </c>
      <c r="E4799" s="1">
        <v>13</v>
      </c>
      <c r="F4799" s="1">
        <v>18</v>
      </c>
      <c r="G4799" s="1">
        <v>4</v>
      </c>
      <c r="H4799" s="1">
        <v>1</v>
      </c>
      <c r="I4799" s="1">
        <v>0</v>
      </c>
      <c r="J4799" s="1">
        <v>0</v>
      </c>
      <c r="K4799" s="1">
        <v>0</v>
      </c>
      <c r="L4799" s="1">
        <v>0</v>
      </c>
      <c r="M4799" s="1">
        <v>0</v>
      </c>
    </row>
    <row r="4800" spans="1:13">
      <c r="A4800" s="1">
        <v>4799</v>
      </c>
      <c r="B4800" s="1">
        <v>881402.1912</v>
      </c>
      <c r="C4800" s="1">
        <v>889805.6298054728</v>
      </c>
      <c r="D4800" s="1">
        <f t="shared" si="74"/>
        <v>-8403.4386054727947</v>
      </c>
      <c r="E4800" s="1">
        <v>8</v>
      </c>
      <c r="F4800" s="1">
        <v>21</v>
      </c>
      <c r="G4800" s="1">
        <v>6</v>
      </c>
      <c r="H4800" s="1">
        <v>2</v>
      </c>
      <c r="I4800" s="1">
        <v>0</v>
      </c>
      <c r="J4800" s="1">
        <v>1</v>
      </c>
      <c r="K4800" s="1">
        <v>1</v>
      </c>
      <c r="L4800" s="1">
        <v>0</v>
      </c>
      <c r="M4800" s="1">
        <v>1</v>
      </c>
    </row>
    <row r="4801" spans="1:13">
      <c r="A4801" s="1">
        <v>4800</v>
      </c>
      <c r="B4801" s="1">
        <v>1005606.6952</v>
      </c>
      <c r="C4801" s="1">
        <v>757012.29005812714</v>
      </c>
      <c r="D4801" s="1">
        <f t="shared" si="74"/>
        <v>248594.40514187282</v>
      </c>
      <c r="E4801" s="1">
        <v>8</v>
      </c>
      <c r="F4801" s="1">
        <v>22</v>
      </c>
      <c r="G4801" s="1">
        <v>5</v>
      </c>
      <c r="H4801" s="1">
        <v>2</v>
      </c>
      <c r="I4801" s="1">
        <v>0</v>
      </c>
      <c r="J4801" s="1">
        <v>1</v>
      </c>
      <c r="K4801" s="1">
        <v>0</v>
      </c>
      <c r="L4801" s="1">
        <v>0</v>
      </c>
      <c r="M4801" s="1">
        <v>1</v>
      </c>
    </row>
    <row r="4802" spans="1:13">
      <c r="A4802" s="1">
        <v>4801</v>
      </c>
      <c r="B4802" s="1">
        <v>911950.06869999995</v>
      </c>
      <c r="C4802" s="1">
        <v>1170346.7841664287</v>
      </c>
      <c r="D4802" s="1">
        <f t="shared" ref="D4802:D4865" si="75">B4802-C4802</f>
        <v>-258396.71546642878</v>
      </c>
      <c r="E4802" s="1">
        <v>17</v>
      </c>
      <c r="F4802" s="1">
        <v>13</v>
      </c>
      <c r="G4802" s="1">
        <v>5</v>
      </c>
      <c r="H4802" s="1">
        <v>0</v>
      </c>
      <c r="I4802" s="1">
        <v>0</v>
      </c>
      <c r="J4802" s="1">
        <v>1</v>
      </c>
      <c r="K4802" s="1">
        <v>0</v>
      </c>
      <c r="L4802" s="1">
        <v>0</v>
      </c>
      <c r="M4802" s="1">
        <v>0</v>
      </c>
    </row>
    <row r="4803" spans="1:13">
      <c r="A4803" s="1">
        <v>4802</v>
      </c>
      <c r="B4803" s="1">
        <v>960941.69790000003</v>
      </c>
      <c r="C4803" s="1">
        <v>867126.37662093923</v>
      </c>
      <c r="D4803" s="1">
        <f t="shared" si="75"/>
        <v>93815.321279060794</v>
      </c>
      <c r="E4803" s="1">
        <v>16</v>
      </c>
      <c r="F4803" s="1">
        <v>14</v>
      </c>
      <c r="G4803" s="1">
        <v>5</v>
      </c>
      <c r="H4803" s="1">
        <v>1</v>
      </c>
      <c r="I4803" s="1">
        <v>1</v>
      </c>
      <c r="J4803" s="1">
        <v>0</v>
      </c>
      <c r="K4803" s="1">
        <v>0</v>
      </c>
      <c r="L4803" s="1">
        <v>0</v>
      </c>
      <c r="M4803" s="1">
        <v>0</v>
      </c>
    </row>
    <row r="4804" spans="1:13">
      <c r="A4804" s="1">
        <v>4803</v>
      </c>
      <c r="B4804" s="1">
        <v>836234.33510000003</v>
      </c>
      <c r="C4804" s="1">
        <v>881179.0032550724</v>
      </c>
      <c r="D4804" s="1">
        <f t="shared" si="75"/>
        <v>-44944.668155072373</v>
      </c>
      <c r="E4804" s="1">
        <v>18</v>
      </c>
      <c r="F4804" s="1">
        <v>14</v>
      </c>
      <c r="G4804" s="1">
        <v>3</v>
      </c>
      <c r="H4804" s="1">
        <v>0</v>
      </c>
      <c r="I4804" s="1">
        <v>0</v>
      </c>
      <c r="J4804" s="1">
        <v>2</v>
      </c>
      <c r="K4804" s="1">
        <v>0</v>
      </c>
      <c r="L4804" s="1">
        <v>0</v>
      </c>
      <c r="M4804" s="1">
        <v>0</v>
      </c>
    </row>
    <row r="4805" spans="1:13">
      <c r="A4805" s="1">
        <v>4804</v>
      </c>
      <c r="B4805" s="1">
        <v>884657.17810000002</v>
      </c>
      <c r="C4805" s="1">
        <v>498344.45900066465</v>
      </c>
      <c r="D4805" s="1">
        <f t="shared" si="75"/>
        <v>386312.71909933537</v>
      </c>
      <c r="E4805" s="1">
        <v>11</v>
      </c>
      <c r="F4805" s="1">
        <v>21</v>
      </c>
      <c r="G4805" s="1">
        <v>3</v>
      </c>
      <c r="H4805" s="1">
        <v>2</v>
      </c>
      <c r="I4805" s="1">
        <v>0</v>
      </c>
      <c r="J4805" s="1">
        <v>0</v>
      </c>
      <c r="K4805" s="1">
        <v>0</v>
      </c>
      <c r="L4805" s="1">
        <v>0</v>
      </c>
      <c r="M4805" s="1">
        <v>0</v>
      </c>
    </row>
    <row r="4806" spans="1:13">
      <c r="A4806" s="1">
        <v>4805</v>
      </c>
      <c r="B4806" s="1">
        <v>967099.61730000004</v>
      </c>
      <c r="C4806" s="1">
        <v>886653.05661006738</v>
      </c>
      <c r="D4806" s="1">
        <f t="shared" si="75"/>
        <v>80446.560689932667</v>
      </c>
      <c r="E4806" s="1">
        <v>11</v>
      </c>
      <c r="F4806" s="1">
        <v>17</v>
      </c>
      <c r="G4806" s="1">
        <v>7</v>
      </c>
      <c r="H4806" s="1">
        <v>1</v>
      </c>
      <c r="I4806" s="1">
        <v>0</v>
      </c>
      <c r="J4806" s="1">
        <v>2</v>
      </c>
      <c r="K4806" s="1">
        <v>0</v>
      </c>
      <c r="L4806" s="1">
        <v>0</v>
      </c>
      <c r="M4806" s="1">
        <v>0</v>
      </c>
    </row>
    <row r="4807" spans="1:13">
      <c r="A4807" s="1">
        <v>4806</v>
      </c>
      <c r="B4807" s="1">
        <v>882358.97169999999</v>
      </c>
      <c r="C4807" s="1">
        <v>682633.4828123959</v>
      </c>
      <c r="D4807" s="1">
        <f t="shared" si="75"/>
        <v>199725.48888760409</v>
      </c>
      <c r="E4807" s="1">
        <v>10</v>
      </c>
      <c r="F4807" s="1">
        <v>18</v>
      </c>
      <c r="G4807" s="1">
        <v>7</v>
      </c>
      <c r="H4807" s="1">
        <v>1</v>
      </c>
      <c r="I4807" s="1">
        <v>0</v>
      </c>
      <c r="J4807" s="1">
        <v>1</v>
      </c>
      <c r="K4807" s="1">
        <v>1</v>
      </c>
      <c r="L4807" s="1">
        <v>0</v>
      </c>
      <c r="M4807" s="1">
        <v>0</v>
      </c>
    </row>
    <row r="4808" spans="1:13">
      <c r="A4808" s="1">
        <v>4807</v>
      </c>
      <c r="B4808" s="1">
        <v>992679.1311</v>
      </c>
      <c r="C4808" s="1">
        <v>719076.88412873913</v>
      </c>
      <c r="D4808" s="1">
        <f t="shared" si="75"/>
        <v>273602.24697126087</v>
      </c>
      <c r="E4808" s="1">
        <v>15</v>
      </c>
      <c r="F4808" s="1">
        <v>16</v>
      </c>
      <c r="G4808" s="1">
        <v>4</v>
      </c>
      <c r="H4808" s="1">
        <v>1</v>
      </c>
      <c r="I4808" s="1">
        <v>0</v>
      </c>
      <c r="J4808" s="1">
        <v>1</v>
      </c>
      <c r="K4808" s="1">
        <v>1</v>
      </c>
      <c r="L4808" s="1">
        <v>0</v>
      </c>
      <c r="M4808" s="1">
        <v>0</v>
      </c>
    </row>
    <row r="4809" spans="1:13">
      <c r="A4809" s="1">
        <v>4808</v>
      </c>
      <c r="B4809" s="1">
        <v>901266.60349999997</v>
      </c>
      <c r="C4809" s="1">
        <v>560179.82934641431</v>
      </c>
      <c r="D4809" s="1">
        <f t="shared" si="75"/>
        <v>341086.77415358566</v>
      </c>
      <c r="E4809" s="1">
        <v>17</v>
      </c>
      <c r="F4809" s="1">
        <v>14</v>
      </c>
      <c r="G4809" s="1">
        <v>4</v>
      </c>
      <c r="H4809" s="1">
        <v>0</v>
      </c>
      <c r="I4809" s="1">
        <v>0</v>
      </c>
      <c r="J4809" s="1">
        <v>1</v>
      </c>
      <c r="K4809" s="1">
        <v>0</v>
      </c>
      <c r="L4809" s="1">
        <v>1</v>
      </c>
      <c r="M4809" s="1">
        <v>0</v>
      </c>
    </row>
    <row r="4810" spans="1:13">
      <c r="A4810" s="1">
        <v>4809</v>
      </c>
      <c r="B4810" s="1">
        <v>863715.37569999998</v>
      </c>
      <c r="C4810" s="1">
        <v>800131.02833884023</v>
      </c>
      <c r="D4810" s="1">
        <f t="shared" si="75"/>
        <v>63584.347361159744</v>
      </c>
      <c r="E4810" s="1">
        <v>16</v>
      </c>
      <c r="F4810" s="1">
        <v>15</v>
      </c>
      <c r="G4810" s="1">
        <v>4</v>
      </c>
      <c r="H4810" s="1">
        <v>1</v>
      </c>
      <c r="I4810" s="1">
        <v>0</v>
      </c>
      <c r="J4810" s="1">
        <v>1</v>
      </c>
      <c r="K4810" s="1">
        <v>1</v>
      </c>
      <c r="L4810" s="1">
        <v>0</v>
      </c>
      <c r="M4810" s="1">
        <v>1</v>
      </c>
    </row>
    <row r="4811" spans="1:13">
      <c r="A4811" s="1">
        <v>4810</v>
      </c>
      <c r="B4811" s="1">
        <v>990530.43700000003</v>
      </c>
      <c r="C4811" s="1">
        <v>958537.73215510813</v>
      </c>
      <c r="D4811" s="1">
        <f t="shared" si="75"/>
        <v>31992.704844891909</v>
      </c>
      <c r="E4811" s="1">
        <v>13</v>
      </c>
      <c r="F4811" s="1">
        <v>15</v>
      </c>
      <c r="G4811" s="1">
        <v>7</v>
      </c>
      <c r="H4811" s="1">
        <v>0</v>
      </c>
      <c r="I4811" s="1">
        <v>0</v>
      </c>
      <c r="J4811" s="1">
        <v>0</v>
      </c>
      <c r="K4811" s="1">
        <v>2</v>
      </c>
      <c r="L4811" s="1">
        <v>0</v>
      </c>
      <c r="M4811" s="1">
        <v>0</v>
      </c>
    </row>
    <row r="4812" spans="1:13">
      <c r="A4812" s="1">
        <v>4811</v>
      </c>
      <c r="B4812" s="1">
        <v>892938.7794</v>
      </c>
      <c r="C4812" s="1">
        <v>873561.36756689544</v>
      </c>
      <c r="D4812" s="1">
        <f t="shared" si="75"/>
        <v>19377.411833104561</v>
      </c>
      <c r="E4812" s="1">
        <v>11</v>
      </c>
      <c r="F4812" s="1">
        <v>20</v>
      </c>
      <c r="G4812" s="1">
        <v>4</v>
      </c>
      <c r="H4812" s="1">
        <v>1</v>
      </c>
      <c r="I4812" s="1">
        <v>1</v>
      </c>
      <c r="J4812" s="1">
        <v>1</v>
      </c>
      <c r="K4812" s="1">
        <v>0</v>
      </c>
      <c r="L4812" s="1">
        <v>0</v>
      </c>
      <c r="M4812" s="1">
        <v>0</v>
      </c>
    </row>
    <row r="4813" spans="1:13">
      <c r="A4813" s="1">
        <v>4812</v>
      </c>
      <c r="B4813" s="1">
        <v>1043318.2944</v>
      </c>
      <c r="C4813" s="1">
        <v>655469.06479351909</v>
      </c>
      <c r="D4813" s="1">
        <f t="shared" si="75"/>
        <v>387849.22960648092</v>
      </c>
      <c r="E4813" s="1">
        <v>13</v>
      </c>
      <c r="F4813" s="1">
        <v>17</v>
      </c>
      <c r="G4813" s="1">
        <v>5</v>
      </c>
      <c r="H4813" s="1">
        <v>1</v>
      </c>
      <c r="I4813" s="1">
        <v>0</v>
      </c>
      <c r="J4813" s="1">
        <v>0</v>
      </c>
      <c r="K4813" s="1">
        <v>1</v>
      </c>
      <c r="L4813" s="1">
        <v>0</v>
      </c>
      <c r="M4813" s="1">
        <v>1</v>
      </c>
    </row>
    <row r="4814" spans="1:13">
      <c r="A4814" s="1">
        <v>4813</v>
      </c>
      <c r="B4814" s="1">
        <v>943129.52659999998</v>
      </c>
      <c r="C4814" s="1">
        <v>882184.78999316646</v>
      </c>
      <c r="D4814" s="1">
        <f t="shared" si="75"/>
        <v>60944.736606833525</v>
      </c>
      <c r="E4814" s="1">
        <v>6</v>
      </c>
      <c r="F4814" s="1">
        <v>24</v>
      </c>
      <c r="G4814" s="1">
        <v>5</v>
      </c>
      <c r="H4814" s="1">
        <v>1</v>
      </c>
      <c r="I4814" s="1">
        <v>0</v>
      </c>
      <c r="J4814" s="1">
        <v>1</v>
      </c>
      <c r="K4814" s="1">
        <v>1</v>
      </c>
      <c r="L4814" s="1">
        <v>0</v>
      </c>
      <c r="M4814" s="1">
        <v>0</v>
      </c>
    </row>
    <row r="4815" spans="1:13">
      <c r="A4815" s="1">
        <v>4814</v>
      </c>
      <c r="B4815" s="1">
        <v>922475.14280000003</v>
      </c>
      <c r="C4815" s="1">
        <v>720377.27366900502</v>
      </c>
      <c r="D4815" s="1">
        <f t="shared" si="75"/>
        <v>202097.86913099501</v>
      </c>
      <c r="E4815" s="1">
        <v>8</v>
      </c>
      <c r="F4815" s="1">
        <v>21</v>
      </c>
      <c r="G4815" s="1">
        <v>6</v>
      </c>
      <c r="H4815" s="1">
        <v>1</v>
      </c>
      <c r="I4815" s="1">
        <v>0</v>
      </c>
      <c r="J4815" s="1">
        <v>1</v>
      </c>
      <c r="K4815" s="1">
        <v>0</v>
      </c>
      <c r="L4815" s="1">
        <v>0</v>
      </c>
      <c r="M4815" s="1">
        <v>0</v>
      </c>
    </row>
    <row r="4816" spans="1:13">
      <c r="A4816" s="1">
        <v>4815</v>
      </c>
      <c r="B4816" s="1">
        <v>934911.15289999999</v>
      </c>
      <c r="C4816" s="1">
        <v>777600.57004004729</v>
      </c>
      <c r="D4816" s="1">
        <f t="shared" si="75"/>
        <v>157310.5828599527</v>
      </c>
      <c r="E4816" s="1">
        <v>17</v>
      </c>
      <c r="F4816" s="1">
        <v>15</v>
      </c>
      <c r="G4816" s="1">
        <v>3</v>
      </c>
      <c r="H4816" s="1">
        <v>2</v>
      </c>
      <c r="I4816" s="1">
        <v>0</v>
      </c>
      <c r="J4816" s="1">
        <v>1</v>
      </c>
      <c r="K4816" s="1">
        <v>0</v>
      </c>
      <c r="L4816" s="1">
        <v>0</v>
      </c>
      <c r="M4816" s="1">
        <v>0</v>
      </c>
    </row>
    <row r="4817" spans="1:13">
      <c r="A4817" s="1">
        <v>4816</v>
      </c>
      <c r="B4817" s="1">
        <v>923671.25970000005</v>
      </c>
      <c r="C4817" s="1">
        <v>1267543.7280785176</v>
      </c>
      <c r="D4817" s="1">
        <f t="shared" si="75"/>
        <v>-343872.46837851754</v>
      </c>
      <c r="E4817" s="1">
        <v>12</v>
      </c>
      <c r="F4817" s="1">
        <v>19</v>
      </c>
      <c r="G4817" s="1">
        <v>4</v>
      </c>
      <c r="H4817" s="1">
        <v>0</v>
      </c>
      <c r="I4817" s="1">
        <v>0</v>
      </c>
      <c r="J4817" s="1">
        <v>1</v>
      </c>
      <c r="K4817" s="1">
        <v>1</v>
      </c>
      <c r="L4817" s="1">
        <v>0</v>
      </c>
      <c r="M4817" s="1">
        <v>1</v>
      </c>
    </row>
    <row r="4818" spans="1:13">
      <c r="A4818" s="1">
        <v>4817</v>
      </c>
      <c r="B4818" s="1">
        <v>944764.84770000004</v>
      </c>
      <c r="C4818" s="1">
        <v>470627.83175295789</v>
      </c>
      <c r="D4818" s="1">
        <f t="shared" si="75"/>
        <v>474137.01594704215</v>
      </c>
      <c r="E4818" s="1">
        <v>15</v>
      </c>
      <c r="F4818" s="1">
        <v>12</v>
      </c>
      <c r="G4818" s="1">
        <v>8</v>
      </c>
      <c r="H4818" s="1">
        <v>1</v>
      </c>
      <c r="I4818" s="1">
        <v>0</v>
      </c>
      <c r="J4818" s="1">
        <v>1</v>
      </c>
      <c r="K4818" s="1">
        <v>1</v>
      </c>
      <c r="L4818" s="1">
        <v>0</v>
      </c>
      <c r="M4818" s="1">
        <v>0</v>
      </c>
    </row>
    <row r="4819" spans="1:13">
      <c r="A4819" s="1">
        <v>4818</v>
      </c>
      <c r="B4819" s="1">
        <v>861302.56559999997</v>
      </c>
      <c r="C4819" s="1">
        <v>552705.9356947334</v>
      </c>
      <c r="D4819" s="1">
        <f t="shared" si="75"/>
        <v>308596.62990526657</v>
      </c>
      <c r="E4819" s="1">
        <v>14</v>
      </c>
      <c r="F4819" s="1">
        <v>16</v>
      </c>
      <c r="G4819" s="1">
        <v>5</v>
      </c>
      <c r="H4819" s="1">
        <v>2</v>
      </c>
      <c r="I4819" s="1">
        <v>0</v>
      </c>
      <c r="J4819" s="1">
        <v>0</v>
      </c>
      <c r="K4819" s="1">
        <v>1</v>
      </c>
      <c r="L4819" s="1">
        <v>0</v>
      </c>
      <c r="M4819" s="1">
        <v>1</v>
      </c>
    </row>
    <row r="4820" spans="1:13">
      <c r="A4820" s="1">
        <v>4819</v>
      </c>
      <c r="B4820" s="1">
        <v>1041207.328</v>
      </c>
      <c r="C4820" s="1">
        <v>1017917.312026832</v>
      </c>
      <c r="D4820" s="1">
        <f t="shared" si="75"/>
        <v>23290.01597316796</v>
      </c>
      <c r="E4820" s="1">
        <v>8</v>
      </c>
      <c r="F4820" s="1">
        <v>18</v>
      </c>
      <c r="G4820" s="1">
        <v>9</v>
      </c>
      <c r="H4820" s="1">
        <v>0</v>
      </c>
      <c r="I4820" s="1">
        <v>0</v>
      </c>
      <c r="J4820" s="1">
        <v>0</v>
      </c>
      <c r="K4820" s="1">
        <v>1</v>
      </c>
      <c r="L4820" s="1">
        <v>0</v>
      </c>
      <c r="M4820" s="1">
        <v>0</v>
      </c>
    </row>
    <row r="4821" spans="1:13">
      <c r="A4821" s="1">
        <v>4820</v>
      </c>
      <c r="B4821" s="1">
        <v>913966.82649999997</v>
      </c>
      <c r="C4821" s="1">
        <v>1662099.7560048429</v>
      </c>
      <c r="D4821" s="1">
        <f t="shared" si="75"/>
        <v>-748132.92950484296</v>
      </c>
      <c r="E4821" s="1">
        <v>19</v>
      </c>
      <c r="F4821" s="1">
        <v>12</v>
      </c>
      <c r="G4821" s="1">
        <v>4</v>
      </c>
      <c r="H4821" s="1">
        <v>1</v>
      </c>
      <c r="I4821" s="1">
        <v>0</v>
      </c>
      <c r="J4821" s="1">
        <v>0</v>
      </c>
      <c r="K4821" s="1">
        <v>1</v>
      </c>
      <c r="L4821" s="1">
        <v>0</v>
      </c>
      <c r="M4821" s="1">
        <v>1</v>
      </c>
    </row>
    <row r="4822" spans="1:13">
      <c r="A4822" s="1">
        <v>4821</v>
      </c>
      <c r="B4822" s="1">
        <v>1034523.1614</v>
      </c>
      <c r="C4822" s="1">
        <v>1016604.3208226622</v>
      </c>
      <c r="D4822" s="1">
        <f t="shared" si="75"/>
        <v>17918.840577337774</v>
      </c>
      <c r="E4822" s="1">
        <v>10</v>
      </c>
      <c r="F4822" s="1">
        <v>22</v>
      </c>
      <c r="G4822" s="1">
        <v>3</v>
      </c>
      <c r="H4822" s="1">
        <v>0</v>
      </c>
      <c r="I4822" s="1">
        <v>1</v>
      </c>
      <c r="J4822" s="1">
        <v>0</v>
      </c>
      <c r="K4822" s="1">
        <v>0</v>
      </c>
      <c r="L4822" s="1">
        <v>0</v>
      </c>
      <c r="M4822" s="1">
        <v>0</v>
      </c>
    </row>
    <row r="4823" spans="1:13">
      <c r="A4823" s="1">
        <v>4822</v>
      </c>
      <c r="B4823" s="1">
        <v>1004320.351</v>
      </c>
      <c r="C4823" s="1">
        <v>704017.16474231239</v>
      </c>
      <c r="D4823" s="1">
        <f t="shared" si="75"/>
        <v>300303.18625768763</v>
      </c>
      <c r="E4823" s="1">
        <v>8</v>
      </c>
      <c r="F4823" s="1">
        <v>23</v>
      </c>
      <c r="G4823" s="1">
        <v>4</v>
      </c>
      <c r="H4823" s="1">
        <v>0</v>
      </c>
      <c r="I4823" s="1">
        <v>2</v>
      </c>
      <c r="J4823" s="1">
        <v>0</v>
      </c>
      <c r="K4823" s="1">
        <v>1</v>
      </c>
      <c r="L4823" s="1">
        <v>0</v>
      </c>
      <c r="M4823" s="1">
        <v>1</v>
      </c>
    </row>
    <row r="4824" spans="1:13">
      <c r="A4824" s="1">
        <v>4823</v>
      </c>
      <c r="B4824" s="1">
        <v>969879.4425</v>
      </c>
      <c r="C4824" s="1">
        <v>614857.73108595808</v>
      </c>
      <c r="D4824" s="1">
        <f t="shared" si="75"/>
        <v>355021.71141404193</v>
      </c>
      <c r="E4824" s="1">
        <v>9</v>
      </c>
      <c r="F4824" s="1">
        <v>20</v>
      </c>
      <c r="G4824" s="1">
        <v>6</v>
      </c>
      <c r="H4824" s="1">
        <v>0</v>
      </c>
      <c r="I4824" s="1">
        <v>0</v>
      </c>
      <c r="J4824" s="1">
        <v>0</v>
      </c>
      <c r="K4824" s="1">
        <v>0</v>
      </c>
      <c r="L4824" s="1">
        <v>0</v>
      </c>
      <c r="M4824" s="1">
        <v>0</v>
      </c>
    </row>
    <row r="4825" spans="1:13">
      <c r="A4825" s="1">
        <v>4824</v>
      </c>
      <c r="B4825" s="1">
        <v>956047.86459999997</v>
      </c>
      <c r="C4825" s="1">
        <v>1338160.9155799334</v>
      </c>
      <c r="D4825" s="1">
        <f t="shared" si="75"/>
        <v>-382113.05097993347</v>
      </c>
      <c r="E4825" s="1">
        <v>13</v>
      </c>
      <c r="F4825" s="1">
        <v>16</v>
      </c>
      <c r="G4825" s="1">
        <v>6</v>
      </c>
      <c r="H4825" s="1">
        <v>0</v>
      </c>
      <c r="I4825" s="1">
        <v>1</v>
      </c>
      <c r="J4825" s="1">
        <v>1</v>
      </c>
      <c r="K4825" s="1">
        <v>1</v>
      </c>
      <c r="L4825" s="1">
        <v>0</v>
      </c>
      <c r="M4825" s="1">
        <v>0</v>
      </c>
    </row>
    <row r="4826" spans="1:13">
      <c r="A4826" s="1">
        <v>4825</v>
      </c>
      <c r="B4826" s="1">
        <v>838754.74650000001</v>
      </c>
      <c r="C4826" s="1">
        <v>677242.72173418989</v>
      </c>
      <c r="D4826" s="1">
        <f t="shared" si="75"/>
        <v>161512.02476581011</v>
      </c>
      <c r="E4826" s="1">
        <v>19</v>
      </c>
      <c r="F4826" s="1">
        <v>13</v>
      </c>
      <c r="G4826" s="1">
        <v>3</v>
      </c>
      <c r="H4826" s="1">
        <v>2</v>
      </c>
      <c r="I4826" s="1">
        <v>0</v>
      </c>
      <c r="J4826" s="1">
        <v>1</v>
      </c>
      <c r="K4826" s="1">
        <v>0</v>
      </c>
      <c r="L4826" s="1">
        <v>1</v>
      </c>
      <c r="M4826" s="1">
        <v>0</v>
      </c>
    </row>
    <row r="4827" spans="1:13">
      <c r="A4827" s="1">
        <v>4826</v>
      </c>
      <c r="B4827" s="1">
        <v>1102643.5651</v>
      </c>
      <c r="C4827" s="1">
        <v>685271.28995652811</v>
      </c>
      <c r="D4827" s="1">
        <f t="shared" si="75"/>
        <v>417372.2751434719</v>
      </c>
      <c r="E4827" s="1">
        <v>11</v>
      </c>
      <c r="F4827" s="1">
        <v>17</v>
      </c>
      <c r="G4827" s="1">
        <v>7</v>
      </c>
      <c r="H4827" s="1">
        <v>0</v>
      </c>
      <c r="I4827" s="1">
        <v>0</v>
      </c>
      <c r="J4827" s="1">
        <v>0</v>
      </c>
      <c r="K4827" s="1">
        <v>2</v>
      </c>
      <c r="L4827" s="1">
        <v>0</v>
      </c>
      <c r="M4827" s="1">
        <v>1</v>
      </c>
    </row>
    <row r="4828" spans="1:13">
      <c r="A4828" s="1">
        <v>4827</v>
      </c>
      <c r="B4828" s="1">
        <v>1072144.3404000001</v>
      </c>
      <c r="C4828" s="1">
        <v>1247911.6012671576</v>
      </c>
      <c r="D4828" s="1">
        <f t="shared" si="75"/>
        <v>-175767.26086715749</v>
      </c>
      <c r="E4828" s="1">
        <v>6</v>
      </c>
      <c r="F4828" s="1">
        <v>20</v>
      </c>
      <c r="G4828" s="1">
        <v>9</v>
      </c>
      <c r="H4828" s="1">
        <v>1</v>
      </c>
      <c r="I4828" s="1">
        <v>0</v>
      </c>
      <c r="J4828" s="1">
        <v>1</v>
      </c>
      <c r="K4828" s="1">
        <v>0</v>
      </c>
      <c r="L4828" s="1">
        <v>0</v>
      </c>
      <c r="M4828" s="1">
        <v>1</v>
      </c>
    </row>
    <row r="4829" spans="1:13">
      <c r="A4829" s="1">
        <v>4828</v>
      </c>
      <c r="B4829" s="1">
        <v>998435.09699999995</v>
      </c>
      <c r="C4829" s="1">
        <v>821643.88427758915</v>
      </c>
      <c r="D4829" s="1">
        <f t="shared" si="75"/>
        <v>176791.2127224108</v>
      </c>
      <c r="E4829" s="1">
        <v>14</v>
      </c>
      <c r="F4829" s="1">
        <v>15</v>
      </c>
      <c r="G4829" s="1">
        <v>6</v>
      </c>
      <c r="H4829" s="1">
        <v>1</v>
      </c>
      <c r="I4829" s="1">
        <v>0</v>
      </c>
      <c r="J4829" s="1">
        <v>0</v>
      </c>
      <c r="K4829" s="1">
        <v>1</v>
      </c>
      <c r="L4829" s="1">
        <v>0</v>
      </c>
      <c r="M4829" s="1">
        <v>0</v>
      </c>
    </row>
    <row r="4830" spans="1:13">
      <c r="A4830" s="1">
        <v>4829</v>
      </c>
      <c r="B4830" s="1">
        <v>987136.33360000001</v>
      </c>
      <c r="C4830" s="1">
        <v>1188514.0428456892</v>
      </c>
      <c r="D4830" s="1">
        <f t="shared" si="75"/>
        <v>-201377.70924568921</v>
      </c>
      <c r="E4830" s="1">
        <v>8</v>
      </c>
      <c r="F4830" s="1">
        <v>20</v>
      </c>
      <c r="G4830" s="1">
        <v>7</v>
      </c>
      <c r="H4830" s="1">
        <v>0</v>
      </c>
      <c r="I4830" s="1">
        <v>0</v>
      </c>
      <c r="J4830" s="1">
        <v>2</v>
      </c>
      <c r="K4830" s="1">
        <v>0</v>
      </c>
      <c r="L4830" s="1">
        <v>0</v>
      </c>
      <c r="M4830" s="1">
        <v>0</v>
      </c>
    </row>
    <row r="4831" spans="1:13">
      <c r="A4831" s="1">
        <v>4830</v>
      </c>
      <c r="B4831" s="1">
        <v>1002450.691</v>
      </c>
      <c r="C4831" s="1">
        <v>884867.63773409266</v>
      </c>
      <c r="D4831" s="1">
        <f t="shared" si="75"/>
        <v>117583.05326590734</v>
      </c>
      <c r="E4831" s="1">
        <v>7</v>
      </c>
      <c r="F4831" s="1">
        <v>21</v>
      </c>
      <c r="G4831" s="1">
        <v>7</v>
      </c>
      <c r="H4831" s="1">
        <v>0</v>
      </c>
      <c r="I4831" s="1">
        <v>0</v>
      </c>
      <c r="J4831" s="1">
        <v>1</v>
      </c>
      <c r="K4831" s="1">
        <v>1</v>
      </c>
      <c r="L4831" s="1">
        <v>0</v>
      </c>
      <c r="M4831" s="1">
        <v>1</v>
      </c>
    </row>
    <row r="4832" spans="1:13">
      <c r="A4832" s="1">
        <v>4831</v>
      </c>
      <c r="B4832" s="1">
        <v>934755.20149999997</v>
      </c>
      <c r="C4832" s="1">
        <v>1606302.8175634313</v>
      </c>
      <c r="D4832" s="1">
        <f t="shared" si="75"/>
        <v>-671547.61606343137</v>
      </c>
      <c r="E4832" s="1">
        <v>19</v>
      </c>
      <c r="F4832" s="1">
        <v>12</v>
      </c>
      <c r="G4832" s="1">
        <v>4</v>
      </c>
      <c r="H4832" s="1">
        <v>1</v>
      </c>
      <c r="I4832" s="1">
        <v>0</v>
      </c>
      <c r="J4832" s="1">
        <v>1</v>
      </c>
      <c r="K4832" s="1">
        <v>0</v>
      </c>
      <c r="L4832" s="1">
        <v>0</v>
      </c>
      <c r="M4832" s="1">
        <v>1</v>
      </c>
    </row>
    <row r="4833" spans="1:13">
      <c r="A4833" s="1">
        <v>4832</v>
      </c>
      <c r="B4833" s="1">
        <v>925704.75959999999</v>
      </c>
      <c r="C4833" s="1">
        <v>792767.27335290541</v>
      </c>
      <c r="D4833" s="1">
        <f t="shared" si="75"/>
        <v>132937.48624709458</v>
      </c>
      <c r="E4833" s="1">
        <v>14</v>
      </c>
      <c r="F4833" s="1">
        <v>13</v>
      </c>
      <c r="G4833" s="1">
        <v>8</v>
      </c>
      <c r="H4833" s="1">
        <v>2</v>
      </c>
      <c r="I4833" s="1">
        <v>0</v>
      </c>
      <c r="J4833" s="1">
        <v>0</v>
      </c>
      <c r="K4833" s="1">
        <v>0</v>
      </c>
      <c r="L4833" s="1">
        <v>0</v>
      </c>
      <c r="M4833" s="1">
        <v>0</v>
      </c>
    </row>
    <row r="4834" spans="1:13">
      <c r="A4834" s="1">
        <v>4833</v>
      </c>
      <c r="B4834" s="1">
        <v>1052409.9739000001</v>
      </c>
      <c r="C4834" s="1">
        <v>1079197.9943530676</v>
      </c>
      <c r="D4834" s="1">
        <f t="shared" si="75"/>
        <v>-26788.020453067496</v>
      </c>
      <c r="E4834" s="1">
        <v>9</v>
      </c>
      <c r="F4834" s="1">
        <v>17</v>
      </c>
      <c r="G4834" s="1">
        <v>9</v>
      </c>
      <c r="H4834" s="1">
        <v>0</v>
      </c>
      <c r="I4834" s="1">
        <v>0</v>
      </c>
      <c r="J4834" s="1">
        <v>0</v>
      </c>
      <c r="K4834" s="1">
        <v>1</v>
      </c>
      <c r="L4834" s="1">
        <v>0</v>
      </c>
      <c r="M4834" s="1">
        <v>1</v>
      </c>
    </row>
    <row r="4835" spans="1:13">
      <c r="A4835" s="1">
        <v>4834</v>
      </c>
      <c r="B4835" s="1">
        <v>890565.02740000002</v>
      </c>
      <c r="C4835" s="1">
        <v>1285518.2064905216</v>
      </c>
      <c r="D4835" s="1">
        <f t="shared" si="75"/>
        <v>-394953.17909052153</v>
      </c>
      <c r="E4835" s="1">
        <v>24</v>
      </c>
      <c r="F4835" s="1">
        <v>7</v>
      </c>
      <c r="G4835" s="1">
        <v>4</v>
      </c>
      <c r="H4835" s="1">
        <v>1</v>
      </c>
      <c r="I4835" s="1">
        <v>0</v>
      </c>
      <c r="J4835" s="1">
        <v>1</v>
      </c>
      <c r="K4835" s="1">
        <v>0</v>
      </c>
      <c r="L4835" s="1">
        <v>0</v>
      </c>
      <c r="M4835" s="1">
        <v>0</v>
      </c>
    </row>
    <row r="4836" spans="1:13">
      <c r="A4836" s="1">
        <v>4835</v>
      </c>
      <c r="B4836" s="1">
        <v>887976.18969999999</v>
      </c>
      <c r="C4836" s="1">
        <v>456518.40557807474</v>
      </c>
      <c r="D4836" s="1">
        <f t="shared" si="75"/>
        <v>431457.78412192524</v>
      </c>
      <c r="E4836" s="1">
        <v>16</v>
      </c>
      <c r="F4836" s="1">
        <v>16</v>
      </c>
      <c r="G4836" s="1">
        <v>3</v>
      </c>
      <c r="H4836" s="1">
        <v>1</v>
      </c>
      <c r="I4836" s="1">
        <v>0</v>
      </c>
      <c r="J4836" s="1">
        <v>0</v>
      </c>
      <c r="K4836" s="1">
        <v>0</v>
      </c>
      <c r="L4836" s="1">
        <v>0</v>
      </c>
      <c r="M4836" s="1">
        <v>1</v>
      </c>
    </row>
    <row r="4837" spans="1:13">
      <c r="A4837" s="1">
        <v>4836</v>
      </c>
      <c r="B4837" s="1">
        <v>1051552.8304999999</v>
      </c>
      <c r="C4837" s="1">
        <v>752241.00747583306</v>
      </c>
      <c r="D4837" s="1">
        <f t="shared" si="75"/>
        <v>299311.82302416686</v>
      </c>
      <c r="E4837" s="1">
        <v>9</v>
      </c>
      <c r="F4837" s="1">
        <v>22</v>
      </c>
      <c r="G4837" s="1">
        <v>4</v>
      </c>
      <c r="H4837" s="1">
        <v>0</v>
      </c>
      <c r="I4837" s="1">
        <v>0</v>
      </c>
      <c r="J4837" s="1">
        <v>1</v>
      </c>
      <c r="K4837" s="1">
        <v>1</v>
      </c>
      <c r="L4837" s="1">
        <v>0</v>
      </c>
      <c r="M4837" s="1">
        <v>1</v>
      </c>
    </row>
    <row r="4838" spans="1:13">
      <c r="A4838" s="1">
        <v>4837</v>
      </c>
      <c r="B4838" s="1">
        <v>918568.48710000003</v>
      </c>
      <c r="C4838" s="1">
        <v>1392810.1680198782</v>
      </c>
      <c r="D4838" s="1">
        <f t="shared" si="75"/>
        <v>-474241.68091987818</v>
      </c>
      <c r="E4838" s="1">
        <v>8</v>
      </c>
      <c r="F4838" s="1">
        <v>20</v>
      </c>
      <c r="G4838" s="1">
        <v>7</v>
      </c>
      <c r="H4838" s="1">
        <v>2</v>
      </c>
      <c r="I4838" s="1">
        <v>0</v>
      </c>
      <c r="J4838" s="1">
        <v>0</v>
      </c>
      <c r="K4838" s="1">
        <v>0</v>
      </c>
      <c r="L4838" s="1">
        <v>0</v>
      </c>
      <c r="M4838" s="1">
        <v>1</v>
      </c>
    </row>
    <row r="4839" spans="1:13">
      <c r="A4839" s="1">
        <v>4838</v>
      </c>
      <c r="B4839" s="1">
        <v>895657.48199999996</v>
      </c>
      <c r="C4839" s="1">
        <v>837628.2271398236</v>
      </c>
      <c r="D4839" s="1">
        <f t="shared" si="75"/>
        <v>58029.254860176356</v>
      </c>
      <c r="E4839" s="1">
        <v>12</v>
      </c>
      <c r="F4839" s="1">
        <v>19</v>
      </c>
      <c r="G4839" s="1">
        <v>4</v>
      </c>
      <c r="H4839" s="1">
        <v>1</v>
      </c>
      <c r="I4839" s="1">
        <v>0</v>
      </c>
      <c r="J4839" s="1">
        <v>0</v>
      </c>
      <c r="K4839" s="1">
        <v>1</v>
      </c>
      <c r="L4839" s="1">
        <v>0</v>
      </c>
      <c r="M4839" s="1">
        <v>0</v>
      </c>
    </row>
    <row r="4840" spans="1:13">
      <c r="A4840" s="1">
        <v>4839</v>
      </c>
      <c r="B4840" s="1">
        <v>891064.34970000002</v>
      </c>
      <c r="C4840" s="1">
        <v>893920.32936750213</v>
      </c>
      <c r="D4840" s="1">
        <f t="shared" si="75"/>
        <v>-2855.9796675021062</v>
      </c>
      <c r="E4840" s="1">
        <v>17</v>
      </c>
      <c r="F4840" s="1">
        <v>13</v>
      </c>
      <c r="G4840" s="1">
        <v>5</v>
      </c>
      <c r="H4840" s="1">
        <v>2</v>
      </c>
      <c r="I4840" s="1">
        <v>0</v>
      </c>
      <c r="J4840" s="1">
        <v>1</v>
      </c>
      <c r="K4840" s="1">
        <v>0</v>
      </c>
      <c r="L4840" s="1">
        <v>0</v>
      </c>
      <c r="M4840" s="1">
        <v>1</v>
      </c>
    </row>
    <row r="4841" spans="1:13">
      <c r="A4841" s="1">
        <v>4840</v>
      </c>
      <c r="B4841" s="1">
        <v>914141.74800000002</v>
      </c>
      <c r="C4841" s="1">
        <v>1231328.6646015269</v>
      </c>
      <c r="D4841" s="1">
        <f t="shared" si="75"/>
        <v>-317186.9166015269</v>
      </c>
      <c r="E4841" s="1">
        <v>16</v>
      </c>
      <c r="F4841" s="1">
        <v>16</v>
      </c>
      <c r="G4841" s="1">
        <v>3</v>
      </c>
      <c r="H4841" s="1">
        <v>0</v>
      </c>
      <c r="I4841" s="1">
        <v>1</v>
      </c>
      <c r="J4841" s="1">
        <v>2</v>
      </c>
      <c r="K4841" s="1">
        <v>0</v>
      </c>
      <c r="L4841" s="1">
        <v>0</v>
      </c>
      <c r="M4841" s="1">
        <v>0</v>
      </c>
    </row>
    <row r="4842" spans="1:13">
      <c r="A4842" s="1">
        <v>4841</v>
      </c>
      <c r="B4842" s="1">
        <v>944230.20349999995</v>
      </c>
      <c r="C4842" s="1">
        <v>1168728.765925962</v>
      </c>
      <c r="D4842" s="1">
        <f t="shared" si="75"/>
        <v>-224498.56242596207</v>
      </c>
      <c r="E4842" s="1">
        <v>11</v>
      </c>
      <c r="F4842" s="1">
        <v>19</v>
      </c>
      <c r="G4842" s="1">
        <v>5</v>
      </c>
      <c r="H4842" s="1">
        <v>1</v>
      </c>
      <c r="I4842" s="1">
        <v>0</v>
      </c>
      <c r="J4842" s="1">
        <v>0</v>
      </c>
      <c r="K4842" s="1">
        <v>0</v>
      </c>
      <c r="L4842" s="1">
        <v>0</v>
      </c>
      <c r="M4842" s="1">
        <v>0</v>
      </c>
    </row>
    <row r="4843" spans="1:13">
      <c r="A4843" s="1">
        <v>4842</v>
      </c>
      <c r="B4843" s="1">
        <v>1018802.1375</v>
      </c>
      <c r="C4843" s="1">
        <v>730142.39363987383</v>
      </c>
      <c r="D4843" s="1">
        <f t="shared" si="75"/>
        <v>288659.74386012612</v>
      </c>
      <c r="E4843" s="1">
        <v>11</v>
      </c>
      <c r="F4843" s="1">
        <v>20</v>
      </c>
      <c r="G4843" s="1">
        <v>4</v>
      </c>
      <c r="H4843" s="1">
        <v>0</v>
      </c>
      <c r="I4843" s="1">
        <v>0</v>
      </c>
      <c r="J4843" s="1">
        <v>0</v>
      </c>
      <c r="K4843" s="1">
        <v>1</v>
      </c>
      <c r="L4843" s="1">
        <v>0</v>
      </c>
      <c r="M4843" s="1">
        <v>0</v>
      </c>
    </row>
    <row r="4844" spans="1:13">
      <c r="A4844" s="1">
        <v>4843</v>
      </c>
      <c r="B4844" s="1">
        <v>935912.15240000002</v>
      </c>
      <c r="C4844" s="1">
        <v>1042648.7900346502</v>
      </c>
      <c r="D4844" s="1">
        <f t="shared" si="75"/>
        <v>-106736.63763465022</v>
      </c>
      <c r="E4844" s="1">
        <v>16</v>
      </c>
      <c r="F4844" s="1">
        <v>12</v>
      </c>
      <c r="G4844" s="1">
        <v>7</v>
      </c>
      <c r="H4844" s="1">
        <v>0</v>
      </c>
      <c r="I4844" s="1">
        <v>2</v>
      </c>
      <c r="J4844" s="1">
        <v>0</v>
      </c>
      <c r="K4844" s="1">
        <v>0</v>
      </c>
      <c r="L4844" s="1">
        <v>0</v>
      </c>
      <c r="M4844" s="1">
        <v>0</v>
      </c>
    </row>
    <row r="4845" spans="1:13">
      <c r="A4845" s="1">
        <v>4844</v>
      </c>
      <c r="B4845" s="1">
        <v>894336.04650000005</v>
      </c>
      <c r="C4845" s="1">
        <v>1036467.9832559198</v>
      </c>
      <c r="D4845" s="1">
        <f t="shared" si="75"/>
        <v>-142131.93675591971</v>
      </c>
      <c r="E4845" s="1">
        <v>18</v>
      </c>
      <c r="F4845" s="1">
        <v>11</v>
      </c>
      <c r="G4845" s="1">
        <v>6</v>
      </c>
      <c r="H4845" s="1">
        <v>1</v>
      </c>
      <c r="I4845" s="1">
        <v>1</v>
      </c>
      <c r="J4845" s="1">
        <v>0</v>
      </c>
      <c r="K4845" s="1">
        <v>2</v>
      </c>
      <c r="L4845" s="1">
        <v>0</v>
      </c>
      <c r="M4845" s="1">
        <v>0</v>
      </c>
    </row>
    <row r="4846" spans="1:13">
      <c r="A4846" s="1">
        <v>4845</v>
      </c>
      <c r="B4846" s="1">
        <v>998643.29070000001</v>
      </c>
      <c r="C4846" s="1">
        <v>634963.36325915798</v>
      </c>
      <c r="D4846" s="1">
        <f t="shared" si="75"/>
        <v>363679.92744084203</v>
      </c>
      <c r="E4846" s="1">
        <v>7</v>
      </c>
      <c r="F4846" s="1">
        <v>24</v>
      </c>
      <c r="G4846" s="1">
        <v>4</v>
      </c>
      <c r="H4846" s="1">
        <v>1</v>
      </c>
      <c r="I4846" s="1">
        <v>0</v>
      </c>
      <c r="J4846" s="1">
        <v>1</v>
      </c>
      <c r="K4846" s="1">
        <v>1</v>
      </c>
      <c r="L4846" s="1">
        <v>0</v>
      </c>
      <c r="M4846" s="1">
        <v>0</v>
      </c>
    </row>
    <row r="4847" spans="1:13">
      <c r="A4847" s="1">
        <v>4846</v>
      </c>
      <c r="B4847" s="1">
        <v>879482.69409999996</v>
      </c>
      <c r="C4847" s="1">
        <v>668567.98179743683</v>
      </c>
      <c r="D4847" s="1">
        <f t="shared" si="75"/>
        <v>210914.71230256313</v>
      </c>
      <c r="E4847" s="1">
        <v>13</v>
      </c>
      <c r="F4847" s="1">
        <v>17</v>
      </c>
      <c r="G4847" s="1">
        <v>5</v>
      </c>
      <c r="H4847" s="1">
        <v>1</v>
      </c>
      <c r="I4847" s="1">
        <v>1</v>
      </c>
      <c r="J4847" s="1">
        <v>1</v>
      </c>
      <c r="K4847" s="1">
        <v>1</v>
      </c>
      <c r="L4847" s="1">
        <v>0</v>
      </c>
      <c r="M4847" s="1">
        <v>0</v>
      </c>
    </row>
    <row r="4848" spans="1:13">
      <c r="A4848" s="1">
        <v>4847</v>
      </c>
      <c r="B4848" s="1">
        <v>803357.13060000003</v>
      </c>
      <c r="C4848" s="1">
        <v>829912.3583135939</v>
      </c>
      <c r="D4848" s="1">
        <f t="shared" si="75"/>
        <v>-26555.227713593864</v>
      </c>
      <c r="E4848" s="1">
        <v>24</v>
      </c>
      <c r="F4848" s="1">
        <v>6</v>
      </c>
      <c r="G4848" s="1">
        <v>5</v>
      </c>
      <c r="H4848" s="1">
        <v>0</v>
      </c>
      <c r="I4848" s="1">
        <v>0</v>
      </c>
      <c r="J4848" s="1">
        <v>1</v>
      </c>
      <c r="K4848" s="1">
        <v>1</v>
      </c>
      <c r="L4848" s="1">
        <v>0</v>
      </c>
      <c r="M4848" s="1">
        <v>0</v>
      </c>
    </row>
    <row r="4849" spans="1:13">
      <c r="A4849" s="1">
        <v>4848</v>
      </c>
      <c r="B4849" s="1">
        <v>1002789.226</v>
      </c>
      <c r="C4849" s="1">
        <v>746577.75130265194</v>
      </c>
      <c r="D4849" s="1">
        <f t="shared" si="75"/>
        <v>256211.47469734808</v>
      </c>
      <c r="E4849" s="1">
        <v>8</v>
      </c>
      <c r="F4849" s="1">
        <v>20</v>
      </c>
      <c r="G4849" s="1">
        <v>7</v>
      </c>
      <c r="H4849" s="1">
        <v>2</v>
      </c>
      <c r="I4849" s="1">
        <v>0</v>
      </c>
      <c r="J4849" s="1">
        <v>2</v>
      </c>
      <c r="K4849" s="1">
        <v>0</v>
      </c>
      <c r="L4849" s="1">
        <v>0</v>
      </c>
      <c r="M4849" s="1">
        <v>0</v>
      </c>
    </row>
    <row r="4850" spans="1:13">
      <c r="A4850" s="1">
        <v>4849</v>
      </c>
      <c r="B4850" s="1">
        <v>1017440.3026000001</v>
      </c>
      <c r="C4850" s="1">
        <v>745010.282247475</v>
      </c>
      <c r="D4850" s="1">
        <f t="shared" si="75"/>
        <v>272430.02035252505</v>
      </c>
      <c r="E4850" s="1">
        <v>12</v>
      </c>
      <c r="F4850" s="1">
        <v>18</v>
      </c>
      <c r="G4850" s="1">
        <v>5</v>
      </c>
      <c r="H4850" s="1">
        <v>1</v>
      </c>
      <c r="I4850" s="1">
        <v>1</v>
      </c>
      <c r="J4850" s="1">
        <v>1</v>
      </c>
      <c r="K4850" s="1">
        <v>0</v>
      </c>
      <c r="L4850" s="1">
        <v>0</v>
      </c>
      <c r="M4850" s="1">
        <v>0</v>
      </c>
    </row>
    <row r="4851" spans="1:13">
      <c r="A4851" s="1">
        <v>4850</v>
      </c>
      <c r="B4851" s="1">
        <v>820551.16159999999</v>
      </c>
      <c r="C4851" s="1">
        <v>912007.32637738902</v>
      </c>
      <c r="D4851" s="1">
        <f t="shared" si="75"/>
        <v>-91456.164777389029</v>
      </c>
      <c r="E4851" s="1">
        <v>15</v>
      </c>
      <c r="F4851" s="1">
        <v>15</v>
      </c>
      <c r="G4851" s="1">
        <v>5</v>
      </c>
      <c r="H4851" s="1">
        <v>1</v>
      </c>
      <c r="I4851" s="1">
        <v>0</v>
      </c>
      <c r="J4851" s="1">
        <v>0</v>
      </c>
      <c r="K4851" s="1">
        <v>2</v>
      </c>
      <c r="L4851" s="1">
        <v>0</v>
      </c>
      <c r="M4851" s="1">
        <v>0</v>
      </c>
    </row>
    <row r="4852" spans="1:13">
      <c r="A4852" s="1">
        <v>4851</v>
      </c>
      <c r="B4852" s="1">
        <v>888584.82579999999</v>
      </c>
      <c r="C4852" s="1">
        <v>925417.9455535165</v>
      </c>
      <c r="D4852" s="1">
        <f t="shared" si="75"/>
        <v>-36833.119753516512</v>
      </c>
      <c r="E4852" s="1">
        <v>11</v>
      </c>
      <c r="F4852" s="1">
        <v>21</v>
      </c>
      <c r="G4852" s="1">
        <v>3</v>
      </c>
      <c r="H4852" s="1">
        <v>0</v>
      </c>
      <c r="I4852" s="1">
        <v>1</v>
      </c>
      <c r="J4852" s="1">
        <v>1</v>
      </c>
      <c r="K4852" s="1">
        <v>0</v>
      </c>
      <c r="L4852" s="1">
        <v>0</v>
      </c>
      <c r="M4852" s="1">
        <v>0</v>
      </c>
    </row>
    <row r="4853" spans="1:13">
      <c r="A4853" s="1">
        <v>4852</v>
      </c>
      <c r="B4853" s="1">
        <v>901192.54810000001</v>
      </c>
      <c r="C4853" s="1">
        <v>703086.94189148478</v>
      </c>
      <c r="D4853" s="1">
        <f t="shared" si="75"/>
        <v>198105.60620851524</v>
      </c>
      <c r="E4853" s="1">
        <v>16</v>
      </c>
      <c r="F4853" s="1">
        <v>13</v>
      </c>
      <c r="G4853" s="1">
        <v>6</v>
      </c>
      <c r="H4853" s="1">
        <v>0</v>
      </c>
      <c r="I4853" s="1">
        <v>1</v>
      </c>
      <c r="J4853" s="1">
        <v>2</v>
      </c>
      <c r="K4853" s="1">
        <v>0</v>
      </c>
      <c r="L4853" s="1">
        <v>0</v>
      </c>
      <c r="M4853" s="1">
        <v>0</v>
      </c>
    </row>
    <row r="4854" spans="1:13">
      <c r="A4854" s="1">
        <v>4853</v>
      </c>
      <c r="B4854" s="1">
        <v>1086776.1798</v>
      </c>
      <c r="C4854" s="1">
        <v>945591.6728026754</v>
      </c>
      <c r="D4854" s="1">
        <f t="shared" si="75"/>
        <v>141184.50699732464</v>
      </c>
      <c r="E4854" s="1">
        <v>11</v>
      </c>
      <c r="F4854" s="1">
        <v>18</v>
      </c>
      <c r="G4854" s="1">
        <v>6</v>
      </c>
      <c r="H4854" s="1">
        <v>1</v>
      </c>
      <c r="I4854" s="1">
        <v>0</v>
      </c>
      <c r="J4854" s="1">
        <v>1</v>
      </c>
      <c r="K4854" s="1">
        <v>0</v>
      </c>
      <c r="L4854" s="1">
        <v>0</v>
      </c>
      <c r="M4854" s="1">
        <v>0</v>
      </c>
    </row>
    <row r="4855" spans="1:13">
      <c r="A4855" s="1">
        <v>4854</v>
      </c>
      <c r="B4855" s="1">
        <v>1031284.2731</v>
      </c>
      <c r="C4855" s="1">
        <v>1063515.2090316508</v>
      </c>
      <c r="D4855" s="1">
        <f t="shared" si="75"/>
        <v>-32230.935931650805</v>
      </c>
      <c r="E4855" s="1">
        <v>9</v>
      </c>
      <c r="F4855" s="1">
        <v>21</v>
      </c>
      <c r="G4855" s="1">
        <v>5</v>
      </c>
      <c r="H4855" s="1">
        <v>0</v>
      </c>
      <c r="I4855" s="1">
        <v>0</v>
      </c>
      <c r="J4855" s="1">
        <v>1</v>
      </c>
      <c r="K4855" s="1">
        <v>0</v>
      </c>
      <c r="L4855" s="1">
        <v>1</v>
      </c>
      <c r="M4855" s="1">
        <v>0</v>
      </c>
    </row>
    <row r="4856" spans="1:13">
      <c r="A4856" s="1">
        <v>4855</v>
      </c>
      <c r="B4856" s="1">
        <v>897941.38699999999</v>
      </c>
      <c r="C4856" s="1">
        <v>1061447.1035823526</v>
      </c>
      <c r="D4856" s="1">
        <f t="shared" si="75"/>
        <v>-163505.71658235264</v>
      </c>
      <c r="E4856" s="1">
        <v>21</v>
      </c>
      <c r="F4856" s="1">
        <v>9</v>
      </c>
      <c r="G4856" s="1">
        <v>5</v>
      </c>
      <c r="H4856" s="1">
        <v>0</v>
      </c>
      <c r="I4856" s="1">
        <v>0</v>
      </c>
      <c r="J4856" s="1">
        <v>1</v>
      </c>
      <c r="K4856" s="1">
        <v>0</v>
      </c>
      <c r="L4856" s="1">
        <v>1</v>
      </c>
      <c r="M4856" s="1">
        <v>1</v>
      </c>
    </row>
    <row r="4857" spans="1:13">
      <c r="A4857" s="1">
        <v>4856</v>
      </c>
      <c r="B4857" s="1">
        <v>914402.52760000003</v>
      </c>
      <c r="C4857" s="1">
        <v>636508.60667318502</v>
      </c>
      <c r="D4857" s="1">
        <f t="shared" si="75"/>
        <v>277893.92092681502</v>
      </c>
      <c r="E4857" s="1">
        <v>9</v>
      </c>
      <c r="F4857" s="1">
        <v>20</v>
      </c>
      <c r="G4857" s="1">
        <v>6</v>
      </c>
      <c r="H4857" s="1">
        <v>2</v>
      </c>
      <c r="I4857" s="1">
        <v>0</v>
      </c>
      <c r="J4857" s="1">
        <v>0</v>
      </c>
      <c r="K4857" s="1">
        <v>1</v>
      </c>
      <c r="L4857" s="1">
        <v>0</v>
      </c>
      <c r="M4857" s="1">
        <v>0</v>
      </c>
    </row>
    <row r="4858" spans="1:13">
      <c r="A4858" s="1">
        <v>4857</v>
      </c>
      <c r="B4858" s="1">
        <v>1035034.0107</v>
      </c>
      <c r="C4858" s="1">
        <v>729746.05285296228</v>
      </c>
      <c r="D4858" s="1">
        <f t="shared" si="75"/>
        <v>305287.9578470377</v>
      </c>
      <c r="E4858" s="1">
        <v>8</v>
      </c>
      <c r="F4858" s="1">
        <v>17</v>
      </c>
      <c r="G4858" s="1">
        <v>10</v>
      </c>
      <c r="H4858" s="1">
        <v>0</v>
      </c>
      <c r="I4858" s="1">
        <v>1</v>
      </c>
      <c r="J4858" s="1">
        <v>1</v>
      </c>
      <c r="K4858" s="1">
        <v>1</v>
      </c>
      <c r="L4858" s="1">
        <v>0</v>
      </c>
      <c r="M4858" s="1">
        <v>1</v>
      </c>
    </row>
    <row r="4859" spans="1:13">
      <c r="A4859" s="1">
        <v>4858</v>
      </c>
      <c r="B4859" s="1">
        <v>1048939.6274000001</v>
      </c>
      <c r="C4859" s="1">
        <v>839206.85380460368</v>
      </c>
      <c r="D4859" s="1">
        <f t="shared" si="75"/>
        <v>209732.77359539643</v>
      </c>
      <c r="E4859" s="1">
        <v>8</v>
      </c>
      <c r="F4859" s="1">
        <v>24</v>
      </c>
      <c r="G4859" s="1">
        <v>3</v>
      </c>
      <c r="H4859" s="1">
        <v>2</v>
      </c>
      <c r="I4859" s="1">
        <v>0</v>
      </c>
      <c r="J4859" s="1">
        <v>0</v>
      </c>
      <c r="K4859" s="1">
        <v>0</v>
      </c>
      <c r="L4859" s="1">
        <v>1</v>
      </c>
      <c r="M4859" s="1">
        <v>0</v>
      </c>
    </row>
    <row r="4860" spans="1:13">
      <c r="A4860" s="1">
        <v>4859</v>
      </c>
      <c r="B4860" s="1">
        <v>852813.02729999996</v>
      </c>
      <c r="C4860" s="1">
        <v>880442.7910278386</v>
      </c>
      <c r="D4860" s="1">
        <f t="shared" si="75"/>
        <v>-27629.763727838639</v>
      </c>
      <c r="E4860" s="1">
        <v>15</v>
      </c>
      <c r="F4860" s="1">
        <v>16</v>
      </c>
      <c r="G4860" s="1">
        <v>4</v>
      </c>
      <c r="H4860" s="1">
        <v>2</v>
      </c>
      <c r="I4860" s="1">
        <v>0</v>
      </c>
      <c r="J4860" s="1">
        <v>1</v>
      </c>
      <c r="K4860" s="1">
        <v>1</v>
      </c>
      <c r="L4860" s="1">
        <v>0</v>
      </c>
      <c r="M4860" s="1">
        <v>1</v>
      </c>
    </row>
    <row r="4861" spans="1:13">
      <c r="A4861" s="1">
        <v>4860</v>
      </c>
      <c r="B4861" s="1">
        <v>824746.46299999999</v>
      </c>
      <c r="C4861" s="1">
        <v>920043.74422712193</v>
      </c>
      <c r="D4861" s="1">
        <f t="shared" si="75"/>
        <v>-95297.281227121945</v>
      </c>
      <c r="E4861" s="1">
        <v>19</v>
      </c>
      <c r="F4861" s="1">
        <v>11</v>
      </c>
      <c r="G4861" s="1">
        <v>5</v>
      </c>
      <c r="H4861" s="1">
        <v>0</v>
      </c>
      <c r="I4861" s="1">
        <v>0</v>
      </c>
      <c r="J4861" s="1">
        <v>1</v>
      </c>
      <c r="K4861" s="1">
        <v>1</v>
      </c>
      <c r="L4861" s="1">
        <v>0</v>
      </c>
      <c r="M4861" s="1">
        <v>0</v>
      </c>
    </row>
    <row r="4862" spans="1:13">
      <c r="A4862" s="1">
        <v>4861</v>
      </c>
      <c r="B4862" s="1">
        <v>904198.23360000004</v>
      </c>
      <c r="C4862" s="1">
        <v>751756.24416212889</v>
      </c>
      <c r="D4862" s="1">
        <f t="shared" si="75"/>
        <v>152441.98943787115</v>
      </c>
      <c r="E4862" s="1">
        <v>25</v>
      </c>
      <c r="F4862" s="1">
        <v>3</v>
      </c>
      <c r="G4862" s="1">
        <v>7</v>
      </c>
      <c r="H4862" s="1">
        <v>1</v>
      </c>
      <c r="I4862" s="1">
        <v>0</v>
      </c>
      <c r="J4862" s="1">
        <v>0</v>
      </c>
      <c r="K4862" s="1">
        <v>1</v>
      </c>
      <c r="L4862" s="1">
        <v>0</v>
      </c>
      <c r="M4862" s="1">
        <v>0</v>
      </c>
    </row>
    <row r="4863" spans="1:13">
      <c r="A4863" s="1">
        <v>4862</v>
      </c>
      <c r="B4863" s="1">
        <v>954952.93299999996</v>
      </c>
      <c r="C4863" s="1">
        <v>934263.62225642719</v>
      </c>
      <c r="D4863" s="1">
        <f t="shared" si="75"/>
        <v>20689.310743572772</v>
      </c>
      <c r="E4863" s="1">
        <v>15</v>
      </c>
      <c r="F4863" s="1">
        <v>15</v>
      </c>
      <c r="G4863" s="1">
        <v>5</v>
      </c>
      <c r="H4863" s="1">
        <v>2</v>
      </c>
      <c r="I4863" s="1">
        <v>0</v>
      </c>
      <c r="J4863" s="1">
        <v>1</v>
      </c>
      <c r="K4863" s="1">
        <v>1</v>
      </c>
      <c r="L4863" s="1">
        <v>0</v>
      </c>
      <c r="M4863" s="1">
        <v>1</v>
      </c>
    </row>
    <row r="4864" spans="1:13">
      <c r="A4864" s="1">
        <v>4863</v>
      </c>
      <c r="B4864" s="1">
        <v>913407.46180000005</v>
      </c>
      <c r="C4864" s="1">
        <v>798616.8495626559</v>
      </c>
      <c r="D4864" s="1">
        <f t="shared" si="75"/>
        <v>114790.61223734415</v>
      </c>
      <c r="E4864" s="1">
        <v>17</v>
      </c>
      <c r="F4864" s="1">
        <v>11</v>
      </c>
      <c r="G4864" s="1">
        <v>7</v>
      </c>
      <c r="H4864" s="1">
        <v>1</v>
      </c>
      <c r="I4864" s="1">
        <v>1</v>
      </c>
      <c r="J4864" s="1">
        <v>1</v>
      </c>
      <c r="K4864" s="1">
        <v>0</v>
      </c>
      <c r="L4864" s="1">
        <v>0</v>
      </c>
      <c r="M4864" s="1">
        <v>1</v>
      </c>
    </row>
    <row r="4865" spans="1:13">
      <c r="A4865" s="1">
        <v>4864</v>
      </c>
      <c r="B4865" s="1">
        <v>902043.38879999996</v>
      </c>
      <c r="C4865" s="1">
        <v>1039322.1964780877</v>
      </c>
      <c r="D4865" s="1">
        <f t="shared" si="75"/>
        <v>-137278.80767808773</v>
      </c>
      <c r="E4865" s="1">
        <v>18</v>
      </c>
      <c r="F4865" s="1">
        <v>12</v>
      </c>
      <c r="G4865" s="1">
        <v>5</v>
      </c>
      <c r="H4865" s="1">
        <v>1</v>
      </c>
      <c r="I4865" s="1">
        <v>0</v>
      </c>
      <c r="J4865" s="1">
        <v>2</v>
      </c>
      <c r="K4865" s="1">
        <v>0</v>
      </c>
      <c r="L4865" s="1">
        <v>0</v>
      </c>
      <c r="M4865" s="1">
        <v>0</v>
      </c>
    </row>
    <row r="4866" spans="1:13">
      <c r="A4866" s="1">
        <v>4865</v>
      </c>
      <c r="B4866" s="1">
        <v>860640.7929</v>
      </c>
      <c r="C4866" s="1">
        <v>765964.44980537507</v>
      </c>
      <c r="D4866" s="1">
        <f t="shared" ref="D4866:D4929" si="76">B4866-C4866</f>
        <v>94676.343094624928</v>
      </c>
      <c r="E4866" s="1">
        <v>11</v>
      </c>
      <c r="F4866" s="1">
        <v>19</v>
      </c>
      <c r="G4866" s="1">
        <v>5</v>
      </c>
      <c r="H4866" s="1">
        <v>2</v>
      </c>
      <c r="I4866" s="1">
        <v>0</v>
      </c>
      <c r="J4866" s="1">
        <v>0</v>
      </c>
      <c r="K4866" s="1">
        <v>1</v>
      </c>
      <c r="L4866" s="1">
        <v>0</v>
      </c>
      <c r="M4866" s="1">
        <v>1</v>
      </c>
    </row>
    <row r="4867" spans="1:13">
      <c r="A4867" s="1">
        <v>4866</v>
      </c>
      <c r="B4867" s="1">
        <v>1056796.1499999999</v>
      </c>
      <c r="C4867" s="1">
        <v>902518.02066258818</v>
      </c>
      <c r="D4867" s="1">
        <f t="shared" si="76"/>
        <v>154278.12933741172</v>
      </c>
      <c r="E4867" s="1">
        <v>7</v>
      </c>
      <c r="F4867" s="1">
        <v>23</v>
      </c>
      <c r="G4867" s="1">
        <v>5</v>
      </c>
      <c r="H4867" s="1">
        <v>0</v>
      </c>
      <c r="I4867" s="1">
        <v>0</v>
      </c>
      <c r="J4867" s="1">
        <v>0</v>
      </c>
      <c r="K4867" s="1">
        <v>0</v>
      </c>
      <c r="L4867" s="1">
        <v>0</v>
      </c>
      <c r="M4867" s="1">
        <v>0</v>
      </c>
    </row>
    <row r="4868" spans="1:13">
      <c r="A4868" s="1">
        <v>4867</v>
      </c>
      <c r="B4868" s="1">
        <v>886122.93550000002</v>
      </c>
      <c r="C4868" s="1">
        <v>1123624.2562543014</v>
      </c>
      <c r="D4868" s="1">
        <f t="shared" si="76"/>
        <v>-237501.32075430139</v>
      </c>
      <c r="E4868" s="1">
        <v>17</v>
      </c>
      <c r="F4868" s="1">
        <v>11</v>
      </c>
      <c r="G4868" s="1">
        <v>7</v>
      </c>
      <c r="H4868" s="1">
        <v>2</v>
      </c>
      <c r="I4868" s="1">
        <v>0</v>
      </c>
      <c r="J4868" s="1">
        <v>0</v>
      </c>
      <c r="K4868" s="1">
        <v>1</v>
      </c>
      <c r="L4868" s="1">
        <v>0</v>
      </c>
      <c r="M4868" s="1">
        <v>1</v>
      </c>
    </row>
    <row r="4869" spans="1:13">
      <c r="A4869" s="1">
        <v>4868</v>
      </c>
      <c r="B4869" s="1">
        <v>940245.73230000003</v>
      </c>
      <c r="C4869" s="1">
        <v>1355931.8143771265</v>
      </c>
      <c r="D4869" s="1">
        <f t="shared" si="76"/>
        <v>-415686.08207712648</v>
      </c>
      <c r="E4869" s="1">
        <v>19</v>
      </c>
      <c r="F4869" s="1">
        <v>11</v>
      </c>
      <c r="G4869" s="1">
        <v>5</v>
      </c>
      <c r="H4869" s="1">
        <v>2</v>
      </c>
      <c r="I4869" s="1">
        <v>0</v>
      </c>
      <c r="J4869" s="1">
        <v>0</v>
      </c>
      <c r="K4869" s="1">
        <v>0</v>
      </c>
      <c r="L4869" s="1">
        <v>0</v>
      </c>
      <c r="M4869" s="1">
        <v>0</v>
      </c>
    </row>
    <row r="4870" spans="1:13">
      <c r="A4870" s="1">
        <v>4869</v>
      </c>
      <c r="B4870" s="1">
        <v>866028.22779999999</v>
      </c>
      <c r="C4870" s="1">
        <v>741263.39485890686</v>
      </c>
      <c r="D4870" s="1">
        <f t="shared" si="76"/>
        <v>124764.83294109313</v>
      </c>
      <c r="E4870" s="1">
        <v>19</v>
      </c>
      <c r="F4870" s="1">
        <v>12</v>
      </c>
      <c r="G4870" s="1">
        <v>4</v>
      </c>
      <c r="H4870" s="1">
        <v>1</v>
      </c>
      <c r="I4870" s="1">
        <v>0</v>
      </c>
      <c r="J4870" s="1">
        <v>0</v>
      </c>
      <c r="K4870" s="1">
        <v>1</v>
      </c>
      <c r="L4870" s="1">
        <v>0</v>
      </c>
      <c r="M4870" s="1">
        <v>1</v>
      </c>
    </row>
    <row r="4871" spans="1:13">
      <c r="A4871" s="1">
        <v>4870</v>
      </c>
      <c r="B4871" s="1">
        <v>945281.34569999995</v>
      </c>
      <c r="C4871" s="1">
        <v>1288584.6618049198</v>
      </c>
      <c r="D4871" s="1">
        <f t="shared" si="76"/>
        <v>-343303.31610491988</v>
      </c>
      <c r="E4871" s="1">
        <v>14</v>
      </c>
      <c r="F4871" s="1">
        <v>16</v>
      </c>
      <c r="G4871" s="1">
        <v>5</v>
      </c>
      <c r="H4871" s="1">
        <v>2</v>
      </c>
      <c r="I4871" s="1">
        <v>0</v>
      </c>
      <c r="J4871" s="1">
        <v>2</v>
      </c>
      <c r="K4871" s="1">
        <v>0</v>
      </c>
      <c r="L4871" s="1">
        <v>0</v>
      </c>
      <c r="M4871" s="1">
        <v>0</v>
      </c>
    </row>
    <row r="4872" spans="1:13">
      <c r="A4872" s="1">
        <v>4871</v>
      </c>
      <c r="B4872" s="1">
        <v>992808.24479999999</v>
      </c>
      <c r="C4872" s="1">
        <v>1085411.8188368012</v>
      </c>
      <c r="D4872" s="1">
        <f t="shared" si="76"/>
        <v>-92603.574036801234</v>
      </c>
      <c r="E4872" s="1">
        <v>13</v>
      </c>
      <c r="F4872" s="1">
        <v>20</v>
      </c>
      <c r="G4872" s="1">
        <v>2</v>
      </c>
      <c r="H4872" s="1">
        <v>0</v>
      </c>
      <c r="I4872" s="1">
        <v>0</v>
      </c>
      <c r="J4872" s="1">
        <v>0</v>
      </c>
      <c r="K4872" s="1">
        <v>0</v>
      </c>
      <c r="L4872" s="1">
        <v>1</v>
      </c>
      <c r="M4872" s="1">
        <v>1</v>
      </c>
    </row>
    <row r="4873" spans="1:13">
      <c r="A4873" s="1">
        <v>4872</v>
      </c>
      <c r="B4873" s="1">
        <v>969685.7169</v>
      </c>
      <c r="C4873" s="1">
        <v>1522078.0386058716</v>
      </c>
      <c r="D4873" s="1">
        <f t="shared" si="76"/>
        <v>-552392.32170587161</v>
      </c>
      <c r="E4873" s="1">
        <v>14</v>
      </c>
      <c r="F4873" s="1">
        <v>14</v>
      </c>
      <c r="G4873" s="1">
        <v>7</v>
      </c>
      <c r="H4873" s="1">
        <v>2</v>
      </c>
      <c r="I4873" s="1">
        <v>0</v>
      </c>
      <c r="J4873" s="1">
        <v>0</v>
      </c>
      <c r="K4873" s="1">
        <v>2</v>
      </c>
      <c r="L4873" s="1">
        <v>0</v>
      </c>
      <c r="M4873" s="1">
        <v>0</v>
      </c>
    </row>
    <row r="4874" spans="1:13">
      <c r="A4874" s="1">
        <v>4873</v>
      </c>
      <c r="B4874" s="1">
        <v>828821.52119999996</v>
      </c>
      <c r="C4874" s="1">
        <v>459564.56686078873</v>
      </c>
      <c r="D4874" s="1">
        <f t="shared" si="76"/>
        <v>369256.95433921122</v>
      </c>
      <c r="E4874" s="1">
        <v>19</v>
      </c>
      <c r="F4874" s="1">
        <v>10</v>
      </c>
      <c r="G4874" s="1">
        <v>6</v>
      </c>
      <c r="H4874" s="1">
        <v>1</v>
      </c>
      <c r="I4874" s="1">
        <v>0</v>
      </c>
      <c r="J4874" s="1">
        <v>1</v>
      </c>
      <c r="K4874" s="1">
        <v>0</v>
      </c>
      <c r="L4874" s="1">
        <v>0</v>
      </c>
      <c r="M4874" s="1">
        <v>1</v>
      </c>
    </row>
    <row r="4875" spans="1:13">
      <c r="A4875" s="1">
        <v>4874</v>
      </c>
      <c r="B4875" s="1">
        <v>865803.78709999996</v>
      </c>
      <c r="C4875" s="1">
        <v>683876.0553617056</v>
      </c>
      <c r="D4875" s="1">
        <f t="shared" si="76"/>
        <v>181927.73173829436</v>
      </c>
      <c r="E4875" s="1">
        <v>24</v>
      </c>
      <c r="F4875" s="1">
        <v>6</v>
      </c>
      <c r="G4875" s="1">
        <v>5</v>
      </c>
      <c r="H4875" s="1">
        <v>0</v>
      </c>
      <c r="I4875" s="1">
        <v>1</v>
      </c>
      <c r="J4875" s="1">
        <v>0</v>
      </c>
      <c r="K4875" s="1">
        <v>0</v>
      </c>
      <c r="L4875" s="1">
        <v>0</v>
      </c>
      <c r="M4875" s="1">
        <v>0</v>
      </c>
    </row>
    <row r="4876" spans="1:13">
      <c r="A4876" s="1">
        <v>4875</v>
      </c>
      <c r="B4876" s="1">
        <v>976540.19810000004</v>
      </c>
      <c r="C4876" s="1">
        <v>761287.58030470193</v>
      </c>
      <c r="D4876" s="1">
        <f t="shared" si="76"/>
        <v>215252.61779529811</v>
      </c>
      <c r="E4876" s="1">
        <v>14</v>
      </c>
      <c r="F4876" s="1">
        <v>18</v>
      </c>
      <c r="G4876" s="1">
        <v>3</v>
      </c>
      <c r="H4876" s="1">
        <v>1</v>
      </c>
      <c r="I4876" s="1">
        <v>1</v>
      </c>
      <c r="J4876" s="1">
        <v>0</v>
      </c>
      <c r="K4876" s="1">
        <v>2</v>
      </c>
      <c r="L4876" s="1">
        <v>0</v>
      </c>
      <c r="M4876" s="1">
        <v>1</v>
      </c>
    </row>
    <row r="4877" spans="1:13">
      <c r="A4877" s="1">
        <v>4876</v>
      </c>
      <c r="B4877" s="1">
        <v>877872.22230000002</v>
      </c>
      <c r="C4877" s="1">
        <v>1107464.2516038425</v>
      </c>
      <c r="D4877" s="1">
        <f t="shared" si="76"/>
        <v>-229592.02930384246</v>
      </c>
      <c r="E4877" s="1">
        <v>16</v>
      </c>
      <c r="F4877" s="1">
        <v>15</v>
      </c>
      <c r="G4877" s="1">
        <v>4</v>
      </c>
      <c r="H4877" s="1">
        <v>0</v>
      </c>
      <c r="I4877" s="1">
        <v>0</v>
      </c>
      <c r="J4877" s="1">
        <v>0</v>
      </c>
      <c r="K4877" s="1">
        <v>1</v>
      </c>
      <c r="L4877" s="1">
        <v>0</v>
      </c>
      <c r="M4877" s="1">
        <v>0</v>
      </c>
    </row>
    <row r="4878" spans="1:13">
      <c r="A4878" s="1">
        <v>4877</v>
      </c>
      <c r="B4878" s="1">
        <v>887311.52139999997</v>
      </c>
      <c r="C4878" s="1">
        <v>860726.58852536941</v>
      </c>
      <c r="D4878" s="1">
        <f t="shared" si="76"/>
        <v>26584.932874630555</v>
      </c>
      <c r="E4878" s="1">
        <v>12</v>
      </c>
      <c r="F4878" s="1">
        <v>18</v>
      </c>
      <c r="G4878" s="1">
        <v>5</v>
      </c>
      <c r="H4878" s="1">
        <v>2</v>
      </c>
      <c r="I4878" s="1">
        <v>0</v>
      </c>
      <c r="J4878" s="1">
        <v>1</v>
      </c>
      <c r="K4878" s="1">
        <v>0</v>
      </c>
      <c r="L4878" s="1">
        <v>0</v>
      </c>
      <c r="M4878" s="1">
        <v>0</v>
      </c>
    </row>
    <row r="4879" spans="1:13">
      <c r="A4879" s="1">
        <v>4878</v>
      </c>
      <c r="B4879" s="1">
        <v>899470.1531</v>
      </c>
      <c r="C4879" s="1">
        <v>619496.35106590285</v>
      </c>
      <c r="D4879" s="1">
        <f t="shared" si="76"/>
        <v>279973.80203409714</v>
      </c>
      <c r="E4879" s="1">
        <v>9</v>
      </c>
      <c r="F4879" s="1">
        <v>23</v>
      </c>
      <c r="G4879" s="1">
        <v>3</v>
      </c>
      <c r="H4879" s="1">
        <v>2</v>
      </c>
      <c r="I4879" s="1">
        <v>0</v>
      </c>
      <c r="J4879" s="1">
        <v>0</v>
      </c>
      <c r="K4879" s="1">
        <v>0</v>
      </c>
      <c r="L4879" s="1">
        <v>0</v>
      </c>
      <c r="M4879" s="1">
        <v>0</v>
      </c>
    </row>
    <row r="4880" spans="1:13">
      <c r="A4880" s="1">
        <v>4879</v>
      </c>
      <c r="B4880" s="1">
        <v>964238.79310000001</v>
      </c>
      <c r="C4880" s="1">
        <v>881199.12570685917</v>
      </c>
      <c r="D4880" s="1">
        <f t="shared" si="76"/>
        <v>83039.667393140844</v>
      </c>
      <c r="E4880" s="1">
        <v>14</v>
      </c>
      <c r="F4880" s="1">
        <v>14</v>
      </c>
      <c r="G4880" s="1">
        <v>7</v>
      </c>
      <c r="H4880" s="1">
        <v>2</v>
      </c>
      <c r="I4880" s="1">
        <v>0</v>
      </c>
      <c r="J4880" s="1">
        <v>0</v>
      </c>
      <c r="K4880" s="1">
        <v>2</v>
      </c>
      <c r="L4880" s="1">
        <v>0</v>
      </c>
      <c r="M4880" s="1">
        <v>0</v>
      </c>
    </row>
    <row r="4881" spans="1:13">
      <c r="A4881" s="1">
        <v>4880</v>
      </c>
      <c r="B4881" s="1">
        <v>939180.83200000005</v>
      </c>
      <c r="C4881" s="1">
        <v>1032138.5517691633</v>
      </c>
      <c r="D4881" s="1">
        <f t="shared" si="76"/>
        <v>-92957.71976916329</v>
      </c>
      <c r="E4881" s="1">
        <v>13</v>
      </c>
      <c r="F4881" s="1">
        <v>16</v>
      </c>
      <c r="G4881" s="1">
        <v>6</v>
      </c>
      <c r="H4881" s="1">
        <v>2</v>
      </c>
      <c r="I4881" s="1">
        <v>0</v>
      </c>
      <c r="J4881" s="1">
        <v>1</v>
      </c>
      <c r="K4881" s="1">
        <v>1</v>
      </c>
      <c r="L4881" s="1">
        <v>0</v>
      </c>
      <c r="M4881" s="1">
        <v>0</v>
      </c>
    </row>
    <row r="4882" spans="1:13">
      <c r="A4882" s="1">
        <v>4881</v>
      </c>
      <c r="B4882" s="1">
        <v>948818.57479999994</v>
      </c>
      <c r="C4882" s="1">
        <v>875806.25951320003</v>
      </c>
      <c r="D4882" s="1">
        <f t="shared" si="76"/>
        <v>73012.315286799916</v>
      </c>
      <c r="E4882" s="1">
        <v>7</v>
      </c>
      <c r="F4882" s="1">
        <v>22</v>
      </c>
      <c r="G4882" s="1">
        <v>6</v>
      </c>
      <c r="H4882" s="1">
        <v>1</v>
      </c>
      <c r="I4882" s="1">
        <v>0</v>
      </c>
      <c r="J4882" s="1">
        <v>1</v>
      </c>
      <c r="K4882" s="1">
        <v>0</v>
      </c>
      <c r="L4882" s="1">
        <v>0</v>
      </c>
      <c r="M4882" s="1">
        <v>1</v>
      </c>
    </row>
    <row r="4883" spans="1:13">
      <c r="A4883" s="1">
        <v>4882</v>
      </c>
      <c r="B4883" s="1">
        <v>912559.64489999996</v>
      </c>
      <c r="C4883" s="1">
        <v>965213.62218785798</v>
      </c>
      <c r="D4883" s="1">
        <f t="shared" si="76"/>
        <v>-52653.977287858026</v>
      </c>
      <c r="E4883" s="1">
        <v>14</v>
      </c>
      <c r="F4883" s="1">
        <v>17</v>
      </c>
      <c r="G4883" s="1">
        <v>4</v>
      </c>
      <c r="H4883" s="1">
        <v>2</v>
      </c>
      <c r="I4883" s="1">
        <v>0</v>
      </c>
      <c r="J4883" s="1">
        <v>0</v>
      </c>
      <c r="K4883" s="1">
        <v>0</v>
      </c>
      <c r="L4883" s="1">
        <v>0</v>
      </c>
      <c r="M4883" s="1">
        <v>0</v>
      </c>
    </row>
    <row r="4884" spans="1:13">
      <c r="A4884" s="1">
        <v>4883</v>
      </c>
      <c r="B4884" s="1">
        <v>942253.65500000003</v>
      </c>
      <c r="C4884" s="1">
        <v>613198.41689572495</v>
      </c>
      <c r="D4884" s="1">
        <f t="shared" si="76"/>
        <v>329055.23810427508</v>
      </c>
      <c r="E4884" s="1">
        <v>9</v>
      </c>
      <c r="F4884" s="1">
        <v>20</v>
      </c>
      <c r="G4884" s="1">
        <v>6</v>
      </c>
      <c r="H4884" s="1">
        <v>1</v>
      </c>
      <c r="I4884" s="1">
        <v>0</v>
      </c>
      <c r="J4884" s="1">
        <v>1</v>
      </c>
      <c r="K4884" s="1">
        <v>0</v>
      </c>
      <c r="L4884" s="1">
        <v>0</v>
      </c>
      <c r="M4884" s="1">
        <v>1</v>
      </c>
    </row>
    <row r="4885" spans="1:13">
      <c r="A4885" s="1">
        <v>4884</v>
      </c>
      <c r="B4885" s="1">
        <v>1017017.5477999999</v>
      </c>
      <c r="C4885" s="1">
        <v>545571.85643398087</v>
      </c>
      <c r="D4885" s="1">
        <f t="shared" si="76"/>
        <v>471445.69136601908</v>
      </c>
      <c r="E4885" s="1">
        <v>17</v>
      </c>
      <c r="F4885" s="1">
        <v>12</v>
      </c>
      <c r="G4885" s="1">
        <v>6</v>
      </c>
      <c r="H4885" s="1">
        <v>1</v>
      </c>
      <c r="I4885" s="1">
        <v>0</v>
      </c>
      <c r="J4885" s="1">
        <v>0</v>
      </c>
      <c r="K4885" s="1">
        <v>0</v>
      </c>
      <c r="L4885" s="1">
        <v>0</v>
      </c>
      <c r="M4885" s="1">
        <v>0</v>
      </c>
    </row>
    <row r="4886" spans="1:13">
      <c r="A4886" s="1">
        <v>4885</v>
      </c>
      <c r="B4886" s="1">
        <v>982233.78579999995</v>
      </c>
      <c r="C4886" s="1">
        <v>2789169.6038641045</v>
      </c>
      <c r="D4886" s="1">
        <f t="shared" si="76"/>
        <v>-1806935.8180641045</v>
      </c>
      <c r="E4886" s="1">
        <v>9</v>
      </c>
      <c r="F4886" s="1">
        <v>19</v>
      </c>
      <c r="G4886" s="1">
        <v>7</v>
      </c>
      <c r="H4886" s="1">
        <v>1</v>
      </c>
      <c r="I4886" s="1">
        <v>0</v>
      </c>
      <c r="J4886" s="1">
        <v>1</v>
      </c>
      <c r="K4886" s="1">
        <v>0</v>
      </c>
      <c r="L4886" s="1">
        <v>0</v>
      </c>
      <c r="M4886" s="1">
        <v>1</v>
      </c>
    </row>
    <row r="4887" spans="1:13">
      <c r="A4887" s="1">
        <v>4886</v>
      </c>
      <c r="B4887" s="1">
        <v>995233.7</v>
      </c>
      <c r="C4887" s="1">
        <v>688355.75349106756</v>
      </c>
      <c r="D4887" s="1">
        <f t="shared" si="76"/>
        <v>306877.94650893239</v>
      </c>
      <c r="E4887" s="1">
        <v>10</v>
      </c>
      <c r="F4887" s="1">
        <v>18</v>
      </c>
      <c r="G4887" s="1">
        <v>7</v>
      </c>
      <c r="H4887" s="1">
        <v>0</v>
      </c>
      <c r="I4887" s="1">
        <v>0</v>
      </c>
      <c r="J4887" s="1">
        <v>0</v>
      </c>
      <c r="K4887" s="1">
        <v>0</v>
      </c>
      <c r="L4887" s="1">
        <v>1</v>
      </c>
      <c r="M4887" s="1">
        <v>1</v>
      </c>
    </row>
    <row r="4888" spans="1:13">
      <c r="A4888" s="1">
        <v>4887</v>
      </c>
      <c r="B4888" s="1">
        <v>866711.55290000001</v>
      </c>
      <c r="C4888" s="1">
        <v>596592.50575270341</v>
      </c>
      <c r="D4888" s="1">
        <f t="shared" si="76"/>
        <v>270119.0471472966</v>
      </c>
      <c r="E4888" s="1">
        <v>19</v>
      </c>
      <c r="F4888" s="1">
        <v>12</v>
      </c>
      <c r="G4888" s="1">
        <v>4</v>
      </c>
      <c r="H4888" s="1">
        <v>1</v>
      </c>
      <c r="I4888" s="1">
        <v>1</v>
      </c>
      <c r="J4888" s="1">
        <v>0</v>
      </c>
      <c r="K4888" s="1">
        <v>1</v>
      </c>
      <c r="L4888" s="1">
        <v>0</v>
      </c>
      <c r="M4888" s="1">
        <v>1</v>
      </c>
    </row>
    <row r="4889" spans="1:13">
      <c r="A4889" s="1">
        <v>4888</v>
      </c>
      <c r="B4889" s="1">
        <v>995242.93429999996</v>
      </c>
      <c r="C4889" s="1">
        <v>826786.44681182748</v>
      </c>
      <c r="D4889" s="1">
        <f t="shared" si="76"/>
        <v>168456.48748817248</v>
      </c>
      <c r="E4889" s="1">
        <v>11</v>
      </c>
      <c r="F4889" s="1">
        <v>20</v>
      </c>
      <c r="G4889" s="1">
        <v>4</v>
      </c>
      <c r="H4889" s="1">
        <v>2</v>
      </c>
      <c r="I4889" s="1">
        <v>0</v>
      </c>
      <c r="J4889" s="1">
        <v>1</v>
      </c>
      <c r="K4889" s="1">
        <v>1</v>
      </c>
      <c r="L4889" s="1">
        <v>0</v>
      </c>
      <c r="M4889" s="1">
        <v>0</v>
      </c>
    </row>
    <row r="4890" spans="1:13">
      <c r="A4890" s="1">
        <v>4889</v>
      </c>
      <c r="B4890" s="1">
        <v>1012061.51</v>
      </c>
      <c r="C4890" s="1">
        <v>477968.39597337088</v>
      </c>
      <c r="D4890" s="1">
        <f t="shared" si="76"/>
        <v>534093.11402662913</v>
      </c>
      <c r="E4890" s="1">
        <v>3</v>
      </c>
      <c r="F4890" s="1">
        <v>28</v>
      </c>
      <c r="G4890" s="1">
        <v>4</v>
      </c>
      <c r="H4890" s="1">
        <v>1</v>
      </c>
      <c r="I4890" s="1">
        <v>0</v>
      </c>
      <c r="J4890" s="1">
        <v>2</v>
      </c>
      <c r="K4890" s="1">
        <v>0</v>
      </c>
      <c r="L4890" s="1">
        <v>0</v>
      </c>
      <c r="M4890" s="1">
        <v>0</v>
      </c>
    </row>
    <row r="4891" spans="1:13">
      <c r="A4891" s="1">
        <v>4890</v>
      </c>
      <c r="B4891" s="1">
        <v>1000561.866</v>
      </c>
      <c r="C4891" s="1">
        <v>881670.58302277594</v>
      </c>
      <c r="D4891" s="1">
        <f t="shared" si="76"/>
        <v>118891.28297722409</v>
      </c>
      <c r="E4891" s="1">
        <v>7</v>
      </c>
      <c r="F4891" s="1">
        <v>23</v>
      </c>
      <c r="G4891" s="1">
        <v>5</v>
      </c>
      <c r="H4891" s="1">
        <v>2</v>
      </c>
      <c r="I4891" s="1">
        <v>0</v>
      </c>
      <c r="J4891" s="1">
        <v>0</v>
      </c>
      <c r="K4891" s="1">
        <v>2</v>
      </c>
      <c r="L4891" s="1">
        <v>0</v>
      </c>
      <c r="M4891" s="1">
        <v>0</v>
      </c>
    </row>
    <row r="4892" spans="1:13">
      <c r="A4892" s="1">
        <v>4891</v>
      </c>
      <c r="B4892" s="1">
        <v>960876.17859999998</v>
      </c>
      <c r="C4892" s="1">
        <v>655407.50331770605</v>
      </c>
      <c r="D4892" s="1">
        <f t="shared" si="76"/>
        <v>305468.67528229393</v>
      </c>
      <c r="E4892" s="1">
        <v>6</v>
      </c>
      <c r="F4892" s="1">
        <v>24</v>
      </c>
      <c r="G4892" s="1">
        <v>5</v>
      </c>
      <c r="H4892" s="1">
        <v>1</v>
      </c>
      <c r="I4892" s="1">
        <v>1</v>
      </c>
      <c r="J4892" s="1">
        <v>0</v>
      </c>
      <c r="K4892" s="1">
        <v>1</v>
      </c>
      <c r="L4892" s="1">
        <v>0</v>
      </c>
      <c r="M4892" s="1">
        <v>0</v>
      </c>
    </row>
    <row r="4893" spans="1:13">
      <c r="A4893" s="1">
        <v>4892</v>
      </c>
      <c r="B4893" s="1">
        <v>975040.88670000003</v>
      </c>
      <c r="C4893" s="1">
        <v>1379593.9549210556</v>
      </c>
      <c r="D4893" s="1">
        <f t="shared" si="76"/>
        <v>-404553.06822105555</v>
      </c>
      <c r="E4893" s="1">
        <v>16</v>
      </c>
      <c r="F4893" s="1">
        <v>15</v>
      </c>
      <c r="G4893" s="1">
        <v>4</v>
      </c>
      <c r="H4893" s="1">
        <v>1</v>
      </c>
      <c r="I4893" s="1">
        <v>0</v>
      </c>
      <c r="J4893" s="1">
        <v>0</v>
      </c>
      <c r="K4893" s="1">
        <v>0</v>
      </c>
      <c r="L4893" s="1">
        <v>0</v>
      </c>
      <c r="M4893" s="1">
        <v>0</v>
      </c>
    </row>
    <row r="4894" spans="1:13">
      <c r="A4894" s="1">
        <v>4893</v>
      </c>
      <c r="B4894" s="1">
        <v>883555.09849999996</v>
      </c>
      <c r="C4894" s="1">
        <v>1088428.0780645472</v>
      </c>
      <c r="D4894" s="1">
        <f t="shared" si="76"/>
        <v>-204872.97956454719</v>
      </c>
      <c r="E4894" s="1">
        <v>12</v>
      </c>
      <c r="F4894" s="1">
        <v>17</v>
      </c>
      <c r="G4894" s="1">
        <v>6</v>
      </c>
      <c r="H4894" s="1">
        <v>0</v>
      </c>
      <c r="I4894" s="1">
        <v>0</v>
      </c>
      <c r="J4894" s="1">
        <v>0</v>
      </c>
      <c r="K4894" s="1">
        <v>1</v>
      </c>
      <c r="L4894" s="1">
        <v>0</v>
      </c>
      <c r="M4894" s="1">
        <v>1</v>
      </c>
    </row>
    <row r="4895" spans="1:13">
      <c r="A4895" s="1">
        <v>4894</v>
      </c>
      <c r="B4895" s="1">
        <v>943953.92760000005</v>
      </c>
      <c r="C4895" s="1">
        <v>545907.62238946545</v>
      </c>
      <c r="D4895" s="1">
        <f t="shared" si="76"/>
        <v>398046.3052105346</v>
      </c>
      <c r="E4895" s="1">
        <v>10</v>
      </c>
      <c r="F4895" s="1">
        <v>19</v>
      </c>
      <c r="G4895" s="1">
        <v>6</v>
      </c>
      <c r="H4895" s="1">
        <v>0</v>
      </c>
      <c r="I4895" s="1">
        <v>0</v>
      </c>
      <c r="J4895" s="1">
        <v>2</v>
      </c>
      <c r="K4895" s="1">
        <v>0</v>
      </c>
      <c r="L4895" s="1">
        <v>0</v>
      </c>
      <c r="M4895" s="1">
        <v>0</v>
      </c>
    </row>
    <row r="4896" spans="1:13">
      <c r="A4896" s="1">
        <v>4895</v>
      </c>
      <c r="B4896" s="1">
        <v>1088437.1776999999</v>
      </c>
      <c r="C4896" s="1">
        <v>774631.5791391388</v>
      </c>
      <c r="D4896" s="1">
        <f t="shared" si="76"/>
        <v>313805.59856086108</v>
      </c>
      <c r="E4896" s="1">
        <v>14</v>
      </c>
      <c r="F4896" s="1">
        <v>14</v>
      </c>
      <c r="G4896" s="1">
        <v>7</v>
      </c>
      <c r="H4896" s="1">
        <v>0</v>
      </c>
      <c r="I4896" s="1">
        <v>1</v>
      </c>
      <c r="J4896" s="1">
        <v>1</v>
      </c>
      <c r="K4896" s="1">
        <v>0</v>
      </c>
      <c r="L4896" s="1">
        <v>0</v>
      </c>
      <c r="M4896" s="1">
        <v>0</v>
      </c>
    </row>
    <row r="4897" spans="1:13">
      <c r="A4897" s="1">
        <v>4896</v>
      </c>
      <c r="B4897" s="1">
        <v>956210.99730000005</v>
      </c>
      <c r="C4897" s="1">
        <v>1514960.0020757897</v>
      </c>
      <c r="D4897" s="1">
        <f t="shared" si="76"/>
        <v>-558749.00477578968</v>
      </c>
      <c r="E4897" s="1">
        <v>10</v>
      </c>
      <c r="F4897" s="1">
        <v>20</v>
      </c>
      <c r="G4897" s="1">
        <v>5</v>
      </c>
      <c r="H4897" s="1">
        <v>1</v>
      </c>
      <c r="I4897" s="1">
        <v>0</v>
      </c>
      <c r="J4897" s="1">
        <v>2</v>
      </c>
      <c r="K4897" s="1">
        <v>0</v>
      </c>
      <c r="L4897" s="1">
        <v>0</v>
      </c>
      <c r="M4897" s="1">
        <v>0</v>
      </c>
    </row>
    <row r="4898" spans="1:13">
      <c r="A4898" s="1">
        <v>4897</v>
      </c>
      <c r="B4898" s="1">
        <v>1176316.4827000001</v>
      </c>
      <c r="C4898" s="1">
        <v>993356.91764207929</v>
      </c>
      <c r="D4898" s="1">
        <f t="shared" si="76"/>
        <v>182959.56505792076</v>
      </c>
      <c r="E4898" s="1">
        <v>9</v>
      </c>
      <c r="F4898" s="1">
        <v>18</v>
      </c>
      <c r="G4898" s="1">
        <v>8</v>
      </c>
      <c r="H4898" s="1">
        <v>0</v>
      </c>
      <c r="I4898" s="1">
        <v>0</v>
      </c>
      <c r="J4898" s="1">
        <v>0</v>
      </c>
      <c r="K4898" s="1">
        <v>1</v>
      </c>
      <c r="L4898" s="1">
        <v>0</v>
      </c>
      <c r="M4898" s="1">
        <v>0</v>
      </c>
    </row>
    <row r="4899" spans="1:13">
      <c r="A4899" s="1">
        <v>4898</v>
      </c>
      <c r="B4899" s="1">
        <v>1034317.8149</v>
      </c>
      <c r="C4899" s="1">
        <v>600704.20471645484</v>
      </c>
      <c r="D4899" s="1">
        <f t="shared" si="76"/>
        <v>433613.61018354516</v>
      </c>
      <c r="E4899" s="1">
        <v>12</v>
      </c>
      <c r="F4899" s="1">
        <v>17</v>
      </c>
      <c r="G4899" s="1">
        <v>6</v>
      </c>
      <c r="H4899" s="1">
        <v>0</v>
      </c>
      <c r="I4899" s="1">
        <v>1</v>
      </c>
      <c r="J4899" s="1">
        <v>2</v>
      </c>
      <c r="K4899" s="1">
        <v>0</v>
      </c>
      <c r="L4899" s="1">
        <v>0</v>
      </c>
      <c r="M4899" s="1">
        <v>1</v>
      </c>
    </row>
    <row r="4900" spans="1:13">
      <c r="A4900" s="1">
        <v>4899</v>
      </c>
      <c r="B4900" s="1">
        <v>924511.89040000003</v>
      </c>
      <c r="C4900" s="1">
        <v>2127804.9034466795</v>
      </c>
      <c r="D4900" s="1">
        <f t="shared" si="76"/>
        <v>-1203293.0130466796</v>
      </c>
      <c r="E4900" s="1">
        <v>16</v>
      </c>
      <c r="F4900" s="1">
        <v>15</v>
      </c>
      <c r="G4900" s="1">
        <v>4</v>
      </c>
      <c r="H4900" s="1">
        <v>0</v>
      </c>
      <c r="I4900" s="1">
        <v>0</v>
      </c>
      <c r="J4900" s="1">
        <v>0</v>
      </c>
      <c r="K4900" s="1">
        <v>1</v>
      </c>
      <c r="L4900" s="1">
        <v>0</v>
      </c>
      <c r="M4900" s="1">
        <v>0</v>
      </c>
    </row>
    <row r="4901" spans="1:13">
      <c r="A4901" s="1">
        <v>4900</v>
      </c>
      <c r="B4901" s="1">
        <v>956248.57499999995</v>
      </c>
      <c r="C4901" s="1">
        <v>928163.00047919864</v>
      </c>
      <c r="D4901" s="1">
        <f t="shared" si="76"/>
        <v>28085.57452080131</v>
      </c>
      <c r="E4901" s="1">
        <v>6</v>
      </c>
      <c r="F4901" s="1">
        <v>23</v>
      </c>
      <c r="G4901" s="1">
        <v>6</v>
      </c>
      <c r="H4901" s="1">
        <v>1</v>
      </c>
      <c r="I4901" s="1">
        <v>0</v>
      </c>
      <c r="J4901" s="1">
        <v>1</v>
      </c>
      <c r="K4901" s="1">
        <v>0</v>
      </c>
      <c r="L4901" s="1">
        <v>0</v>
      </c>
      <c r="M4901" s="1">
        <v>0</v>
      </c>
    </row>
    <row r="4902" spans="1:13">
      <c r="A4902" s="1">
        <v>4901</v>
      </c>
      <c r="B4902" s="1">
        <v>1029360.8504999999</v>
      </c>
      <c r="C4902" s="1">
        <v>950766.11270056502</v>
      </c>
      <c r="D4902" s="1">
        <f t="shared" si="76"/>
        <v>78594.737799434923</v>
      </c>
      <c r="E4902" s="1">
        <v>7</v>
      </c>
      <c r="F4902" s="1">
        <v>20</v>
      </c>
      <c r="G4902" s="1">
        <v>8</v>
      </c>
      <c r="H4902" s="1">
        <v>2</v>
      </c>
      <c r="I4902" s="1">
        <v>0</v>
      </c>
      <c r="J4902" s="1">
        <v>1</v>
      </c>
      <c r="K4902" s="1">
        <v>0</v>
      </c>
      <c r="L4902" s="1">
        <v>0</v>
      </c>
      <c r="M4902" s="1">
        <v>0</v>
      </c>
    </row>
    <row r="4903" spans="1:13">
      <c r="A4903" s="1">
        <v>4902</v>
      </c>
      <c r="B4903" s="1">
        <v>859951.26930000004</v>
      </c>
      <c r="C4903" s="1">
        <v>673192.1653214792</v>
      </c>
      <c r="D4903" s="1">
        <f t="shared" si="76"/>
        <v>186759.10397852084</v>
      </c>
      <c r="E4903" s="1">
        <v>21</v>
      </c>
      <c r="F4903" s="1">
        <v>12</v>
      </c>
      <c r="G4903" s="1">
        <v>2</v>
      </c>
      <c r="H4903" s="1">
        <v>2</v>
      </c>
      <c r="I4903" s="1">
        <v>0</v>
      </c>
      <c r="J4903" s="1">
        <v>0</v>
      </c>
      <c r="K4903" s="1">
        <v>0</v>
      </c>
      <c r="L4903" s="1">
        <v>0</v>
      </c>
      <c r="M4903" s="1">
        <v>1</v>
      </c>
    </row>
    <row r="4904" spans="1:13">
      <c r="A4904" s="1">
        <v>4903</v>
      </c>
      <c r="B4904" s="1">
        <v>1017755.7589</v>
      </c>
      <c r="C4904" s="1">
        <v>914666.81548908341</v>
      </c>
      <c r="D4904" s="1">
        <f t="shared" si="76"/>
        <v>103088.9434109166</v>
      </c>
      <c r="E4904" s="1">
        <v>12</v>
      </c>
      <c r="F4904" s="1">
        <v>18</v>
      </c>
      <c r="G4904" s="1">
        <v>5</v>
      </c>
      <c r="H4904" s="1">
        <v>2</v>
      </c>
      <c r="I4904" s="1">
        <v>0</v>
      </c>
      <c r="J4904" s="1">
        <v>0</v>
      </c>
      <c r="K4904" s="1">
        <v>2</v>
      </c>
      <c r="L4904" s="1">
        <v>0</v>
      </c>
      <c r="M4904" s="1">
        <v>0</v>
      </c>
    </row>
    <row r="4905" spans="1:13">
      <c r="A4905" s="1">
        <v>4904</v>
      </c>
      <c r="B4905" s="1">
        <v>942794.60470000003</v>
      </c>
      <c r="C4905" s="1">
        <v>770072.72898450913</v>
      </c>
      <c r="D4905" s="1">
        <f t="shared" si="76"/>
        <v>172721.8757154909</v>
      </c>
      <c r="E4905" s="1">
        <v>13</v>
      </c>
      <c r="F4905" s="1">
        <v>15</v>
      </c>
      <c r="G4905" s="1">
        <v>7</v>
      </c>
      <c r="H4905" s="1">
        <v>2</v>
      </c>
      <c r="I4905" s="1">
        <v>0</v>
      </c>
      <c r="J4905" s="1">
        <v>0</v>
      </c>
      <c r="K4905" s="1">
        <v>1</v>
      </c>
      <c r="L4905" s="1">
        <v>0</v>
      </c>
      <c r="M4905" s="1">
        <v>0</v>
      </c>
    </row>
    <row r="4906" spans="1:13">
      <c r="A4906" s="1">
        <v>4905</v>
      </c>
      <c r="B4906" s="1">
        <v>927776.78870000003</v>
      </c>
      <c r="C4906" s="1">
        <v>1277993.3768755875</v>
      </c>
      <c r="D4906" s="1">
        <f t="shared" si="76"/>
        <v>-350216.58817558747</v>
      </c>
      <c r="E4906" s="1">
        <v>21</v>
      </c>
      <c r="F4906" s="1">
        <v>11</v>
      </c>
      <c r="G4906" s="1">
        <v>3</v>
      </c>
      <c r="H4906" s="1">
        <v>1</v>
      </c>
      <c r="I4906" s="1">
        <v>0</v>
      </c>
      <c r="J4906" s="1">
        <v>2</v>
      </c>
      <c r="K4906" s="1">
        <v>0</v>
      </c>
      <c r="L4906" s="1">
        <v>0</v>
      </c>
      <c r="M4906" s="1">
        <v>1</v>
      </c>
    </row>
    <row r="4907" spans="1:13">
      <c r="A4907" s="1">
        <v>4906</v>
      </c>
      <c r="B4907" s="1">
        <v>1008637.307</v>
      </c>
      <c r="C4907" s="1">
        <v>684868.23572839238</v>
      </c>
      <c r="D4907" s="1">
        <f t="shared" si="76"/>
        <v>323769.07127160765</v>
      </c>
      <c r="E4907" s="1">
        <v>10</v>
      </c>
      <c r="F4907" s="1">
        <v>17</v>
      </c>
      <c r="G4907" s="1">
        <v>8</v>
      </c>
      <c r="H4907" s="1">
        <v>0</v>
      </c>
      <c r="I4907" s="1">
        <v>0</v>
      </c>
      <c r="J4907" s="1">
        <v>2</v>
      </c>
      <c r="K4907" s="1">
        <v>0</v>
      </c>
      <c r="L4907" s="1">
        <v>0</v>
      </c>
      <c r="M4907" s="1">
        <v>0</v>
      </c>
    </row>
    <row r="4908" spans="1:13">
      <c r="A4908" s="1">
        <v>4907</v>
      </c>
      <c r="B4908" s="1">
        <v>891566.22069999995</v>
      </c>
      <c r="C4908" s="1">
        <v>891951.30731880991</v>
      </c>
      <c r="D4908" s="1">
        <f t="shared" si="76"/>
        <v>-385.08661880996078</v>
      </c>
      <c r="E4908" s="1">
        <v>14</v>
      </c>
      <c r="F4908" s="1">
        <v>16</v>
      </c>
      <c r="G4908" s="1">
        <v>5</v>
      </c>
      <c r="H4908" s="1">
        <v>0</v>
      </c>
      <c r="I4908" s="1">
        <v>0</v>
      </c>
      <c r="J4908" s="1">
        <v>0</v>
      </c>
      <c r="K4908" s="1">
        <v>0</v>
      </c>
      <c r="L4908" s="1">
        <v>0</v>
      </c>
      <c r="M4908" s="1">
        <v>1</v>
      </c>
    </row>
    <row r="4909" spans="1:13">
      <c r="A4909" s="1">
        <v>4908</v>
      </c>
      <c r="B4909" s="1">
        <v>918157.80160000001</v>
      </c>
      <c r="C4909" s="1">
        <v>975101.17468998325</v>
      </c>
      <c r="D4909" s="1">
        <f t="shared" si="76"/>
        <v>-56943.373089983244</v>
      </c>
      <c r="E4909" s="1">
        <v>13</v>
      </c>
      <c r="F4909" s="1">
        <v>16</v>
      </c>
      <c r="G4909" s="1">
        <v>6</v>
      </c>
      <c r="H4909" s="1">
        <v>1</v>
      </c>
      <c r="I4909" s="1">
        <v>0</v>
      </c>
      <c r="J4909" s="1">
        <v>0</v>
      </c>
      <c r="K4909" s="1">
        <v>0</v>
      </c>
      <c r="L4909" s="1">
        <v>0</v>
      </c>
      <c r="M4909" s="1">
        <v>0</v>
      </c>
    </row>
    <row r="4910" spans="1:13">
      <c r="A4910" s="1">
        <v>4909</v>
      </c>
      <c r="B4910" s="1">
        <v>875722.86860000005</v>
      </c>
      <c r="C4910" s="1">
        <v>672824.77809968684</v>
      </c>
      <c r="D4910" s="1">
        <f t="shared" si="76"/>
        <v>202898.09050031321</v>
      </c>
      <c r="E4910" s="1">
        <v>15</v>
      </c>
      <c r="F4910" s="1">
        <v>12</v>
      </c>
      <c r="G4910" s="1">
        <v>8</v>
      </c>
      <c r="H4910" s="1">
        <v>1</v>
      </c>
      <c r="I4910" s="1">
        <v>0</v>
      </c>
      <c r="J4910" s="1">
        <v>0</v>
      </c>
      <c r="K4910" s="1">
        <v>1</v>
      </c>
      <c r="L4910" s="1">
        <v>0</v>
      </c>
      <c r="M4910" s="1">
        <v>1</v>
      </c>
    </row>
    <row r="4911" spans="1:13">
      <c r="A4911" s="1">
        <v>4910</v>
      </c>
      <c r="B4911" s="1">
        <v>918940.56469999999</v>
      </c>
      <c r="C4911" s="1">
        <v>936969.46655290807</v>
      </c>
      <c r="D4911" s="1">
        <f t="shared" si="76"/>
        <v>-18028.901852908079</v>
      </c>
      <c r="E4911" s="1">
        <v>14</v>
      </c>
      <c r="F4911" s="1">
        <v>14</v>
      </c>
      <c r="G4911" s="1">
        <v>7</v>
      </c>
      <c r="H4911" s="1">
        <v>1</v>
      </c>
      <c r="I4911" s="1">
        <v>0</v>
      </c>
      <c r="J4911" s="1">
        <v>0</v>
      </c>
      <c r="K4911" s="1">
        <v>2</v>
      </c>
      <c r="L4911" s="1">
        <v>0</v>
      </c>
      <c r="M4911" s="1">
        <v>1</v>
      </c>
    </row>
    <row r="4912" spans="1:13">
      <c r="A4912" s="1">
        <v>4911</v>
      </c>
      <c r="B4912" s="1">
        <v>869905.98389999999</v>
      </c>
      <c r="C4912" s="1">
        <v>745788.93088698073</v>
      </c>
      <c r="D4912" s="1">
        <f t="shared" si="76"/>
        <v>124117.05301301926</v>
      </c>
      <c r="E4912" s="1">
        <v>21</v>
      </c>
      <c r="F4912" s="1">
        <v>8</v>
      </c>
      <c r="G4912" s="1">
        <v>6</v>
      </c>
      <c r="H4912" s="1">
        <v>2</v>
      </c>
      <c r="I4912" s="1">
        <v>0</v>
      </c>
      <c r="J4912" s="1">
        <v>0</v>
      </c>
      <c r="K4912" s="1">
        <v>0</v>
      </c>
      <c r="L4912" s="1">
        <v>0</v>
      </c>
      <c r="M4912" s="1">
        <v>0</v>
      </c>
    </row>
    <row r="4913" spans="1:13">
      <c r="A4913" s="1">
        <v>4912</v>
      </c>
      <c r="B4913" s="1">
        <v>1086208.0078</v>
      </c>
      <c r="C4913" s="1">
        <v>888077.34997442144</v>
      </c>
      <c r="D4913" s="1">
        <f t="shared" si="76"/>
        <v>198130.65782557859</v>
      </c>
      <c r="E4913" s="1">
        <v>9</v>
      </c>
      <c r="F4913" s="1">
        <v>21</v>
      </c>
      <c r="G4913" s="1">
        <v>5</v>
      </c>
      <c r="H4913" s="1">
        <v>0</v>
      </c>
      <c r="I4913" s="1">
        <v>0</v>
      </c>
      <c r="J4913" s="1">
        <v>0</v>
      </c>
      <c r="K4913" s="1">
        <v>0</v>
      </c>
      <c r="L4913" s="1">
        <v>0</v>
      </c>
      <c r="M4913" s="1">
        <v>0</v>
      </c>
    </row>
    <row r="4914" spans="1:13">
      <c r="A4914" s="1">
        <v>4913</v>
      </c>
      <c r="B4914" s="1">
        <v>873154.09829999995</v>
      </c>
      <c r="C4914" s="1">
        <v>1022319.9794807383</v>
      </c>
      <c r="D4914" s="1">
        <f t="shared" si="76"/>
        <v>-149165.88118073833</v>
      </c>
      <c r="E4914" s="1">
        <v>8</v>
      </c>
      <c r="F4914" s="1">
        <v>21</v>
      </c>
      <c r="G4914" s="1">
        <v>6</v>
      </c>
      <c r="H4914" s="1">
        <v>0</v>
      </c>
      <c r="I4914" s="1">
        <v>0</v>
      </c>
      <c r="J4914" s="1">
        <v>1</v>
      </c>
      <c r="K4914" s="1">
        <v>1</v>
      </c>
      <c r="L4914" s="1">
        <v>0</v>
      </c>
      <c r="M4914" s="1">
        <v>1</v>
      </c>
    </row>
    <row r="4915" spans="1:13">
      <c r="A4915" s="1">
        <v>4914</v>
      </c>
      <c r="B4915" s="1">
        <v>916212.33259999997</v>
      </c>
      <c r="C4915" s="1">
        <v>756814.78670031857</v>
      </c>
      <c r="D4915" s="1">
        <f t="shared" si="76"/>
        <v>159397.5458996814</v>
      </c>
      <c r="E4915" s="1">
        <v>5</v>
      </c>
      <c r="F4915" s="1">
        <v>23</v>
      </c>
      <c r="G4915" s="1">
        <v>7</v>
      </c>
      <c r="H4915" s="1">
        <v>0</v>
      </c>
      <c r="I4915" s="1">
        <v>0</v>
      </c>
      <c r="J4915" s="1">
        <v>0</v>
      </c>
      <c r="K4915" s="1">
        <v>0</v>
      </c>
      <c r="L4915" s="1">
        <v>0</v>
      </c>
      <c r="M4915" s="1">
        <v>0</v>
      </c>
    </row>
    <row r="4916" spans="1:13">
      <c r="A4916" s="1">
        <v>4915</v>
      </c>
      <c r="B4916" s="1">
        <v>998550.63910000003</v>
      </c>
      <c r="C4916" s="1">
        <v>1116114.4732049927</v>
      </c>
      <c r="D4916" s="1">
        <f t="shared" si="76"/>
        <v>-117563.83410499268</v>
      </c>
      <c r="E4916" s="1">
        <v>8</v>
      </c>
      <c r="F4916" s="1">
        <v>24</v>
      </c>
      <c r="G4916" s="1">
        <v>3</v>
      </c>
      <c r="H4916" s="1">
        <v>1</v>
      </c>
      <c r="I4916" s="1">
        <v>0</v>
      </c>
      <c r="J4916" s="1">
        <v>1</v>
      </c>
      <c r="K4916" s="1">
        <v>0</v>
      </c>
      <c r="L4916" s="1">
        <v>1</v>
      </c>
      <c r="M4916" s="1">
        <v>0</v>
      </c>
    </row>
    <row r="4917" spans="1:13">
      <c r="A4917" s="1">
        <v>4916</v>
      </c>
      <c r="B4917" s="1">
        <v>1008127.696</v>
      </c>
      <c r="C4917" s="1">
        <v>1666711.2704060646</v>
      </c>
      <c r="D4917" s="1">
        <f t="shared" si="76"/>
        <v>-658583.57440606458</v>
      </c>
      <c r="E4917" s="1">
        <v>10</v>
      </c>
      <c r="F4917" s="1">
        <v>17</v>
      </c>
      <c r="G4917" s="1">
        <v>8</v>
      </c>
      <c r="H4917" s="1">
        <v>0</v>
      </c>
      <c r="I4917" s="1">
        <v>0</v>
      </c>
      <c r="J4917" s="1">
        <v>2</v>
      </c>
      <c r="K4917" s="1">
        <v>0</v>
      </c>
      <c r="L4917" s="1">
        <v>0</v>
      </c>
      <c r="M4917" s="1">
        <v>0</v>
      </c>
    </row>
    <row r="4918" spans="1:13">
      <c r="A4918" s="1">
        <v>4917</v>
      </c>
      <c r="B4918" s="1">
        <v>937259.42130000005</v>
      </c>
      <c r="C4918" s="1">
        <v>786402.95745346427</v>
      </c>
      <c r="D4918" s="1">
        <f t="shared" si="76"/>
        <v>150856.46384653577</v>
      </c>
      <c r="E4918" s="1">
        <v>7</v>
      </c>
      <c r="F4918" s="1">
        <v>24</v>
      </c>
      <c r="G4918" s="1">
        <v>4</v>
      </c>
      <c r="H4918" s="1">
        <v>0</v>
      </c>
      <c r="I4918" s="1">
        <v>0</v>
      </c>
      <c r="J4918" s="1">
        <v>0</v>
      </c>
      <c r="K4918" s="1">
        <v>1</v>
      </c>
      <c r="L4918" s="1">
        <v>1</v>
      </c>
      <c r="M4918" s="1">
        <v>0</v>
      </c>
    </row>
    <row r="4919" spans="1:13">
      <c r="A4919" s="1">
        <v>4918</v>
      </c>
      <c r="B4919" s="1">
        <v>962535.39450000005</v>
      </c>
      <c r="C4919" s="1">
        <v>2161614.9166809986</v>
      </c>
      <c r="D4919" s="1">
        <f t="shared" si="76"/>
        <v>-1199079.5221809987</v>
      </c>
      <c r="E4919" s="1">
        <v>11</v>
      </c>
      <c r="F4919" s="1">
        <v>20</v>
      </c>
      <c r="G4919" s="1">
        <v>4</v>
      </c>
      <c r="H4919" s="1">
        <v>1</v>
      </c>
      <c r="I4919" s="1">
        <v>0</v>
      </c>
      <c r="J4919" s="1">
        <v>2</v>
      </c>
      <c r="K4919" s="1">
        <v>0</v>
      </c>
      <c r="L4919" s="1">
        <v>0</v>
      </c>
      <c r="M4919" s="1">
        <v>0</v>
      </c>
    </row>
    <row r="4920" spans="1:13">
      <c r="A4920" s="1">
        <v>4919</v>
      </c>
      <c r="B4920" s="1">
        <v>967299.99470000004</v>
      </c>
      <c r="C4920" s="1">
        <v>803096.03905365721</v>
      </c>
      <c r="D4920" s="1">
        <f t="shared" si="76"/>
        <v>164203.95564634283</v>
      </c>
      <c r="E4920" s="1">
        <v>10</v>
      </c>
      <c r="F4920" s="1">
        <v>20</v>
      </c>
      <c r="G4920" s="1">
        <v>5</v>
      </c>
      <c r="H4920" s="1">
        <v>1</v>
      </c>
      <c r="I4920" s="1">
        <v>0</v>
      </c>
      <c r="J4920" s="1">
        <v>1</v>
      </c>
      <c r="K4920" s="1">
        <v>0</v>
      </c>
      <c r="L4920" s="1">
        <v>0</v>
      </c>
      <c r="M4920" s="1">
        <v>0</v>
      </c>
    </row>
    <row r="4921" spans="1:13">
      <c r="A4921" s="1">
        <v>4920</v>
      </c>
      <c r="B4921" s="1">
        <v>882032.03870000003</v>
      </c>
      <c r="C4921" s="1">
        <v>907457.57985326997</v>
      </c>
      <c r="D4921" s="1">
        <f t="shared" si="76"/>
        <v>-25425.541153269936</v>
      </c>
      <c r="E4921" s="1">
        <v>15</v>
      </c>
      <c r="F4921" s="1">
        <v>16</v>
      </c>
      <c r="G4921" s="1">
        <v>4</v>
      </c>
      <c r="H4921" s="1">
        <v>1</v>
      </c>
      <c r="I4921" s="1">
        <v>0</v>
      </c>
      <c r="J4921" s="1">
        <v>1</v>
      </c>
      <c r="K4921" s="1">
        <v>1</v>
      </c>
      <c r="L4921" s="1">
        <v>0</v>
      </c>
      <c r="M4921" s="1">
        <v>1</v>
      </c>
    </row>
    <row r="4922" spans="1:13">
      <c r="A4922" s="1">
        <v>4921</v>
      </c>
      <c r="B4922" s="1">
        <v>854878.19689999998</v>
      </c>
      <c r="C4922" s="1">
        <v>1024748.4862929472</v>
      </c>
      <c r="D4922" s="1">
        <f t="shared" si="76"/>
        <v>-169870.28939294722</v>
      </c>
      <c r="E4922" s="1">
        <v>22</v>
      </c>
      <c r="F4922" s="1">
        <v>8</v>
      </c>
      <c r="G4922" s="1">
        <v>5</v>
      </c>
      <c r="H4922" s="1">
        <v>1</v>
      </c>
      <c r="I4922" s="1">
        <v>0</v>
      </c>
      <c r="J4922" s="1">
        <v>1</v>
      </c>
      <c r="K4922" s="1">
        <v>1</v>
      </c>
      <c r="L4922" s="1">
        <v>0</v>
      </c>
      <c r="M4922" s="1">
        <v>0</v>
      </c>
    </row>
    <row r="4923" spans="1:13">
      <c r="A4923" s="1">
        <v>4922</v>
      </c>
      <c r="B4923" s="1">
        <v>886667.27469999995</v>
      </c>
      <c r="C4923" s="1">
        <v>648873.65176425944</v>
      </c>
      <c r="D4923" s="1">
        <f t="shared" si="76"/>
        <v>237793.62293574051</v>
      </c>
      <c r="E4923" s="1">
        <v>22</v>
      </c>
      <c r="F4923" s="1">
        <v>9</v>
      </c>
      <c r="G4923" s="1">
        <v>4</v>
      </c>
      <c r="H4923" s="1">
        <v>0</v>
      </c>
      <c r="I4923" s="1">
        <v>0</v>
      </c>
      <c r="J4923" s="1">
        <v>0</v>
      </c>
      <c r="K4923" s="1">
        <v>0</v>
      </c>
      <c r="L4923" s="1">
        <v>0</v>
      </c>
      <c r="M4923" s="1">
        <v>1</v>
      </c>
    </row>
    <row r="4924" spans="1:13">
      <c r="A4924" s="1">
        <v>4923</v>
      </c>
      <c r="B4924" s="1">
        <v>913811.26210000005</v>
      </c>
      <c r="C4924" s="1">
        <v>750078.17729811592</v>
      </c>
      <c r="D4924" s="1">
        <f t="shared" si="76"/>
        <v>163733.08480188414</v>
      </c>
      <c r="E4924" s="1">
        <v>16</v>
      </c>
      <c r="F4924" s="1">
        <v>16</v>
      </c>
      <c r="G4924" s="1">
        <v>3</v>
      </c>
      <c r="H4924" s="1">
        <v>1</v>
      </c>
      <c r="I4924" s="1">
        <v>0</v>
      </c>
      <c r="J4924" s="1">
        <v>0</v>
      </c>
      <c r="K4924" s="1">
        <v>0</v>
      </c>
      <c r="L4924" s="1">
        <v>0</v>
      </c>
      <c r="M4924" s="1">
        <v>0</v>
      </c>
    </row>
    <row r="4925" spans="1:13">
      <c r="A4925" s="1">
        <v>4924</v>
      </c>
      <c r="B4925" s="1">
        <v>876084.18240000005</v>
      </c>
      <c r="C4925" s="1">
        <v>1122729.7823049272</v>
      </c>
      <c r="D4925" s="1">
        <f t="shared" si="76"/>
        <v>-246645.59990492719</v>
      </c>
      <c r="E4925" s="1">
        <v>18</v>
      </c>
      <c r="F4925" s="1">
        <v>13</v>
      </c>
      <c r="G4925" s="1">
        <v>4</v>
      </c>
      <c r="H4925" s="1">
        <v>1</v>
      </c>
      <c r="I4925" s="1">
        <v>0</v>
      </c>
      <c r="J4925" s="1">
        <v>0</v>
      </c>
      <c r="K4925" s="1">
        <v>1</v>
      </c>
      <c r="L4925" s="1">
        <v>0</v>
      </c>
      <c r="M4925" s="1">
        <v>0</v>
      </c>
    </row>
    <row r="4926" spans="1:13">
      <c r="A4926" s="1">
        <v>4925</v>
      </c>
      <c r="B4926" s="1">
        <v>919949.87</v>
      </c>
      <c r="C4926" s="1">
        <v>1104402.4313315998</v>
      </c>
      <c r="D4926" s="1">
        <f t="shared" si="76"/>
        <v>-184452.56133159983</v>
      </c>
      <c r="E4926" s="1">
        <v>18</v>
      </c>
      <c r="F4926" s="1">
        <v>13</v>
      </c>
      <c r="G4926" s="1">
        <v>4</v>
      </c>
      <c r="H4926" s="1">
        <v>1</v>
      </c>
      <c r="I4926" s="1">
        <v>0</v>
      </c>
      <c r="J4926" s="1">
        <v>2</v>
      </c>
      <c r="K4926" s="1">
        <v>0</v>
      </c>
      <c r="L4926" s="1">
        <v>0</v>
      </c>
      <c r="M4926" s="1">
        <v>0</v>
      </c>
    </row>
    <row r="4927" spans="1:13">
      <c r="A4927" s="1">
        <v>4926</v>
      </c>
      <c r="B4927" s="1">
        <v>906744.43530000001</v>
      </c>
      <c r="C4927" s="1">
        <v>739410.12714571913</v>
      </c>
      <c r="D4927" s="1">
        <f t="shared" si="76"/>
        <v>167334.30815428088</v>
      </c>
      <c r="E4927" s="1">
        <v>6</v>
      </c>
      <c r="F4927" s="1">
        <v>21</v>
      </c>
      <c r="G4927" s="1">
        <v>8</v>
      </c>
      <c r="H4927" s="1">
        <v>1</v>
      </c>
      <c r="I4927" s="1">
        <v>1</v>
      </c>
      <c r="J4927" s="1">
        <v>0</v>
      </c>
      <c r="K4927" s="1">
        <v>0</v>
      </c>
      <c r="L4927" s="1">
        <v>0</v>
      </c>
      <c r="M4927" s="1">
        <v>0</v>
      </c>
    </row>
    <row r="4928" spans="1:13">
      <c r="A4928" s="1">
        <v>4927</v>
      </c>
      <c r="B4928" s="1">
        <v>1023208.4205</v>
      </c>
      <c r="C4928" s="1">
        <v>696186.72784009564</v>
      </c>
      <c r="D4928" s="1">
        <f t="shared" si="76"/>
        <v>327021.69265990437</v>
      </c>
      <c r="E4928" s="1">
        <v>13</v>
      </c>
      <c r="F4928" s="1">
        <v>19</v>
      </c>
      <c r="G4928" s="1">
        <v>3</v>
      </c>
      <c r="H4928" s="1">
        <v>1</v>
      </c>
      <c r="I4928" s="1">
        <v>0</v>
      </c>
      <c r="J4928" s="1">
        <v>0</v>
      </c>
      <c r="K4928" s="1">
        <v>0</v>
      </c>
      <c r="L4928" s="1">
        <v>0</v>
      </c>
      <c r="M4928" s="1">
        <v>0</v>
      </c>
    </row>
    <row r="4929" spans="1:13">
      <c r="A4929" s="1">
        <v>4928</v>
      </c>
      <c r="B4929" s="1">
        <v>902924.98479999998</v>
      </c>
      <c r="C4929" s="1">
        <v>906449.76313947479</v>
      </c>
      <c r="D4929" s="1">
        <f t="shared" si="76"/>
        <v>-3524.7783394748112</v>
      </c>
      <c r="E4929" s="1">
        <v>12</v>
      </c>
      <c r="F4929" s="1">
        <v>18</v>
      </c>
      <c r="G4929" s="1">
        <v>5</v>
      </c>
      <c r="H4929" s="1">
        <v>1</v>
      </c>
      <c r="I4929" s="1">
        <v>0</v>
      </c>
      <c r="J4929" s="1">
        <v>1</v>
      </c>
      <c r="K4929" s="1">
        <v>1</v>
      </c>
      <c r="L4929" s="1">
        <v>0</v>
      </c>
      <c r="M4929" s="1">
        <v>0</v>
      </c>
    </row>
    <row r="4930" spans="1:13">
      <c r="A4930" s="1">
        <v>4929</v>
      </c>
      <c r="B4930" s="1">
        <v>869169.59829999995</v>
      </c>
      <c r="C4930" s="1">
        <v>871016.58356787253</v>
      </c>
      <c r="D4930" s="1">
        <f t="shared" ref="D4930:D4993" si="77">B4930-C4930</f>
        <v>-1846.9852678725729</v>
      </c>
      <c r="E4930" s="1">
        <v>17</v>
      </c>
      <c r="F4930" s="1">
        <v>12</v>
      </c>
      <c r="G4930" s="1">
        <v>6</v>
      </c>
      <c r="H4930" s="1">
        <v>0</v>
      </c>
      <c r="I4930" s="1">
        <v>0</v>
      </c>
      <c r="J4930" s="1">
        <v>0</v>
      </c>
      <c r="K4930" s="1">
        <v>2</v>
      </c>
      <c r="L4930" s="1">
        <v>0</v>
      </c>
      <c r="M4930" s="1">
        <v>0</v>
      </c>
    </row>
    <row r="4931" spans="1:13">
      <c r="A4931" s="1">
        <v>4930</v>
      </c>
      <c r="B4931" s="1">
        <v>805327.98569999996</v>
      </c>
      <c r="C4931" s="1">
        <v>996219.65298820543</v>
      </c>
      <c r="D4931" s="1">
        <f t="shared" si="77"/>
        <v>-190891.66728820547</v>
      </c>
      <c r="E4931" s="1">
        <v>11</v>
      </c>
      <c r="F4931" s="1">
        <v>17</v>
      </c>
      <c r="G4931" s="1">
        <v>7</v>
      </c>
      <c r="H4931" s="1">
        <v>0</v>
      </c>
      <c r="I4931" s="1">
        <v>1</v>
      </c>
      <c r="J4931" s="1">
        <v>0</v>
      </c>
      <c r="K4931" s="1">
        <v>0</v>
      </c>
      <c r="L4931" s="1">
        <v>0</v>
      </c>
      <c r="M4931" s="1">
        <v>0</v>
      </c>
    </row>
    <row r="4932" spans="1:13">
      <c r="A4932" s="1">
        <v>4931</v>
      </c>
      <c r="B4932" s="1">
        <v>920657.6936</v>
      </c>
      <c r="C4932" s="1">
        <v>829982.27309683943</v>
      </c>
      <c r="D4932" s="1">
        <f t="shared" si="77"/>
        <v>90675.420503160567</v>
      </c>
      <c r="E4932" s="1">
        <v>18</v>
      </c>
      <c r="F4932" s="1">
        <v>11</v>
      </c>
      <c r="G4932" s="1">
        <v>6</v>
      </c>
      <c r="H4932" s="1">
        <v>2</v>
      </c>
      <c r="I4932" s="1">
        <v>0</v>
      </c>
      <c r="J4932" s="1">
        <v>0</v>
      </c>
      <c r="K4932" s="1">
        <v>1</v>
      </c>
      <c r="L4932" s="1">
        <v>0</v>
      </c>
      <c r="M4932" s="1">
        <v>0</v>
      </c>
    </row>
    <row r="4933" spans="1:13">
      <c r="A4933" s="1">
        <v>4932</v>
      </c>
      <c r="B4933" s="1">
        <v>893753.90509999997</v>
      </c>
      <c r="C4933" s="1">
        <v>566376.46555035212</v>
      </c>
      <c r="D4933" s="1">
        <f t="shared" si="77"/>
        <v>327377.43954964785</v>
      </c>
      <c r="E4933" s="1">
        <v>18</v>
      </c>
      <c r="F4933" s="1">
        <v>12</v>
      </c>
      <c r="G4933" s="1">
        <v>5</v>
      </c>
      <c r="H4933" s="1">
        <v>1</v>
      </c>
      <c r="I4933" s="1">
        <v>1</v>
      </c>
      <c r="J4933" s="1">
        <v>0</v>
      </c>
      <c r="K4933" s="1">
        <v>1</v>
      </c>
      <c r="L4933" s="1">
        <v>0</v>
      </c>
      <c r="M4933" s="1">
        <v>1</v>
      </c>
    </row>
    <row r="4934" spans="1:13">
      <c r="A4934" s="1">
        <v>4933</v>
      </c>
      <c r="B4934" s="1">
        <v>1019527.5704</v>
      </c>
      <c r="C4934" s="1">
        <v>882587.65882356907</v>
      </c>
      <c r="D4934" s="1">
        <f t="shared" si="77"/>
        <v>136939.9115764309</v>
      </c>
      <c r="E4934" s="1">
        <v>11</v>
      </c>
      <c r="F4934" s="1">
        <v>21</v>
      </c>
      <c r="G4934" s="1">
        <v>3</v>
      </c>
      <c r="H4934" s="1">
        <v>1</v>
      </c>
      <c r="I4934" s="1">
        <v>0</v>
      </c>
      <c r="J4934" s="1">
        <v>0</v>
      </c>
      <c r="K4934" s="1">
        <v>0</v>
      </c>
      <c r="L4934" s="1">
        <v>0</v>
      </c>
      <c r="M4934" s="1">
        <v>0</v>
      </c>
    </row>
    <row r="4935" spans="1:13">
      <c r="A4935" s="1">
        <v>4934</v>
      </c>
      <c r="B4935" s="1">
        <v>1033704.7589</v>
      </c>
      <c r="C4935" s="1">
        <v>1556709.4943918432</v>
      </c>
      <c r="D4935" s="1">
        <f t="shared" si="77"/>
        <v>-523004.7354918432</v>
      </c>
      <c r="E4935" s="1">
        <v>16</v>
      </c>
      <c r="F4935" s="1">
        <v>15</v>
      </c>
      <c r="G4935" s="1">
        <v>4</v>
      </c>
      <c r="H4935" s="1">
        <v>2</v>
      </c>
      <c r="I4935" s="1">
        <v>0</v>
      </c>
      <c r="J4935" s="1">
        <v>0</v>
      </c>
      <c r="K4935" s="1">
        <v>1</v>
      </c>
      <c r="L4935" s="1">
        <v>0</v>
      </c>
      <c r="M4935" s="1">
        <v>0</v>
      </c>
    </row>
    <row r="4936" spans="1:13">
      <c r="A4936" s="1">
        <v>4935</v>
      </c>
      <c r="B4936" s="1">
        <v>908568.72439999995</v>
      </c>
      <c r="C4936" s="1">
        <v>792041.30288810341</v>
      </c>
      <c r="D4936" s="1">
        <f t="shared" si="77"/>
        <v>116527.42151189654</v>
      </c>
      <c r="E4936" s="1">
        <v>20</v>
      </c>
      <c r="F4936" s="1">
        <v>11</v>
      </c>
      <c r="G4936" s="1">
        <v>4</v>
      </c>
      <c r="H4936" s="1">
        <v>1</v>
      </c>
      <c r="I4936" s="1">
        <v>1</v>
      </c>
      <c r="J4936" s="1">
        <v>1</v>
      </c>
      <c r="K4936" s="1">
        <v>0</v>
      </c>
      <c r="L4936" s="1">
        <v>0</v>
      </c>
      <c r="M4936" s="1">
        <v>0</v>
      </c>
    </row>
    <row r="4937" spans="1:13">
      <c r="A4937" s="1">
        <v>4936</v>
      </c>
      <c r="B4937" s="1">
        <v>1095379.9080999999</v>
      </c>
      <c r="C4937" s="1">
        <v>1623133.9063941012</v>
      </c>
      <c r="D4937" s="1">
        <f t="shared" si="77"/>
        <v>-527753.99829410133</v>
      </c>
      <c r="E4937" s="1">
        <v>8</v>
      </c>
      <c r="F4937" s="1">
        <v>23</v>
      </c>
      <c r="G4937" s="1">
        <v>4</v>
      </c>
      <c r="H4937" s="1">
        <v>1</v>
      </c>
      <c r="I4937" s="1">
        <v>1</v>
      </c>
      <c r="J4937" s="1">
        <v>0</v>
      </c>
      <c r="K4937" s="1">
        <v>2</v>
      </c>
      <c r="L4937" s="1">
        <v>0</v>
      </c>
      <c r="M4937" s="1">
        <v>0</v>
      </c>
    </row>
    <row r="4938" spans="1:13">
      <c r="A4938" s="1">
        <v>4937</v>
      </c>
      <c r="B4938" s="1">
        <v>958764.93839999998</v>
      </c>
      <c r="C4938" s="1">
        <v>769017.83833591058</v>
      </c>
      <c r="D4938" s="1">
        <f t="shared" si="77"/>
        <v>189747.10006408941</v>
      </c>
      <c r="E4938" s="1">
        <v>17</v>
      </c>
      <c r="F4938" s="1">
        <v>12</v>
      </c>
      <c r="G4938" s="1">
        <v>6</v>
      </c>
      <c r="H4938" s="1">
        <v>2</v>
      </c>
      <c r="I4938" s="1">
        <v>0</v>
      </c>
      <c r="J4938" s="1">
        <v>0</v>
      </c>
      <c r="K4938" s="1">
        <v>1</v>
      </c>
      <c r="L4938" s="1">
        <v>0</v>
      </c>
      <c r="M4938" s="1">
        <v>0</v>
      </c>
    </row>
    <row r="4939" spans="1:13">
      <c r="A4939" s="1">
        <v>4938</v>
      </c>
      <c r="B4939" s="1">
        <v>950250.42209999997</v>
      </c>
      <c r="C4939" s="1">
        <v>1181839.452730139</v>
      </c>
      <c r="D4939" s="1">
        <f t="shared" si="77"/>
        <v>-231589.03063013905</v>
      </c>
      <c r="E4939" s="1">
        <v>13</v>
      </c>
      <c r="F4939" s="1">
        <v>19</v>
      </c>
      <c r="G4939" s="1">
        <v>3</v>
      </c>
      <c r="H4939" s="1">
        <v>2</v>
      </c>
      <c r="I4939" s="1">
        <v>0</v>
      </c>
      <c r="J4939" s="1">
        <v>1</v>
      </c>
      <c r="K4939" s="1">
        <v>1</v>
      </c>
      <c r="L4939" s="1">
        <v>0</v>
      </c>
      <c r="M4939" s="1">
        <v>1</v>
      </c>
    </row>
    <row r="4940" spans="1:13">
      <c r="A4940" s="1">
        <v>4939</v>
      </c>
      <c r="B4940" s="1">
        <v>955980.17980000004</v>
      </c>
      <c r="C4940" s="1">
        <v>649170.90768493095</v>
      </c>
      <c r="D4940" s="1">
        <f t="shared" si="77"/>
        <v>306809.27211506909</v>
      </c>
      <c r="E4940" s="1">
        <v>7</v>
      </c>
      <c r="F4940" s="1">
        <v>23</v>
      </c>
      <c r="G4940" s="1">
        <v>5</v>
      </c>
      <c r="H4940" s="1">
        <v>2</v>
      </c>
      <c r="I4940" s="1">
        <v>0</v>
      </c>
      <c r="J4940" s="1">
        <v>0</v>
      </c>
      <c r="K4940" s="1">
        <v>1</v>
      </c>
      <c r="L4940" s="1">
        <v>1</v>
      </c>
      <c r="M4940" s="1">
        <v>0</v>
      </c>
    </row>
    <row r="4941" spans="1:13">
      <c r="A4941" s="1">
        <v>4940</v>
      </c>
      <c r="B4941" s="1">
        <v>920241.2352</v>
      </c>
      <c r="C4941" s="1">
        <v>1546958.0083076153</v>
      </c>
      <c r="D4941" s="1">
        <f t="shared" si="77"/>
        <v>-626716.7731076153</v>
      </c>
      <c r="E4941" s="1">
        <v>18</v>
      </c>
      <c r="F4941" s="1">
        <v>13</v>
      </c>
      <c r="G4941" s="1">
        <v>4</v>
      </c>
      <c r="H4941" s="1">
        <v>0</v>
      </c>
      <c r="I4941" s="1">
        <v>0</v>
      </c>
      <c r="J4941" s="1">
        <v>1</v>
      </c>
      <c r="K4941" s="1">
        <v>1</v>
      </c>
      <c r="L4941" s="1">
        <v>0</v>
      </c>
      <c r="M4941" s="1">
        <v>1</v>
      </c>
    </row>
    <row r="4942" spans="1:13">
      <c r="A4942" s="1">
        <v>4941</v>
      </c>
      <c r="B4942" s="1">
        <v>978087.34479999996</v>
      </c>
      <c r="C4942" s="1">
        <v>771706.78258357884</v>
      </c>
      <c r="D4942" s="1">
        <f t="shared" si="77"/>
        <v>206380.56221642112</v>
      </c>
      <c r="E4942" s="1">
        <v>12</v>
      </c>
      <c r="F4942" s="1">
        <v>17</v>
      </c>
      <c r="G4942" s="1">
        <v>6</v>
      </c>
      <c r="H4942" s="1">
        <v>0</v>
      </c>
      <c r="I4942" s="1">
        <v>1</v>
      </c>
      <c r="J4942" s="1">
        <v>0</v>
      </c>
      <c r="K4942" s="1">
        <v>1</v>
      </c>
      <c r="L4942" s="1">
        <v>0</v>
      </c>
      <c r="M4942" s="1">
        <v>1</v>
      </c>
    </row>
    <row r="4943" spans="1:13">
      <c r="A4943" s="1">
        <v>4942</v>
      </c>
      <c r="B4943" s="1">
        <v>838467.73030000005</v>
      </c>
      <c r="C4943" s="1">
        <v>1681925.829693926</v>
      </c>
      <c r="D4943" s="1">
        <f t="shared" si="77"/>
        <v>-843458.09939392598</v>
      </c>
      <c r="E4943" s="1">
        <v>20</v>
      </c>
      <c r="F4943" s="1">
        <v>11</v>
      </c>
      <c r="G4943" s="1">
        <v>4</v>
      </c>
      <c r="H4943" s="1">
        <v>1</v>
      </c>
      <c r="I4943" s="1">
        <v>1</v>
      </c>
      <c r="J4943" s="1">
        <v>0</v>
      </c>
      <c r="K4943" s="1">
        <v>0</v>
      </c>
      <c r="L4943" s="1">
        <v>0</v>
      </c>
      <c r="M4943" s="1">
        <v>1</v>
      </c>
    </row>
    <row r="4944" spans="1:13">
      <c r="A4944" s="1">
        <v>4943</v>
      </c>
      <c r="B4944" s="1">
        <v>891489.24609999999</v>
      </c>
      <c r="C4944" s="1">
        <v>845485.45749827602</v>
      </c>
      <c r="D4944" s="1">
        <f t="shared" si="77"/>
        <v>46003.788601723965</v>
      </c>
      <c r="E4944" s="1">
        <v>17</v>
      </c>
      <c r="F4944" s="1">
        <v>13</v>
      </c>
      <c r="G4944" s="1">
        <v>5</v>
      </c>
      <c r="H4944" s="1">
        <v>1</v>
      </c>
      <c r="I4944" s="1">
        <v>0</v>
      </c>
      <c r="J4944" s="1">
        <v>2</v>
      </c>
      <c r="K4944" s="1">
        <v>0</v>
      </c>
      <c r="L4944" s="1">
        <v>0</v>
      </c>
      <c r="M4944" s="1">
        <v>1</v>
      </c>
    </row>
    <row r="4945" spans="1:13">
      <c r="A4945" s="1">
        <v>4944</v>
      </c>
      <c r="B4945" s="1">
        <v>889077.86910000001</v>
      </c>
      <c r="C4945" s="1">
        <v>1144775.7340276034</v>
      </c>
      <c r="D4945" s="1">
        <f t="shared" si="77"/>
        <v>-255697.8649276034</v>
      </c>
      <c r="E4945" s="1">
        <v>10</v>
      </c>
      <c r="F4945" s="1">
        <v>19</v>
      </c>
      <c r="G4945" s="1">
        <v>6</v>
      </c>
      <c r="H4945" s="1">
        <v>2</v>
      </c>
      <c r="I4945" s="1">
        <v>0</v>
      </c>
      <c r="J4945" s="1">
        <v>1</v>
      </c>
      <c r="K4945" s="1">
        <v>1</v>
      </c>
      <c r="L4945" s="1">
        <v>0</v>
      </c>
      <c r="M4945" s="1">
        <v>0</v>
      </c>
    </row>
    <row r="4946" spans="1:13">
      <c r="A4946" s="1">
        <v>4945</v>
      </c>
      <c r="B4946" s="1">
        <v>791817.42839999998</v>
      </c>
      <c r="C4946" s="1">
        <v>1122824.6399696816</v>
      </c>
      <c r="D4946" s="1">
        <f t="shared" si="77"/>
        <v>-331007.21156968165</v>
      </c>
      <c r="E4946" s="1">
        <v>15</v>
      </c>
      <c r="F4946" s="1">
        <v>17</v>
      </c>
      <c r="G4946" s="1">
        <v>3</v>
      </c>
      <c r="H4946" s="1">
        <v>1</v>
      </c>
      <c r="I4946" s="1">
        <v>0</v>
      </c>
      <c r="J4946" s="1">
        <v>0</v>
      </c>
      <c r="K4946" s="1">
        <v>1</v>
      </c>
      <c r="L4946" s="1">
        <v>0</v>
      </c>
      <c r="M4946" s="1">
        <v>0</v>
      </c>
    </row>
    <row r="4947" spans="1:13">
      <c r="A4947" s="1">
        <v>4946</v>
      </c>
      <c r="B4947" s="1">
        <v>825053.6078</v>
      </c>
      <c r="C4947" s="1">
        <v>1475674.7205973405</v>
      </c>
      <c r="D4947" s="1">
        <f t="shared" si="77"/>
        <v>-650621.11279734049</v>
      </c>
      <c r="E4947" s="1">
        <v>24</v>
      </c>
      <c r="F4947" s="1">
        <v>9</v>
      </c>
      <c r="G4947" s="1">
        <v>2</v>
      </c>
      <c r="H4947" s="1">
        <v>1</v>
      </c>
      <c r="I4947" s="1">
        <v>1</v>
      </c>
      <c r="J4947" s="1">
        <v>1</v>
      </c>
      <c r="K4947" s="1">
        <v>0</v>
      </c>
      <c r="L4947" s="1">
        <v>0</v>
      </c>
      <c r="M4947" s="1">
        <v>1</v>
      </c>
    </row>
    <row r="4948" spans="1:13">
      <c r="A4948" s="1">
        <v>4947</v>
      </c>
      <c r="B4948" s="1">
        <v>983944.17209999997</v>
      </c>
      <c r="C4948" s="1">
        <v>802349.41508589534</v>
      </c>
      <c r="D4948" s="1">
        <f t="shared" si="77"/>
        <v>181594.75701410463</v>
      </c>
      <c r="E4948" s="1">
        <v>10</v>
      </c>
      <c r="F4948" s="1">
        <v>19</v>
      </c>
      <c r="G4948" s="1">
        <v>6</v>
      </c>
      <c r="H4948" s="1">
        <v>2</v>
      </c>
      <c r="I4948" s="1">
        <v>0</v>
      </c>
      <c r="J4948" s="1">
        <v>0</v>
      </c>
      <c r="K4948" s="1">
        <v>0</v>
      </c>
      <c r="L4948" s="1">
        <v>0</v>
      </c>
      <c r="M4948" s="1">
        <v>0</v>
      </c>
    </row>
    <row r="4949" spans="1:13">
      <c r="A4949" s="1">
        <v>4948</v>
      </c>
      <c r="B4949" s="1">
        <v>960787.96140000003</v>
      </c>
      <c r="C4949" s="1">
        <v>1253094.1476883646</v>
      </c>
      <c r="D4949" s="1">
        <f t="shared" si="77"/>
        <v>-292306.18628836458</v>
      </c>
      <c r="E4949" s="1">
        <v>14</v>
      </c>
      <c r="F4949" s="1">
        <v>14</v>
      </c>
      <c r="G4949" s="1">
        <v>7</v>
      </c>
      <c r="H4949" s="1">
        <v>1</v>
      </c>
      <c r="I4949" s="1">
        <v>0</v>
      </c>
      <c r="J4949" s="1">
        <v>0</v>
      </c>
      <c r="K4949" s="1">
        <v>0</v>
      </c>
      <c r="L4949" s="1">
        <v>0</v>
      </c>
      <c r="M4949" s="1">
        <v>1</v>
      </c>
    </row>
    <row r="4950" spans="1:13">
      <c r="A4950" s="1">
        <v>4949</v>
      </c>
      <c r="B4950" s="1">
        <v>910250.91350000002</v>
      </c>
      <c r="C4950" s="1">
        <v>982254.86157539731</v>
      </c>
      <c r="D4950" s="1">
        <f t="shared" si="77"/>
        <v>-72003.948075397289</v>
      </c>
      <c r="E4950" s="1">
        <v>10</v>
      </c>
      <c r="F4950" s="1">
        <v>21</v>
      </c>
      <c r="G4950" s="1">
        <v>4</v>
      </c>
      <c r="H4950" s="1">
        <v>2</v>
      </c>
      <c r="I4950" s="1">
        <v>0</v>
      </c>
      <c r="J4950" s="1">
        <v>0</v>
      </c>
      <c r="K4950" s="1">
        <v>2</v>
      </c>
      <c r="L4950" s="1">
        <v>0</v>
      </c>
      <c r="M4950" s="1">
        <v>0</v>
      </c>
    </row>
    <row r="4951" spans="1:13">
      <c r="A4951" s="1">
        <v>4950</v>
      </c>
      <c r="B4951" s="1">
        <v>894962.45019999996</v>
      </c>
      <c r="C4951" s="1">
        <v>528121.15003572195</v>
      </c>
      <c r="D4951" s="1">
        <f t="shared" si="77"/>
        <v>366841.30016427801</v>
      </c>
      <c r="E4951" s="1">
        <v>14</v>
      </c>
      <c r="F4951" s="1">
        <v>15</v>
      </c>
      <c r="G4951" s="1">
        <v>6</v>
      </c>
      <c r="H4951" s="1">
        <v>0</v>
      </c>
      <c r="I4951" s="1">
        <v>1</v>
      </c>
      <c r="J4951" s="1">
        <v>0</v>
      </c>
      <c r="K4951" s="1">
        <v>2</v>
      </c>
      <c r="L4951" s="1">
        <v>0</v>
      </c>
      <c r="M4951" s="1">
        <v>0</v>
      </c>
    </row>
    <row r="4952" spans="1:13">
      <c r="A4952" s="1">
        <v>4951</v>
      </c>
      <c r="B4952" s="1">
        <v>887231.12230000005</v>
      </c>
      <c r="C4952" s="1">
        <v>798830.91815455887</v>
      </c>
      <c r="D4952" s="1">
        <f t="shared" si="77"/>
        <v>88400.204145441181</v>
      </c>
      <c r="E4952" s="1">
        <v>10</v>
      </c>
      <c r="F4952" s="1">
        <v>19</v>
      </c>
      <c r="G4952" s="1">
        <v>6</v>
      </c>
      <c r="H4952" s="1">
        <v>1</v>
      </c>
      <c r="I4952" s="1">
        <v>1</v>
      </c>
      <c r="J4952" s="1">
        <v>1</v>
      </c>
      <c r="K4952" s="1">
        <v>1</v>
      </c>
      <c r="L4952" s="1">
        <v>0</v>
      </c>
      <c r="M4952" s="1">
        <v>1</v>
      </c>
    </row>
    <row r="4953" spans="1:13">
      <c r="A4953" s="1">
        <v>4952</v>
      </c>
      <c r="B4953" s="1">
        <v>923722.84790000005</v>
      </c>
      <c r="C4953" s="1">
        <v>1110923.842647294</v>
      </c>
      <c r="D4953" s="1">
        <f t="shared" si="77"/>
        <v>-187200.994747294</v>
      </c>
      <c r="E4953" s="1">
        <v>15</v>
      </c>
      <c r="F4953" s="1">
        <v>12</v>
      </c>
      <c r="G4953" s="1">
        <v>8</v>
      </c>
      <c r="H4953" s="1">
        <v>2</v>
      </c>
      <c r="I4953" s="1">
        <v>0</v>
      </c>
      <c r="J4953" s="1">
        <v>1</v>
      </c>
      <c r="K4953" s="1">
        <v>0</v>
      </c>
      <c r="L4953" s="1">
        <v>1</v>
      </c>
      <c r="M4953" s="1">
        <v>0</v>
      </c>
    </row>
    <row r="4954" spans="1:13">
      <c r="A4954" s="1">
        <v>4953</v>
      </c>
      <c r="B4954" s="1">
        <v>956782.98679999996</v>
      </c>
      <c r="C4954" s="1">
        <v>784105.92866526556</v>
      </c>
      <c r="D4954" s="1">
        <f t="shared" si="77"/>
        <v>172677.0581347344</v>
      </c>
      <c r="E4954" s="1">
        <v>12</v>
      </c>
      <c r="F4954" s="1">
        <v>16</v>
      </c>
      <c r="G4954" s="1">
        <v>7</v>
      </c>
      <c r="H4954" s="1">
        <v>0</v>
      </c>
      <c r="I4954" s="1">
        <v>1</v>
      </c>
      <c r="J4954" s="1">
        <v>2</v>
      </c>
      <c r="K4954" s="1">
        <v>0</v>
      </c>
      <c r="L4954" s="1">
        <v>0</v>
      </c>
      <c r="M4954" s="1">
        <v>0</v>
      </c>
    </row>
    <row r="4955" spans="1:13">
      <c r="A4955" s="1">
        <v>4954</v>
      </c>
      <c r="B4955" s="1">
        <v>939284.2415</v>
      </c>
      <c r="C4955" s="1">
        <v>1597610.4829913541</v>
      </c>
      <c r="D4955" s="1">
        <f t="shared" si="77"/>
        <v>-658326.24149135407</v>
      </c>
      <c r="E4955" s="1">
        <v>15</v>
      </c>
      <c r="F4955" s="1">
        <v>16</v>
      </c>
      <c r="G4955" s="1">
        <v>4</v>
      </c>
      <c r="H4955" s="1">
        <v>0</v>
      </c>
      <c r="I4955" s="1">
        <v>1</v>
      </c>
      <c r="J4955" s="1">
        <v>0</v>
      </c>
      <c r="K4955" s="1">
        <v>1</v>
      </c>
      <c r="L4955" s="1">
        <v>0</v>
      </c>
      <c r="M4955" s="1">
        <v>0</v>
      </c>
    </row>
    <row r="4956" spans="1:13">
      <c r="A4956" s="1">
        <v>4955</v>
      </c>
      <c r="B4956" s="1">
        <v>869258.73800000001</v>
      </c>
      <c r="C4956" s="1">
        <v>904992.98063222878</v>
      </c>
      <c r="D4956" s="1">
        <f t="shared" si="77"/>
        <v>-35734.242632228765</v>
      </c>
      <c r="E4956" s="1">
        <v>17</v>
      </c>
      <c r="F4956" s="1">
        <v>13</v>
      </c>
      <c r="G4956" s="1">
        <v>5</v>
      </c>
      <c r="H4956" s="1">
        <v>0</v>
      </c>
      <c r="I4956" s="1">
        <v>1</v>
      </c>
      <c r="J4956" s="1">
        <v>1</v>
      </c>
      <c r="K4956" s="1">
        <v>1</v>
      </c>
      <c r="L4956" s="1">
        <v>0</v>
      </c>
      <c r="M4956" s="1">
        <v>0</v>
      </c>
    </row>
    <row r="4957" spans="1:13">
      <c r="A4957" s="1">
        <v>4956</v>
      </c>
      <c r="B4957" s="1">
        <v>923977.88130000001</v>
      </c>
      <c r="C4957" s="1">
        <v>742434.34941407747</v>
      </c>
      <c r="D4957" s="1">
        <f t="shared" si="77"/>
        <v>181543.53188592254</v>
      </c>
      <c r="E4957" s="1">
        <v>14</v>
      </c>
      <c r="F4957" s="1">
        <v>14</v>
      </c>
      <c r="G4957" s="1">
        <v>7</v>
      </c>
      <c r="H4957" s="1">
        <v>0</v>
      </c>
      <c r="I4957" s="1">
        <v>0</v>
      </c>
      <c r="J4957" s="1">
        <v>1</v>
      </c>
      <c r="K4957" s="1">
        <v>0</v>
      </c>
      <c r="L4957" s="1">
        <v>0</v>
      </c>
      <c r="M4957" s="1">
        <v>1</v>
      </c>
    </row>
    <row r="4958" spans="1:13">
      <c r="A4958" s="1">
        <v>4957</v>
      </c>
      <c r="B4958" s="1">
        <v>818934.79539999994</v>
      </c>
      <c r="C4958" s="1">
        <v>870264.4209927558</v>
      </c>
      <c r="D4958" s="1">
        <f t="shared" si="77"/>
        <v>-51329.625592755852</v>
      </c>
      <c r="E4958" s="1">
        <v>23</v>
      </c>
      <c r="F4958" s="1">
        <v>8</v>
      </c>
      <c r="G4958" s="1">
        <v>4</v>
      </c>
      <c r="H4958" s="1">
        <v>1</v>
      </c>
      <c r="I4958" s="1">
        <v>1</v>
      </c>
      <c r="J4958" s="1">
        <v>0</v>
      </c>
      <c r="K4958" s="1">
        <v>0</v>
      </c>
      <c r="L4958" s="1">
        <v>0</v>
      </c>
      <c r="M4958" s="1">
        <v>1</v>
      </c>
    </row>
    <row r="4959" spans="1:13">
      <c r="A4959" s="1">
        <v>4958</v>
      </c>
      <c r="B4959" s="1">
        <v>983023.58259999997</v>
      </c>
      <c r="C4959" s="1">
        <v>1187973.8908780161</v>
      </c>
      <c r="D4959" s="1">
        <f t="shared" si="77"/>
        <v>-204950.30827801616</v>
      </c>
      <c r="E4959" s="1">
        <v>13</v>
      </c>
      <c r="F4959" s="1">
        <v>17</v>
      </c>
      <c r="G4959" s="1">
        <v>5</v>
      </c>
      <c r="H4959" s="1">
        <v>2</v>
      </c>
      <c r="I4959" s="1">
        <v>0</v>
      </c>
      <c r="J4959" s="1">
        <v>0</v>
      </c>
      <c r="K4959" s="1">
        <v>2</v>
      </c>
      <c r="L4959" s="1">
        <v>0</v>
      </c>
      <c r="M4959" s="1">
        <v>0</v>
      </c>
    </row>
    <row r="4960" spans="1:13">
      <c r="A4960" s="1">
        <v>4959</v>
      </c>
      <c r="B4960" s="1">
        <v>952760.42449999996</v>
      </c>
      <c r="C4960" s="1">
        <v>1307991.5004027835</v>
      </c>
      <c r="D4960" s="1">
        <f t="shared" si="77"/>
        <v>-355231.07590278354</v>
      </c>
      <c r="E4960" s="1">
        <v>13</v>
      </c>
      <c r="F4960" s="1">
        <v>17</v>
      </c>
      <c r="G4960" s="1">
        <v>5</v>
      </c>
      <c r="H4960" s="1">
        <v>1</v>
      </c>
      <c r="I4960" s="1">
        <v>0</v>
      </c>
      <c r="J4960" s="1">
        <v>0</v>
      </c>
      <c r="K4960" s="1">
        <v>1</v>
      </c>
      <c r="L4960" s="1">
        <v>0</v>
      </c>
      <c r="M4960" s="1">
        <v>0</v>
      </c>
    </row>
    <row r="4961" spans="1:13">
      <c r="A4961" s="1">
        <v>4960</v>
      </c>
      <c r="B4961" s="1">
        <v>885670.45649999997</v>
      </c>
      <c r="C4961" s="1">
        <v>766120.00212430477</v>
      </c>
      <c r="D4961" s="1">
        <f t="shared" si="77"/>
        <v>119550.4543756952</v>
      </c>
      <c r="E4961" s="1">
        <v>5</v>
      </c>
      <c r="F4961" s="1">
        <v>25</v>
      </c>
      <c r="G4961" s="1">
        <v>5</v>
      </c>
      <c r="H4961" s="1">
        <v>0</v>
      </c>
      <c r="I4961" s="1">
        <v>0</v>
      </c>
      <c r="J4961" s="1">
        <v>0</v>
      </c>
      <c r="K4961" s="1">
        <v>0</v>
      </c>
      <c r="L4961" s="1">
        <v>1</v>
      </c>
      <c r="M4961" s="1">
        <v>1</v>
      </c>
    </row>
    <row r="4962" spans="1:13">
      <c r="A4962" s="1">
        <v>4961</v>
      </c>
      <c r="B4962" s="1">
        <v>929412.39540000004</v>
      </c>
      <c r="C4962" s="1">
        <v>1129525.2152675809</v>
      </c>
      <c r="D4962" s="1">
        <f t="shared" si="77"/>
        <v>-200112.8198675809</v>
      </c>
      <c r="E4962" s="1">
        <v>9</v>
      </c>
      <c r="F4962" s="1">
        <v>21</v>
      </c>
      <c r="G4962" s="1">
        <v>5</v>
      </c>
      <c r="H4962" s="1">
        <v>1</v>
      </c>
      <c r="I4962" s="1">
        <v>0</v>
      </c>
      <c r="J4962" s="1">
        <v>2</v>
      </c>
      <c r="K4962" s="1">
        <v>0</v>
      </c>
      <c r="L4962" s="1">
        <v>0</v>
      </c>
      <c r="M4962" s="1">
        <v>0</v>
      </c>
    </row>
    <row r="4963" spans="1:13">
      <c r="A4963" s="1">
        <v>4962</v>
      </c>
      <c r="B4963" s="1">
        <v>975923.11739999999</v>
      </c>
      <c r="C4963" s="1">
        <v>682714.71422070335</v>
      </c>
      <c r="D4963" s="1">
        <f t="shared" si="77"/>
        <v>293208.40317929664</v>
      </c>
      <c r="E4963" s="1">
        <v>7</v>
      </c>
      <c r="F4963" s="1">
        <v>23</v>
      </c>
      <c r="G4963" s="1">
        <v>5</v>
      </c>
      <c r="H4963" s="1">
        <v>2</v>
      </c>
      <c r="I4963" s="1">
        <v>0</v>
      </c>
      <c r="J4963" s="1">
        <v>1</v>
      </c>
      <c r="K4963" s="1">
        <v>1</v>
      </c>
      <c r="L4963" s="1">
        <v>0</v>
      </c>
      <c r="M4963" s="1">
        <v>0</v>
      </c>
    </row>
    <row r="4964" spans="1:13">
      <c r="A4964" s="1">
        <v>4963</v>
      </c>
      <c r="B4964" s="1">
        <v>938175.04410000006</v>
      </c>
      <c r="C4964" s="1">
        <v>659834.18761908752</v>
      </c>
      <c r="D4964" s="1">
        <f t="shared" si="77"/>
        <v>278340.85648091254</v>
      </c>
      <c r="E4964" s="1">
        <v>21</v>
      </c>
      <c r="F4964" s="1">
        <v>10</v>
      </c>
      <c r="G4964" s="1">
        <v>4</v>
      </c>
      <c r="H4964" s="1">
        <v>1</v>
      </c>
      <c r="I4964" s="1">
        <v>0</v>
      </c>
      <c r="J4964" s="1">
        <v>1</v>
      </c>
      <c r="K4964" s="1">
        <v>0</v>
      </c>
      <c r="L4964" s="1">
        <v>0</v>
      </c>
      <c r="M4964" s="1">
        <v>0</v>
      </c>
    </row>
    <row r="4965" spans="1:13">
      <c r="A4965" s="1">
        <v>4964</v>
      </c>
      <c r="B4965" s="1">
        <v>880352.15139999997</v>
      </c>
      <c r="C4965" s="1">
        <v>1038817.4425716867</v>
      </c>
      <c r="D4965" s="1">
        <f t="shared" si="77"/>
        <v>-158465.29117168672</v>
      </c>
      <c r="E4965" s="1">
        <v>14</v>
      </c>
      <c r="F4965" s="1">
        <v>14</v>
      </c>
      <c r="G4965" s="1">
        <v>7</v>
      </c>
      <c r="H4965" s="1">
        <v>0</v>
      </c>
      <c r="I4965" s="1">
        <v>1</v>
      </c>
      <c r="J4965" s="1">
        <v>0</v>
      </c>
      <c r="K4965" s="1">
        <v>2</v>
      </c>
      <c r="L4965" s="1">
        <v>0</v>
      </c>
      <c r="M4965" s="1">
        <v>1</v>
      </c>
    </row>
    <row r="4966" spans="1:13">
      <c r="A4966" s="1">
        <v>4965</v>
      </c>
      <c r="B4966" s="1">
        <v>972886.19770000002</v>
      </c>
      <c r="C4966" s="1">
        <v>635968.04573483439</v>
      </c>
      <c r="D4966" s="1">
        <f t="shared" si="77"/>
        <v>336918.15196516563</v>
      </c>
      <c r="E4966" s="1">
        <v>18</v>
      </c>
      <c r="F4966" s="1">
        <v>12</v>
      </c>
      <c r="G4966" s="1">
        <v>5</v>
      </c>
      <c r="H4966" s="1">
        <v>0</v>
      </c>
      <c r="I4966" s="1">
        <v>1</v>
      </c>
      <c r="J4966" s="1">
        <v>2</v>
      </c>
      <c r="K4966" s="1">
        <v>0</v>
      </c>
      <c r="L4966" s="1">
        <v>0</v>
      </c>
      <c r="M4966" s="1">
        <v>0</v>
      </c>
    </row>
    <row r="4967" spans="1:13">
      <c r="A4967" s="1">
        <v>4966</v>
      </c>
      <c r="B4967" s="1">
        <v>874933.97470000002</v>
      </c>
      <c r="C4967" s="1">
        <v>804143.17718587979</v>
      </c>
      <c r="D4967" s="1">
        <f t="shared" si="77"/>
        <v>70790.797514120233</v>
      </c>
      <c r="E4967" s="1">
        <v>18</v>
      </c>
      <c r="F4967" s="1">
        <v>14</v>
      </c>
      <c r="G4967" s="1">
        <v>3</v>
      </c>
      <c r="H4967" s="1">
        <v>1</v>
      </c>
      <c r="I4967" s="1">
        <v>0</v>
      </c>
      <c r="J4967" s="1">
        <v>0</v>
      </c>
      <c r="K4967" s="1">
        <v>0</v>
      </c>
      <c r="L4967" s="1">
        <v>0</v>
      </c>
      <c r="M4967" s="1">
        <v>0</v>
      </c>
    </row>
    <row r="4968" spans="1:13">
      <c r="A4968" s="1">
        <v>4967</v>
      </c>
      <c r="B4968" s="1">
        <v>1169947.3566999999</v>
      </c>
      <c r="C4968" s="1">
        <v>1592952.5690421895</v>
      </c>
      <c r="D4968" s="1">
        <f t="shared" si="77"/>
        <v>-423005.21234218962</v>
      </c>
      <c r="E4968" s="1">
        <v>11</v>
      </c>
      <c r="F4968" s="1">
        <v>18</v>
      </c>
      <c r="G4968" s="1">
        <v>6</v>
      </c>
      <c r="H4968" s="1">
        <v>1</v>
      </c>
      <c r="I4968" s="1">
        <v>0</v>
      </c>
      <c r="J4968" s="1">
        <v>0</v>
      </c>
      <c r="K4968" s="1">
        <v>0</v>
      </c>
      <c r="L4968" s="1">
        <v>0</v>
      </c>
      <c r="M4968" s="1">
        <v>0</v>
      </c>
    </row>
    <row r="4969" spans="1:13">
      <c r="A4969" s="1">
        <v>4968</v>
      </c>
      <c r="B4969" s="1">
        <v>985674.98459999997</v>
      </c>
      <c r="C4969" s="1">
        <v>841996.66637802368</v>
      </c>
      <c r="D4969" s="1">
        <f t="shared" si="77"/>
        <v>143678.31822197628</v>
      </c>
      <c r="E4969" s="1">
        <v>13</v>
      </c>
      <c r="F4969" s="1">
        <v>18</v>
      </c>
      <c r="G4969" s="1">
        <v>4</v>
      </c>
      <c r="H4969" s="1">
        <v>0</v>
      </c>
      <c r="I4969" s="1">
        <v>0</v>
      </c>
      <c r="J4969" s="1">
        <v>0</v>
      </c>
      <c r="K4969" s="1">
        <v>0</v>
      </c>
      <c r="L4969" s="1">
        <v>0</v>
      </c>
      <c r="M4969" s="1">
        <v>0</v>
      </c>
    </row>
    <row r="4970" spans="1:13">
      <c r="A4970" s="1">
        <v>4969</v>
      </c>
      <c r="B4970" s="1">
        <v>851449.09389999998</v>
      </c>
      <c r="C4970" s="1">
        <v>1134275.8928324706</v>
      </c>
      <c r="D4970" s="1">
        <f t="shared" si="77"/>
        <v>-282826.79893247061</v>
      </c>
      <c r="E4970" s="1">
        <v>12</v>
      </c>
      <c r="F4970" s="1">
        <v>22</v>
      </c>
      <c r="G4970" s="1">
        <v>1</v>
      </c>
      <c r="H4970" s="1">
        <v>0</v>
      </c>
      <c r="I4970" s="1">
        <v>1</v>
      </c>
      <c r="J4970" s="1">
        <v>0</v>
      </c>
      <c r="K4970" s="1">
        <v>2</v>
      </c>
      <c r="L4970" s="1">
        <v>0</v>
      </c>
      <c r="M4970" s="1">
        <v>0</v>
      </c>
    </row>
    <row r="4971" spans="1:13">
      <c r="A4971" s="1">
        <v>4970</v>
      </c>
      <c r="B4971" s="1">
        <v>936512.95860000001</v>
      </c>
      <c r="C4971" s="1">
        <v>1069301.2343662381</v>
      </c>
      <c r="D4971" s="1">
        <f t="shared" si="77"/>
        <v>-132788.2757662381</v>
      </c>
      <c r="E4971" s="1">
        <v>18</v>
      </c>
      <c r="F4971" s="1">
        <v>10</v>
      </c>
      <c r="G4971" s="1">
        <v>7</v>
      </c>
      <c r="H4971" s="1">
        <v>2</v>
      </c>
      <c r="I4971" s="1">
        <v>0</v>
      </c>
      <c r="J4971" s="1">
        <v>1</v>
      </c>
      <c r="K4971" s="1">
        <v>0</v>
      </c>
      <c r="L4971" s="1">
        <v>1</v>
      </c>
      <c r="M4971" s="1">
        <v>0</v>
      </c>
    </row>
    <row r="4972" spans="1:13">
      <c r="A4972" s="1">
        <v>4971</v>
      </c>
      <c r="B4972" s="1">
        <v>982313.60660000006</v>
      </c>
      <c r="C4972" s="1">
        <v>1114465.6638920598</v>
      </c>
      <c r="D4972" s="1">
        <f t="shared" si="77"/>
        <v>-132152.05729205976</v>
      </c>
      <c r="E4972" s="1">
        <v>15</v>
      </c>
      <c r="F4972" s="1">
        <v>16</v>
      </c>
      <c r="G4972" s="1">
        <v>4</v>
      </c>
      <c r="H4972" s="1">
        <v>0</v>
      </c>
      <c r="I4972" s="1">
        <v>0</v>
      </c>
      <c r="J4972" s="1">
        <v>1</v>
      </c>
      <c r="K4972" s="1">
        <v>0</v>
      </c>
      <c r="L4972" s="1">
        <v>0</v>
      </c>
      <c r="M4972" s="1">
        <v>0</v>
      </c>
    </row>
    <row r="4973" spans="1:13">
      <c r="A4973" s="1">
        <v>4972</v>
      </c>
      <c r="B4973" s="1">
        <v>950544.38989999995</v>
      </c>
      <c r="C4973" s="1">
        <v>784766.44912448036</v>
      </c>
      <c r="D4973" s="1">
        <f t="shared" si="77"/>
        <v>165777.94077551959</v>
      </c>
      <c r="E4973" s="1">
        <v>14</v>
      </c>
      <c r="F4973" s="1">
        <v>16</v>
      </c>
      <c r="G4973" s="1">
        <v>5</v>
      </c>
      <c r="H4973" s="1">
        <v>1</v>
      </c>
      <c r="I4973" s="1">
        <v>0</v>
      </c>
      <c r="J4973" s="1">
        <v>1</v>
      </c>
      <c r="K4973" s="1">
        <v>1</v>
      </c>
      <c r="L4973" s="1">
        <v>0</v>
      </c>
      <c r="M4973" s="1">
        <v>0</v>
      </c>
    </row>
    <row r="4974" spans="1:13">
      <c r="A4974" s="1">
        <v>4973</v>
      </c>
      <c r="B4974" s="1">
        <v>950375.40469999996</v>
      </c>
      <c r="C4974" s="1">
        <v>846228.45153322676</v>
      </c>
      <c r="D4974" s="1">
        <f t="shared" si="77"/>
        <v>104146.95316677319</v>
      </c>
      <c r="E4974" s="1">
        <v>10</v>
      </c>
      <c r="F4974" s="1">
        <v>19</v>
      </c>
      <c r="G4974" s="1">
        <v>6</v>
      </c>
      <c r="H4974" s="1">
        <v>2</v>
      </c>
      <c r="I4974" s="1">
        <v>0</v>
      </c>
      <c r="J4974" s="1">
        <v>1</v>
      </c>
      <c r="K4974" s="1">
        <v>0</v>
      </c>
      <c r="L4974" s="1">
        <v>1</v>
      </c>
      <c r="M4974" s="1">
        <v>0</v>
      </c>
    </row>
    <row r="4975" spans="1:13">
      <c r="A4975" s="1">
        <v>4974</v>
      </c>
      <c r="B4975" s="1">
        <v>983268.55599999998</v>
      </c>
      <c r="C4975" s="1">
        <v>638402.23692851386</v>
      </c>
      <c r="D4975" s="1">
        <f t="shared" si="77"/>
        <v>344866.31907148613</v>
      </c>
      <c r="E4975" s="1">
        <v>15</v>
      </c>
      <c r="F4975" s="1">
        <v>13</v>
      </c>
      <c r="G4975" s="1">
        <v>7</v>
      </c>
      <c r="H4975" s="1">
        <v>0</v>
      </c>
      <c r="I4975" s="1">
        <v>0</v>
      </c>
      <c r="J4975" s="1">
        <v>0</v>
      </c>
      <c r="K4975" s="1">
        <v>0</v>
      </c>
      <c r="L4975" s="1">
        <v>0</v>
      </c>
      <c r="M4975" s="1">
        <v>1</v>
      </c>
    </row>
    <row r="4976" spans="1:13">
      <c r="A4976" s="1">
        <v>4975</v>
      </c>
      <c r="B4976" s="1">
        <v>1087344.3607000001</v>
      </c>
      <c r="C4976" s="1">
        <v>1349333.4340758426</v>
      </c>
      <c r="D4976" s="1">
        <f t="shared" si="77"/>
        <v>-261989.07337584253</v>
      </c>
      <c r="E4976" s="1">
        <v>4</v>
      </c>
      <c r="F4976" s="1">
        <v>26</v>
      </c>
      <c r="G4976" s="1">
        <v>5</v>
      </c>
      <c r="H4976" s="1">
        <v>0</v>
      </c>
      <c r="I4976" s="1">
        <v>0</v>
      </c>
      <c r="J4976" s="1">
        <v>0</v>
      </c>
      <c r="K4976" s="1">
        <v>1</v>
      </c>
      <c r="L4976" s="1">
        <v>0</v>
      </c>
      <c r="M4976" s="1">
        <v>0</v>
      </c>
    </row>
    <row r="4977" spans="1:13">
      <c r="A4977" s="1">
        <v>4976</v>
      </c>
      <c r="B4977" s="1">
        <v>892280.84920000006</v>
      </c>
      <c r="C4977" s="1">
        <v>728750.83763045364</v>
      </c>
      <c r="D4977" s="1">
        <f t="shared" si="77"/>
        <v>163530.01156954642</v>
      </c>
      <c r="E4977" s="1">
        <v>17</v>
      </c>
      <c r="F4977" s="1">
        <v>14</v>
      </c>
      <c r="G4977" s="1">
        <v>4</v>
      </c>
      <c r="H4977" s="1">
        <v>1</v>
      </c>
      <c r="I4977" s="1">
        <v>0</v>
      </c>
      <c r="J4977" s="1">
        <v>0</v>
      </c>
      <c r="K4977" s="1">
        <v>0</v>
      </c>
      <c r="L4977" s="1">
        <v>0</v>
      </c>
      <c r="M4977" s="1">
        <v>0</v>
      </c>
    </row>
    <row r="4978" spans="1:13">
      <c r="A4978" s="1">
        <v>4977</v>
      </c>
      <c r="B4978" s="1">
        <v>972818.01260000002</v>
      </c>
      <c r="C4978" s="1">
        <v>560950.73930674139</v>
      </c>
      <c r="D4978" s="1">
        <f t="shared" si="77"/>
        <v>411867.27329325862</v>
      </c>
      <c r="E4978" s="1">
        <v>12</v>
      </c>
      <c r="F4978" s="1">
        <v>16</v>
      </c>
      <c r="G4978" s="1">
        <v>7</v>
      </c>
      <c r="H4978" s="1">
        <v>1</v>
      </c>
      <c r="I4978" s="1">
        <v>1</v>
      </c>
      <c r="J4978" s="1">
        <v>1</v>
      </c>
      <c r="K4978" s="1">
        <v>0</v>
      </c>
      <c r="L4978" s="1">
        <v>0</v>
      </c>
      <c r="M4978" s="1">
        <v>1</v>
      </c>
    </row>
    <row r="4979" spans="1:13">
      <c r="A4979" s="1">
        <v>4978</v>
      </c>
      <c r="B4979" s="1">
        <v>947644.84849999996</v>
      </c>
      <c r="C4979" s="1">
        <v>856890.90031571069</v>
      </c>
      <c r="D4979" s="1">
        <f t="shared" si="77"/>
        <v>90753.948184289271</v>
      </c>
      <c r="E4979" s="1">
        <v>18</v>
      </c>
      <c r="F4979" s="1">
        <v>13</v>
      </c>
      <c r="G4979" s="1">
        <v>4</v>
      </c>
      <c r="H4979" s="1">
        <v>1</v>
      </c>
      <c r="I4979" s="1">
        <v>0</v>
      </c>
      <c r="J4979" s="1">
        <v>0</v>
      </c>
      <c r="K4979" s="1">
        <v>0</v>
      </c>
      <c r="L4979" s="1">
        <v>0</v>
      </c>
      <c r="M4979" s="1">
        <v>1</v>
      </c>
    </row>
    <row r="4980" spans="1:13">
      <c r="A4980" s="1">
        <v>4979</v>
      </c>
      <c r="B4980" s="1">
        <v>945660.72499999998</v>
      </c>
      <c r="C4980" s="1">
        <v>674070.94236714474</v>
      </c>
      <c r="D4980" s="1">
        <f t="shared" si="77"/>
        <v>271589.78263285523</v>
      </c>
      <c r="E4980" s="1">
        <v>13</v>
      </c>
      <c r="F4980" s="1">
        <v>16</v>
      </c>
      <c r="G4980" s="1">
        <v>6</v>
      </c>
      <c r="H4980" s="1">
        <v>2</v>
      </c>
      <c r="I4980" s="1">
        <v>0</v>
      </c>
      <c r="J4980" s="1">
        <v>2</v>
      </c>
      <c r="K4980" s="1">
        <v>0</v>
      </c>
      <c r="L4980" s="1">
        <v>0</v>
      </c>
      <c r="M4980" s="1">
        <v>0</v>
      </c>
    </row>
    <row r="4981" spans="1:13">
      <c r="A4981" s="1">
        <v>4980</v>
      </c>
      <c r="B4981" s="1">
        <v>987535.7622</v>
      </c>
      <c r="C4981" s="1">
        <v>1099229.3096748763</v>
      </c>
      <c r="D4981" s="1">
        <f t="shared" si="77"/>
        <v>-111693.54747487628</v>
      </c>
      <c r="E4981" s="1">
        <v>10</v>
      </c>
      <c r="F4981" s="1">
        <v>18</v>
      </c>
      <c r="G4981" s="1">
        <v>7</v>
      </c>
      <c r="H4981" s="1">
        <v>0</v>
      </c>
      <c r="I4981" s="1">
        <v>1</v>
      </c>
      <c r="J4981" s="1">
        <v>0</v>
      </c>
      <c r="K4981" s="1">
        <v>1</v>
      </c>
      <c r="L4981" s="1">
        <v>0</v>
      </c>
      <c r="M4981" s="1">
        <v>0</v>
      </c>
    </row>
    <row r="4982" spans="1:13">
      <c r="A4982" s="1">
        <v>4981</v>
      </c>
      <c r="B4982" s="1">
        <v>852481.53260000004</v>
      </c>
      <c r="C4982" s="1">
        <v>972741.87445903744</v>
      </c>
      <c r="D4982" s="1">
        <f t="shared" si="77"/>
        <v>-120260.34185903741</v>
      </c>
      <c r="E4982" s="1">
        <v>22</v>
      </c>
      <c r="F4982" s="1">
        <v>11</v>
      </c>
      <c r="G4982" s="1">
        <v>2</v>
      </c>
      <c r="H4982" s="1">
        <v>1</v>
      </c>
      <c r="I4982" s="1">
        <v>0</v>
      </c>
      <c r="J4982" s="1">
        <v>0</v>
      </c>
      <c r="K4982" s="1">
        <v>0</v>
      </c>
      <c r="L4982" s="1">
        <v>0</v>
      </c>
      <c r="M4982" s="1">
        <v>1</v>
      </c>
    </row>
    <row r="4983" spans="1:13">
      <c r="A4983" s="1">
        <v>4982</v>
      </c>
      <c r="B4983" s="1">
        <v>1041734.7547</v>
      </c>
      <c r="C4983" s="1">
        <v>707206.06247191841</v>
      </c>
      <c r="D4983" s="1">
        <f t="shared" si="77"/>
        <v>334528.69222808164</v>
      </c>
      <c r="E4983" s="1">
        <v>10</v>
      </c>
      <c r="F4983" s="1">
        <v>21</v>
      </c>
      <c r="G4983" s="1">
        <v>4</v>
      </c>
      <c r="H4983" s="1">
        <v>0</v>
      </c>
      <c r="I4983" s="1">
        <v>0</v>
      </c>
      <c r="J4983" s="1">
        <v>1</v>
      </c>
      <c r="K4983" s="1">
        <v>1</v>
      </c>
      <c r="L4983" s="1">
        <v>0</v>
      </c>
      <c r="M4983" s="1">
        <v>0</v>
      </c>
    </row>
    <row r="4984" spans="1:13">
      <c r="A4984" s="1">
        <v>4983</v>
      </c>
      <c r="B4984" s="1">
        <v>867015.78029999998</v>
      </c>
      <c r="C4984" s="1">
        <v>746388.93649298407</v>
      </c>
      <c r="D4984" s="1">
        <f t="shared" si="77"/>
        <v>120626.84380701592</v>
      </c>
      <c r="E4984" s="1">
        <v>18</v>
      </c>
      <c r="F4984" s="1">
        <v>12</v>
      </c>
      <c r="G4984" s="1">
        <v>5</v>
      </c>
      <c r="H4984" s="1">
        <v>0</v>
      </c>
      <c r="I4984" s="1">
        <v>0</v>
      </c>
      <c r="J4984" s="1">
        <v>2</v>
      </c>
      <c r="K4984" s="1">
        <v>0</v>
      </c>
      <c r="L4984" s="1">
        <v>0</v>
      </c>
      <c r="M4984" s="1">
        <v>0</v>
      </c>
    </row>
    <row r="4985" spans="1:13">
      <c r="A4985" s="1">
        <v>4984</v>
      </c>
      <c r="B4985" s="1">
        <v>929194.70319999999</v>
      </c>
      <c r="C4985" s="1">
        <v>731548.0551383096</v>
      </c>
      <c r="D4985" s="1">
        <f t="shared" si="77"/>
        <v>197646.64806169039</v>
      </c>
      <c r="E4985" s="1">
        <v>13</v>
      </c>
      <c r="F4985" s="1">
        <v>18</v>
      </c>
      <c r="G4985" s="1">
        <v>4</v>
      </c>
      <c r="H4985" s="1">
        <v>1</v>
      </c>
      <c r="I4985" s="1">
        <v>1</v>
      </c>
      <c r="J4985" s="1">
        <v>0</v>
      </c>
      <c r="K4985" s="1">
        <v>0</v>
      </c>
      <c r="L4985" s="1">
        <v>0</v>
      </c>
      <c r="M4985" s="1">
        <v>0</v>
      </c>
    </row>
    <row r="4986" spans="1:13">
      <c r="A4986" s="1">
        <v>4985</v>
      </c>
      <c r="B4986" s="1">
        <v>940939.68870000006</v>
      </c>
      <c r="C4986" s="1">
        <v>1145978.602221973</v>
      </c>
      <c r="D4986" s="1">
        <f t="shared" si="77"/>
        <v>-205038.91352197295</v>
      </c>
      <c r="E4986" s="1">
        <v>16</v>
      </c>
      <c r="F4986" s="1">
        <v>15</v>
      </c>
      <c r="G4986" s="1">
        <v>4</v>
      </c>
      <c r="H4986" s="1">
        <v>0</v>
      </c>
      <c r="I4986" s="1">
        <v>1</v>
      </c>
      <c r="J4986" s="1">
        <v>1</v>
      </c>
      <c r="K4986" s="1">
        <v>1</v>
      </c>
      <c r="L4986" s="1">
        <v>0</v>
      </c>
      <c r="M4986" s="1">
        <v>1</v>
      </c>
    </row>
    <row r="4987" spans="1:13">
      <c r="A4987" s="1">
        <v>4986</v>
      </c>
      <c r="B4987" s="1">
        <v>890971.36470000003</v>
      </c>
      <c r="C4987" s="1">
        <v>2225323.1583843054</v>
      </c>
      <c r="D4987" s="1">
        <f t="shared" si="77"/>
        <v>-1334351.7936843054</v>
      </c>
      <c r="E4987" s="1">
        <v>18</v>
      </c>
      <c r="F4987" s="1">
        <v>13</v>
      </c>
      <c r="G4987" s="1">
        <v>4</v>
      </c>
      <c r="H4987" s="1">
        <v>1</v>
      </c>
      <c r="I4987" s="1">
        <v>0</v>
      </c>
      <c r="J4987" s="1">
        <v>0</v>
      </c>
      <c r="K4987" s="1">
        <v>2</v>
      </c>
      <c r="L4987" s="1">
        <v>0</v>
      </c>
      <c r="M4987" s="1">
        <v>1</v>
      </c>
    </row>
    <row r="4988" spans="1:13">
      <c r="A4988" s="1">
        <v>4987</v>
      </c>
      <c r="B4988" s="1">
        <v>972826.5477</v>
      </c>
      <c r="C4988" s="1">
        <v>775782.62550018716</v>
      </c>
      <c r="D4988" s="1">
        <f t="shared" si="77"/>
        <v>197043.92219981283</v>
      </c>
      <c r="E4988" s="1">
        <v>9</v>
      </c>
      <c r="F4988" s="1">
        <v>20</v>
      </c>
      <c r="G4988" s="1">
        <v>6</v>
      </c>
      <c r="H4988" s="1">
        <v>1</v>
      </c>
      <c r="I4988" s="1">
        <v>0</v>
      </c>
      <c r="J4988" s="1">
        <v>0</v>
      </c>
      <c r="K4988" s="1">
        <v>1</v>
      </c>
      <c r="L4988" s="1">
        <v>0</v>
      </c>
      <c r="M4988" s="1">
        <v>0</v>
      </c>
    </row>
    <row r="4989" spans="1:13">
      <c r="A4989" s="1">
        <v>4988</v>
      </c>
      <c r="B4989" s="1">
        <v>957919.74540000001</v>
      </c>
      <c r="C4989" s="1">
        <v>1046671.6924366985</v>
      </c>
      <c r="D4989" s="1">
        <f t="shared" si="77"/>
        <v>-88751.947036698461</v>
      </c>
      <c r="E4989" s="1">
        <v>12</v>
      </c>
      <c r="F4989" s="1">
        <v>17</v>
      </c>
      <c r="G4989" s="1">
        <v>6</v>
      </c>
      <c r="H4989" s="1">
        <v>0</v>
      </c>
      <c r="I4989" s="1">
        <v>0</v>
      </c>
      <c r="J4989" s="1">
        <v>0</v>
      </c>
      <c r="K4989" s="1">
        <v>1</v>
      </c>
      <c r="L4989" s="1">
        <v>0</v>
      </c>
      <c r="M4989" s="1">
        <v>1</v>
      </c>
    </row>
    <row r="4990" spans="1:13">
      <c r="A4990" s="1">
        <v>4989</v>
      </c>
      <c r="B4990" s="1">
        <v>906116.23540000001</v>
      </c>
      <c r="C4990" s="1">
        <v>600357.63086431124</v>
      </c>
      <c r="D4990" s="1">
        <f t="shared" si="77"/>
        <v>305758.60453568876</v>
      </c>
      <c r="E4990" s="1">
        <v>16</v>
      </c>
      <c r="F4990" s="1">
        <v>13</v>
      </c>
      <c r="G4990" s="1">
        <v>6</v>
      </c>
      <c r="H4990" s="1">
        <v>1</v>
      </c>
      <c r="I4990" s="1">
        <v>0</v>
      </c>
      <c r="J4990" s="1">
        <v>0</v>
      </c>
      <c r="K4990" s="1">
        <v>0</v>
      </c>
      <c r="L4990" s="1">
        <v>1</v>
      </c>
      <c r="M4990" s="1">
        <v>0</v>
      </c>
    </row>
    <row r="4991" spans="1:13">
      <c r="A4991" s="1">
        <v>4990</v>
      </c>
      <c r="B4991" s="1">
        <v>975430.17489999998</v>
      </c>
      <c r="C4991" s="1">
        <v>681783.61582779943</v>
      </c>
      <c r="D4991" s="1">
        <f t="shared" si="77"/>
        <v>293646.55907220056</v>
      </c>
      <c r="E4991" s="1">
        <v>12</v>
      </c>
      <c r="F4991" s="1">
        <v>16</v>
      </c>
      <c r="G4991" s="1">
        <v>7</v>
      </c>
      <c r="H4991" s="1">
        <v>1</v>
      </c>
      <c r="I4991" s="1">
        <v>1</v>
      </c>
      <c r="J4991" s="1">
        <v>1</v>
      </c>
      <c r="K4991" s="1">
        <v>0</v>
      </c>
      <c r="L4991" s="1">
        <v>0</v>
      </c>
      <c r="M4991" s="1">
        <v>0</v>
      </c>
    </row>
    <row r="4992" spans="1:13">
      <c r="A4992" s="1">
        <v>4991</v>
      </c>
      <c r="B4992" s="1">
        <v>988805.37809999997</v>
      </c>
      <c r="C4992" s="1">
        <v>623398.18358661584</v>
      </c>
      <c r="D4992" s="1">
        <f t="shared" si="77"/>
        <v>365407.19451338414</v>
      </c>
      <c r="E4992" s="1">
        <v>9</v>
      </c>
      <c r="F4992" s="1">
        <v>22</v>
      </c>
      <c r="G4992" s="1">
        <v>4</v>
      </c>
      <c r="H4992" s="1">
        <v>1</v>
      </c>
      <c r="I4992" s="1">
        <v>0</v>
      </c>
      <c r="J4992" s="1">
        <v>0</v>
      </c>
      <c r="K4992" s="1">
        <v>0</v>
      </c>
      <c r="L4992" s="1">
        <v>0</v>
      </c>
      <c r="M4992" s="1">
        <v>0</v>
      </c>
    </row>
    <row r="4993" spans="1:13">
      <c r="A4993" s="1">
        <v>4992</v>
      </c>
      <c r="B4993" s="1">
        <v>926280.84880000004</v>
      </c>
      <c r="C4993" s="1">
        <v>1236496.2624023524</v>
      </c>
      <c r="D4993" s="1">
        <f t="shared" si="77"/>
        <v>-310215.41360235238</v>
      </c>
      <c r="E4993" s="1">
        <v>16</v>
      </c>
      <c r="F4993" s="1">
        <v>13</v>
      </c>
      <c r="G4993" s="1">
        <v>6</v>
      </c>
      <c r="H4993" s="1">
        <v>0</v>
      </c>
      <c r="I4993" s="1">
        <v>0</v>
      </c>
      <c r="J4993" s="1">
        <v>2</v>
      </c>
      <c r="K4993" s="1">
        <v>0</v>
      </c>
      <c r="L4993" s="1">
        <v>0</v>
      </c>
      <c r="M4993" s="1">
        <v>0</v>
      </c>
    </row>
    <row r="4994" spans="1:13">
      <c r="A4994" s="1">
        <v>4993</v>
      </c>
      <c r="B4994" s="1">
        <v>956336.30099999998</v>
      </c>
      <c r="C4994" s="1">
        <v>467327.55906283285</v>
      </c>
      <c r="D4994" s="1">
        <f t="shared" ref="D4994:D5001" si="78">B4994-C4994</f>
        <v>489008.74193716713</v>
      </c>
      <c r="E4994" s="1">
        <v>8</v>
      </c>
      <c r="F4994" s="1">
        <v>21</v>
      </c>
      <c r="G4994" s="1">
        <v>6</v>
      </c>
      <c r="H4994" s="1">
        <v>1</v>
      </c>
      <c r="I4994" s="1">
        <v>1</v>
      </c>
      <c r="J4994" s="1">
        <v>0</v>
      </c>
      <c r="K4994" s="1">
        <v>1</v>
      </c>
      <c r="L4994" s="1">
        <v>0</v>
      </c>
      <c r="M4994" s="1">
        <v>0</v>
      </c>
    </row>
    <row r="4995" spans="1:13">
      <c r="A4995" s="1">
        <v>4994</v>
      </c>
      <c r="B4995" s="1">
        <v>1059083.9715</v>
      </c>
      <c r="C4995" s="1">
        <v>1254321.1554481345</v>
      </c>
      <c r="D4995" s="1">
        <f t="shared" si="78"/>
        <v>-195237.18394813454</v>
      </c>
      <c r="E4995" s="1">
        <v>9</v>
      </c>
      <c r="F4995" s="1">
        <v>21</v>
      </c>
      <c r="G4995" s="1">
        <v>5</v>
      </c>
      <c r="H4995" s="1">
        <v>1</v>
      </c>
      <c r="I4995" s="1">
        <v>0</v>
      </c>
      <c r="J4995" s="1">
        <v>0</v>
      </c>
      <c r="K4995" s="1">
        <v>1</v>
      </c>
      <c r="L4995" s="1">
        <v>0</v>
      </c>
      <c r="M4995" s="1">
        <v>0</v>
      </c>
    </row>
    <row r="4996" spans="1:13">
      <c r="A4996" s="1">
        <v>4995</v>
      </c>
      <c r="B4996" s="1">
        <v>852745.70940000005</v>
      </c>
      <c r="C4996" s="1">
        <v>694164.66799171199</v>
      </c>
      <c r="D4996" s="1">
        <f t="shared" si="78"/>
        <v>158581.04140828806</v>
      </c>
      <c r="E4996" s="1">
        <v>18</v>
      </c>
      <c r="F4996" s="1">
        <v>12</v>
      </c>
      <c r="G4996" s="1">
        <v>5</v>
      </c>
      <c r="H4996" s="1">
        <v>0</v>
      </c>
      <c r="I4996" s="1">
        <v>1</v>
      </c>
      <c r="J4996" s="1">
        <v>0</v>
      </c>
      <c r="K4996" s="1">
        <v>2</v>
      </c>
      <c r="L4996" s="1">
        <v>0</v>
      </c>
      <c r="M4996" s="1">
        <v>0</v>
      </c>
    </row>
    <row r="4997" spans="1:13">
      <c r="A4997" s="1">
        <v>4996</v>
      </c>
      <c r="B4997" s="1">
        <v>905906.22840000002</v>
      </c>
      <c r="C4997" s="1">
        <v>698891.88246043399</v>
      </c>
      <c r="D4997" s="1">
        <f t="shared" si="78"/>
        <v>207014.34593956603</v>
      </c>
      <c r="E4997" s="1">
        <v>12</v>
      </c>
      <c r="F4997" s="1">
        <v>17</v>
      </c>
      <c r="G4997" s="1">
        <v>6</v>
      </c>
      <c r="H4997" s="1">
        <v>0</v>
      </c>
      <c r="I4997" s="1">
        <v>0</v>
      </c>
      <c r="J4997" s="1">
        <v>2</v>
      </c>
      <c r="K4997" s="1">
        <v>0</v>
      </c>
      <c r="L4997" s="1">
        <v>0</v>
      </c>
      <c r="M4997" s="1">
        <v>0</v>
      </c>
    </row>
    <row r="4998" spans="1:13">
      <c r="A4998" s="1">
        <v>4997</v>
      </c>
      <c r="B4998" s="1">
        <v>820990.64520000003</v>
      </c>
      <c r="C4998" s="1">
        <v>824411.33890518802</v>
      </c>
      <c r="D4998" s="1">
        <f t="shared" si="78"/>
        <v>-3420.6937051879941</v>
      </c>
      <c r="E4998" s="1">
        <v>9</v>
      </c>
      <c r="F4998" s="1">
        <v>19</v>
      </c>
      <c r="G4998" s="1">
        <v>7</v>
      </c>
      <c r="H4998" s="1">
        <v>1</v>
      </c>
      <c r="I4998" s="1">
        <v>0</v>
      </c>
      <c r="J4998" s="1">
        <v>0</v>
      </c>
      <c r="K4998" s="1">
        <v>1</v>
      </c>
      <c r="L4998" s="1">
        <v>0</v>
      </c>
      <c r="M4998" s="1">
        <v>0</v>
      </c>
    </row>
    <row r="4999" spans="1:13">
      <c r="A4999" s="1">
        <v>4998</v>
      </c>
      <c r="B4999" s="1">
        <v>999530.78700000001</v>
      </c>
      <c r="C4999" s="1">
        <v>783716.43868037034</v>
      </c>
      <c r="D4999" s="1">
        <f t="shared" si="78"/>
        <v>215814.34831962967</v>
      </c>
      <c r="E4999" s="1">
        <v>14</v>
      </c>
      <c r="F4999" s="1">
        <v>16</v>
      </c>
      <c r="G4999" s="1">
        <v>5</v>
      </c>
      <c r="H4999" s="1">
        <v>2</v>
      </c>
      <c r="I4999" s="1">
        <v>0</v>
      </c>
      <c r="J4999" s="1">
        <v>0</v>
      </c>
      <c r="K4999" s="1">
        <v>1</v>
      </c>
      <c r="L4999" s="1">
        <v>0</v>
      </c>
      <c r="M4999" s="1">
        <v>0</v>
      </c>
    </row>
    <row r="5000" spans="1:13">
      <c r="A5000" s="1">
        <v>4999</v>
      </c>
      <c r="B5000" s="1">
        <v>897267.7635</v>
      </c>
      <c r="C5000" s="1">
        <v>938763.56398644811</v>
      </c>
      <c r="D5000" s="1">
        <f t="shared" si="78"/>
        <v>-41495.800486448104</v>
      </c>
      <c r="E5000" s="1">
        <v>14</v>
      </c>
      <c r="F5000" s="1">
        <v>17</v>
      </c>
      <c r="G5000" s="1">
        <v>4</v>
      </c>
      <c r="H5000" s="1">
        <v>1</v>
      </c>
      <c r="I5000" s="1">
        <v>0</v>
      </c>
      <c r="J5000" s="1">
        <v>2</v>
      </c>
      <c r="K5000" s="1">
        <v>0</v>
      </c>
      <c r="L5000" s="1">
        <v>0</v>
      </c>
      <c r="M5000" s="1">
        <v>1</v>
      </c>
    </row>
    <row r="5001" spans="1:13">
      <c r="A5001" s="1">
        <v>5000</v>
      </c>
      <c r="B5001" s="1">
        <v>911836.1949</v>
      </c>
      <c r="C5001" s="1">
        <v>753688.78794357507</v>
      </c>
      <c r="D5001" s="1">
        <f t="shared" si="78"/>
        <v>158147.40695642494</v>
      </c>
      <c r="E5001" s="1">
        <v>9</v>
      </c>
      <c r="F5001" s="1">
        <v>20</v>
      </c>
      <c r="G5001" s="1">
        <v>6</v>
      </c>
      <c r="H5001" s="1">
        <v>2</v>
      </c>
      <c r="I5001" s="1">
        <v>0</v>
      </c>
      <c r="J5001" s="1">
        <v>0</v>
      </c>
      <c r="K5001" s="1">
        <v>2</v>
      </c>
      <c r="L5001" s="1">
        <v>0</v>
      </c>
      <c r="M5001" s="1">
        <v>0</v>
      </c>
    </row>
  </sheetData>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82" r:id="rId4" name="Button 2">
              <controlPr defaultSize="0" print="0" autoFill="0" autoPict="0" macro="[0]!RunFullSimulation1000_Dashboard">
                <anchor moveWithCells="1" sizeWithCells="1">
                  <from>
                    <xdr:col>14</xdr:col>
                    <xdr:colOff>585788</xdr:colOff>
                    <xdr:row>15</xdr:row>
                    <xdr:rowOff>114300</xdr:rowOff>
                  </from>
                  <to>
                    <xdr:col>17</xdr:col>
                    <xdr:colOff>214313</xdr:colOff>
                    <xdr:row>22</xdr:row>
                    <xdr:rowOff>138113</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E8736394-E522-48E7-9402-94D3530CA4C6}">
          <x14:formula1>
            <xm:f>'t4_Income from 30-64'!$AG$2:$AG$6</xm:f>
          </x14:formula1>
          <xm:sqref>Q2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AB2A9-9C39-41FC-9B08-1FCEBCE5CE8B}">
  <sheetPr codeName="Sheet16">
    <tabColor rgb="FFFF0000"/>
  </sheetPr>
  <dimension ref="A1:I73"/>
  <sheetViews>
    <sheetView workbookViewId="0">
      <selection activeCell="P21" sqref="P21"/>
    </sheetView>
  </sheetViews>
  <sheetFormatPr defaultColWidth="8.73046875" defaultRowHeight="13.5"/>
  <cols>
    <col min="1" max="1" width="13.46484375" style="168" customWidth="1"/>
    <col min="2" max="2" width="12.59765625" style="168" customWidth="1"/>
    <col min="3" max="3" width="21" style="168" bestFit="1" customWidth="1"/>
    <col min="4" max="4" width="14.265625" style="168" bestFit="1" customWidth="1"/>
    <col min="5" max="5" width="11.3984375" style="168" bestFit="1" customWidth="1"/>
    <col min="6" max="6" width="11" style="168" bestFit="1" customWidth="1"/>
    <col min="7" max="7" width="16" style="168" bestFit="1" customWidth="1"/>
    <col min="8" max="8" width="13.86328125" style="168" bestFit="1" customWidth="1"/>
    <col min="9" max="9" width="9" style="168" bestFit="1" customWidth="1"/>
    <col min="10" max="16384" width="8.73046875" style="168"/>
  </cols>
  <sheetData>
    <row r="1" spans="1:9">
      <c r="A1" s="176" t="s">
        <v>70</v>
      </c>
      <c r="B1" s="176" t="s">
        <v>71</v>
      </c>
      <c r="C1" s="176" t="s">
        <v>72</v>
      </c>
      <c r="D1" s="176" t="s">
        <v>73</v>
      </c>
      <c r="E1" s="176" t="s">
        <v>74</v>
      </c>
      <c r="F1" s="176" t="s">
        <v>75</v>
      </c>
      <c r="G1" s="176" t="s">
        <v>76</v>
      </c>
      <c r="H1" s="176" t="s">
        <v>77</v>
      </c>
      <c r="I1" s="176" t="s">
        <v>78</v>
      </c>
    </row>
    <row r="2" spans="1:9">
      <c r="A2" s="177" t="s">
        <v>79</v>
      </c>
      <c r="B2" s="177" t="s">
        <v>80</v>
      </c>
      <c r="C2" s="177" t="s">
        <v>81</v>
      </c>
      <c r="D2" s="177" t="s">
        <v>82</v>
      </c>
      <c r="E2" s="177" t="s">
        <v>83</v>
      </c>
      <c r="F2" s="177">
        <v>190263</v>
      </c>
      <c r="G2" s="177">
        <v>5.126E-2</v>
      </c>
      <c r="H2" s="177">
        <v>9752.8813800000007</v>
      </c>
      <c r="I2" s="177" t="b">
        <v>0</v>
      </c>
    </row>
    <row r="3" spans="1:9">
      <c r="A3" s="177" t="s">
        <v>79</v>
      </c>
      <c r="B3" s="177" t="s">
        <v>80</v>
      </c>
      <c r="C3" s="177" t="s">
        <v>81</v>
      </c>
      <c r="D3" s="177" t="s">
        <v>82</v>
      </c>
      <c r="E3" s="177" t="s">
        <v>84</v>
      </c>
      <c r="F3" s="177">
        <v>205972</v>
      </c>
      <c r="G3" s="177">
        <v>1.5710999999999999E-2</v>
      </c>
      <c r="H3" s="177">
        <v>3236.0260920000001</v>
      </c>
      <c r="I3" s="177" t="b">
        <v>0</v>
      </c>
    </row>
    <row r="4" spans="1:9">
      <c r="A4" s="177" t="s">
        <v>79</v>
      </c>
      <c r="B4" s="177" t="s">
        <v>80</v>
      </c>
      <c r="C4" s="177" t="s">
        <v>81</v>
      </c>
      <c r="D4" s="177" t="s">
        <v>85</v>
      </c>
      <c r="E4" s="177" t="s">
        <v>83</v>
      </c>
      <c r="F4" s="177">
        <v>206847</v>
      </c>
      <c r="G4" s="177">
        <v>2.1162E-2</v>
      </c>
      <c r="H4" s="177">
        <v>4377.296214</v>
      </c>
      <c r="I4" s="177" t="b">
        <v>0</v>
      </c>
    </row>
    <row r="5" spans="1:9">
      <c r="A5" s="177" t="s">
        <v>79</v>
      </c>
      <c r="B5" s="177" t="s">
        <v>80</v>
      </c>
      <c r="C5" s="177" t="s">
        <v>81</v>
      </c>
      <c r="D5" s="177" t="s">
        <v>85</v>
      </c>
      <c r="E5" s="177" t="s">
        <v>84</v>
      </c>
      <c r="F5" s="177">
        <v>207132</v>
      </c>
      <c r="G5" s="177">
        <v>6.4859999999999996E-3</v>
      </c>
      <c r="H5" s="177">
        <v>1343.4581519999999</v>
      </c>
      <c r="I5" s="177" t="b">
        <v>0</v>
      </c>
    </row>
    <row r="6" spans="1:9" s="169" customFormat="1">
      <c r="A6" s="178" t="s">
        <v>79</v>
      </c>
      <c r="B6" s="178" t="s">
        <v>80</v>
      </c>
      <c r="C6" s="178" t="s">
        <v>86</v>
      </c>
      <c r="D6" s="178" t="s">
        <v>82</v>
      </c>
      <c r="E6" s="178" t="s">
        <v>83</v>
      </c>
      <c r="F6" s="178">
        <v>197159</v>
      </c>
      <c r="G6" s="178">
        <v>0.12936</v>
      </c>
      <c r="H6" s="178">
        <v>25504.488239999999</v>
      </c>
      <c r="I6" s="178" t="b">
        <v>1</v>
      </c>
    </row>
    <row r="7" spans="1:9">
      <c r="A7" s="177" t="s">
        <v>79</v>
      </c>
      <c r="B7" s="177" t="s">
        <v>80</v>
      </c>
      <c r="C7" s="177" t="s">
        <v>86</v>
      </c>
      <c r="D7" s="177" t="s">
        <v>82</v>
      </c>
      <c r="E7" s="177" t="s">
        <v>84</v>
      </c>
      <c r="F7" s="177">
        <v>177288</v>
      </c>
      <c r="G7" s="177">
        <v>3.9649999999999998E-2</v>
      </c>
      <c r="H7" s="177">
        <v>7029.4691999999995</v>
      </c>
      <c r="I7" s="177" t="b">
        <v>0</v>
      </c>
    </row>
    <row r="8" spans="1:9">
      <c r="A8" s="177" t="s">
        <v>79</v>
      </c>
      <c r="B8" s="177" t="s">
        <v>80</v>
      </c>
      <c r="C8" s="177" t="s">
        <v>86</v>
      </c>
      <c r="D8" s="177" t="s">
        <v>85</v>
      </c>
      <c r="E8" s="177" t="s">
        <v>83</v>
      </c>
      <c r="F8" s="177">
        <v>208423</v>
      </c>
      <c r="G8" s="177">
        <v>5.3402999999999999E-2</v>
      </c>
      <c r="H8" s="177">
        <v>11130.413468999999</v>
      </c>
      <c r="I8" s="177" t="b">
        <v>0</v>
      </c>
    </row>
    <row r="9" spans="1:9">
      <c r="A9" s="177" t="s">
        <v>79</v>
      </c>
      <c r="B9" s="177" t="s">
        <v>80</v>
      </c>
      <c r="C9" s="177" t="s">
        <v>86</v>
      </c>
      <c r="D9" s="177" t="s">
        <v>85</v>
      </c>
      <c r="E9" s="177" t="s">
        <v>84</v>
      </c>
      <c r="F9" s="177">
        <v>199340</v>
      </c>
      <c r="G9" s="177">
        <v>1.6368000000000001E-2</v>
      </c>
      <c r="H9" s="177">
        <v>3262.7971200000002</v>
      </c>
      <c r="I9" s="177" t="b">
        <v>0</v>
      </c>
    </row>
    <row r="10" spans="1:9">
      <c r="A10" s="177" t="s">
        <v>79</v>
      </c>
      <c r="B10" s="177" t="s">
        <v>87</v>
      </c>
      <c r="C10" s="177" t="s">
        <v>81</v>
      </c>
      <c r="D10" s="177" t="s">
        <v>82</v>
      </c>
      <c r="E10" s="177" t="s">
        <v>83</v>
      </c>
      <c r="F10" s="177">
        <v>161047</v>
      </c>
      <c r="G10" s="177">
        <v>5.126E-2</v>
      </c>
      <c r="H10" s="177">
        <v>8255.2692200000001</v>
      </c>
      <c r="I10" s="177" t="b">
        <v>0</v>
      </c>
    </row>
    <row r="11" spans="1:9">
      <c r="A11" s="177" t="s">
        <v>79</v>
      </c>
      <c r="B11" s="177" t="s">
        <v>87</v>
      </c>
      <c r="C11" s="177" t="s">
        <v>81</v>
      </c>
      <c r="D11" s="177" t="s">
        <v>82</v>
      </c>
      <c r="E11" s="177" t="s">
        <v>84</v>
      </c>
      <c r="F11" s="177">
        <v>186605</v>
      </c>
      <c r="G11" s="177">
        <v>1.5710999999999999E-2</v>
      </c>
      <c r="H11" s="177">
        <v>2931.7511549999999</v>
      </c>
      <c r="I11" s="177" t="b">
        <v>0</v>
      </c>
    </row>
    <row r="12" spans="1:9">
      <c r="A12" s="177" t="s">
        <v>79</v>
      </c>
      <c r="B12" s="177" t="s">
        <v>87</v>
      </c>
      <c r="C12" s="177" t="s">
        <v>81</v>
      </c>
      <c r="D12" s="177" t="s">
        <v>85</v>
      </c>
      <c r="E12" s="177" t="s">
        <v>83</v>
      </c>
      <c r="F12" s="177">
        <v>190244</v>
      </c>
      <c r="G12" s="177">
        <v>2.1162E-2</v>
      </c>
      <c r="H12" s="177">
        <v>4025.9435279999998</v>
      </c>
      <c r="I12" s="177" t="b">
        <v>0</v>
      </c>
    </row>
    <row r="13" spans="1:9">
      <c r="A13" s="177" t="s">
        <v>79</v>
      </c>
      <c r="B13" s="177" t="s">
        <v>87</v>
      </c>
      <c r="C13" s="177" t="s">
        <v>81</v>
      </c>
      <c r="D13" s="177" t="s">
        <v>85</v>
      </c>
      <c r="E13" s="177" t="s">
        <v>84</v>
      </c>
      <c r="F13" s="177">
        <v>175228</v>
      </c>
      <c r="G13" s="177">
        <v>6.4859999999999996E-3</v>
      </c>
      <c r="H13" s="177">
        <v>1136.528808</v>
      </c>
      <c r="I13" s="177" t="b">
        <v>0</v>
      </c>
    </row>
    <row r="14" spans="1:9">
      <c r="A14" s="177" t="s">
        <v>79</v>
      </c>
      <c r="B14" s="177" t="s">
        <v>87</v>
      </c>
      <c r="C14" s="177" t="s">
        <v>86</v>
      </c>
      <c r="D14" s="177" t="s">
        <v>82</v>
      </c>
      <c r="E14" s="177" t="s">
        <v>83</v>
      </c>
      <c r="F14" s="177">
        <v>175855</v>
      </c>
      <c r="G14" s="177">
        <v>0.12936</v>
      </c>
      <c r="H14" s="177">
        <v>22748.602800000001</v>
      </c>
      <c r="I14" s="177" t="b">
        <v>0</v>
      </c>
    </row>
    <row r="15" spans="1:9">
      <c r="A15" s="177" t="s">
        <v>79</v>
      </c>
      <c r="B15" s="177" t="s">
        <v>87</v>
      </c>
      <c r="C15" s="177" t="s">
        <v>86</v>
      </c>
      <c r="D15" s="177" t="s">
        <v>82</v>
      </c>
      <c r="E15" s="177" t="s">
        <v>84</v>
      </c>
      <c r="F15" s="177">
        <v>170516</v>
      </c>
      <c r="G15" s="177">
        <v>3.9649999999999998E-2</v>
      </c>
      <c r="H15" s="177">
        <v>6760.9593999999997</v>
      </c>
      <c r="I15" s="177" t="b">
        <v>0</v>
      </c>
    </row>
    <row r="16" spans="1:9">
      <c r="A16" s="177" t="s">
        <v>79</v>
      </c>
      <c r="B16" s="177" t="s">
        <v>87</v>
      </c>
      <c r="C16" s="177" t="s">
        <v>86</v>
      </c>
      <c r="D16" s="177" t="s">
        <v>85</v>
      </c>
      <c r="E16" s="177" t="s">
        <v>83</v>
      </c>
      <c r="F16" s="177">
        <v>180537</v>
      </c>
      <c r="G16" s="177">
        <v>5.3402999999999999E-2</v>
      </c>
      <c r="H16" s="177">
        <v>9641.2174109999996</v>
      </c>
      <c r="I16" s="177" t="b">
        <v>0</v>
      </c>
    </row>
    <row r="17" spans="1:9">
      <c r="A17" s="177" t="s">
        <v>79</v>
      </c>
      <c r="B17" s="177" t="s">
        <v>87</v>
      </c>
      <c r="C17" s="177" t="s">
        <v>86</v>
      </c>
      <c r="D17" s="177" t="s">
        <v>85</v>
      </c>
      <c r="E17" s="177" t="s">
        <v>84</v>
      </c>
      <c r="F17" s="177">
        <v>177595</v>
      </c>
      <c r="G17" s="177">
        <v>1.6368000000000001E-2</v>
      </c>
      <c r="H17" s="177">
        <v>2906.8749600000001</v>
      </c>
      <c r="I17" s="177" t="b">
        <v>0</v>
      </c>
    </row>
    <row r="18" spans="1:9">
      <c r="A18" s="177" t="s">
        <v>79</v>
      </c>
      <c r="B18" s="177" t="s">
        <v>88</v>
      </c>
      <c r="C18" s="177" t="s">
        <v>81</v>
      </c>
      <c r="D18" s="177" t="s">
        <v>82</v>
      </c>
      <c r="E18" s="177" t="s">
        <v>83</v>
      </c>
      <c r="F18" s="177">
        <v>153180</v>
      </c>
      <c r="G18" s="177">
        <v>5.126E-2</v>
      </c>
      <c r="H18" s="177">
        <v>7852.0068000000001</v>
      </c>
      <c r="I18" s="177" t="b">
        <v>0</v>
      </c>
    </row>
    <row r="19" spans="1:9">
      <c r="A19" s="177" t="s">
        <v>79</v>
      </c>
      <c r="B19" s="177" t="s">
        <v>88</v>
      </c>
      <c r="C19" s="177" t="s">
        <v>81</v>
      </c>
      <c r="D19" s="177" t="s">
        <v>82</v>
      </c>
      <c r="E19" s="177" t="s">
        <v>84</v>
      </c>
      <c r="F19" s="177">
        <v>173384</v>
      </c>
      <c r="G19" s="177">
        <v>1.5710999999999999E-2</v>
      </c>
      <c r="H19" s="177">
        <v>2724.036024</v>
      </c>
      <c r="I19" s="177" t="b">
        <v>0</v>
      </c>
    </row>
    <row r="20" spans="1:9">
      <c r="A20" s="177" t="s">
        <v>79</v>
      </c>
      <c r="B20" s="177" t="s">
        <v>88</v>
      </c>
      <c r="C20" s="177" t="s">
        <v>81</v>
      </c>
      <c r="D20" s="177" t="s">
        <v>85</v>
      </c>
      <c r="E20" s="177" t="s">
        <v>83</v>
      </c>
      <c r="F20" s="177">
        <v>162735</v>
      </c>
      <c r="G20" s="177">
        <v>2.1162E-2</v>
      </c>
      <c r="H20" s="177">
        <v>3443.7980699999998</v>
      </c>
      <c r="I20" s="177" t="b">
        <v>0</v>
      </c>
    </row>
    <row r="21" spans="1:9">
      <c r="A21" s="177" t="s">
        <v>79</v>
      </c>
      <c r="B21" s="177" t="s">
        <v>88</v>
      </c>
      <c r="C21" s="177" t="s">
        <v>81</v>
      </c>
      <c r="D21" s="177" t="s">
        <v>85</v>
      </c>
      <c r="E21" s="177" t="s">
        <v>84</v>
      </c>
      <c r="F21" s="177">
        <v>156904</v>
      </c>
      <c r="G21" s="177">
        <v>6.4859999999999996E-3</v>
      </c>
      <c r="H21" s="177">
        <v>1017.679344</v>
      </c>
      <c r="I21" s="177" t="b">
        <v>0</v>
      </c>
    </row>
    <row r="22" spans="1:9">
      <c r="A22" s="177" t="s">
        <v>79</v>
      </c>
      <c r="B22" s="177" t="s">
        <v>88</v>
      </c>
      <c r="C22" s="177" t="s">
        <v>86</v>
      </c>
      <c r="D22" s="177" t="s">
        <v>82</v>
      </c>
      <c r="E22" s="177" t="s">
        <v>83</v>
      </c>
      <c r="F22" s="177">
        <v>150375</v>
      </c>
      <c r="G22" s="177">
        <v>0.12936</v>
      </c>
      <c r="H22" s="177">
        <v>19452.509999999998</v>
      </c>
      <c r="I22" s="177" t="b">
        <v>0</v>
      </c>
    </row>
    <row r="23" spans="1:9">
      <c r="A23" s="177" t="s">
        <v>79</v>
      </c>
      <c r="B23" s="177" t="s">
        <v>88</v>
      </c>
      <c r="C23" s="177" t="s">
        <v>86</v>
      </c>
      <c r="D23" s="177" t="s">
        <v>82</v>
      </c>
      <c r="E23" s="177" t="s">
        <v>84</v>
      </c>
      <c r="F23" s="177">
        <v>161332</v>
      </c>
      <c r="G23" s="177">
        <v>3.9649999999999998E-2</v>
      </c>
      <c r="H23" s="177">
        <v>6396.8137999999999</v>
      </c>
      <c r="I23" s="177" t="b">
        <v>0</v>
      </c>
    </row>
    <row r="24" spans="1:9">
      <c r="A24" s="177" t="s">
        <v>79</v>
      </c>
      <c r="B24" s="177" t="s">
        <v>88</v>
      </c>
      <c r="C24" s="177" t="s">
        <v>86</v>
      </c>
      <c r="D24" s="177" t="s">
        <v>85</v>
      </c>
      <c r="E24" s="177" t="s">
        <v>83</v>
      </c>
      <c r="F24" s="177">
        <v>162020</v>
      </c>
      <c r="G24" s="177">
        <v>5.3402999999999999E-2</v>
      </c>
      <c r="H24" s="177">
        <v>8652.3540599999997</v>
      </c>
      <c r="I24" s="177" t="b">
        <v>0</v>
      </c>
    </row>
    <row r="25" spans="1:9">
      <c r="A25" s="177" t="s">
        <v>79</v>
      </c>
      <c r="B25" s="177" t="s">
        <v>88</v>
      </c>
      <c r="C25" s="177" t="s">
        <v>86</v>
      </c>
      <c r="D25" s="177" t="s">
        <v>85</v>
      </c>
      <c r="E25" s="177" t="s">
        <v>84</v>
      </c>
      <c r="F25" s="177">
        <v>156298</v>
      </c>
      <c r="G25" s="177">
        <v>1.6368000000000001E-2</v>
      </c>
      <c r="H25" s="177">
        <v>2558.285664</v>
      </c>
      <c r="I25" s="177" t="b">
        <v>0</v>
      </c>
    </row>
    <row r="26" spans="1:9">
      <c r="A26" s="177" t="s">
        <v>89</v>
      </c>
      <c r="B26" s="177" t="s">
        <v>80</v>
      </c>
      <c r="C26" s="177" t="s">
        <v>81</v>
      </c>
      <c r="D26" s="177" t="s">
        <v>82</v>
      </c>
      <c r="E26" s="177" t="s">
        <v>83</v>
      </c>
      <c r="F26" s="177">
        <v>249942</v>
      </c>
      <c r="G26" s="177">
        <v>5.126E-2</v>
      </c>
      <c r="H26" s="177">
        <v>12812.02692</v>
      </c>
      <c r="I26" s="177" t="b">
        <v>0</v>
      </c>
    </row>
    <row r="27" spans="1:9">
      <c r="A27" s="177" t="s">
        <v>89</v>
      </c>
      <c r="B27" s="177" t="s">
        <v>80</v>
      </c>
      <c r="C27" s="177" t="s">
        <v>81</v>
      </c>
      <c r="D27" s="177" t="s">
        <v>82</v>
      </c>
      <c r="E27" s="177" t="s">
        <v>84</v>
      </c>
      <c r="F27" s="177">
        <v>245788</v>
      </c>
      <c r="G27" s="177">
        <v>1.5710999999999999E-2</v>
      </c>
      <c r="H27" s="177">
        <v>3861.5752680000001</v>
      </c>
      <c r="I27" s="177" t="b">
        <v>0</v>
      </c>
    </row>
    <row r="28" spans="1:9">
      <c r="A28" s="177" t="s">
        <v>89</v>
      </c>
      <c r="B28" s="177" t="s">
        <v>80</v>
      </c>
      <c r="C28" s="177" t="s">
        <v>81</v>
      </c>
      <c r="D28" s="177" t="s">
        <v>85</v>
      </c>
      <c r="E28" s="177" t="s">
        <v>83</v>
      </c>
      <c r="F28" s="177">
        <v>236626</v>
      </c>
      <c r="G28" s="177">
        <v>2.1162E-2</v>
      </c>
      <c r="H28" s="177">
        <v>5007.4794119999997</v>
      </c>
      <c r="I28" s="177" t="b">
        <v>0</v>
      </c>
    </row>
    <row r="29" spans="1:9">
      <c r="A29" s="177" t="s">
        <v>89</v>
      </c>
      <c r="B29" s="177" t="s">
        <v>80</v>
      </c>
      <c r="C29" s="177" t="s">
        <v>81</v>
      </c>
      <c r="D29" s="177" t="s">
        <v>85</v>
      </c>
      <c r="E29" s="177" t="s">
        <v>84</v>
      </c>
      <c r="F29" s="177">
        <v>245773</v>
      </c>
      <c r="G29" s="177">
        <v>6.4859999999999996E-3</v>
      </c>
      <c r="H29" s="177">
        <v>1594.083678</v>
      </c>
      <c r="I29" s="177" t="b">
        <v>0</v>
      </c>
    </row>
    <row r="30" spans="1:9">
      <c r="A30" s="177" t="s">
        <v>89</v>
      </c>
      <c r="B30" s="177" t="s">
        <v>80</v>
      </c>
      <c r="C30" s="177" t="s">
        <v>86</v>
      </c>
      <c r="D30" s="177" t="s">
        <v>82</v>
      </c>
      <c r="E30" s="177" t="s">
        <v>83</v>
      </c>
      <c r="F30" s="177">
        <v>246983</v>
      </c>
      <c r="G30" s="177">
        <v>0.12936</v>
      </c>
      <c r="H30" s="177">
        <v>31949.720880000001</v>
      </c>
      <c r="I30" s="177" t="b">
        <v>0</v>
      </c>
    </row>
    <row r="31" spans="1:9">
      <c r="A31" s="177" t="s">
        <v>89</v>
      </c>
      <c r="B31" s="177" t="s">
        <v>80</v>
      </c>
      <c r="C31" s="177" t="s">
        <v>86</v>
      </c>
      <c r="D31" s="177" t="s">
        <v>82</v>
      </c>
      <c r="E31" s="177" t="s">
        <v>84</v>
      </c>
      <c r="F31" s="177">
        <v>238874</v>
      </c>
      <c r="G31" s="177">
        <v>3.9649999999999998E-2</v>
      </c>
      <c r="H31" s="177">
        <v>9471.3541000000005</v>
      </c>
      <c r="I31" s="177" t="b">
        <v>0</v>
      </c>
    </row>
    <row r="32" spans="1:9">
      <c r="A32" s="177" t="s">
        <v>89</v>
      </c>
      <c r="B32" s="177" t="s">
        <v>80</v>
      </c>
      <c r="C32" s="177" t="s">
        <v>86</v>
      </c>
      <c r="D32" s="177" t="s">
        <v>85</v>
      </c>
      <c r="E32" s="177" t="s">
        <v>83</v>
      </c>
      <c r="F32" s="177">
        <v>232890</v>
      </c>
      <c r="G32" s="177">
        <v>5.3402999999999999E-2</v>
      </c>
      <c r="H32" s="177">
        <v>12437.024670000001</v>
      </c>
      <c r="I32" s="177" t="b">
        <v>0</v>
      </c>
    </row>
    <row r="33" spans="1:9">
      <c r="A33" s="177" t="s">
        <v>89</v>
      </c>
      <c r="B33" s="177" t="s">
        <v>80</v>
      </c>
      <c r="C33" s="177" t="s">
        <v>86</v>
      </c>
      <c r="D33" s="177" t="s">
        <v>85</v>
      </c>
      <c r="E33" s="177" t="s">
        <v>84</v>
      </c>
      <c r="F33" s="177">
        <v>236743</v>
      </c>
      <c r="G33" s="177">
        <v>1.6368000000000001E-2</v>
      </c>
      <c r="H33" s="177">
        <v>3875.0094239999999</v>
      </c>
      <c r="I33" s="177" t="b">
        <v>0</v>
      </c>
    </row>
    <row r="34" spans="1:9">
      <c r="A34" s="177" t="s">
        <v>89</v>
      </c>
      <c r="B34" s="177" t="s">
        <v>87</v>
      </c>
      <c r="C34" s="177" t="s">
        <v>81</v>
      </c>
      <c r="D34" s="177" t="s">
        <v>82</v>
      </c>
      <c r="E34" s="177" t="s">
        <v>83</v>
      </c>
      <c r="F34" s="177">
        <v>270848</v>
      </c>
      <c r="G34" s="177">
        <v>5.126E-2</v>
      </c>
      <c r="H34" s="177">
        <v>13883.66848</v>
      </c>
      <c r="I34" s="177" t="b">
        <v>0</v>
      </c>
    </row>
    <row r="35" spans="1:9">
      <c r="A35" s="177" t="s">
        <v>89</v>
      </c>
      <c r="B35" s="177" t="s">
        <v>87</v>
      </c>
      <c r="C35" s="177" t="s">
        <v>81</v>
      </c>
      <c r="D35" s="177" t="s">
        <v>82</v>
      </c>
      <c r="E35" s="177" t="s">
        <v>84</v>
      </c>
      <c r="F35" s="177">
        <v>281824</v>
      </c>
      <c r="G35" s="177">
        <v>1.5710999999999999E-2</v>
      </c>
      <c r="H35" s="177">
        <v>4427.7368640000004</v>
      </c>
      <c r="I35" s="177" t="b">
        <v>0</v>
      </c>
    </row>
    <row r="36" spans="1:9">
      <c r="A36" s="177" t="s">
        <v>89</v>
      </c>
      <c r="B36" s="177" t="s">
        <v>87</v>
      </c>
      <c r="C36" s="177" t="s">
        <v>81</v>
      </c>
      <c r="D36" s="177" t="s">
        <v>85</v>
      </c>
      <c r="E36" s="177" t="s">
        <v>83</v>
      </c>
      <c r="F36" s="177">
        <v>278075</v>
      </c>
      <c r="G36" s="177">
        <v>2.1162E-2</v>
      </c>
      <c r="H36" s="177">
        <v>5884.6231500000004</v>
      </c>
      <c r="I36" s="177" t="b">
        <v>0</v>
      </c>
    </row>
    <row r="37" spans="1:9">
      <c r="A37" s="177" t="s">
        <v>89</v>
      </c>
      <c r="B37" s="177" t="s">
        <v>87</v>
      </c>
      <c r="C37" s="177" t="s">
        <v>81</v>
      </c>
      <c r="D37" s="177" t="s">
        <v>85</v>
      </c>
      <c r="E37" s="177" t="s">
        <v>84</v>
      </c>
      <c r="F37" s="177">
        <v>252425</v>
      </c>
      <c r="G37" s="177">
        <v>6.4859999999999996E-3</v>
      </c>
      <c r="H37" s="177">
        <v>1637.22855</v>
      </c>
      <c r="I37" s="177" t="b">
        <v>0</v>
      </c>
    </row>
    <row r="38" spans="1:9">
      <c r="A38" s="177" t="s">
        <v>89</v>
      </c>
      <c r="B38" s="177" t="s">
        <v>87</v>
      </c>
      <c r="C38" s="177" t="s">
        <v>86</v>
      </c>
      <c r="D38" s="177" t="s">
        <v>82</v>
      </c>
      <c r="E38" s="177" t="s">
        <v>83</v>
      </c>
      <c r="F38" s="177">
        <v>275881</v>
      </c>
      <c r="G38" s="177">
        <v>0.12936</v>
      </c>
      <c r="H38" s="177">
        <v>35687.966160000004</v>
      </c>
      <c r="I38" s="177" t="b">
        <v>0</v>
      </c>
    </row>
    <row r="39" spans="1:9">
      <c r="A39" s="177" t="s">
        <v>89</v>
      </c>
      <c r="B39" s="177" t="s">
        <v>87</v>
      </c>
      <c r="C39" s="177" t="s">
        <v>86</v>
      </c>
      <c r="D39" s="177" t="s">
        <v>82</v>
      </c>
      <c r="E39" s="177" t="s">
        <v>84</v>
      </c>
      <c r="F39" s="177">
        <v>268360</v>
      </c>
      <c r="G39" s="177">
        <v>3.9649999999999998E-2</v>
      </c>
      <c r="H39" s="177">
        <v>10640.474</v>
      </c>
      <c r="I39" s="177" t="b">
        <v>0</v>
      </c>
    </row>
    <row r="40" spans="1:9">
      <c r="A40" s="177" t="s">
        <v>89</v>
      </c>
      <c r="B40" s="177" t="s">
        <v>87</v>
      </c>
      <c r="C40" s="177" t="s">
        <v>86</v>
      </c>
      <c r="D40" s="177" t="s">
        <v>85</v>
      </c>
      <c r="E40" s="177" t="s">
        <v>83</v>
      </c>
      <c r="F40" s="177">
        <v>277387</v>
      </c>
      <c r="G40" s="177">
        <v>5.3402999999999999E-2</v>
      </c>
      <c r="H40" s="177">
        <v>14813.297961</v>
      </c>
      <c r="I40" s="177" t="b">
        <v>0</v>
      </c>
    </row>
    <row r="41" spans="1:9">
      <c r="A41" s="177" t="s">
        <v>89</v>
      </c>
      <c r="B41" s="177" t="s">
        <v>87</v>
      </c>
      <c r="C41" s="177" t="s">
        <v>86</v>
      </c>
      <c r="D41" s="177" t="s">
        <v>85</v>
      </c>
      <c r="E41" s="177" t="s">
        <v>84</v>
      </c>
      <c r="F41" s="177">
        <v>270535</v>
      </c>
      <c r="G41" s="177">
        <v>1.6368000000000001E-2</v>
      </c>
      <c r="H41" s="177">
        <v>4428.1168799999996</v>
      </c>
      <c r="I41" s="177" t="b">
        <v>0</v>
      </c>
    </row>
    <row r="42" spans="1:9">
      <c r="A42" s="177" t="s">
        <v>89</v>
      </c>
      <c r="B42" s="177" t="s">
        <v>88</v>
      </c>
      <c r="C42" s="177" t="s">
        <v>81</v>
      </c>
      <c r="D42" s="177" t="s">
        <v>82</v>
      </c>
      <c r="E42" s="177" t="s">
        <v>83</v>
      </c>
      <c r="F42" s="177">
        <v>294666</v>
      </c>
      <c r="G42" s="177">
        <v>5.126E-2</v>
      </c>
      <c r="H42" s="177">
        <v>15104.579159999999</v>
      </c>
      <c r="I42" s="177" t="b">
        <v>0</v>
      </c>
    </row>
    <row r="43" spans="1:9">
      <c r="A43" s="177" t="s">
        <v>89</v>
      </c>
      <c r="B43" s="177" t="s">
        <v>88</v>
      </c>
      <c r="C43" s="177" t="s">
        <v>81</v>
      </c>
      <c r="D43" s="177" t="s">
        <v>82</v>
      </c>
      <c r="E43" s="177" t="s">
        <v>84</v>
      </c>
      <c r="F43" s="177">
        <v>304891</v>
      </c>
      <c r="G43" s="177">
        <v>1.5710999999999999E-2</v>
      </c>
      <c r="H43" s="177">
        <v>4790.1425010000003</v>
      </c>
      <c r="I43" s="177" t="b">
        <v>0</v>
      </c>
    </row>
    <row r="44" spans="1:9">
      <c r="A44" s="177" t="s">
        <v>89</v>
      </c>
      <c r="B44" s="177" t="s">
        <v>88</v>
      </c>
      <c r="C44" s="177" t="s">
        <v>81</v>
      </c>
      <c r="D44" s="177" t="s">
        <v>85</v>
      </c>
      <c r="E44" s="177" t="s">
        <v>83</v>
      </c>
      <c r="F44" s="177">
        <v>288795</v>
      </c>
      <c r="G44" s="177">
        <v>2.1162E-2</v>
      </c>
      <c r="H44" s="177">
        <v>6111.4797900000003</v>
      </c>
      <c r="I44" s="177" t="b">
        <v>0</v>
      </c>
    </row>
    <row r="45" spans="1:9">
      <c r="A45" s="177" t="s">
        <v>89</v>
      </c>
      <c r="B45" s="177" t="s">
        <v>88</v>
      </c>
      <c r="C45" s="177" t="s">
        <v>81</v>
      </c>
      <c r="D45" s="177" t="s">
        <v>85</v>
      </c>
      <c r="E45" s="177" t="s">
        <v>84</v>
      </c>
      <c r="F45" s="177">
        <v>291811</v>
      </c>
      <c r="G45" s="177">
        <v>6.4859999999999996E-3</v>
      </c>
      <c r="H45" s="177">
        <v>1892.686146</v>
      </c>
      <c r="I45" s="177" t="b">
        <v>0</v>
      </c>
    </row>
    <row r="46" spans="1:9" s="169" customFormat="1">
      <c r="A46" s="178" t="s">
        <v>89</v>
      </c>
      <c r="B46" s="178" t="s">
        <v>88</v>
      </c>
      <c r="C46" s="178" t="s">
        <v>86</v>
      </c>
      <c r="D46" s="178" t="s">
        <v>82</v>
      </c>
      <c r="E46" s="178" t="s">
        <v>83</v>
      </c>
      <c r="F46" s="178">
        <v>296952</v>
      </c>
      <c r="G46" s="178">
        <v>0.12936</v>
      </c>
      <c r="H46" s="178">
        <v>38413.710720000003</v>
      </c>
      <c r="I46" s="178" t="b">
        <v>1</v>
      </c>
    </row>
    <row r="47" spans="1:9">
      <c r="A47" s="177" t="s">
        <v>89</v>
      </c>
      <c r="B47" s="177" t="s">
        <v>88</v>
      </c>
      <c r="C47" s="177" t="s">
        <v>86</v>
      </c>
      <c r="D47" s="177" t="s">
        <v>82</v>
      </c>
      <c r="E47" s="177" t="s">
        <v>84</v>
      </c>
      <c r="F47" s="177">
        <v>295747</v>
      </c>
      <c r="G47" s="177">
        <v>3.9649999999999998E-2</v>
      </c>
      <c r="H47" s="177">
        <v>11726.368549999999</v>
      </c>
      <c r="I47" s="177" t="b">
        <v>0</v>
      </c>
    </row>
    <row r="48" spans="1:9">
      <c r="A48" s="177" t="s">
        <v>89</v>
      </c>
      <c r="B48" s="177" t="s">
        <v>88</v>
      </c>
      <c r="C48" s="177" t="s">
        <v>86</v>
      </c>
      <c r="D48" s="177" t="s">
        <v>85</v>
      </c>
      <c r="E48" s="177" t="s">
        <v>83</v>
      </c>
      <c r="F48" s="177">
        <v>296159</v>
      </c>
      <c r="G48" s="177">
        <v>5.3402999999999999E-2</v>
      </c>
      <c r="H48" s="177">
        <v>15815.779076999999</v>
      </c>
      <c r="I48" s="177" t="b">
        <v>0</v>
      </c>
    </row>
    <row r="49" spans="1:9">
      <c r="A49" s="177" t="s">
        <v>89</v>
      </c>
      <c r="B49" s="177" t="s">
        <v>88</v>
      </c>
      <c r="C49" s="177" t="s">
        <v>86</v>
      </c>
      <c r="D49" s="177" t="s">
        <v>85</v>
      </c>
      <c r="E49" s="177" t="s">
        <v>84</v>
      </c>
      <c r="F49" s="177">
        <v>298223</v>
      </c>
      <c r="G49" s="177">
        <v>1.6368000000000001E-2</v>
      </c>
      <c r="H49" s="177">
        <v>4881.3140640000001</v>
      </c>
      <c r="I49" s="177" t="b">
        <v>0</v>
      </c>
    </row>
    <row r="50" spans="1:9">
      <c r="A50" s="177" t="s">
        <v>90</v>
      </c>
      <c r="B50" s="177" t="s">
        <v>80</v>
      </c>
      <c r="C50" s="177" t="s">
        <v>81</v>
      </c>
      <c r="D50" s="177" t="s">
        <v>82</v>
      </c>
      <c r="E50" s="177" t="s">
        <v>83</v>
      </c>
      <c r="F50" s="177">
        <v>277054</v>
      </c>
      <c r="G50" s="177">
        <v>5.1228999999999997E-2</v>
      </c>
      <c r="H50" s="177">
        <v>14193.199366000001</v>
      </c>
      <c r="I50" s="177" t="b">
        <v>0</v>
      </c>
    </row>
    <row r="51" spans="1:9">
      <c r="A51" s="177" t="s">
        <v>90</v>
      </c>
      <c r="B51" s="177" t="s">
        <v>80</v>
      </c>
      <c r="C51" s="177" t="s">
        <v>81</v>
      </c>
      <c r="D51" s="177" t="s">
        <v>82</v>
      </c>
      <c r="E51" s="177" t="s">
        <v>84</v>
      </c>
      <c r="F51" s="177">
        <v>275072</v>
      </c>
      <c r="G51" s="177">
        <v>1.5702000000000001E-2</v>
      </c>
      <c r="H51" s="177">
        <v>4319.1805439999998</v>
      </c>
      <c r="I51" s="177" t="b">
        <v>0</v>
      </c>
    </row>
    <row r="52" spans="1:9">
      <c r="A52" s="177" t="s">
        <v>90</v>
      </c>
      <c r="B52" s="177" t="s">
        <v>80</v>
      </c>
      <c r="C52" s="177" t="s">
        <v>81</v>
      </c>
      <c r="D52" s="177" t="s">
        <v>85</v>
      </c>
      <c r="E52" s="177" t="s">
        <v>83</v>
      </c>
      <c r="F52" s="177">
        <v>274606</v>
      </c>
      <c r="G52" s="177">
        <v>2.1149000000000001E-2</v>
      </c>
      <c r="H52" s="177">
        <v>5807.6422940000002</v>
      </c>
      <c r="I52" s="177" t="b">
        <v>0</v>
      </c>
    </row>
    <row r="53" spans="1:9">
      <c r="A53" s="177" t="s">
        <v>90</v>
      </c>
      <c r="B53" s="177" t="s">
        <v>80</v>
      </c>
      <c r="C53" s="177" t="s">
        <v>81</v>
      </c>
      <c r="D53" s="177" t="s">
        <v>85</v>
      </c>
      <c r="E53" s="177" t="s">
        <v>84</v>
      </c>
      <c r="F53" s="177">
        <v>271276</v>
      </c>
      <c r="G53" s="177">
        <v>6.4819999999999999E-3</v>
      </c>
      <c r="H53" s="177">
        <v>1758.411032</v>
      </c>
      <c r="I53" s="177" t="b">
        <v>0</v>
      </c>
    </row>
    <row r="54" spans="1:9">
      <c r="A54" s="177" t="s">
        <v>90</v>
      </c>
      <c r="B54" s="177" t="s">
        <v>80</v>
      </c>
      <c r="C54" s="177" t="s">
        <v>86</v>
      </c>
      <c r="D54" s="177" t="s">
        <v>82</v>
      </c>
      <c r="E54" s="177" t="s">
        <v>83</v>
      </c>
      <c r="F54" s="177">
        <v>297392</v>
      </c>
      <c r="G54" s="177">
        <v>0.12928200000000001</v>
      </c>
      <c r="H54" s="177">
        <v>38447.432544000003</v>
      </c>
      <c r="I54" s="177" t="b">
        <v>0</v>
      </c>
    </row>
    <row r="55" spans="1:9">
      <c r="A55" s="177" t="s">
        <v>90</v>
      </c>
      <c r="B55" s="177" t="s">
        <v>80</v>
      </c>
      <c r="C55" s="177" t="s">
        <v>86</v>
      </c>
      <c r="D55" s="177" t="s">
        <v>82</v>
      </c>
      <c r="E55" s="177" t="s">
        <v>84</v>
      </c>
      <c r="F55" s="177">
        <v>273610</v>
      </c>
      <c r="G55" s="177">
        <v>3.9626000000000001E-2</v>
      </c>
      <c r="H55" s="177">
        <v>10842.06986</v>
      </c>
      <c r="I55" s="177" t="b">
        <v>0</v>
      </c>
    </row>
    <row r="56" spans="1:9">
      <c r="A56" s="177" t="s">
        <v>90</v>
      </c>
      <c r="B56" s="177" t="s">
        <v>80</v>
      </c>
      <c r="C56" s="177" t="s">
        <v>86</v>
      </c>
      <c r="D56" s="177" t="s">
        <v>85</v>
      </c>
      <c r="E56" s="177" t="s">
        <v>83</v>
      </c>
      <c r="F56" s="177">
        <v>288557</v>
      </c>
      <c r="G56" s="177">
        <v>5.3371000000000002E-2</v>
      </c>
      <c r="H56" s="177">
        <v>15400.575647</v>
      </c>
      <c r="I56" s="177" t="b">
        <v>0</v>
      </c>
    </row>
    <row r="57" spans="1:9">
      <c r="A57" s="177" t="s">
        <v>90</v>
      </c>
      <c r="B57" s="177" t="s">
        <v>80</v>
      </c>
      <c r="C57" s="177" t="s">
        <v>86</v>
      </c>
      <c r="D57" s="177" t="s">
        <v>85</v>
      </c>
      <c r="E57" s="177" t="s">
        <v>84</v>
      </c>
      <c r="F57" s="177">
        <v>284839</v>
      </c>
      <c r="G57" s="177">
        <v>1.6358999999999999E-2</v>
      </c>
      <c r="H57" s="177">
        <v>4659.6812010000003</v>
      </c>
      <c r="I57" s="177" t="b">
        <v>0</v>
      </c>
    </row>
    <row r="58" spans="1:9">
      <c r="A58" s="177" t="s">
        <v>90</v>
      </c>
      <c r="B58" s="177" t="s">
        <v>87</v>
      </c>
      <c r="C58" s="177" t="s">
        <v>81</v>
      </c>
      <c r="D58" s="177" t="s">
        <v>82</v>
      </c>
      <c r="E58" s="177" t="s">
        <v>83</v>
      </c>
      <c r="F58" s="177">
        <v>330857</v>
      </c>
      <c r="G58" s="177">
        <v>5.1228999999999997E-2</v>
      </c>
      <c r="H58" s="177">
        <v>16949.473253</v>
      </c>
      <c r="I58" s="177" t="b">
        <v>0</v>
      </c>
    </row>
    <row r="59" spans="1:9">
      <c r="A59" s="177" t="s">
        <v>90</v>
      </c>
      <c r="B59" s="177" t="s">
        <v>87</v>
      </c>
      <c r="C59" s="177" t="s">
        <v>81</v>
      </c>
      <c r="D59" s="177" t="s">
        <v>82</v>
      </c>
      <c r="E59" s="177" t="s">
        <v>84</v>
      </c>
      <c r="F59" s="177">
        <v>332819</v>
      </c>
      <c r="G59" s="177">
        <v>1.5702000000000001E-2</v>
      </c>
      <c r="H59" s="177">
        <v>5225.9239379999999</v>
      </c>
      <c r="I59" s="177" t="b">
        <v>0</v>
      </c>
    </row>
    <row r="60" spans="1:9">
      <c r="A60" s="177" t="s">
        <v>90</v>
      </c>
      <c r="B60" s="177" t="s">
        <v>87</v>
      </c>
      <c r="C60" s="177" t="s">
        <v>81</v>
      </c>
      <c r="D60" s="177" t="s">
        <v>85</v>
      </c>
      <c r="E60" s="177" t="s">
        <v>83</v>
      </c>
      <c r="F60" s="177">
        <v>334532</v>
      </c>
      <c r="G60" s="177">
        <v>2.1149000000000001E-2</v>
      </c>
      <c r="H60" s="177">
        <v>7075.0172679999996</v>
      </c>
      <c r="I60" s="177" t="b">
        <v>0</v>
      </c>
    </row>
    <row r="61" spans="1:9">
      <c r="A61" s="177" t="s">
        <v>90</v>
      </c>
      <c r="B61" s="177" t="s">
        <v>87</v>
      </c>
      <c r="C61" s="177" t="s">
        <v>81</v>
      </c>
      <c r="D61" s="177" t="s">
        <v>85</v>
      </c>
      <c r="E61" s="177" t="s">
        <v>84</v>
      </c>
      <c r="F61" s="177">
        <v>343771</v>
      </c>
      <c r="G61" s="177">
        <v>6.4819999999999999E-3</v>
      </c>
      <c r="H61" s="177">
        <v>2228.3236219999999</v>
      </c>
      <c r="I61" s="177" t="b">
        <v>0</v>
      </c>
    </row>
    <row r="62" spans="1:9">
      <c r="A62" s="177" t="s">
        <v>90</v>
      </c>
      <c r="B62" s="177" t="s">
        <v>87</v>
      </c>
      <c r="C62" s="177" t="s">
        <v>86</v>
      </c>
      <c r="D62" s="177" t="s">
        <v>82</v>
      </c>
      <c r="E62" s="177" t="s">
        <v>83</v>
      </c>
      <c r="F62" s="177">
        <v>326892</v>
      </c>
      <c r="G62" s="177">
        <v>0.12928200000000001</v>
      </c>
      <c r="H62" s="177">
        <v>42261.251543999999</v>
      </c>
      <c r="I62" s="177" t="b">
        <v>0</v>
      </c>
    </row>
    <row r="63" spans="1:9">
      <c r="A63" s="177" t="s">
        <v>90</v>
      </c>
      <c r="B63" s="177" t="s">
        <v>87</v>
      </c>
      <c r="C63" s="177" t="s">
        <v>86</v>
      </c>
      <c r="D63" s="177" t="s">
        <v>82</v>
      </c>
      <c r="E63" s="177" t="s">
        <v>84</v>
      </c>
      <c r="F63" s="177">
        <v>318029</v>
      </c>
      <c r="G63" s="177">
        <v>3.9626000000000001E-2</v>
      </c>
      <c r="H63" s="177">
        <v>12602.217154</v>
      </c>
      <c r="I63" s="177" t="b">
        <v>0</v>
      </c>
    </row>
    <row r="64" spans="1:9">
      <c r="A64" s="177" t="s">
        <v>90</v>
      </c>
      <c r="B64" s="177" t="s">
        <v>87</v>
      </c>
      <c r="C64" s="177" t="s">
        <v>86</v>
      </c>
      <c r="D64" s="177" t="s">
        <v>85</v>
      </c>
      <c r="E64" s="177" t="s">
        <v>83</v>
      </c>
      <c r="F64" s="177">
        <v>330993</v>
      </c>
      <c r="G64" s="177">
        <v>5.3371000000000002E-2</v>
      </c>
      <c r="H64" s="177">
        <v>17665.427403000002</v>
      </c>
      <c r="I64" s="177" t="b">
        <v>0</v>
      </c>
    </row>
    <row r="65" spans="1:9">
      <c r="A65" s="177" t="s">
        <v>90</v>
      </c>
      <c r="B65" s="177" t="s">
        <v>87</v>
      </c>
      <c r="C65" s="177" t="s">
        <v>86</v>
      </c>
      <c r="D65" s="177" t="s">
        <v>85</v>
      </c>
      <c r="E65" s="177" t="s">
        <v>84</v>
      </c>
      <c r="F65" s="177">
        <v>340516</v>
      </c>
      <c r="G65" s="177">
        <v>1.6358999999999999E-2</v>
      </c>
      <c r="H65" s="177">
        <v>5570.501244</v>
      </c>
      <c r="I65" s="177" t="b">
        <v>0</v>
      </c>
    </row>
    <row r="66" spans="1:9">
      <c r="A66" s="177" t="s">
        <v>90</v>
      </c>
      <c r="B66" s="177" t="s">
        <v>88</v>
      </c>
      <c r="C66" s="177" t="s">
        <v>81</v>
      </c>
      <c r="D66" s="177" t="s">
        <v>82</v>
      </c>
      <c r="E66" s="177" t="s">
        <v>83</v>
      </c>
      <c r="F66" s="177">
        <v>362529</v>
      </c>
      <c r="G66" s="177">
        <v>5.1228999999999997E-2</v>
      </c>
      <c r="H66" s="177">
        <v>18571.998141</v>
      </c>
      <c r="I66" s="177" t="b">
        <v>0</v>
      </c>
    </row>
    <row r="67" spans="1:9">
      <c r="A67" s="177" t="s">
        <v>90</v>
      </c>
      <c r="B67" s="177" t="s">
        <v>88</v>
      </c>
      <c r="C67" s="177" t="s">
        <v>81</v>
      </c>
      <c r="D67" s="177" t="s">
        <v>82</v>
      </c>
      <c r="E67" s="177" t="s">
        <v>84</v>
      </c>
      <c r="F67" s="177">
        <v>355568</v>
      </c>
      <c r="G67" s="177">
        <v>1.5702000000000001E-2</v>
      </c>
      <c r="H67" s="177">
        <v>5583.1287359999997</v>
      </c>
      <c r="I67" s="177" t="b">
        <v>0</v>
      </c>
    </row>
    <row r="68" spans="1:9">
      <c r="A68" s="177" t="s">
        <v>90</v>
      </c>
      <c r="B68" s="177" t="s">
        <v>88</v>
      </c>
      <c r="C68" s="177" t="s">
        <v>81</v>
      </c>
      <c r="D68" s="177" t="s">
        <v>85</v>
      </c>
      <c r="E68" s="177" t="s">
        <v>83</v>
      </c>
      <c r="F68" s="177">
        <v>366097</v>
      </c>
      <c r="G68" s="177">
        <v>2.1149000000000001E-2</v>
      </c>
      <c r="H68" s="177">
        <v>7742.5854529999997</v>
      </c>
      <c r="I68" s="177" t="b">
        <v>0</v>
      </c>
    </row>
    <row r="69" spans="1:9">
      <c r="A69" s="177" t="s">
        <v>90</v>
      </c>
      <c r="B69" s="177" t="s">
        <v>88</v>
      </c>
      <c r="C69" s="177" t="s">
        <v>81</v>
      </c>
      <c r="D69" s="177" t="s">
        <v>85</v>
      </c>
      <c r="E69" s="177" t="s">
        <v>84</v>
      </c>
      <c r="F69" s="177">
        <v>368019</v>
      </c>
      <c r="G69" s="177">
        <v>6.4819999999999999E-3</v>
      </c>
      <c r="H69" s="177">
        <v>2385.4991580000001</v>
      </c>
      <c r="I69" s="177" t="b">
        <v>0</v>
      </c>
    </row>
    <row r="70" spans="1:9" s="169" customFormat="1">
      <c r="A70" s="178" t="s">
        <v>90</v>
      </c>
      <c r="B70" s="178" t="s">
        <v>88</v>
      </c>
      <c r="C70" s="178" t="s">
        <v>86</v>
      </c>
      <c r="D70" s="178" t="s">
        <v>82</v>
      </c>
      <c r="E70" s="178" t="s">
        <v>83</v>
      </c>
      <c r="F70" s="178">
        <v>372362</v>
      </c>
      <c r="G70" s="178">
        <v>0.12928200000000001</v>
      </c>
      <c r="H70" s="178">
        <v>48139.704083999997</v>
      </c>
      <c r="I70" s="178" t="b">
        <v>1</v>
      </c>
    </row>
    <row r="71" spans="1:9">
      <c r="A71" s="177" t="s">
        <v>90</v>
      </c>
      <c r="B71" s="177" t="s">
        <v>88</v>
      </c>
      <c r="C71" s="177" t="s">
        <v>86</v>
      </c>
      <c r="D71" s="177" t="s">
        <v>82</v>
      </c>
      <c r="E71" s="177" t="s">
        <v>84</v>
      </c>
      <c r="F71" s="177">
        <v>364452</v>
      </c>
      <c r="G71" s="177">
        <v>3.9626000000000001E-2</v>
      </c>
      <c r="H71" s="177">
        <v>14441.774952</v>
      </c>
      <c r="I71" s="177" t="b">
        <v>0</v>
      </c>
    </row>
    <row r="72" spans="1:9">
      <c r="A72" s="177" t="s">
        <v>90</v>
      </c>
      <c r="B72" s="177" t="s">
        <v>88</v>
      </c>
      <c r="C72" s="177" t="s">
        <v>86</v>
      </c>
      <c r="D72" s="177" t="s">
        <v>85</v>
      </c>
      <c r="E72" s="177" t="s">
        <v>83</v>
      </c>
      <c r="F72" s="177">
        <v>367188</v>
      </c>
      <c r="G72" s="177">
        <v>5.3371000000000002E-2</v>
      </c>
      <c r="H72" s="177">
        <v>19597.190748000001</v>
      </c>
      <c r="I72" s="177" t="b">
        <v>0</v>
      </c>
    </row>
    <row r="73" spans="1:9">
      <c r="A73" s="177" t="s">
        <v>90</v>
      </c>
      <c r="B73" s="177" t="s">
        <v>88</v>
      </c>
      <c r="C73" s="177" t="s">
        <v>86</v>
      </c>
      <c r="D73" s="177" t="s">
        <v>85</v>
      </c>
      <c r="E73" s="177" t="s">
        <v>84</v>
      </c>
      <c r="F73" s="177">
        <v>363822</v>
      </c>
      <c r="G73" s="177">
        <v>1.6358999999999999E-2</v>
      </c>
      <c r="H73" s="177">
        <v>5951.7640979999996</v>
      </c>
      <c r="I73" s="177" t="b">
        <v>0</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16383-04B6-49D1-9A8E-0D81E5D6EDF8}">
  <sheetPr codeName="Sheet32">
    <tabColor theme="7"/>
  </sheetPr>
  <dimension ref="A1:AG44"/>
  <sheetViews>
    <sheetView topLeftCell="H1" workbookViewId="0">
      <selection activeCell="M4" sqref="M4"/>
    </sheetView>
  </sheetViews>
  <sheetFormatPr defaultColWidth="9" defaultRowHeight="13.9"/>
  <cols>
    <col min="1" max="1" width="15.3984375" style="1" customWidth="1"/>
    <col min="2" max="2" width="18.1328125" style="1" customWidth="1"/>
    <col min="3" max="3" width="16.3984375" style="1" customWidth="1"/>
    <col min="4" max="4" width="17" style="1" customWidth="1"/>
    <col min="5" max="5" width="17.3984375" style="1" customWidth="1"/>
    <col min="6" max="6" width="15.3984375" style="1" customWidth="1"/>
    <col min="7" max="8" width="18.3984375" style="1" customWidth="1"/>
    <col min="9" max="9" width="14.1328125" style="1" customWidth="1"/>
    <col min="10" max="10" width="11.1328125" style="1" customWidth="1"/>
    <col min="11" max="11" width="12.3984375" style="1" customWidth="1"/>
    <col min="12" max="12" width="16.73046875" style="1" customWidth="1"/>
    <col min="13" max="14" width="20.59765625" style="1" customWidth="1"/>
    <col min="15" max="15" width="16.1328125" style="1" customWidth="1"/>
    <col min="16" max="16" width="11.3984375" style="1" customWidth="1"/>
    <col min="17" max="17" width="14.1328125" style="1" customWidth="1"/>
    <col min="18" max="18" width="9" style="1"/>
    <col min="19" max="19" width="20.3984375" style="1" customWidth="1"/>
    <col min="20" max="20" width="23.1328125" style="1" customWidth="1"/>
    <col min="21" max="21" width="21.1328125" style="1" customWidth="1"/>
    <col min="22" max="22" width="11.1328125" style="1" customWidth="1"/>
    <col min="23" max="23" width="9" style="1"/>
    <col min="24" max="24" width="20.3984375" style="1" customWidth="1"/>
    <col min="25" max="25" width="24.73046875" style="1" customWidth="1"/>
    <col min="26" max="29" width="13.1328125" style="1" customWidth="1"/>
    <col min="30" max="30" width="9" style="1" customWidth="1"/>
    <col min="31" max="32" width="9" style="1"/>
    <col min="33" max="33" width="8.1328125" style="1" hidden="1" customWidth="1"/>
    <col min="34" max="16384" width="9" style="1"/>
  </cols>
  <sheetData>
    <row r="1" spans="1:33" ht="79.150000000000006" customHeight="1">
      <c r="A1" s="1" t="s">
        <v>91</v>
      </c>
      <c r="B1" s="3" t="s">
        <v>92</v>
      </c>
      <c r="C1" s="3" t="s">
        <v>93</v>
      </c>
      <c r="D1" s="3" t="s">
        <v>94</v>
      </c>
      <c r="E1" s="3" t="s">
        <v>95</v>
      </c>
      <c r="F1" s="3" t="s">
        <v>96</v>
      </c>
      <c r="G1" s="3" t="s">
        <v>97</v>
      </c>
      <c r="H1" s="87" t="s">
        <v>98</v>
      </c>
      <c r="I1" s="88" t="s">
        <v>99</v>
      </c>
      <c r="J1" s="88" t="s">
        <v>100</v>
      </c>
      <c r="K1" s="88" t="s">
        <v>101</v>
      </c>
      <c r="L1" s="3" t="s">
        <v>102</v>
      </c>
      <c r="M1" s="112" t="s">
        <v>103</v>
      </c>
      <c r="N1" s="112" t="s">
        <v>104</v>
      </c>
      <c r="O1" s="3" t="s">
        <v>105</v>
      </c>
      <c r="P1" s="1" t="s">
        <v>106</v>
      </c>
      <c r="Q1" s="3" t="s">
        <v>107</v>
      </c>
      <c r="S1" s="3" t="s">
        <v>108</v>
      </c>
      <c r="T1" s="89" t="s">
        <v>109</v>
      </c>
      <c r="X1" s="3" t="s">
        <v>108</v>
      </c>
      <c r="Y1" s="89" t="s">
        <v>109</v>
      </c>
      <c r="Z1" s="3" t="s">
        <v>110</v>
      </c>
      <c r="AA1" s="3"/>
      <c r="AB1" s="3"/>
      <c r="AC1" s="3"/>
    </row>
    <row r="2" spans="1:33" ht="27.75">
      <c r="A2" s="1" cm="1">
        <f t="array" ref="A2:A36">_xlfn.SEQUENCE(35,1,30,1)</f>
        <v>30</v>
      </c>
      <c r="B2" s="6">
        <v>3.5000000000000003E-2</v>
      </c>
      <c r="C2" s="23">
        <f>VLOOKUP(t4_salaryGrowthevent!B2,t4_salaryGrowthevent!B:B,1,FALSE)</f>
        <v>70000</v>
      </c>
      <c r="D2" s="23" cm="1">
        <f t="array" ref="D2">_xlfn.LET(
  _xlpm.taxable, C2,
  _xlpm.kiwisaver,C2*0.03,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C2 * 0.0167,
  _xlpm.taxable - _xlpm.incomeTax - _xlpm.acc - _xlpm.kiwisaver
)</f>
        <v>53510.5</v>
      </c>
      <c r="E2" s="23">
        <f>6%*C2</f>
        <v>4200</v>
      </c>
      <c r="F2" s="23" cm="1">
        <f t="array" ref="F2" xml:space="preserve"> C2 * 3% * _xlfn.IFS(
   C2 + C2 * 3% &lt;= 18720, 10.5%,
   C2 + C2 * 3% &lt;= 64200, 17.5%,
   C2 + C2 * 3% &lt;= 93720, 30%,
   C2 + C2 * 3% &lt;= 216000, 33%,
   C2 + C2 * 3% &gt; 216000, 39%
)</f>
        <v>630</v>
      </c>
      <c r="G2" s="23">
        <f>E2-F2+521.43</f>
        <v>4091.43</v>
      </c>
      <c r="H2" s="23" t="s">
        <v>27</v>
      </c>
      <c r="I2" s="1" cm="1">
        <f t="array" aca="1" ref="I2" ca="1">_xlfn.LET(
  _xlpm.ε, (_xlfn.BETA.INV(RAND(), 5, 5) - 0.5) * 2,
  _xlpm.Scenario,H2,
  _xlpm.μ, _xlfn.XLOOKUP("HarbourSafe", fundGrowth!$A$2:$A$4, INDEX(fundGrowth!$B$2:$J$4,0, MATCH(_xlpm.Scenario &amp; " μ", fundGrowth!$B$1:$J$1, 0))),
  _xlpm.σ, _xlfn.XLOOKUP("HarbourSafe", fundGrowth!$A$2:$A$4, INDEX(fundGrowth!$B$2:$J$4,0, MATCH(_xlpm.Scenario &amp; " σ", fundGrowth!$B$1:$J$1, 0))),
  _xlpm.μ + _xlpm.σ * _xlpm.ε
)</f>
        <v>1.1039736877863058E-2</v>
      </c>
      <c r="J2" s="1" cm="1">
        <f t="array" aca="1" ref="J2" ca="1">_xlfn.LET(
  _xlpm.ε, (_xlfn.BETA.INV(RAND(), 5, 5) - 0.5) * 2,
  _xlpm.Scenario,H2,
  _xlpm.μ, _xlfn.XLOOKUP("Horizon", fundGrowth!$A$2:$A$4, INDEX(fundGrowth!$B$2:$J$4,0, MATCH(_xlpm.Scenario &amp; " μ", fundGrowth!$B$1:$J$1, 0))),
  _xlpm.σ, _xlfn.XLOOKUP("Horizon", fundGrowth!$A$2:$A$4, INDEX(fundGrowth!$B$2:$J$4,0, MATCH(_xlpm.Scenario &amp; " σ", fundGrowth!$B$1:$J$1, 0))),
  _xlpm.μ + _xlpm.σ * _xlpm.ε
)</f>
        <v>6.0387736502191224E-2</v>
      </c>
      <c r="K2" s="1" cm="1">
        <f t="array" aca="1" ref="K2" ca="1">_xlfn.LET(
  _xlpm.ε, (_xlfn.BETA.INV(RAND(), 5, 5) - 0.5) * 2,
  _xlpm.Scenario,H2,
  _xlpm.μ, _xlfn.XLOOKUP("SkyHigh", fundGrowth!$A$2:$A$4, INDEX(fundGrowth!$B$2:$J$4,0, MATCH(_xlpm.Scenario &amp; " μ", fundGrowth!$B$1:$J$1, 0))),
  _xlpm.σ, _xlfn.XLOOKUP("SkyHigh", fundGrowth!$A$2:$A$4, INDEX(fundGrowth!$B$2:$J$4,0, MATCH(_xlpm.Scenario &amp; " σ", fundGrowth!$B$1:$J$1, 0))),
  _xlpm.μ + _xlpm.σ * _xlpm.ε
)</f>
        <v>0.20930115362400231</v>
      </c>
      <c r="L2" s="1">
        <f ca="1">0.4*I2+0.3*J2+0.3*K2</f>
        <v>8.5322561789003271E-2</v>
      </c>
      <c r="M2" s="23">
        <f ca="1">G2*(1+L2)*(1-28%)</f>
        <v>3197.1753280658745</v>
      </c>
      <c r="N2" s="23">
        <f ca="1">M2*Q2</f>
        <v>3168.5680046463904</v>
      </c>
      <c r="O2" s="23">
        <f ca="1">N2+D2*Q2</f>
        <v>56200.272811151524</v>
      </c>
      <c r="P2" s="1">
        <f ca="1">_xlfn.LET(
   _xlpm.μ, IF(RAND() &lt; 0.001,
        6% + 1.5% * _xlfn.NORM.S.INV(RAND()),
        _xlfn.BETA.INV(RAND(), 1.19, 1.22, 0.003, 0.04)
     ),
  _xlpm.ρ, _xlfn.BETA.INV(RAND(), 2, 2, 0.34,0.6),
  _xlpm.ε, MAX(0,_xlfn.NORM.S.INV(RAND())),
  _xlpm.μ + _xlpm.ρ * (_xlpm.μ - _xlpm.μ) + 1% * _xlpm.ε + MAX(0,_xlfn.IFS(A2=49,-_xlfn.NORM.INV(RAND(), 0.01, 0.005), A2=57,ABS(_xlfn.NORM.INV(RAND(), 0.02, 0.01)),TRUE,0))
)</f>
        <v>9.0284707090188335E-3</v>
      </c>
      <c r="Q2" s="1">
        <f ca="1">1/(1+P2)</f>
        <v>0.99105231321899689</v>
      </c>
      <c r="S2" s="113" cm="1">
        <f t="array" aca="1" ref="S2" ca="1">_xlfn.LET(
     _xlpm.KS_rate, $V$2 + 3%,
    _xlpm.ESCT_rate, 3%,
    _xlpm.W_HS, $V$3,
    _xlpm.W_HR, $V$4,
    _xlpm.W_SH, $V$5,
    _xlpm.salary, C2,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 + _xlpm.W_HR * J2 + _xlpm.W_SH * K2,
    _xlpm.net_growth, (1 + _xlpm.return_rate) * (1 - 28%),
    _xlpm.result, _xlpm.ks_contrib * _xlpm.net_growth,
    _xlpm.result
)</f>
        <v>7026.1933260574779</v>
      </c>
      <c r="T2" s="113" cm="1">
        <f t="array" aca="1" ref="T2" ca="1">_xlfn.LET(
    _xlpm.KS_rate, $V$2 + 3%,
    _xlpm.ESCT_rate, 3%,
    _xlpm.W_HS, $V$3,
    _xlpm.W_HR, $V$4,
    _xlpm.W_SH, $V$5,
    _xlpm.salary, C2,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 + _xlpm.W_HR * J2 + _xlpm.W_SH * K2,
    _xlpm.net_growth, (1 + _xlpm.return_rate) * (1 - 28%),
    _xlpm.prev_value, IF(ROW()=2, 0, S1),
    _xlpm.base, IF(ROW()=2,
        _xlpm.ks_contrib,
        _xlpm.prev_value + _xlpm.ks_contrib
    ),
    _xlpm.current_value, _xlpm.base * _xlpm.net_growth,
    _xlpm.real_value, _xlpm.current_value * Q2,
    _xlpm.real_value
)</f>
        <v>6963.3251489131408</v>
      </c>
      <c r="U2" s="108" t="s">
        <v>111</v>
      </c>
      <c r="V2" s="1">
        <f>Dashboard!Q2</f>
        <v>0.1</v>
      </c>
      <c r="X2" s="113" cm="1">
        <f t="array" aca="1" ref="X2" ca="1">_xlfn.LET(
     _xlpm.KS_rate, Dashboard!$Q$2 + 3%,
    _xlpm.ESCT_rate, 3%,
    _xlpm.W_HS, _xlfn.SWITCH(H2,
        "Recession", Dashboard!$Q$4,
        "Normal",    Dashboard!$Q$8,
        "Boom",      Dashboard!$Q$12    ),
    _xlpm.W_HR, _xlfn.SWITCH(H2,
        "Recession", Dashboard!$Q$5,
        "Normal",    Dashboard!$Q$9,
        "Boom",      Dashboard!$Q$13    ),
    _xlpm.W_SH, _xlfn.SWITCH(H2,
        "Recession", Dashboard!$Q$6,
        "Normal",    Dashboard!$Q$10,
        "Boom",      Dashboard!$Q$14    ),
    _xlpm.salary, C2,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 + _xlpm.W_HR * J2 + _xlpm.W_SH * K2,
    _xlpm.net_growth, (1 + _xlpm.return_rate) * (1 - 28%),
    _xlpm.result, _xlpm.ks_contrib * _xlpm.net_growth,
    _xlpm.result
)</f>
        <v>7346.7895598450496</v>
      </c>
      <c r="Y2" s="113" cm="1">
        <f t="array" aca="1" ref="Y2" ca="1">_xlfn.LET(
    _xlpm.KS_rate, Dashboard!$Q$2 + 3%,
    _xlpm.ESCT_rate, 3%,
    _xlpm.W_HS, _xlfn.SWITCH(H2,
        "Recession", Dashboard!$Q$4,
        "Normal",    Dashboard!$Q$8,
        "Boom",      Dashboard!$Q$12    ),
    _xlpm.W_HR, _xlfn.SWITCH(H2,
        "Recession", Dashboard!$Q$5,
        "Normal",    Dashboard!$Q$9,
        "Boom",      Dashboard!$Q$13    ),
    _xlpm.W_SH, _xlfn.SWITCH(H2,
        "Recession", Dashboard!$Q$6,
        "Normal",    Dashboard!$Q$10,
        "Boom",      Dashboard!$Q$14    ),
    _xlpm.salary, C2,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 + _xlpm.W_HR * J2 + _xlpm.W_SH * K2,
    _xlpm.net_growth, (1 + _xlpm.return_rate) * (1 - 28%),
    _xlpm.prev_value, IF(ROW()=2, 0, X1),
    _xlpm.base, IF(ROW()=2, _xlpm.ks_contrib, _xlpm.prev_value + _xlpm.ks_contrib),
    _xlpm.current_value, _xlpm.base * _xlpm.net_growth,
    _xlpm.real_value, _xlpm.current_value * Q2,
    _xlpm.real_value
)</f>
        <v>7281.0527880176123</v>
      </c>
      <c r="Z2" s="1">
        <v>70000</v>
      </c>
      <c r="AG2" s="1">
        <v>0.03</v>
      </c>
    </row>
    <row r="3" spans="1:33">
      <c r="A3" s="1">
        <v>31</v>
      </c>
      <c r="B3" s="6">
        <f ca="1">VLOOKUP(t4_salaryGrowthevent!J3,t4_salaryGrowthevent!J:J,1,FALSE)</f>
        <v>3.4750000000000003E-2</v>
      </c>
      <c r="C3" s="23">
        <f>VLOOKUP(t4_salaryGrowthevent!B3,t4_salaryGrowthevent!B:B,1,FALSE)</f>
        <v>72432.5</v>
      </c>
      <c r="D3" s="23" cm="1">
        <f t="array" ref="D3">_xlfn.LET(
  _xlpm.taxable, C3,
  _xlpm.kiwisaver,C3*0.03,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C3 * 0.0167,
  _xlpm.taxable - _xlpm.incomeTax - _xlpm.acc - _xlpm.kiwisaver
)</f>
        <v>55099.652249999999</v>
      </c>
      <c r="E3" s="23">
        <f t="shared" ref="E3:E36" si="0">6%*C3</f>
        <v>4345.95</v>
      </c>
      <c r="F3" s="23" cm="1">
        <f t="array" ref="F3" xml:space="preserve"> C3 * 3% * _xlfn.IFS(
   C3 + C3 * 3% &lt;= 18720, 10.5%,
   C3 + C3 * 3% &lt;= 64200, 17.5%,
   C3 + C3 * 3% &lt;= 93720, 30%,
   C3 + C3 * 3% &lt;= 216000, 33%,
   C3 + C3 * 3% &gt; 216000, 39%
)</f>
        <v>651.89249999999993</v>
      </c>
      <c r="G3" s="23">
        <f t="shared" ref="G3:G36" si="1">E3-F3+521.43</f>
        <v>4215.4875000000002</v>
      </c>
      <c r="H3" s="23" t="str" cm="1">
        <f t="array" aca="1" ref="H3" ca="1">_xlfn.IFS(
  H2="Boom", CHOOSE(MATCH(RAND(), {0,0.67,1}, 1), "Normal", "Recession"),
  H2="Normal", CHOOSE(MATCH(RAND(), {0,0.18,0.82,1}, 1), "Boom", "Normal", "Recession"),
  H2="Recession", CHOOSE(MATCH(RAND(), {0,0.17,0.34,1}, 1), "Boom", "Normal", "Recession")
)</f>
        <v>Boom</v>
      </c>
      <c r="I3" s="1" cm="1">
        <f t="array" aca="1" ref="I3" ca="1">_xlfn.LET(
  _xlpm.ε, (_xlfn.BETA.INV(RAND(), 5, 5) - 0.5) * 2,
  _xlpm.Scenario,H3,
  _xlpm.pre_scenario,H2,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_xlpm.ρ*(I2-_xlpm.μ_prev) + _xlpm.σ * _xlpm.ε
)</f>
        <v>3.8085904876996729E-2</v>
      </c>
      <c r="J3" s="1" cm="1">
        <f t="array" aca="1" ref="J3" ca="1">_xlfn.LET(
  _xlpm.ε, (_xlfn.BETA.INV(RAND(), 5, 5) - 0.5) * 2,
  _xlpm.Scenario,H3,
  _xlpm.pre_scenario,H2,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_xlpm.ρ*(MAX(J2, -0.05)-_xlpm.μ_prev) + _xlpm.σ * _xlpm.ε
)</f>
        <v>-0.14550928503028029</v>
      </c>
      <c r="K3" s="1" cm="1">
        <f t="array" aca="1" ref="K3" ca="1">_xlfn.LET(
  _xlpm.ε, (_xlfn.BETA.INV(RAND(), 5, 5) - 0.5) * 2,
  _xlpm.Scenario,H3,
  _xlpm.pre_scenario,H2,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_xlpm.ρ*(MAX(K2, -0.07)-_xlpm.μ_prev) + _xlpm.σ * _xlpm.ε
)</f>
        <v>0.2483701951400924</v>
      </c>
      <c r="L3" s="1">
        <f t="shared" ref="L3:L36" ca="1" si="2">0.4*I3+0.3*J3+0.3*K3</f>
        <v>4.6092634983742324E-2</v>
      </c>
      <c r="M3" s="23">
        <f ca="1">(M2+G3)*(1+L3)*(1-28%)</f>
        <v>5583.1190328413786</v>
      </c>
      <c r="N3" s="23">
        <f t="shared" ref="N3:N36" ca="1" si="3">M3*Q3</f>
        <v>5462.0686770635702</v>
      </c>
      <c r="O3" s="23">
        <f t="shared" ref="O3:O36" ca="1" si="4">N3+D3*Q3</f>
        <v>59367.07820695277</v>
      </c>
      <c r="P3" s="1" cm="1">
        <f t="array" aca="1" ref="P3" ca="1">_xlfn.LET(
  _xlpm.state, H3,
  _xlpm.last, P2,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MAX(0,_xlfn.IFS(A2=49,-_xlfn.NORM.INV(RAND(), 0.01, 0.005), A2=57,ABS(_xlfn.NORM.INV(RAND(), 0.02, 0.01)),TRUE,0))
)</f>
        <v>1.3016012725989267E-2</v>
      </c>
      <c r="Q3" s="1">
        <f ca="1">Q2/(1+P3)</f>
        <v>0.97831850708076284</v>
      </c>
      <c r="S3" s="113" cm="1">
        <f t="array" aca="1" ref="S3" ca="1">_xlfn.LET(
    _xlpm.KS_rate, $V$2 + 3%,
    _xlpm.ESCT_rate, 3%,
    _xlpm.W_HS, $V$3,
    _xlpm.W_HR, $V$4,
    _xlpm.W_SH, $V$5,
    _xlpm.salary, C3,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 + _xlpm.W_HR * J3 + _xlpm.W_SH * K3,
    _xlpm.net_growth, (1 + _xlpm.return_rate) * (1 - 28%),
    _xlpm.prev_value, S2,
    _xlpm.result, (_xlpm.prev_value + _xlpm.ks_contrib) * _xlpm.net_growth,
    _xlpm.result
)</f>
        <v>12285.948133309588</v>
      </c>
      <c r="T3" s="113" cm="1">
        <f t="array" aca="1" ref="T3" ca="1">_xlfn.LET(
    _xlpm.KS_rate, $V$2 + 3%,
    _xlpm.ESCT_rate, 3%,
    _xlpm.W_HS, $V$3,
    _xlpm.W_HR, $V$4,
    _xlpm.W_SH, $V$5,
    _xlpm.salary, C3,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 + _xlpm.W_HR * J3 + _xlpm.W_SH * K3,
    _xlpm.net_growth, (1 + _xlpm.return_rate) * (1 - 28%),
    _xlpm.prev_value, IF(ROW()=2, 0, S2),
    _xlpm.base, IF(ROW()=2,
        _xlpm.ks_contrib,
        _xlpm.prev_value + _xlpm.ks_contrib
    ),
    _xlpm.current_value, _xlpm.base * _xlpm.net_growth,
    _xlpm.real_value, _xlpm.current_value * Q3,
    _xlpm.real_value
)</f>
        <v>12019.570435851121</v>
      </c>
      <c r="U3" s="109" t="s">
        <v>112</v>
      </c>
      <c r="V3" s="1">
        <v>0.4</v>
      </c>
      <c r="X3" s="113" cm="1">
        <f t="array" aca="1" ref="X3" ca="1">_xlfn.LET(
   _xlpm.KS_rate, Dashboard!$Q$2 + 3%,
    _xlpm.ESCT_rate, 3%,
    _xlpm.W_HS, _xlfn.SWITCH(H2,
        "Recession", Dashboard!$Q$4,
        "Normal",    Dashboard!$Q$8,
        "Boom",      Dashboard!$Q$12    ),
    _xlpm.W_HR, _xlfn.SWITCH(H2,
        "Recession", Dashboard!$Q$5,
        "Normal",    Dashboard!$Q$9,
        "Boom",      Dashboard!$Q$13    ),
    _xlpm.W_SH, _xlfn.SWITCH(H2,
        "Recession", Dashboard!$Q$6,
        "Normal",    Dashboard!$Q$10,
        "Boom",      Dashboard!$Q$14    ),
    _xlpm.salary, C3,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 + _xlpm.W_HR * J3 + _xlpm.W_SH * K3,
    _xlpm.net_growth, (1 + _xlpm.return_rate) * (1 - 28%),
    _xlpm.prev_value, S2,
    _xlpm.result, (_xlpm.prev_value + _xlpm.ks_contrib) * _xlpm.net_growth,
    _xlpm.result
)</f>
        <v>12348.638738659542</v>
      </c>
      <c r="Y3" s="113" cm="1">
        <f t="array" aca="1" ref="Y3" ca="1">_xlfn.LET(
    _xlpm.KS_rate, Dashboard!$Q$2 + 3%,
    _xlpm.ESCT_rate, 3%,
    _xlpm.W_HS, _xlfn.SWITCH(H3,
        "Recession", Dashboard!$Q$4,
        "Normal",    Dashboard!$Q$8,
        "Boom",      Dashboard!$Q$12    ),
    _xlpm.W_HR, _xlfn.SWITCH(H3,
        "Recession", Dashboard!$Q$5,
        "Normal",    Dashboard!$Q$9,
        "Boom",      Dashboard!$Q$13    ),
    _xlpm.W_SH, _xlfn.SWITCH(H3,
        "Recession", Dashboard!$Q$6,
        "Normal",    Dashboard!$Q$10,
        "Boom",      Dashboard!$Q$14    ),
    _xlpm.salary, C3,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 + _xlpm.W_HR * J3 + _xlpm.W_SH * K3,
    _xlpm.net_growth, (1 + _xlpm.return_rate) * (1 - 28%),
    _xlpm.prev_value, IF(ROW()=2, 0, X2),
    _xlpm.base, IF(ROW()=2, _xlpm.ks_contrib, _xlpm.prev_value + _xlpm.ks_contrib),
    _xlpm.current_value, _xlpm.base * _xlpm.net_growth,
    _xlpm.real_value, _xlpm.current_value * Q3,
    _xlpm.real_value
)</f>
        <v>14625.645695182611</v>
      </c>
      <c r="Z3" s="1">
        <v>72432.5</v>
      </c>
      <c r="AG3" s="1">
        <v>0.04</v>
      </c>
    </row>
    <row r="4" spans="1:33">
      <c r="A4" s="1">
        <v>32</v>
      </c>
      <c r="B4" s="6">
        <f ca="1">VLOOKUP(t4_salaryGrowthevent!J4,t4_salaryGrowthevent!J:J,1,FALSE)</f>
        <v>3.4750000000000003E-2</v>
      </c>
      <c r="C4" s="23">
        <f>VLOOKUP(t4_salaryGrowthevent!B4,t4_salaryGrowthevent!B:B,1,FALSE)</f>
        <v>74949.529374999998</v>
      </c>
      <c r="D4" s="23" cm="1">
        <f t="array" ref="D4">_xlfn.LET(
  _xlpm.taxable, C4,
  _xlpm.kiwisaver,C4*0.03,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C4 * 0.0167,
  _xlpm.taxable - _xlpm.incomeTax - _xlpm.acc - _xlpm.kiwisaver
)</f>
        <v>56744.027540687501</v>
      </c>
      <c r="E4" s="23">
        <f t="shared" si="0"/>
        <v>4496.9717624999994</v>
      </c>
      <c r="F4" s="23" cm="1">
        <f t="array" ref="F4" xml:space="preserve"> C4 * 3% * _xlfn.IFS(
   C4 + C4 * 3% &lt;= 18720, 10.5%,
   C4 + C4 * 3% &lt;= 64200, 17.5%,
   C4 + C4 * 3% &lt;= 93720, 30%,
   C4 + C4 * 3% &lt;= 216000, 33%,
   C4 + C4 * 3% &gt; 216000, 39%
)</f>
        <v>674.54576437499986</v>
      </c>
      <c r="G4" s="23">
        <f t="shared" si="1"/>
        <v>4343.855998125</v>
      </c>
      <c r="H4" s="23" t="str" cm="1">
        <f t="array" aca="1" ref="H4" ca="1">_xlfn.IFS(
  H3="Boom", CHOOSE(MATCH(RAND(), {0,0.67,1}, 1), "Normal", "Recession"),
  H3="Normal", CHOOSE(MATCH(RAND(), {0,0.18,0.82,1}, 1), "Boom", "Normal", "Recession"),
  H3="Recession", CHOOSE(MATCH(RAND(), {0,0.17,0.34,1}, 1), "Boom", "Normal", "Recession")
)</f>
        <v>Normal</v>
      </c>
      <c r="I4" s="1" cm="1">
        <f t="array" aca="1" ref="I4" ca="1">_xlfn.LET(
  _xlpm.ε, (_xlfn.BETA.INV(RAND(), 5, 5) - 0.5) * 2,
  _xlpm.Scenario,H4,
  _xlpm.pre_scenario,H3,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_xlpm.ρ*(I3-_xlpm.μ_prev) + _xlpm.σ * _xlpm.ε
)</f>
        <v>2.9235009515646733E-2</v>
      </c>
      <c r="J4" s="1" cm="1">
        <f t="array" aca="1" ref="J4" ca="1">_xlfn.LET(
  _xlpm.ε, (_xlfn.BETA.INV(RAND(), 5, 5) - 0.5) * 2,
  _xlpm.Scenario,H4,
  _xlpm.pre_scenario,H3,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_xlpm.ρ*(MAX(J3, -0.05)-_xlpm.μ_prev) + _xlpm.σ * _xlpm.ε
)</f>
        <v>1.2295627497199871E-2</v>
      </c>
      <c r="K4" s="1" cm="1">
        <f t="array" aca="1" ref="K4" ca="1">_xlfn.LET(
  _xlpm.ε, (_xlfn.BETA.INV(RAND(), 5, 5) - 0.5) * 2,
  _xlpm.Scenario,H4,
  _xlpm.pre_scenario,H3,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_xlpm.ρ*(MAX(K3, -0.07)-_xlpm.μ_prev) + _xlpm.σ * _xlpm.ε
)</f>
        <v>0.14404413448141251</v>
      </c>
      <c r="L4" s="1">
        <f t="shared" ca="1" si="2"/>
        <v>5.8595932399842406E-2</v>
      </c>
      <c r="M4" s="23">
        <f t="shared" ref="M4:M36" ca="1" si="5">(M3+G4)*(1+L4)*(1-28%)</f>
        <v>7566.2318799473824</v>
      </c>
      <c r="N4" s="23">
        <f t="shared" ca="1" si="3"/>
        <v>7237.0005943058277</v>
      </c>
      <c r="O4" s="23">
        <f t="shared" ca="1" si="4"/>
        <v>61511.911481403506</v>
      </c>
      <c r="P4" s="1" cm="1">
        <f t="array" aca="1" ref="P4" ca="1">_xlfn.LET(
  _xlpm.state, H4,
  _xlpm.last, P3,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MAX(0,_xlfn.IFS(A3=49,-_xlfn.NORM.INV(RAND(), 0.01, 0.005), A3=57,ABS(_xlfn.NORM.INV(RAND(), 0.02, 0.01)),TRUE,0))
)</f>
        <v>2.2824937010664015E-2</v>
      </c>
      <c r="Q4" s="1">
        <f t="shared" ref="Q4:Q36" ca="1" si="6">Q3/(1+P4)</f>
        <v>0.95648675709845621</v>
      </c>
      <c r="S4" s="113" cm="1">
        <f t="array" aca="1" ref="S4" ca="1">_xlfn.LET(
    _xlpm.KS_rate, $V$2 + 3%,
    _xlpm.ESCT_rate, 3%,
    _xlpm.W_HS, $V$3,
    _xlpm.W_HR, $V$4,
    _xlpm.W_SH, $V$5,
    _xlpm.salary, C4,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I4 + _xlpm.W_HR * J4 + _xlpm.W_SH * K4,
    _xlpm.net_growth, (1 + _xlpm.return_rate) * (1 - 28%),
    _xlpm.prev_value, S3,
    _xlpm.result, (_xlpm.prev_value + _xlpm.ks_contrib) * _xlpm.net_growth,
    _xlpm.result
)</f>
        <v>16673.854820658318</v>
      </c>
      <c r="T4" s="113" cm="1">
        <f t="array" aca="1" ref="T4" ca="1">_xlfn.LET(
    _xlpm.KS_rate, $V$2 + 3%,
    _xlpm.ESCT_rate, 3%,
    _xlpm.W_HS, $V$3,
    _xlpm.W_HR, $V$4,
    _xlpm.W_SH, $V$5,
    _xlpm.salary, C4,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I4 + _xlpm.W_HR * J4 + _xlpm.W_SH * K4,
    _xlpm.net_growth, (1 + _xlpm.return_rate) * (1 - 28%),
    _xlpm.prev_value, IF(ROW()=2, 0, S3),
    _xlpm.base, IF(ROW()=2,
        _xlpm.ks_contrib,
        _xlpm.prev_value + _xlpm.ks_contrib
    ),
    _xlpm.current_value, _xlpm.base * _xlpm.net_growth,
    _xlpm.real_value, _xlpm.current_value * Q4,
    _xlpm.real_value
)</f>
        <v>15948.321325741936</v>
      </c>
      <c r="U4" s="110" t="s">
        <v>113</v>
      </c>
      <c r="V4" s="1">
        <v>0.3</v>
      </c>
      <c r="X4" s="113" cm="1">
        <f t="array" aca="1" ref="X4" ca="1">_xlfn.LET(
   _xlpm.KS_rate, Dashboard!$Q$2 + 3%,
    _xlpm.ESCT_rate, 3%,
    _xlpm.W_HS, _xlfn.SWITCH(H3,
        "Recession", Dashboard!$Q$4,
        "Normal",    Dashboard!$Q$8,
        "Boom",      Dashboard!$Q$12    ),
    _xlpm.W_HR, _xlfn.SWITCH(H3,
        "Recession", Dashboard!$Q$5,
        "Normal",    Dashboard!$Q$9,
        "Boom",      Dashboard!$Q$13    ),
    _xlpm.W_SH, _xlfn.SWITCH(H3,
        "Recession", Dashboard!$Q$6,
        "Normal",    Dashboard!$Q$10,
        "Boom",      Dashboard!$Q$14    ),
    _xlpm.salary, C4,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I4 + _xlpm.W_HR * J4 + _xlpm.W_SH * K4,
    _xlpm.net_growth, (1 + _xlpm.return_rate) * (1 - 28%),
    _xlpm.prev_value, S3,
    _xlpm.result, (_xlpm.prev_value + _xlpm.ks_contrib) * _xlpm.net_growth,
    _xlpm.result
)</f>
        <v>18019.742210348599</v>
      </c>
      <c r="Y4" s="113" cm="1">
        <f t="array" aca="1" ref="Y4" ca="1">_xlfn.LET(
    _xlpm.KS_rate, Dashboard!$Q$2 + 3%,
    _xlpm.ESCT_rate, 3%,
    _xlpm.W_HS, _xlfn.SWITCH(H4,
        "Recession", Dashboard!$Q$4,
        "Normal",    Dashboard!$Q$8,
        "Boom",      Dashboard!$Q$12    ),
    _xlpm.W_HR, _xlfn.SWITCH(H4,
        "Recession", Dashboard!$Q$5,
        "Normal",    Dashboard!$Q$9,
        "Boom",      Dashboard!$Q$13    ),
    _xlpm.W_SH, _xlfn.SWITCH(H4,
        "Recession", Dashboard!$Q$6,
        "Normal",    Dashboard!$Q$10,
        "Boom",      Dashboard!$Q$14    ),
    _xlpm.salary, C4,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I4 + _xlpm.W_HR * J4 + _xlpm.W_SH * K4,
    _xlpm.net_growth, (1 + _xlpm.return_rate) * (1 - 28%),
    _xlpm.prev_value, IF(ROW()=2, 0, X3),
    _xlpm.base, IF(ROW()=2, _xlpm.ks_contrib, _xlpm.prev_value + _xlpm.ks_contrib),
    _xlpm.current_value, _xlpm.base * _xlpm.net_growth,
    _xlpm.real_value, _xlpm.current_value * Q4,
    _xlpm.real_value
)</f>
        <v>16289.76147723481</v>
      </c>
      <c r="Z4" s="1">
        <v>74949.529374999998</v>
      </c>
      <c r="AG4" s="1">
        <v>0.06</v>
      </c>
    </row>
    <row r="5" spans="1:33">
      <c r="A5" s="1">
        <v>33</v>
      </c>
      <c r="B5" s="6">
        <f ca="1">VLOOKUP(t4_salaryGrowthevent!J5,t4_salaryGrowthevent!J:J,1,FALSE)</f>
        <v>3.4750000000000003E-2</v>
      </c>
      <c r="C5" s="23">
        <f>VLOOKUP(t4_salaryGrowthevent!B5,t4_salaryGrowthevent!B:B,1,FALSE)</f>
        <v>77554.025520781259</v>
      </c>
      <c r="D5" s="23" cm="1">
        <f t="array" ref="D5">_xlfn.LET(
  _xlpm.taxable, C5,
  _xlpm.kiwisaver,C5*0.03,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C5 * 0.0167,
  _xlpm.taxable - _xlpm.incomeTax - _xlpm.acc - _xlpm.kiwisaver
)</f>
        <v>58445.544872726394</v>
      </c>
      <c r="E5" s="23">
        <f t="shared" si="0"/>
        <v>4653.2415312468756</v>
      </c>
      <c r="F5" s="23" cm="1">
        <f t="array" ref="F5" xml:space="preserve"> C5 * 3% * _xlfn.IFS(
   C5 + C5 * 3% &lt;= 18720, 10.5%,
   C5 + C5 * 3% &lt;= 64200, 17.5%,
   C5 + C5 * 3% &lt;= 93720, 30%,
   C5 + C5 * 3% &lt;= 216000, 33%,
   C5 + C5 * 3% &gt; 216000, 39%
)</f>
        <v>697.98622968703137</v>
      </c>
      <c r="G5" s="23">
        <f t="shared" si="1"/>
        <v>4476.6853015598444</v>
      </c>
      <c r="H5" s="23" t="str" cm="1">
        <f t="array" aca="1" ref="H5" ca="1">_xlfn.IFS(
  H4="Boom", CHOOSE(MATCH(RAND(), {0,0.67,1}, 1), "Normal", "Recession"),
  H4="Normal", CHOOSE(MATCH(RAND(), {0,0.18,0.82,1}, 1), "Boom", "Normal", "Recession"),
  H4="Recession", CHOOSE(MATCH(RAND(), {0,0.17,0.34,1}, 1), "Boom", "Normal", "Recession")
)</f>
        <v>Normal</v>
      </c>
      <c r="I5" s="1" cm="1">
        <f t="array" aca="1" ref="I5" ca="1">_xlfn.LET(
  _xlpm.ε, (_xlfn.BETA.INV(RAND(), 5, 5) - 0.5) * 2,
  _xlpm.Scenario,H5,
  _xlpm.pre_scenario,H4,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_xlpm.ρ*(I4-_xlpm.μ_prev) + _xlpm.σ * _xlpm.ε
)</f>
        <v>4.2967787391170402E-2</v>
      </c>
      <c r="J5" s="1" cm="1">
        <f t="array" aca="1" ref="J5" ca="1">_xlfn.LET(
  _xlpm.ε, (_xlfn.BETA.INV(RAND(), 5, 5) - 0.5) * 2,
  _xlpm.Scenario,H5,
  _xlpm.pre_scenario,H4,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_xlpm.ρ*(MAX(J4, -0.05)-_xlpm.μ_prev) + _xlpm.σ * _xlpm.ε
)</f>
        <v>9.2928475665302497E-3</v>
      </c>
      <c r="K5" s="1" cm="1">
        <f t="array" aca="1" ref="K5" ca="1">_xlfn.LET(
  _xlpm.ε, (_xlfn.BETA.INV(RAND(), 5, 5) - 0.5) * 2,
  _xlpm.Scenario,H5,
  _xlpm.pre_scenario,H4,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_xlpm.ρ*(MAX(K4, -0.07)-_xlpm.μ_prev) + _xlpm.σ * _xlpm.ε
)</f>
        <v>0.17686775731163967</v>
      </c>
      <c r="L5" s="1">
        <f t="shared" ca="1" si="2"/>
        <v>7.3035296419919141E-2</v>
      </c>
      <c r="M5" s="23">
        <f t="shared" ca="1" si="5"/>
        <v>9304.182149485785</v>
      </c>
      <c r="N5" s="23">
        <f t="shared" ca="1" si="3"/>
        <v>8722.9489865008236</v>
      </c>
      <c r="O5" s="23">
        <f ca="1">N5+D5*Q5</f>
        <v>63517.394991753761</v>
      </c>
      <c r="P5" s="1" cm="1">
        <f t="array" aca="1" ref="P5" ca="1">_xlfn.LET(
  _xlpm.state, H5,
  _xlpm.last, P4,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MAX(0,_xlfn.IFS(A4=49,-_xlfn.NORM.INV(RAND(), 0.01, 0.005), A4=57,ABS(_xlfn.NORM.INV(RAND(), 0.02, 0.01)),TRUE,0))
)</f>
        <v>2.021999961104131E-2</v>
      </c>
      <c r="Q5" s="1">
        <f t="shared" ca="1" si="6"/>
        <v>0.9375299028279358</v>
      </c>
      <c r="S5" s="113" cm="1">
        <f t="array" aca="1" ref="S5" ca="1">_xlfn.LET(
    _xlpm.KS_rate, $V$2 + 3%,
    _xlpm.ESCT_rate, 3%,
    _xlpm.W_HS, $V$3,
    _xlpm.W_HR, $V$4,
    _xlpm.W_SH, $V$5,
    _xlpm.salary, C5,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I5 + _xlpm.W_HR * J5 + _xlpm.W_SH * K5,
    _xlpm.net_growth, (1 + _xlpm.return_rate) * (1 - 28%),
    _xlpm.prev_value, S4,
    _xlpm.result, (_xlpm.prev_value + _xlpm.ks_contrib) * _xlpm.net_growth,
    _xlpm.result
)</f>
        <v>20534.796405297519</v>
      </c>
      <c r="T5" s="113" cm="1">
        <f t="array" aca="1" ref="T5" ca="1">_xlfn.LET(
    _xlpm.KS_rate, $V$2 + 3%,
    _xlpm.ESCT_rate, 3%,
    _xlpm.W_HS, $V$3,
    _xlpm.W_HR, $V$4,
    _xlpm.W_SH, $V$5,
    _xlpm.salary, C5,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I5 + _xlpm.W_HR * J5 + _xlpm.W_SH * K5,
    _xlpm.net_growth, (1 + _xlpm.return_rate) * (1 - 28%),
    _xlpm.prev_value, IF(ROW()=2, 0, S4),
    _xlpm.base, IF(ROW()=2,
        _xlpm.ks_contrib,
        _xlpm.prev_value + _xlpm.ks_contrib
    ),
    _xlpm.current_value, _xlpm.base * _xlpm.net_growth,
    _xlpm.real_value, _xlpm.current_value * Q5,
    _xlpm.real_value
)</f>
        <v>19251.985678450026</v>
      </c>
      <c r="U5" s="111" t="s">
        <v>114</v>
      </c>
      <c r="V5" s="1">
        <v>0.3</v>
      </c>
      <c r="X5" s="113" cm="1">
        <f t="array" aca="1" ref="X5" ca="1">_xlfn.LET(
   _xlpm.KS_rate, Dashboard!$Q$2 + 3%,
    _xlpm.ESCT_rate, 3%,
    _xlpm.W_HS, _xlfn.SWITCH(H4,
        "Recession", Dashboard!$Q$4,
        "Normal",    Dashboard!$Q$8,
        "Boom",      Dashboard!$Q$12    ),
    _xlpm.W_HR, _xlfn.SWITCH(H4,
        "Recession", Dashboard!$Q$5,
        "Normal",    Dashboard!$Q$9,
        "Boom",      Dashboard!$Q$13    ),
    _xlpm.W_SH, _xlfn.SWITCH(H4,
        "Recession", Dashboard!$Q$6,
        "Normal",    Dashboard!$Q$10,
        "Boom",      Dashboard!$Q$14    ),
    _xlpm.salary, C5,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I5 + _xlpm.W_HR * J5 + _xlpm.W_SH * K5,
    _xlpm.net_growth, (1 + _xlpm.return_rate) * (1 - 28%),
    _xlpm.prev_value, S4,
    _xlpm.result, (_xlpm.prev_value + _xlpm.ks_contrib) * _xlpm.net_growth,
    _xlpm.result
)</f>
        <v>20918.399926001697</v>
      </c>
      <c r="Y5" s="113" cm="1">
        <f t="array" aca="1" ref="Y5" ca="1">_xlfn.LET(
    _xlpm.KS_rate, Dashboard!$Q$2 + 3%,
    _xlpm.ESCT_rate, 3%,
    _xlpm.W_HS, _xlfn.SWITCH(H5,
        "Recession", Dashboard!$Q$4,
        "Normal",    Dashboard!$Q$8,
        "Boom",      Dashboard!$Q$12    ),
    _xlpm.W_HR, _xlfn.SWITCH(H5,
        "Recession", Dashboard!$Q$5,
        "Normal",    Dashboard!$Q$9,
        "Boom",      Dashboard!$Q$13    ),
    _xlpm.W_SH, _xlfn.SWITCH(H5,
        "Recession", Dashboard!$Q$6,
        "Normal",    Dashboard!$Q$10,
        "Boom",      Dashboard!$Q$14    ),
    _xlpm.salary, C5,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I5 + _xlpm.W_HR * J5 + _xlpm.W_SH * K5,
    _xlpm.net_growth, (1 + _xlpm.return_rate) * (1 - 28%),
    _xlpm.prev_value, IF(ROW()=2, 0, X4),
    _xlpm.base, IF(ROW()=2, _xlpm.ks_contrib, _xlpm.prev_value + _xlpm.ks_contrib),
    _xlpm.current_value, _xlpm.base * _xlpm.net_growth,
    _xlpm.real_value, _xlpm.current_value * Q5,
    _xlpm.real_value
)</f>
        <v>20604.692145738514</v>
      </c>
      <c r="Z5" s="1">
        <v>77554.025520781259</v>
      </c>
      <c r="AG5" s="1">
        <v>0.08</v>
      </c>
    </row>
    <row r="6" spans="1:33">
      <c r="A6" s="1">
        <v>34</v>
      </c>
      <c r="B6" s="6">
        <f ca="1">VLOOKUP(t4_salaryGrowthevent!J6,t4_salaryGrowthevent!J:J,1,FALSE)</f>
        <v>3.4750000000000003E-2</v>
      </c>
      <c r="C6" s="23">
        <f>VLOOKUP(t4_salaryGrowthevent!B6,t4_salaryGrowthevent!B:B,1,FALSE)</f>
        <v>80249.027907628406</v>
      </c>
      <c r="D6" s="23" cm="1">
        <f t="array" ref="D6">_xlfn.LET(
  _xlpm.taxable, C6,
  _xlpm.kiwisaver,C6*0.03,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C6 * 0.0167,
  _xlpm.taxable - _xlpm.incomeTax - _xlpm.acc - _xlpm.kiwisaver
)</f>
        <v>60141.719094824788</v>
      </c>
      <c r="E6" s="23">
        <f t="shared" si="0"/>
        <v>4814.9416744577038</v>
      </c>
      <c r="F6" s="23" cm="1">
        <f t="array" ref="F6" xml:space="preserve"> C6 * 3% * _xlfn.IFS(
   C6 + C6 * 3% &lt;= 18720, 10.5%,
   C6 + C6 * 3% &lt;= 64200, 17.5%,
   C6 + C6 * 3% &lt;= 93720, 30%,
   C6 + C6 * 3% &lt;= 216000, 33%,
   C6 + C6 * 3% &gt; 216000, 39%
)</f>
        <v>722.24125116865559</v>
      </c>
      <c r="G6" s="23">
        <f t="shared" si="1"/>
        <v>4614.1304232890479</v>
      </c>
      <c r="H6" s="23" t="str" cm="1">
        <f t="array" aca="1" ref="H6" ca="1">_xlfn.IFS(
  H5="Boom", CHOOSE(MATCH(RAND(), {0,0.67,1}, 1), "Normal", "Recession"),
  H5="Normal", CHOOSE(MATCH(RAND(), {0,0.18,0.82,1}, 1), "Boom", "Normal", "Recession"),
  H5="Recession", CHOOSE(MATCH(RAND(), {0,0.17,0.34,1}, 1), "Boom", "Normal", "Recession")
)</f>
        <v>Normal</v>
      </c>
      <c r="I6" s="1" cm="1">
        <f t="array" aca="1" ref="I6" ca="1">_xlfn.LET(
  _xlpm.ε, (_xlfn.BETA.INV(RAND(), 5, 5) - 0.5) * 2,
  _xlpm.Scenario,H6,
  _xlpm.pre_scenario,H5,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_xlpm.ρ*(I5-_xlpm.μ_prev) + _xlpm.σ * _xlpm.ε
)</f>
        <v>6.8419423093109388E-2</v>
      </c>
      <c r="J6" s="1" cm="1">
        <f t="array" aca="1" ref="J6" ca="1">_xlfn.LET(
  _xlpm.ε, (_xlfn.BETA.INV(RAND(), 5, 5) - 0.5) * 2,
  _xlpm.Scenario,H6,
  _xlpm.pre_scenario,H5,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_xlpm.ρ*(MAX(J5, -0.05)-_xlpm.μ_prev) + _xlpm.σ * _xlpm.ε
)</f>
        <v>1.5874884019691976E-2</v>
      </c>
      <c r="K6" s="1" cm="1">
        <f t="array" aca="1" ref="K6" ca="1">_xlfn.LET(
  _xlpm.ε, (_xlfn.BETA.INV(RAND(), 5, 5) - 0.5) * 2,
  _xlpm.Scenario,H6,
  _xlpm.pre_scenario,H5,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_xlpm.ρ*(MAX(K5, -0.07)-_xlpm.μ_prev) + _xlpm.σ * _xlpm.ε
)</f>
        <v>8.1035542863333115E-2</v>
      </c>
      <c r="L6" s="1">
        <f t="shared" ca="1" si="2"/>
        <v>5.644089730215128E-2</v>
      </c>
      <c r="M6" s="23">
        <f t="shared" ca="1" si="5"/>
        <v>10586.789728786121</v>
      </c>
      <c r="N6" s="23">
        <f t="shared" ca="1" si="3"/>
        <v>9775.5343059077131</v>
      </c>
      <c r="O6" s="23">
        <f t="shared" ca="1" si="4"/>
        <v>65308.651831529438</v>
      </c>
      <c r="P6" s="1" cm="1">
        <f t="array" aca="1" ref="P6" ca="1">_xlfn.LET(
  _xlpm.state, H6,
  _xlpm.last, P5,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MAX(0,_xlfn.IFS(A5=49,-_xlfn.NORM.INV(RAND(), 0.01, 0.005), A5=57,ABS(_xlfn.NORM.INV(RAND(), 0.02, 0.01)),TRUE,0))
)</f>
        <v>1.5333958747435435E-2</v>
      </c>
      <c r="Q6" s="1">
        <f t="shared" ca="1" si="6"/>
        <v>0.92337097045834804</v>
      </c>
      <c r="S6" s="113" cm="1">
        <f t="array" aca="1" ref="S6" ca="1">_xlfn.LET(
    _xlpm.KS_rate, $V$2 + 3%,
    _xlpm.ESCT_rate, 3%,
    _xlpm.W_HS, $V$3,
    _xlpm.W_HR, $V$4,
    _xlpm.W_SH, $V$5,
    _xlpm.salary, C6,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I6 + _xlpm.W_HR * J6 + _xlpm.W_SH * K6,
    _xlpm.net_growth, (1 + _xlpm.return_rate) * (1 - 28%),
    _xlpm.prev_value, S5,
    _xlpm.result, (_xlpm.prev_value + _xlpm.ks_contrib) * _xlpm.net_growth,
    _xlpm.result
)</f>
        <v>23402.044568522422</v>
      </c>
      <c r="T6" s="113" cm="1">
        <f t="array" aca="1" ref="T6" ca="1">_xlfn.LET(
    _xlpm.KS_rate, $V$2 + 3%,
    _xlpm.ESCT_rate, 3%,
    _xlpm.W_HS, $V$3,
    _xlpm.W_HR, $V$4,
    _xlpm.W_SH, $V$5,
    _xlpm.salary, C6,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I6 + _xlpm.W_HR * J6 + _xlpm.W_SH * K6,
    _xlpm.net_growth, (1 + _xlpm.return_rate) * (1 - 28%),
    _xlpm.prev_value, IF(ROW()=2, 0, S5),
    _xlpm.base, IF(ROW()=2,
        _xlpm.ks_contrib,
        _xlpm.prev_value + _xlpm.ks_contrib
    ),
    _xlpm.current_value, _xlpm.base * _xlpm.net_growth,
    _xlpm.real_value, _xlpm.current_value * Q6,
    _xlpm.real_value
)</f>
        <v>21608.76860394606</v>
      </c>
      <c r="X6" s="113" cm="1">
        <f t="array" aca="1" ref="X6" ca="1">_xlfn.LET(
   _xlpm.KS_rate, Dashboard!$Q$2 + 3%,
    _xlpm.ESCT_rate, 3%,
    _xlpm.W_HS, _xlfn.SWITCH(H5,
        "Recession", Dashboard!$Q$4,
        "Normal",    Dashboard!$Q$8,
        "Boom",      Dashboard!$Q$12    ),
    _xlpm.W_HR, _xlfn.SWITCH(H5,
        "Recession", Dashboard!$Q$5,
        "Normal",    Dashboard!$Q$9,
        "Boom",      Dashboard!$Q$13    ),
    _xlpm.W_SH, _xlfn.SWITCH(H5,
        "Recession", Dashboard!$Q$6,
        "Normal",    Dashboard!$Q$10,
        "Boom",      Dashboard!$Q$14    ),
    _xlpm.salary, C6,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I6 + _xlpm.W_HR * J6 + _xlpm.W_SH * K6,
    _xlpm.net_growth, (1 + _xlpm.return_rate) * (1 - 28%),
    _xlpm.prev_value, S5,
    _xlpm.result, (_xlpm.prev_value + _xlpm.ks_contrib) * _xlpm.net_growth,
    _xlpm.result
)</f>
        <v>23225.147469882984</v>
      </c>
      <c r="Y6" s="113" cm="1">
        <f t="array" aca="1" ref="Y6" ca="1">_xlfn.LET(
    _xlpm.KS_rate, Dashboard!$Q$2 + 3%,
    _xlpm.ESCT_rate, 3%,
    _xlpm.W_HS, _xlfn.SWITCH(H6,
        "Recession", Dashboard!$Q$4,
        "Normal",    Dashboard!$Q$8,
        "Boom",      Dashboard!$Q$12    ),
    _xlpm.W_HR, _xlfn.SWITCH(H6,
        "Recession", Dashboard!$Q$5,
        "Normal",    Dashboard!$Q$9,
        "Boom",      Dashboard!$Q$13    ),
    _xlpm.W_SH, _xlfn.SWITCH(H6,
        "Recession", Dashboard!$Q$6,
        "Normal",    Dashboard!$Q$10,
        "Boom",      Dashboard!$Q$14    ),
    _xlpm.salary, C6,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I6 + _xlpm.W_HR * J6 + _xlpm.W_SH * K6,
    _xlpm.net_growth, (1 + _xlpm.return_rate) * (1 - 28%),
    _xlpm.prev_value, IF(ROW()=2, 0, X5),
    _xlpm.base, IF(ROW()=2, _xlpm.ks_contrib, _xlpm.prev_value + _xlpm.ks_contrib),
    _xlpm.current_value, _xlpm.base * _xlpm.net_growth,
    _xlpm.real_value, _xlpm.current_value * Q6,
    _xlpm.real_value
)</f>
        <v>21712.814507882777</v>
      </c>
      <c r="Z6" s="1">
        <v>80249.027907628406</v>
      </c>
      <c r="AG6" s="1">
        <v>0.1</v>
      </c>
    </row>
    <row r="7" spans="1:33">
      <c r="A7" s="1">
        <v>35</v>
      </c>
      <c r="B7" s="6">
        <f ca="1">VLOOKUP(t4_salaryGrowthevent!J7,t4_salaryGrowthevent!J:J,1,FALSE)</f>
        <v>3.4750000000000003E-2</v>
      </c>
      <c r="C7" s="23">
        <f>VLOOKUP(t4_salaryGrowthevent!B7,t4_salaryGrowthevent!B:B,1,FALSE)</f>
        <v>83037.681627418497</v>
      </c>
      <c r="D7" s="23" cm="1">
        <f t="array" ref="D7">_xlfn.LET(
  _xlpm.taxable, C7,
  _xlpm.kiwisaver,C7*0.03,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C7 * 0.0167,
  _xlpm.taxable - _xlpm.incomeTax - _xlpm.acc - _xlpm.kiwisaver
)</f>
        <v>61879.886958369942</v>
      </c>
      <c r="E7" s="23">
        <f t="shared" si="0"/>
        <v>4982.2608976451093</v>
      </c>
      <c r="F7" s="23" cm="1">
        <f t="array" ref="F7" xml:space="preserve"> C7 * 3% * _xlfn.IFS(
   C7 + C7 * 3% &lt;= 18720, 10.5%,
   C7 + C7 * 3% &lt;= 64200, 17.5%,
   C7 + C7 * 3% &lt;= 93720, 30%,
   C7 + C7 * 3% &lt;= 216000, 33%,
   C7 + C7 * 3% &gt; 216000, 39%
)</f>
        <v>747.33913464676641</v>
      </c>
      <c r="G7" s="23">
        <f t="shared" si="1"/>
        <v>4756.3517629983435</v>
      </c>
      <c r="H7" s="23" t="str" cm="1">
        <f t="array" aca="1" ref="H7" ca="1">_xlfn.IFS(
  H6="Boom", CHOOSE(MATCH(RAND(), {0,0.67,1}, 1), "Normal", "Recession"),
  H6="Normal", CHOOSE(MATCH(RAND(), {0,0.18,0.82,1}, 1), "Boom", "Normal", "Recession"),
  H6="Recession", CHOOSE(MATCH(RAND(), {0,0.17,0.34,1}, 1), "Boom", "Normal", "Recession")
)</f>
        <v>Boom</v>
      </c>
      <c r="I7" s="1" cm="1">
        <f t="array" aca="1" ref="I7" ca="1">_xlfn.LET(
  _xlpm.ε, (_xlfn.BETA.INV(RAND(), 5, 5) - 0.5) * 2,
  _xlpm.Scenario,H7,
  _xlpm.pre_scenario,H6,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_xlpm.ρ*(I6-_xlpm.μ_prev) + _xlpm.σ * _xlpm.ε
)</f>
        <v>4.0018419983870922E-2</v>
      </c>
      <c r="J7" s="1" cm="1">
        <f t="array" aca="1" ref="J7" ca="1">_xlfn.LET(
  _xlpm.ε, (_xlfn.BETA.INV(RAND(), 5, 5) - 0.5) * 2,
  _xlpm.Scenario,H7,
  _xlpm.pre_scenario,H6,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_xlpm.ρ*(MAX(J6, -0.05)-_xlpm.μ_prev) + _xlpm.σ * _xlpm.ε
)</f>
        <v>-0.20483847463534785</v>
      </c>
      <c r="K7" s="1" cm="1">
        <f t="array" aca="1" ref="K7" ca="1">_xlfn.LET(
  _xlpm.ε, (_xlfn.BETA.INV(RAND(), 5, 5) - 0.5) * 2,
  _xlpm.Scenario,H7,
  _xlpm.pre_scenario,H6,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_xlpm.ρ*(MAX(K6, -0.07)-_xlpm.μ_prev) + _xlpm.σ * _xlpm.ε
)</f>
        <v>0.31558456696359127</v>
      </c>
      <c r="L7" s="1">
        <f t="shared" ca="1" si="2"/>
        <v>4.9231195692021397E-2</v>
      </c>
      <c r="M7" s="23">
        <f t="shared" ca="1" si="5"/>
        <v>11590.921939029755</v>
      </c>
      <c r="N7" s="23">
        <f t="shared" ca="1" si="3"/>
        <v>10487.493138325635</v>
      </c>
      <c r="O7" s="23">
        <f t="shared" ca="1" si="4"/>
        <v>66476.558830419657</v>
      </c>
      <c r="P7" s="1" cm="1">
        <f t="array" aca="1" ref="P7" ca="1">_xlfn.LET(
  _xlpm.state, H7,
  _xlpm.last, P6,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MAX(0,_xlfn.IFS(A6=49,-_xlfn.NORM.INV(RAND(), 0.01, 0.005), A6=57,ABS(_xlfn.NORM.INV(RAND(), 0.02, 0.01)),TRUE,0))
)</f>
        <v>2.0522321033679222E-2</v>
      </c>
      <c r="Q7" s="1">
        <f t="shared" ca="1" si="6"/>
        <v>0.90480232663904181</v>
      </c>
      <c r="S7" s="113" cm="1">
        <f t="array" aca="1" ref="S7" ca="1">_xlfn.LET(
    _xlpm.KS_rate, $V$2 + 3%,
    _xlpm.ESCT_rate, 3%,
    _xlpm.W_HS, $V$3,
    _xlpm.W_HR, $V$4,
    _xlpm.W_SH, $V$5,
    _xlpm.salary, C7,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I7 + _xlpm.W_HR * J7 + _xlpm.W_SH * K7,
    _xlpm.net_growth, (1 + _xlpm.return_rate) * (1 - 28%),
    _xlpm.prev_value, S6,
    _xlpm.result, (_xlpm.prev_value + _xlpm.ks_contrib) * _xlpm.net_growth,
    _xlpm.result
)</f>
        <v>25663.297442681836</v>
      </c>
      <c r="T7" s="113" cm="1">
        <f t="array" aca="1" ref="T7" ca="1">_xlfn.LET(
    _xlpm.KS_rate, $V$2 + 3%,
    _xlpm.ESCT_rate, 3%,
    _xlpm.W_HS, $V$3,
    _xlpm.W_HR, $V$4,
    _xlpm.W_SH, $V$5,
    _xlpm.salary, C7,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I7 + _xlpm.W_HR * J7 + _xlpm.W_SH * K7,
    _xlpm.net_growth, (1 + _xlpm.return_rate) * (1 - 28%),
    _xlpm.prev_value, IF(ROW()=2, 0, S6),
    _xlpm.base, IF(ROW()=2,
        _xlpm.ks_contrib,
        _xlpm.prev_value + _xlpm.ks_contrib
    ),
    _xlpm.current_value, _xlpm.base * _xlpm.net_growth,
    _xlpm.real_value, _xlpm.current_value * Q7,
    _xlpm.real_value
)</f>
        <v>23220.211235368297</v>
      </c>
      <c r="X7" s="113" cm="1">
        <f t="array" aca="1" ref="X7" ca="1">_xlfn.LET(
   _xlpm.KS_rate, Dashboard!$Q$2 + 3%,
    _xlpm.ESCT_rate, 3%,
    _xlpm.W_HS, _xlfn.SWITCH(H6,
        "Recession", Dashboard!$Q$4,
        "Normal",    Dashboard!$Q$8,
        "Boom",      Dashboard!$Q$12    ),
    _xlpm.W_HR, _xlfn.SWITCH(H6,
        "Recession", Dashboard!$Q$5,
        "Normal",    Dashboard!$Q$9,
        "Boom",      Dashboard!$Q$13    ),
    _xlpm.W_SH, _xlfn.SWITCH(H6,
        "Recession", Dashboard!$Q$6,
        "Normal",    Dashboard!$Q$10,
        "Boom",      Dashboard!$Q$14    ),
    _xlpm.salary, C7,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I7 + _xlpm.W_HR * J7 + _xlpm.W_SH * K7,
    _xlpm.net_growth, (1 + _xlpm.return_rate) * (1 - 28%),
    _xlpm.prev_value, S6,
    _xlpm.result, (_xlpm.prev_value + _xlpm.ks_contrib) * _xlpm.net_growth,
    _xlpm.result
)</f>
        <v>25813.521850954436</v>
      </c>
      <c r="Y7" s="113" cm="1">
        <f t="array" aca="1" ref="Y7" ca="1">_xlfn.LET(
    _xlpm.KS_rate, Dashboard!$Q$2 + 3%,
    _xlpm.ESCT_rate, 3%,
    _xlpm.W_HS, _xlfn.SWITCH(H7,
        "Recession", Dashboard!$Q$4,
        "Normal",    Dashboard!$Q$8,
        "Boom",      Dashboard!$Q$12    ),
    _xlpm.W_HR, _xlfn.SWITCH(H7,
        "Recession", Dashboard!$Q$5,
        "Normal",    Dashboard!$Q$9,
        "Boom",      Dashboard!$Q$13    ),
    _xlpm.W_SH, _xlfn.SWITCH(H7,
        "Recession", Dashboard!$Q$6,
        "Normal",    Dashboard!$Q$10,
        "Boom",      Dashboard!$Q$14    ),
    _xlpm.salary, C7,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I7 + _xlpm.W_HR * J7 + _xlpm.W_SH * K7,
    _xlpm.net_growth, (1 + _xlpm.return_rate) * (1 - 28%),
    _xlpm.prev_value, IF(ROW()=2, 0, X6),
    _xlpm.base, IF(ROW()=2, _xlpm.ks_contrib, _xlpm.prev_value + _xlpm.ks_contrib),
    _xlpm.current_value, _xlpm.base * _xlpm.net_growth,
    _xlpm.real_value, _xlpm.current_value * Q7,
    _xlpm.real_value
)</f>
        <v>28963.186110150851</v>
      </c>
      <c r="Z7" s="1">
        <v>83037.681627418497</v>
      </c>
    </row>
    <row r="8" spans="1:33">
      <c r="A8" s="1">
        <v>36</v>
      </c>
      <c r="B8" s="6">
        <f ca="1">VLOOKUP(t4_salaryGrowthevent!J8,t4_salaryGrowthevent!J:J,1,FALSE)</f>
        <v>3.4750000000000003E-2</v>
      </c>
      <c r="C8" s="23">
        <f>VLOOKUP(t4_salaryGrowthevent!B8,t4_salaryGrowthevent!B:B,1,FALSE)</f>
        <v>85923.241063971291</v>
      </c>
      <c r="D8" s="23" cm="1">
        <f t="array" ref="D8">_xlfn.LET(
  _xlpm.taxable, C8,
  _xlpm.kiwisaver,C8*0.03,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C8 * 0.0167,
  _xlpm.taxable - _xlpm.incomeTax - _xlpm.acc - _xlpm.kiwisaver
)</f>
        <v>63678.456155173306</v>
      </c>
      <c r="E8" s="23">
        <f t="shared" si="0"/>
        <v>5155.3944638382773</v>
      </c>
      <c r="F8" s="23" cm="1">
        <f t="array" ref="F8" xml:space="preserve"> C8 * 3% * _xlfn.IFS(
   C8 + C8 * 3% &lt;= 18720, 10.5%,
   C8 + C8 * 3% &lt;= 64200, 17.5%,
   C8 + C8 * 3% &lt;= 93720, 30%,
   C8 + C8 * 3% &lt;= 216000, 33%,
   C8 + C8 * 3% &gt; 216000, 39%
)</f>
        <v>773.30916957574152</v>
      </c>
      <c r="G8" s="23">
        <f t="shared" si="1"/>
        <v>4903.5152942625364</v>
      </c>
      <c r="H8" s="23" t="str" cm="1">
        <f t="array" aca="1" ref="H8" ca="1">_xlfn.IFS(
  H7="Boom", CHOOSE(MATCH(RAND(), {0,0.67,1}, 1), "Normal", "Recession"),
  H7="Normal", CHOOSE(MATCH(RAND(), {0,0.18,0.82,1}, 1), "Boom", "Normal", "Recession"),
  H7="Recession", CHOOSE(MATCH(RAND(), {0,0.17,0.34,1}, 1), "Boom", "Normal", "Recession")
)</f>
        <v>Recession</v>
      </c>
      <c r="I8" s="1" cm="1">
        <f t="array" aca="1" ref="I8" ca="1">_xlfn.LET(
  _xlpm.ε, (_xlfn.BETA.INV(RAND(), 5, 5) - 0.5) * 2,
  _xlpm.Scenario,H8,
  _xlpm.pre_scenario,H7,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_xlpm.ρ*(I7-_xlpm.μ_prev) + _xlpm.σ * _xlpm.ε
)</f>
        <v>2.4711554784052448E-2</v>
      </c>
      <c r="J8" s="1" cm="1">
        <f t="array" aca="1" ref="J8" ca="1">_xlfn.LET(
  _xlpm.ε, (_xlfn.BETA.INV(RAND(), 5, 5) - 0.5) * 2,
  _xlpm.Scenario,H8,
  _xlpm.pre_scenario,H7,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_xlpm.ρ*(MAX(J7, -0.05)-_xlpm.μ_prev) + _xlpm.σ * _xlpm.ε
)</f>
        <v>3.1192975978759935E-2</v>
      </c>
      <c r="K8" s="1" cm="1">
        <f t="array" aca="1" ref="K8" ca="1">_xlfn.LET(
  _xlpm.ε, (_xlfn.BETA.INV(RAND(), 5, 5) - 0.5) * 2,
  _xlpm.Scenario,H8,
  _xlpm.pre_scenario,H7,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_xlpm.ρ*(MAX(K7, -0.07)-_xlpm.μ_prev) + _xlpm.σ * _xlpm.ε
)</f>
        <v>1.5957727191940243E-2</v>
      </c>
      <c r="L8" s="1">
        <f t="shared" ca="1" si="2"/>
        <v>2.4029832864831034E-2</v>
      </c>
      <c r="M8" s="23">
        <f t="shared" ca="1" si="5"/>
        <v>12161.372978309579</v>
      </c>
      <c r="N8" s="23">
        <f t="shared" ca="1" si="3"/>
        <v>10695.668327182866</v>
      </c>
      <c r="O8" s="23">
        <f t="shared" ca="1" si="4"/>
        <v>66699.513274421712</v>
      </c>
      <c r="P8" s="1" cm="1">
        <f t="array" aca="1" ref="P8" ca="1">_xlfn.LET(
  _xlpm.state, H8,
  _xlpm.last, P7,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MAX(0,_xlfn.IFS(A7=49,-_xlfn.NORM.INV(RAND(), 0.01, 0.005), A7=57,ABS(_xlfn.NORM.INV(RAND(), 0.02, 0.01)),TRUE,0))
)</f>
        <v>2.8793921922028176E-2</v>
      </c>
      <c r="Q8" s="1">
        <f t="shared" ca="1" si="6"/>
        <v>0.87947868602164658</v>
      </c>
      <c r="S8" s="113" cm="1">
        <f t="array" aca="1" ref="S8" ca="1">_xlfn.LET(
    _xlpm.KS_rate, $V$2 + 3%,
    _xlpm.ESCT_rate, 3%,
    _xlpm.W_HS, $V$3,
    _xlpm.W_HR, $V$4,
    _xlpm.W_SH, $V$5,
    _xlpm.salary, C8,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I8 + _xlpm.W_HR * J8 + _xlpm.W_SH * K8,
    _xlpm.net_growth, (1 + _xlpm.return_rate) * (1 - 28%),
    _xlpm.prev_value, S7,
    _xlpm.result, (_xlpm.prev_value + _xlpm.ks_contrib) * _xlpm.net_growth,
    _xlpm.result
)</f>
        <v>26971.549553692617</v>
      </c>
      <c r="T8" s="113" cm="1">
        <f t="array" aca="1" ref="T8" ca="1">_xlfn.LET(
    _xlpm.KS_rate, $V$2 + 3%,
    _xlpm.ESCT_rate, 3%,
    _xlpm.W_HS, $V$3,
    _xlpm.W_HR, $V$4,
    _xlpm.W_SH, $V$5,
    _xlpm.salary, C8,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I8 + _xlpm.W_HR * J8 + _xlpm.W_SH * K8,
    _xlpm.net_growth, (1 + _xlpm.return_rate) * (1 - 28%),
    _xlpm.prev_value, IF(ROW()=2, 0, S7),
    _xlpm.base, IF(ROW()=2,
        _xlpm.ks_contrib,
        _xlpm.prev_value + _xlpm.ks_contrib
    ),
    _xlpm.current_value, _xlpm.base * _xlpm.net_growth,
    _xlpm.real_value, _xlpm.current_value * Q8,
    _xlpm.real_value
)</f>
        <v>23720.902961449312</v>
      </c>
      <c r="X8" s="113" cm="1">
        <f t="array" aca="1" ref="X8" ca="1">_xlfn.LET(
   _xlpm.KS_rate, Dashboard!$Q$2 + 3%,
    _xlpm.ESCT_rate, 3%,
    _xlpm.W_HS, _xlfn.SWITCH(H7,
        "Recession", Dashboard!$Q$4,
        "Normal",    Dashboard!$Q$8,
        "Boom",      Dashboard!$Q$12    ),
    _xlpm.W_HR, _xlfn.SWITCH(H7,
        "Recession", Dashboard!$Q$5,
        "Normal",    Dashboard!$Q$9,
        "Boom",      Dashboard!$Q$13    ),
    _xlpm.W_SH, _xlfn.SWITCH(H7,
        "Recession", Dashboard!$Q$6,
        "Normal",    Dashboard!$Q$10,
        "Boom",      Dashboard!$Q$14    ),
    _xlpm.salary, C8,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I8 + _xlpm.W_HR * J8 + _xlpm.W_SH * K8,
    _xlpm.net_growth, (1 + _xlpm.return_rate) * (1 - 28%),
    _xlpm.prev_value, S7,
    _xlpm.result, (_xlpm.prev_value + _xlpm.ks_contrib) * _xlpm.net_growth,
    _xlpm.result
)</f>
        <v>26758.941296421512</v>
      </c>
      <c r="Y8" s="113" cm="1">
        <f t="array" aca="1" ref="Y8" ca="1">_xlfn.LET(
    _xlpm.KS_rate, Dashboard!$Q$2 + 3%,
    _xlpm.ESCT_rate, 3%,
    _xlpm.W_HS, _xlfn.SWITCH(H8,
        "Recession", Dashboard!$Q$4,
        "Normal",    Dashboard!$Q$8,
        "Boom",      Dashboard!$Q$12    ),
    _xlpm.W_HR, _xlfn.SWITCH(H8,
        "Recession", Dashboard!$Q$5,
        "Normal",    Dashboard!$Q$9,
        "Boom",      Dashboard!$Q$13    ),
    _xlpm.W_SH, _xlfn.SWITCH(H8,
        "Recession", Dashboard!$Q$6,
        "Normal",    Dashboard!$Q$10,
        "Boom",      Dashboard!$Q$14    ),
    _xlpm.salary, C8,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I8 + _xlpm.W_HR * J8 + _xlpm.W_SH * K8,
    _xlpm.net_growth, (1 + _xlpm.return_rate) * (1 - 28%),
    _xlpm.prev_value, IF(ROW()=2, 0, X7),
    _xlpm.base, IF(ROW()=2, _xlpm.ks_contrib, _xlpm.prev_value + _xlpm.ks_contrib),
    _xlpm.current_value, _xlpm.base * _xlpm.net_growth,
    _xlpm.real_value, _xlpm.current_value * Q8,
    _xlpm.real_value
)</f>
        <v>23834.171057001229</v>
      </c>
      <c r="Z8" s="1">
        <v>85923.241063971291</v>
      </c>
    </row>
    <row r="9" spans="1:33">
      <c r="A9" s="1">
        <v>37</v>
      </c>
      <c r="B9" s="6">
        <f ca="1">VLOOKUP(t4_salaryGrowthevent!J9,t4_salaryGrowthevent!J:J,1,FALSE)</f>
        <v>3.4750000000000003E-2</v>
      </c>
      <c r="C9" s="23">
        <f>VLOOKUP(t4_salaryGrowthevent!B9,t4_salaryGrowthevent!B:B,1,FALSE)</f>
        <v>88909.073690944293</v>
      </c>
      <c r="D9" s="23" cm="1">
        <f t="array" ref="D9">_xlfn.LET(
  _xlpm.taxable, C9,
  _xlpm.kiwisaver,C9*0.03,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C9 * 0.0167,
  _xlpm.taxable - _xlpm.incomeTax - _xlpm.acc - _xlpm.kiwisaver
)</f>
        <v>65539.525631565572</v>
      </c>
      <c r="E9" s="23">
        <f t="shared" si="0"/>
        <v>5334.5444214566578</v>
      </c>
      <c r="F9" s="23" cm="1">
        <f t="array" ref="F9" xml:space="preserve"> C9 * 3% * _xlfn.IFS(
   C9 + C9 * 3% &lt;= 18720, 10.5%,
   C9 + C9 * 3% &lt;= 64200, 17.5%,
   C9 + C9 * 3% &lt;= 93720, 30%,
   C9 + C9 * 3% &lt;= 216000, 33%,
   C9 + C9 * 3% &gt; 216000, 39%
)</f>
        <v>800.18166321849867</v>
      </c>
      <c r="G9" s="23">
        <f t="shared" si="1"/>
        <v>5055.7927582381599</v>
      </c>
      <c r="H9" s="23" t="str" cm="1">
        <f t="array" aca="1" ref="H9" ca="1">_xlfn.IFS(
  H8="Boom", CHOOSE(MATCH(RAND(), {0,0.67,1}, 1), "Normal", "Recession"),
  H8="Normal", CHOOSE(MATCH(RAND(), {0,0.18,0.82,1}, 1), "Boom", "Normal", "Recession"),
  H8="Recession", CHOOSE(MATCH(RAND(), {0,0.17,0.34,1}, 1), "Boom", "Normal", "Recession")
)</f>
        <v>Boom</v>
      </c>
      <c r="I9" s="1" cm="1">
        <f t="array" aca="1" ref="I9" ca="1">_xlfn.LET(
  _xlpm.ε, (_xlfn.BETA.INV(RAND(), 5, 5) - 0.5) * 2,
  _xlpm.Scenario,H9,
  _xlpm.pre_scenario,H8,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_xlpm.ρ*(I8-_xlpm.μ_prev) + _xlpm.σ * _xlpm.ε
)</f>
        <v>4.2525932249749487E-2</v>
      </c>
      <c r="J9" s="1" cm="1">
        <f t="array" aca="1" ref="J9" ca="1">_xlfn.LET(
  _xlpm.ε, (_xlfn.BETA.INV(RAND(), 5, 5) - 0.5) * 2,
  _xlpm.Scenario,H9,
  _xlpm.pre_scenario,H8,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_xlpm.ρ*(MAX(J8, -0.05)-_xlpm.μ_prev) + _xlpm.σ * _xlpm.ε
)</f>
        <v>-0.22709441378213235</v>
      </c>
      <c r="K9" s="1" cm="1">
        <f t="array" aca="1" ref="K9" ca="1">_xlfn.LET(
  _xlpm.ε, (_xlfn.BETA.INV(RAND(), 5, 5) - 0.5) * 2,
  _xlpm.Scenario,H9,
  _xlpm.pre_scenario,H8,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_xlpm.ρ*(MAX(K8, -0.07)-_xlpm.μ_prev) + _xlpm.σ * _xlpm.ε
)</f>
        <v>0.17926640622720175</v>
      </c>
      <c r="L9" s="1">
        <f t="shared" ca="1" si="2"/>
        <v>2.6619706334206142E-3</v>
      </c>
      <c r="M9" s="23">
        <f t="shared" ca="1" si="5"/>
        <v>12429.358074812995</v>
      </c>
      <c r="N9" s="23">
        <f t="shared" ca="1" si="3"/>
        <v>10605.624743233489</v>
      </c>
      <c r="O9" s="23">
        <f t="shared" ca="1" si="4"/>
        <v>66528.674872946256</v>
      </c>
      <c r="P9" s="1" cm="1">
        <f t="array" aca="1" ref="P9" ca="1">_xlfn.LET(
  _xlpm.state, H9,
  _xlpm.last, P8,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MAX(0,_xlfn.IFS(A8=49,-_xlfn.NORM.INV(RAND(), 0.01, 0.005), A8=57,ABS(_xlfn.NORM.INV(RAND(), 0.02, 0.01)),TRUE,0))
)</f>
        <v>3.071301996644801E-2</v>
      </c>
      <c r="Q9" s="1">
        <f t="shared" ca="1" si="6"/>
        <v>0.85327212229285265</v>
      </c>
      <c r="S9" s="113" cm="1">
        <f t="array" aca="1" ref="S9" ca="1">_xlfn.LET(
    _xlpm.KS_rate, $V$2 + 3%,
    _xlpm.ESCT_rate, 3%,
    _xlpm.W_HS, $V$3,
    _xlpm.W_HR, $V$4,
    _xlpm.W_SH, $V$5,
    _xlpm.salary, C9,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I9 + _xlpm.W_HR * J9 + _xlpm.W_SH * K9,
    _xlpm.net_growth, (1 + _xlpm.return_rate) * (1 - 28%),
    _xlpm.prev_value, S8,
    _xlpm.result, (_xlpm.prev_value + _xlpm.ks_contrib) * _xlpm.net_growth,
    _xlpm.result
)</f>
        <v>27614.016323296153</v>
      </c>
      <c r="T9" s="113" cm="1">
        <f t="array" aca="1" ref="T9" ca="1">_xlfn.LET(
    _xlpm.KS_rate, $V$2 + 3%,
    _xlpm.ESCT_rate, 3%,
    _xlpm.W_HS, $V$3,
    _xlpm.W_HR, $V$4,
    _xlpm.W_SH, $V$5,
    _xlpm.salary, C9,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I9 + _xlpm.W_HR * J9 + _xlpm.W_SH * K9,
    _xlpm.net_growth, (1 + _xlpm.return_rate) * (1 - 28%),
    _xlpm.prev_value, IF(ROW()=2, 0, S8),
    _xlpm.base, IF(ROW()=2,
        _xlpm.ks_contrib,
        _xlpm.prev_value + _xlpm.ks_contrib
    ),
    _xlpm.current_value, _xlpm.base * _xlpm.net_growth,
    _xlpm.real_value, _xlpm.current_value * Q9,
    _xlpm.real_value
)</f>
        <v>23562.270313208384</v>
      </c>
      <c r="U9" s="3"/>
      <c r="X9" s="113" cm="1">
        <f t="array" aca="1" ref="X9" ca="1">_xlfn.LET(
   _xlpm.KS_rate, Dashboard!$Q$2 + 3%,
    _xlpm.ESCT_rate, 3%,
    _xlpm.W_HS, _xlfn.SWITCH(H8,
        "Recession", Dashboard!$Q$4,
        "Normal",    Dashboard!$Q$8,
        "Boom",      Dashboard!$Q$12    ),
    _xlpm.W_HR, _xlfn.SWITCH(H8,
        "Recession", Dashboard!$Q$5,
        "Normal",    Dashboard!$Q$9,
        "Boom",      Dashboard!$Q$13    ),
    _xlpm.W_SH, _xlfn.SWITCH(H8,
        "Recession", Dashboard!$Q$6,
        "Normal",    Dashboard!$Q$10,
        "Boom",      Dashboard!$Q$14    ),
    _xlpm.salary, C9,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I9 + _xlpm.W_HR * J9 + _xlpm.W_SH * K9,
    _xlpm.net_growth, (1 + _xlpm.return_rate) * (1 - 28%),
    _xlpm.prev_value, S8,
    _xlpm.result, (_xlpm.prev_value + _xlpm.ks_contrib) * _xlpm.net_growth,
    _xlpm.result
)</f>
        <v>28711.897881613502</v>
      </c>
      <c r="Y9" s="113" cm="1">
        <f t="array" aca="1" ref="Y9" ca="1">_xlfn.LET(
    _xlpm.KS_rate, Dashboard!$Q$2 + 3%,
    _xlpm.ESCT_rate, 3%,
    _xlpm.W_HS, _xlfn.SWITCH(H9,
        "Recession", Dashboard!$Q$4,
        "Normal",    Dashboard!$Q$8,
        "Boom",      Dashboard!$Q$12    ),
    _xlpm.W_HR, _xlfn.SWITCH(H9,
        "Recession", Dashboard!$Q$5,
        "Normal",    Dashboard!$Q$9,
        "Boom",      Dashboard!$Q$13    ),
    _xlpm.W_SH, _xlfn.SWITCH(H9,
        "Recession", Dashboard!$Q$6,
        "Normal",    Dashboard!$Q$10,
        "Boom",      Dashboard!$Q$14    ),
    _xlpm.salary, C9,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I9 + _xlpm.W_HR * J9 + _xlpm.W_SH * K9,
    _xlpm.net_growth, (1 + _xlpm.return_rate) * (1 - 28%),
    _xlpm.prev_value, IF(ROW()=2, 0, X8),
    _xlpm.base, IF(ROW()=2, _xlpm.ks_contrib, _xlpm.prev_value + _xlpm.ks_contrib),
    _xlpm.current_value, _xlpm.base * _xlpm.net_growth,
    _xlpm.real_value, _xlpm.current_value * Q9,
    _xlpm.real_value
)</f>
        <v>27558.391766413672</v>
      </c>
      <c r="Z9" s="1">
        <v>88909.073690944293</v>
      </c>
    </row>
    <row r="10" spans="1:33">
      <c r="A10" s="1">
        <v>38</v>
      </c>
      <c r="B10" s="6">
        <f ca="1">VLOOKUP(t4_salaryGrowthevent!J10,t4_salaryGrowthevent!J:J,1,FALSE)</f>
        <v>3.4750000000000003E-2</v>
      </c>
      <c r="C10" s="23">
        <f>VLOOKUP(t4_salaryGrowthevent!B10,t4_salaryGrowthevent!B:B,1,FALSE)</f>
        <v>91998.664001704616</v>
      </c>
      <c r="D10" s="23" cm="1">
        <f t="array" ref="D10">_xlfn.LET(
  _xlpm.taxable, C10,
  _xlpm.kiwisaver,C10*0.03,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C10 * 0.0167,
  _xlpm.taxable - _xlpm.incomeTax - _xlpm.acc - _xlpm.kiwisaver
)</f>
        <v>67465.267272262485</v>
      </c>
      <c r="E10" s="23">
        <f t="shared" si="0"/>
        <v>5519.9198401022768</v>
      </c>
      <c r="F10" s="23" cm="1">
        <f t="array" ref="F10" xml:space="preserve"> C10 * 3% * _xlfn.IFS(
   C10 + C10 * 3% &lt;= 18720, 10.5%,
   C10 + C10 * 3% &lt;= 64200, 17.5%,
   C10 + C10 * 3% &lt;= 93720, 30%,
   C10 + C10 * 3% &lt;= 216000, 33%,
   C10 + C10 * 3% &gt; 216000, 39%
)</f>
        <v>910.78677361687573</v>
      </c>
      <c r="G10" s="23">
        <f t="shared" si="1"/>
        <v>5130.5630664854016</v>
      </c>
      <c r="H10" s="23" t="str" cm="1">
        <f t="array" aca="1" ref="H10" ca="1">_xlfn.IFS(
  H9="Boom", CHOOSE(MATCH(RAND(), {0,0.67,1}, 1), "Normal", "Recession"),
  H9="Normal", CHOOSE(MATCH(RAND(), {0,0.18,0.82,1}, 1), "Boom", "Normal", "Recession"),
  H9="Recession", CHOOSE(MATCH(RAND(), {0,0.17,0.34,1}, 1), "Boom", "Normal", "Recession")
)</f>
        <v>Recession</v>
      </c>
      <c r="I10" s="1" cm="1">
        <f t="array" aca="1" ref="I10" ca="1">_xlfn.LET(
  _xlpm.ε, (_xlfn.BETA.INV(RAND(), 5, 5) - 0.5) * 2,
  _xlpm.Scenario,H10,
  _xlpm.pre_scenario,H9,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_xlpm.ρ*(I9-_xlpm.μ_prev) + _xlpm.σ * _xlpm.ε
)</f>
        <v>2.5460596873748079E-2</v>
      </c>
      <c r="J10" s="1" cm="1">
        <f t="array" aca="1" ref="J10" ca="1">_xlfn.LET(
  _xlpm.ε, (_xlfn.BETA.INV(RAND(), 5, 5) - 0.5) * 2,
  _xlpm.Scenario,H10,
  _xlpm.pre_scenario,H9,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_xlpm.ρ*(MAX(J9, -0.05)-_xlpm.μ_prev) + _xlpm.σ * _xlpm.ε
)</f>
        <v>-5.5270242888242659E-3</v>
      </c>
      <c r="K10" s="1" cm="1">
        <f t="array" aca="1" ref="K10" ca="1">_xlfn.LET(
  _xlpm.ε, (_xlfn.BETA.INV(RAND(), 5, 5) - 0.5) * 2,
  _xlpm.Scenario,H10,
  _xlpm.pre_scenario,H9,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_xlpm.ρ*(MAX(K9, -0.07)-_xlpm.μ_prev) + _xlpm.σ * _xlpm.ε
)</f>
        <v>-0.10694803674214295</v>
      </c>
      <c r="L10" s="1">
        <f t="shared" ca="1" si="2"/>
        <v>-2.3558279559790937E-2</v>
      </c>
      <c r="M10" s="23">
        <f t="shared" ca="1" si="5"/>
        <v>12345.29251920274</v>
      </c>
      <c r="N10" s="23">
        <f t="shared" ca="1" si="3"/>
        <v>10207.387179382345</v>
      </c>
      <c r="O10" s="23">
        <f t="shared" ca="1" si="4"/>
        <v>65989.305925927212</v>
      </c>
      <c r="P10" s="1" cm="1">
        <f t="array" aca="1" ref="P10" ca="1">_xlfn.LET(
  _xlpm.state, H10,
  _xlpm.last, P9,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MAX(0,_xlfn.IFS(A9=49,-_xlfn.NORM.INV(RAND(), 0.01, 0.005), A9=57,ABS(_xlfn.NORM.INV(RAND(), 0.02, 0.01)),TRUE,0))
)</f>
        <v>3.1987301261909309E-2</v>
      </c>
      <c r="Q10" s="1">
        <f t="shared" ca="1" si="6"/>
        <v>0.82682424604399241</v>
      </c>
      <c r="S10" s="113" cm="1">
        <f t="array" aca="1" ref="S10" ca="1">_xlfn.LET(
    _xlpm.KS_rate, $V$2 + 3%,
    _xlpm.ESCT_rate, 3%,
    _xlpm.W_HS, $V$3,
    _xlpm.W_HR, $V$4,
    _xlpm.W_SH, $V$5,
    _xlpm.salary, C10,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I10 + _xlpm.W_HR * J10 + _xlpm.W_SH * K10,
    _xlpm.net_growth, (1 + _xlpm.return_rate) * (1 - 28%),
    _xlpm.prev_value, S9,
    _xlpm.result, (_xlpm.prev_value + _xlpm.ks_contrib) * _xlpm.net_growth,
    _xlpm.result
)</f>
        <v>27548.184094107171</v>
      </c>
      <c r="T10" s="113" cm="1">
        <f t="array" aca="1" ref="T10" ca="1">_xlfn.LET(
    _xlpm.KS_rate, $V$2 + 3%,
    _xlpm.ESCT_rate, 3%,
    _xlpm.W_HS, $V$3,
    _xlpm.W_HR, $V$4,
    _xlpm.W_SH, $V$5,
    _xlpm.salary, C10,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I10 + _xlpm.W_HR * J10 + _xlpm.W_SH * K10,
    _xlpm.net_growth, (1 + _xlpm.return_rate) * (1 - 28%),
    _xlpm.prev_value, IF(ROW()=2, 0, S9),
    _xlpm.base, IF(ROW()=2,
        _xlpm.ks_contrib,
        _xlpm.prev_value + _xlpm.ks_contrib
    ),
    _xlpm.current_value, _xlpm.base * _xlpm.net_growth,
    _xlpm.real_value, _xlpm.current_value * Q10,
    _xlpm.real_value
)</f>
        <v>22777.506543491265</v>
      </c>
      <c r="X10" s="113" cm="1">
        <f t="array" aca="1" ref="X10" ca="1">_xlfn.LET(
   _xlpm.KS_rate, Dashboard!$Q$2 + 3%,
    _xlpm.ESCT_rate, 3%,
    _xlpm.W_HS, _xlfn.SWITCH(H9,
        "Recession", Dashboard!$Q$4,
        "Normal",    Dashboard!$Q$8,
        "Boom",      Dashboard!$Q$12    ),
    _xlpm.W_HR, _xlfn.SWITCH(H9,
        "Recession", Dashboard!$Q$5,
        "Normal",    Dashboard!$Q$9,
        "Boom",      Dashboard!$Q$13    ),
    _xlpm.W_SH, _xlfn.SWITCH(H9,
        "Recession", Dashboard!$Q$6,
        "Normal",    Dashboard!$Q$10,
        "Boom",      Dashboard!$Q$14    ),
    _xlpm.salary, C10,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I10 + _xlpm.W_HR * J10 + _xlpm.W_SH * K10,
    _xlpm.net_growth, (1 + _xlpm.return_rate) * (1 - 28%),
    _xlpm.prev_value, S9,
    _xlpm.result, (_xlpm.prev_value + _xlpm.ks_contrib) * _xlpm.net_growth,
    _xlpm.result
)</f>
        <v>25195.52306546261</v>
      </c>
      <c r="Y10" s="113" cm="1">
        <f t="array" aca="1" ref="Y10" ca="1">_xlfn.LET(
    _xlpm.KS_rate, Dashboard!$Q$2 + 3%,
    _xlpm.ESCT_rate, 3%,
    _xlpm.W_HS, _xlfn.SWITCH(H10,
        "Recession", Dashboard!$Q$4,
        "Normal",    Dashboard!$Q$8,
        "Boom",      Dashboard!$Q$12    ),
    _xlpm.W_HR, _xlfn.SWITCH(H10,
        "Recession", Dashboard!$Q$5,
        "Normal",    Dashboard!$Q$9,
        "Boom",      Dashboard!$Q$13    ),
    _xlpm.W_SH, _xlfn.SWITCH(H10,
        "Recession", Dashboard!$Q$6,
        "Normal",    Dashboard!$Q$10,
        "Boom",      Dashboard!$Q$14    ),
    _xlpm.salary, C10,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I10 + _xlpm.W_HR * J10 + _xlpm.W_SH * K10,
    _xlpm.net_growth, (1 + _xlpm.return_rate) * (1 - 28%),
    _xlpm.prev_value, IF(ROW()=2, 0, X9),
    _xlpm.base, IF(ROW()=2, _xlpm.ks_contrib, _xlpm.prev_value + _xlpm.ks_contrib),
    _xlpm.current_value, _xlpm.base * _xlpm.net_growth,
    _xlpm.real_value, _xlpm.current_value * Q10,
    _xlpm.real_value
)</f>
        <v>24591.196707048341</v>
      </c>
      <c r="Z10" s="1">
        <v>91998.664001704616</v>
      </c>
    </row>
    <row r="11" spans="1:33">
      <c r="A11" s="1">
        <v>39</v>
      </c>
      <c r="B11" s="6">
        <f ca="1">VLOOKUP(t4_salaryGrowthevent!J11,t4_salaryGrowthevent!J:J,1,FALSE)</f>
        <v>3.4750000000000003E-2</v>
      </c>
      <c r="C11" s="23">
        <f>VLOOKUP(t4_salaryGrowthevent!B11,t4_salaryGrowthevent!B:B,1,FALSE)</f>
        <v>95195.617575763856</v>
      </c>
      <c r="D11" s="23" cm="1">
        <f t="array" ref="D11">_xlfn.LET(
  _xlpm.taxable, C11,
  _xlpm.kiwisaver,C11*0.03,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C11 * 0.0167,
  _xlpm.taxable - _xlpm.incomeTax - _xlpm.acc - _xlpm.kiwisaver
)</f>
        <v>69457.928434973597</v>
      </c>
      <c r="E11" s="23">
        <f t="shared" si="0"/>
        <v>5711.7370545458307</v>
      </c>
      <c r="F11" s="23" cm="1">
        <f t="array" ref="F11" xml:space="preserve"> C11 * 3% * _xlfn.IFS(
   C11 + C11 * 3% &lt;= 18720, 10.5%,
   C11 + C11 * 3% &lt;= 64200, 17.5%,
   C11 + C11 * 3% &lt;= 93720, 30%,
   C11 + C11 * 3% &lt;= 216000, 33%,
   C11 + C11 * 3% &gt; 216000, 39%
)</f>
        <v>942.43661400006215</v>
      </c>
      <c r="G11" s="23">
        <f t="shared" si="1"/>
        <v>5290.7304405457689</v>
      </c>
      <c r="H11" s="23" t="str" cm="1">
        <f t="array" aca="1" ref="H11" ca="1">_xlfn.IFS(
  H10="Boom", CHOOSE(MATCH(RAND(), {0,0.67,1}, 1), "Normal", "Recession"),
  H10="Normal", CHOOSE(MATCH(RAND(), {0,0.18,0.82,1}, 1), "Boom", "Normal", "Recession"),
  H10="Recession", CHOOSE(MATCH(RAND(), {0,0.17,0.34,1}, 1), "Boom", "Normal", "Recession")
)</f>
        <v>Boom</v>
      </c>
      <c r="I11" s="1" cm="1">
        <f t="array" aca="1" ref="I11" ca="1">_xlfn.LET(
  _xlpm.ε, (_xlfn.BETA.INV(RAND(), 5, 5) - 0.5) * 2,
  _xlpm.Scenario,H11,
  _xlpm.pre_scenario,H10,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_xlpm.ρ*(I10-_xlpm.μ_prev) + _xlpm.σ * _xlpm.ε
)</f>
        <v>4.7499583001668538E-2</v>
      </c>
      <c r="J11" s="1" cm="1">
        <f t="array" aca="1" ref="J11" ca="1">_xlfn.LET(
  _xlpm.ε, (_xlfn.BETA.INV(RAND(), 5, 5) - 0.5) * 2,
  _xlpm.Scenario,H11,
  _xlpm.pre_scenario,H10,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_xlpm.ρ*(MAX(J10, -0.05)-_xlpm.μ_prev) + _xlpm.σ * _xlpm.ε
)</f>
        <v>0.11544260998815344</v>
      </c>
      <c r="K11" s="1" cm="1">
        <f t="array" aca="1" ref="K11" ca="1">_xlfn.LET(
  _xlpm.ε, (_xlfn.BETA.INV(RAND(), 5, 5) - 0.5) * 2,
  _xlpm.Scenario,H11,
  _xlpm.pre_scenario,H10,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_xlpm.ρ*(MAX(K10, -0.07)-_xlpm.μ_prev) + _xlpm.σ * _xlpm.ε
)</f>
        <v>0.24450705414847373</v>
      </c>
      <c r="L11" s="1">
        <f t="shared" ca="1" si="2"/>
        <v>0.12698473244165556</v>
      </c>
      <c r="M11" s="23">
        <f t="shared" ca="1" si="5"/>
        <v>14310.380603971487</v>
      </c>
      <c r="N11" s="23">
        <f t="shared" ca="1" si="3"/>
        <v>11492.701130209784</v>
      </c>
      <c r="O11" s="23">
        <f t="shared" ca="1" si="4"/>
        <v>67274.530748711652</v>
      </c>
      <c r="P11" s="1" cm="1">
        <f t="array" aca="1" ref="P11" ca="1">_xlfn.LET(
  _xlpm.state, H11,
  _xlpm.last, P10,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MAX(0,_xlfn.IFS(A10=49,-_xlfn.NORM.INV(RAND(), 0.01, 0.005), A10=57,ABS(_xlfn.NORM.INV(RAND(), 0.02, 0.01)),TRUE,0))
)</f>
        <v>2.9537749170139391E-2</v>
      </c>
      <c r="Q11" s="1">
        <f t="shared" ca="1" si="6"/>
        <v>0.80310240854252835</v>
      </c>
      <c r="S11" s="113" cm="1">
        <f t="array" aca="1" ref="S11" ca="1">_xlfn.LET(
    _xlpm.KS_rate, $V$2 + 3%,
    _xlpm.ESCT_rate, 3%,
    _xlpm.W_HS, $V$3,
    _xlpm.W_HR, $V$4,
    _xlpm.W_SH, $V$5,
    _xlpm.salary, C11,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I11 + _xlpm.W_HR * J11 + _xlpm.W_SH * K11,
    _xlpm.net_growth, (1 + _xlpm.return_rate) * (1 - 28%),
    _xlpm.prev_value, S10,
    _xlpm.result, (_xlpm.prev_value + _xlpm.ks_contrib) * _xlpm.net_growth,
    _xlpm.result
)</f>
        <v>32053.561806770686</v>
      </c>
      <c r="T11" s="113" cm="1">
        <f t="array" aca="1" ref="T11" ca="1">_xlfn.LET(
    _xlpm.KS_rate, $V$2 + 3%,
    _xlpm.ESCT_rate, 3%,
    _xlpm.W_HS, $V$3,
    _xlpm.W_HR, $V$4,
    _xlpm.W_SH, $V$5,
    _xlpm.salary, C11,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I11 + _xlpm.W_HR * J11 + _xlpm.W_SH * K11,
    _xlpm.net_growth, (1 + _xlpm.return_rate) * (1 - 28%),
    _xlpm.prev_value, IF(ROW()=2, 0, S10),
    _xlpm.base, IF(ROW()=2,
        _xlpm.ks_contrib,
        _xlpm.prev_value + _xlpm.ks_contrib
    ),
    _xlpm.current_value, _xlpm.base * _xlpm.net_growth,
    _xlpm.real_value, _xlpm.current_value * Q11,
    _xlpm.real_value
)</f>
        <v>25742.292689384332</v>
      </c>
      <c r="X11" s="113" cm="1">
        <f t="array" aca="1" ref="X11" ca="1">_xlfn.LET(
   _xlpm.KS_rate, Dashboard!$Q$2 + 3%,
    _xlpm.ESCT_rate, 3%,
    _xlpm.W_HS, _xlfn.SWITCH(H10,
        "Recession", Dashboard!$Q$4,
        "Normal",    Dashboard!$Q$8,
        "Boom",      Dashboard!$Q$12    ),
    _xlpm.W_HR, _xlfn.SWITCH(H10,
        "Recession", Dashboard!$Q$5,
        "Normal",    Dashboard!$Q$9,
        "Boom",      Dashboard!$Q$13    ),
    _xlpm.W_SH, _xlfn.SWITCH(H10,
        "Recession", Dashboard!$Q$6,
        "Normal",    Dashboard!$Q$10,
        "Boom",      Dashboard!$Q$14    ),
    _xlpm.salary, C11,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I11 + _xlpm.W_HR * J11 + _xlpm.W_SH * K11,
    _xlpm.net_growth, (1 + _xlpm.return_rate) * (1 - 28%),
    _xlpm.prev_value, S10,
    _xlpm.result, (_xlpm.prev_value + _xlpm.ks_contrib) * _xlpm.net_growth,
    _xlpm.result
)</f>
        <v>29792.854916114622</v>
      </c>
      <c r="Y11" s="113" cm="1">
        <f t="array" aca="1" ref="Y11" ca="1">_xlfn.LET(
    _xlpm.KS_rate, Dashboard!$Q$2 + 3%,
    _xlpm.ESCT_rate, 3%,
    _xlpm.W_HS, _xlfn.SWITCH(H11,
        "Recession", Dashboard!$Q$4,
        "Normal",    Dashboard!$Q$8,
        "Boom",      Dashboard!$Q$12    ),
    _xlpm.W_HR, _xlfn.SWITCH(H11,
        "Recession", Dashboard!$Q$5,
        "Normal",    Dashboard!$Q$9,
        "Boom",      Dashboard!$Q$13    ),
    _xlpm.W_SH, _xlfn.SWITCH(H11,
        "Recession", Dashboard!$Q$6,
        "Normal",    Dashboard!$Q$10,
        "Boom",      Dashboard!$Q$14    ),
    _xlpm.salary, C11,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I11 + _xlpm.W_HR * J11 + _xlpm.W_SH * K11,
    _xlpm.net_growth, (1 + _xlpm.return_rate) * (1 - 28%),
    _xlpm.prev_value, IF(ROW()=2, 0, X10),
    _xlpm.base, IF(ROW()=2, _xlpm.ks_contrib, _xlpm.prev_value + _xlpm.ks_contrib),
    _xlpm.current_value, _xlpm.base * _xlpm.net_growth,
    _xlpm.real_value, _xlpm.current_value * Q11,
    _xlpm.real_value
)</f>
        <v>26733.694625355653</v>
      </c>
      <c r="Z11" s="1">
        <v>95195.617575763856</v>
      </c>
    </row>
    <row r="12" spans="1:33">
      <c r="A12" s="1">
        <v>40</v>
      </c>
      <c r="B12" s="6">
        <f ca="1">VLOOKUP(t4_salaryGrowthevent!J12,t4_salaryGrowthevent!J:J,1,FALSE)</f>
        <v>3.4750000000000003E-2</v>
      </c>
      <c r="C12" s="23">
        <f>VLOOKUP(t4_salaryGrowthevent!B12,t4_salaryGrowthevent!B:B,1,FALSE)</f>
        <v>98503.66528652166</v>
      </c>
      <c r="D12" s="23" cm="1">
        <f t="array" ref="D12">_xlfn.LET(
  _xlpm.taxable, C12,
  _xlpm.kiwisaver,C12*0.03,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C12 * 0.0167,
  _xlpm.taxable - _xlpm.incomeTax - _xlpm.acc - _xlpm.kiwisaver
)</f>
        <v>71519.834573088956</v>
      </c>
      <c r="E12" s="23">
        <f t="shared" si="0"/>
        <v>5910.2199171912998</v>
      </c>
      <c r="F12" s="23" cm="1">
        <f t="array" ref="F12" xml:space="preserve"> C12 * 3% * _xlfn.IFS(
   C12 + C12 * 3% &lt;= 18720, 10.5%,
   C12 + C12 * 3% &lt;= 64200, 17.5%,
   C12 + C12 * 3% &lt;= 93720, 30%,
   C12 + C12 * 3% &lt;= 216000, 33%,
   C12 + C12 * 3% &gt; 216000, 39%
)</f>
        <v>975.18628633656454</v>
      </c>
      <c r="G12" s="23">
        <f t="shared" si="1"/>
        <v>5456.463630854736</v>
      </c>
      <c r="H12" s="23" t="str" cm="1">
        <f t="array" aca="1" ref="H12" ca="1">_xlfn.IFS(
  H11="Boom", CHOOSE(MATCH(RAND(), {0,0.67,1}, 1), "Normal", "Recession"),
  H11="Normal", CHOOSE(MATCH(RAND(), {0,0.18,0.82,1}, 1), "Boom", "Normal", "Recession"),
  H11="Recession", CHOOSE(MATCH(RAND(), {0,0.17,0.34,1}, 1), "Boom", "Normal", "Recession")
)</f>
        <v>Recession</v>
      </c>
      <c r="I12" s="1" cm="1">
        <f t="array" aca="1" ref="I12" ca="1">_xlfn.LET(
  _xlpm.ε, (_xlfn.BETA.INV(RAND(), 5, 5) - 0.5) * 2,
  _xlpm.Scenario,H12,
  _xlpm.pre_scenario,H11,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_xlpm.ρ*(I11-_xlpm.μ_prev) + _xlpm.σ * _xlpm.ε
)</f>
        <v>2.1505287680907884E-2</v>
      </c>
      <c r="J12" s="1" cm="1">
        <f t="array" aca="1" ref="J12" ca="1">_xlfn.LET(
  _xlpm.ε, (_xlfn.BETA.INV(RAND(), 5, 5) - 0.5) * 2,
  _xlpm.Scenario,H12,
  _xlpm.pre_scenario,H11,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_xlpm.ρ*(MAX(J11, -0.05)-_xlpm.μ_prev) + _xlpm.σ * _xlpm.ε
)</f>
        <v>6.1536999314695806E-2</v>
      </c>
      <c r="K12" s="1" cm="1">
        <f t="array" aca="1" ref="K12" ca="1">_xlfn.LET(
  _xlpm.ε, (_xlfn.BETA.INV(RAND(), 5, 5) - 0.5) * 2,
  _xlpm.Scenario,H12,
  _xlpm.pre_scenario,H11,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_xlpm.ρ*(MAX(K11, -0.07)-_xlpm.μ_prev) + _xlpm.σ * _xlpm.ε
)</f>
        <v>-7.7006779691636456E-3</v>
      </c>
      <c r="L12" s="1">
        <f t="shared" ca="1" si="2"/>
        <v>2.4753011476022803E-2</v>
      </c>
      <c r="M12" s="23">
        <f t="shared" ca="1" si="5"/>
        <v>14584.415873051255</v>
      </c>
      <c r="N12" s="23">
        <f t="shared" ca="1" si="3"/>
        <v>11543.102625600723</v>
      </c>
      <c r="O12" s="23">
        <f t="shared" ca="1" si="4"/>
        <v>68148.783472140785</v>
      </c>
      <c r="P12" s="1" cm="1">
        <f t="array" aca="1" ref="P12" ca="1">_xlfn.LET(
  _xlpm.state, H12,
  _xlpm.last, P11,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MAX(0,_xlfn.IFS(A11=49,-_xlfn.NORM.INV(RAND(), 0.01, 0.005), A11=57,ABS(_xlfn.NORM.INV(RAND(), 0.02, 0.01)),TRUE,0))
)</f>
        <v>1.4699417889286248E-2</v>
      </c>
      <c r="Q12" s="1">
        <f t="shared" ca="1" si="6"/>
        <v>0.79146828546831272</v>
      </c>
      <c r="S12" s="113" cm="1">
        <f t="array" aca="1" ref="S12" ca="1">_xlfn.LET(
    _xlpm.KS_rate, $V$2 + 3%,
    _xlpm.ESCT_rate, 3%,
    _xlpm.W_HS, $V$3,
    _xlpm.W_HR, $V$4,
    _xlpm.W_SH, $V$5,
    _xlpm.salary, C12,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I12 + _xlpm.W_HR * J12 + _xlpm.W_SH * K12,
    _xlpm.net_growth, (1 + _xlpm.return_rate) * (1 - 28%),
    _xlpm.prev_value, S11,
    _xlpm.result, (_xlpm.prev_value + _xlpm.ks_contrib) * _xlpm.net_growth,
    _xlpm.result
)</f>
        <v>32763.20145322616</v>
      </c>
      <c r="T12" s="113" cm="1">
        <f t="array" aca="1" ref="T12" ca="1">_xlfn.LET(
    _xlpm.KS_rate, $V$2 + 3%,
    _xlpm.ESCT_rate, 3%,
    _xlpm.W_HS, $V$3,
    _xlpm.W_HR, $V$4,
    _xlpm.W_SH, $V$5,
    _xlpm.salary, C12,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I12 + _xlpm.W_HR * J12 + _xlpm.W_SH * K12,
    _xlpm.net_growth, (1 + _xlpm.return_rate) * (1 - 28%),
    _xlpm.prev_value, IF(ROW()=2, 0, S11),
    _xlpm.base, IF(ROW()=2,
        _xlpm.ks_contrib,
        _xlpm.prev_value + _xlpm.ks_contrib
    ),
    _xlpm.current_value, _xlpm.base * _xlpm.net_growth,
    _xlpm.real_value, _xlpm.current_value * Q12,
    _xlpm.real_value
)</f>
        <v>25931.034880637839</v>
      </c>
      <c r="X12" s="113" cm="1">
        <f t="array" aca="1" ref="X12" ca="1">_xlfn.LET(
   _xlpm.KS_rate, Dashboard!$Q$2 + 3%,
    _xlpm.ESCT_rate, 3%,
    _xlpm.W_HS, _xlfn.SWITCH(H11,
        "Recession", Dashboard!$Q$4,
        "Normal",    Dashboard!$Q$8,
        "Boom",      Dashboard!$Q$12    ),
    _xlpm.W_HR, _xlfn.SWITCH(H11,
        "Recession", Dashboard!$Q$5,
        "Normal",    Dashboard!$Q$9,
        "Boom",      Dashboard!$Q$13    ),
    _xlpm.W_SH, _xlfn.SWITCH(H11,
        "Recession", Dashboard!$Q$6,
        "Normal",    Dashboard!$Q$10,
        "Boom",      Dashboard!$Q$14    ),
    _xlpm.salary, C12,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I12 + _xlpm.W_HR * J12 + _xlpm.W_SH * K12,
    _xlpm.net_growth, (1 + _xlpm.return_rate) * (1 - 28%),
    _xlpm.prev_value, S11,
    _xlpm.result, (_xlpm.prev_value + _xlpm.ks_contrib) * _xlpm.net_growth,
    _xlpm.result
)</f>
        <v>31725.59848618383</v>
      </c>
      <c r="Y12" s="113" cm="1">
        <f t="array" aca="1" ref="Y12" ca="1">_xlfn.LET(
    _xlpm.KS_rate, Dashboard!$Q$2 + 3%,
    _xlpm.ESCT_rate, 3%,
    _xlpm.W_HS, _xlfn.SWITCH(H12,
        "Recession", Dashboard!$Q$4,
        "Normal",    Dashboard!$Q$8,
        "Boom",      Dashboard!$Q$12    ),
    _xlpm.W_HR, _xlfn.SWITCH(H12,
        "Recession", Dashboard!$Q$5,
        "Normal",    Dashboard!$Q$9,
        "Boom",      Dashboard!$Q$13    ),
    _xlpm.W_SH, _xlfn.SWITCH(H12,
        "Recession", Dashboard!$Q$6,
        "Normal",    Dashboard!$Q$10,
        "Boom",      Dashboard!$Q$14    ),
    _xlpm.salary, C12,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I12 + _xlpm.W_HR * J12 + _xlpm.W_SH * K12,
    _xlpm.net_growth, (1 + _xlpm.return_rate) * (1 - 28%),
    _xlpm.prev_value, IF(ROW()=2, 0, X11),
    _xlpm.base, IF(ROW()=2, _xlpm.ks_contrib, _xlpm.prev_value + _xlpm.ks_contrib),
    _xlpm.current_value, _xlpm.base * _xlpm.net_growth,
    _xlpm.real_value, _xlpm.current_value * Q12,
    _xlpm.real_value
)</f>
        <v>24532.867454511859</v>
      </c>
      <c r="Z12" s="1">
        <v>98503.66528652166</v>
      </c>
    </row>
    <row r="13" spans="1:33">
      <c r="A13" s="1">
        <v>41</v>
      </c>
      <c r="B13" s="6">
        <f ca="1">VLOOKUP(t4_salaryGrowthevent!J13,t4_salaryGrowthevent!J:J,1,FALSE)</f>
        <v>3.4750000000000003E-2</v>
      </c>
      <c r="C13" s="23">
        <f>VLOOKUP(t4_salaryGrowthevent!B13,t4_salaryGrowthevent!B:B,1,FALSE)</f>
        <v>101926.66765522829</v>
      </c>
      <c r="D13" s="23" cm="1">
        <f t="array" ref="D13">_xlfn.LET(
  _xlpm.taxable, C13,
  _xlpm.kiwisaver,C13*0.03,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C13 * 0.0167,
  _xlpm.taxable - _xlpm.incomeTax - _xlpm.acc - _xlpm.kiwisaver
)</f>
        <v>73653.391949503799</v>
      </c>
      <c r="E13" s="23">
        <f t="shared" si="0"/>
        <v>6115.6000593136969</v>
      </c>
      <c r="F13" s="23" cm="1">
        <f t="array" ref="F13" xml:space="preserve"> C13 * 3% * _xlfn.IFS(
   C13 + C13 * 3% &lt;= 18720, 10.5%,
   C13 + C13 * 3% &lt;= 64200, 17.5%,
   C13 + C13 * 3% &lt;= 93720, 30%,
   C13 + C13 * 3% &lt;= 216000, 33%,
   C13 + C13 * 3% &gt; 216000, 39%
)</f>
        <v>1009.07400978676</v>
      </c>
      <c r="G13" s="23">
        <f t="shared" si="1"/>
        <v>5627.956049526937</v>
      </c>
      <c r="H13" s="23" t="str" cm="1">
        <f t="array" aca="1" ref="H13" ca="1">_xlfn.IFS(
  H12="Boom", CHOOSE(MATCH(RAND(), {0,0.67,1}, 1), "Normal", "Recession"),
  H12="Normal", CHOOSE(MATCH(RAND(), {0,0.18,0.82,1}, 1), "Boom", "Normal", "Recession"),
  H12="Recession", CHOOSE(MATCH(RAND(), {0,0.17,0.34,1}, 1), "Boom", "Normal", "Recession")
)</f>
        <v>Normal</v>
      </c>
      <c r="I13" s="1" cm="1">
        <f t="array" aca="1" ref="I13" ca="1">_xlfn.LET(
  _xlpm.ε, (_xlfn.BETA.INV(RAND(), 5, 5) - 0.5) * 2,
  _xlpm.Scenario,H13,
  _xlpm.pre_scenario,H12,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_xlpm.ρ*(I12-_xlpm.μ_prev) + _xlpm.σ * _xlpm.ε
)</f>
        <v>2.4618250759275772E-2</v>
      </c>
      <c r="J13" s="1" cm="1">
        <f t="array" aca="1" ref="J13" ca="1">_xlfn.LET(
  _xlpm.ε, (_xlfn.BETA.INV(RAND(), 5, 5) - 0.5) * 2,
  _xlpm.Scenario,H13,
  _xlpm.pre_scenario,H12,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_xlpm.ρ*(MAX(J12, -0.05)-_xlpm.μ_prev) + _xlpm.σ * _xlpm.ε
)</f>
        <v>0.15106086519516693</v>
      </c>
      <c r="K13" s="1" cm="1">
        <f t="array" aca="1" ref="K13" ca="1">_xlfn.LET(
  _xlpm.ε, (_xlfn.BETA.INV(RAND(), 5, 5) - 0.5) * 2,
  _xlpm.Scenario,H13,
  _xlpm.pre_scenario,H12,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_xlpm.ρ*(MAX(K12, -0.07)-_xlpm.μ_prev) + _xlpm.σ * _xlpm.ε
)</f>
        <v>7.419086471384545E-2</v>
      </c>
      <c r="L13" s="1">
        <f t="shared" ca="1" si="2"/>
        <v>7.7422819276414021E-2</v>
      </c>
      <c r="M13" s="23">
        <f t="shared" ca="1" si="5"/>
        <v>15679.634933583091</v>
      </c>
      <c r="N13" s="23">
        <f t="shared" ca="1" si="3"/>
        <v>12137.408460229171</v>
      </c>
      <c r="O13" s="23">
        <f t="shared" ca="1" si="4"/>
        <v>69151.574055231045</v>
      </c>
      <c r="P13" s="1" cm="1">
        <f t="array" aca="1" ref="P13" ca="1">_xlfn.LET(
  _xlpm.state, H13,
  _xlpm.last, P12,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MAX(0,_xlfn.IFS(A12=49,-_xlfn.NORM.INV(RAND(), 0.01, 0.005), A12=57,ABS(_xlfn.NORM.INV(RAND(), 0.02, 0.01)),TRUE,0))
)</f>
        <v>2.2453336584649618E-2</v>
      </c>
      <c r="Q13" s="1">
        <f t="shared" ca="1" si="6"/>
        <v>0.77408743964012339</v>
      </c>
      <c r="S13" s="113" cm="1">
        <f t="array" aca="1" ref="S13" ca="1">_xlfn.LET(
    _xlpm.KS_rate, $V$2 + 3%,
    _xlpm.ESCT_rate, 3%,
    _xlpm.W_HS, $V$3,
    _xlpm.W_HR, $V$4,
    _xlpm.W_SH, $V$5,
    _xlpm.salary, C13,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I13 + _xlpm.W_HR * J13 + _xlpm.W_SH * K13,
    _xlpm.net_growth, (1 + _xlpm.return_rate) * (1 - 28%),
    _xlpm.prev_value, S12,
    _xlpm.result, (_xlpm.prev_value + _xlpm.ks_contrib) * _xlpm.net_growth,
    _xlpm.result
)</f>
        <v>35316.559717645912</v>
      </c>
      <c r="T13" s="113" cm="1">
        <f t="array" aca="1" ref="T13" ca="1">_xlfn.LET(
    _xlpm.KS_rate, $V$2 + 3%,
    _xlpm.ESCT_rate, 3%,
    _xlpm.W_HS, $V$3,
    _xlpm.W_HR, $V$4,
    _xlpm.W_SH, $V$5,
    _xlpm.salary, C13,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I13 + _xlpm.W_HR * J13 + _xlpm.W_SH * K13,
    _xlpm.net_growth, (1 + _xlpm.return_rate) * (1 - 28%),
    _xlpm.prev_value, IF(ROW()=2, 0, S12),
    _xlpm.base, IF(ROW()=2,
        _xlpm.ks_contrib,
        _xlpm.prev_value + _xlpm.ks_contrib
    ),
    _xlpm.current_value, _xlpm.base * _xlpm.net_growth,
    _xlpm.real_value, _xlpm.current_value * Q13,
    _xlpm.real_value
)</f>
        <v>27338.105288730043</v>
      </c>
      <c r="X13" s="113" cm="1">
        <f t="array" aca="1" ref="X13" ca="1">_xlfn.LET(
   _xlpm.KS_rate, Dashboard!$Q$2 + 3%,
    _xlpm.ESCT_rate, 3%,
    _xlpm.W_HS, _xlfn.SWITCH(H12,
        "Recession", Dashboard!$Q$4,
        "Normal",    Dashboard!$Q$8,
        "Boom",      Dashboard!$Q$12    ),
    _xlpm.W_HR, _xlfn.SWITCH(H12,
        "Recession", Dashboard!$Q$5,
        "Normal",    Dashboard!$Q$9,
        "Boom",      Dashboard!$Q$13    ),
    _xlpm.W_SH, _xlfn.SWITCH(H12,
        "Recession", Dashboard!$Q$6,
        "Normal",    Dashboard!$Q$10,
        "Boom",      Dashboard!$Q$14    ),
    _xlpm.salary, C13,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I13 + _xlpm.W_HR * J13 + _xlpm.W_SH * K13,
    _xlpm.net_growth, (1 + _xlpm.return_rate) * (1 - 28%),
    _xlpm.prev_value, S12,
    _xlpm.result, (_xlpm.prev_value + _xlpm.ks_contrib) * _xlpm.net_growth,
    _xlpm.result
)</f>
        <v>33585.692629966754</v>
      </c>
      <c r="Y13" s="113" cm="1">
        <f t="array" aca="1" ref="Y13" ca="1">_xlfn.LET(
    _xlpm.KS_rate, Dashboard!$Q$2 + 3%,
    _xlpm.ESCT_rate, 3%,
    _xlpm.W_HS, _xlfn.SWITCH(H13,
        "Recession", Dashboard!$Q$4,
        "Normal",    Dashboard!$Q$8,
        "Boom",      Dashboard!$Q$12    ),
    _xlpm.W_HR, _xlfn.SWITCH(H13,
        "Recession", Dashboard!$Q$5,
        "Normal",    Dashboard!$Q$9,
        "Boom",      Dashboard!$Q$13    ),
    _xlpm.W_SH, _xlfn.SWITCH(H13,
        "Recession", Dashboard!$Q$6,
        "Normal",    Dashboard!$Q$10,
        "Boom",      Dashboard!$Q$14    ),
    _xlpm.salary, C13,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I13 + _xlpm.W_HR * J13 + _xlpm.W_SH * K13,
    _xlpm.net_growth, (1 + _xlpm.return_rate) * (1 - 28%),
    _xlpm.prev_value, IF(ROW()=2, 0, X12),
    _xlpm.base, IF(ROW()=2, _xlpm.ks_contrib, _xlpm.prev_value + _xlpm.ks_contrib),
    _xlpm.current_value, _xlpm.base * _xlpm.net_growth,
    _xlpm.real_value, _xlpm.current_value * Q13,
    _xlpm.real_value
)</f>
        <v>27587.901281056598</v>
      </c>
      <c r="Z13" s="1">
        <v>101926.66765522829</v>
      </c>
    </row>
    <row r="14" spans="1:33">
      <c r="A14" s="1">
        <v>42</v>
      </c>
      <c r="B14" s="6">
        <f ca="1">VLOOKUP(t4_salaryGrowthevent!J14,t4_salaryGrowthevent!J:J,1,FALSE)</f>
        <v>3.4750000000000003E-2</v>
      </c>
      <c r="C14" s="23">
        <f>VLOOKUP(t4_salaryGrowthevent!B14,t4_salaryGrowthevent!B:B,1,FALSE)</f>
        <v>105468.61935624748</v>
      </c>
      <c r="D14" s="23" cm="1">
        <f t="array" ref="D14">_xlfn.LET(
  _xlpm.taxable, C14,
  _xlpm.kiwisaver,C14*0.03,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C14 * 0.0167,
  _xlpm.taxable - _xlpm.incomeTax - _xlpm.acc - _xlpm.kiwisaver
)</f>
        <v>75861.090444749047</v>
      </c>
      <c r="E14" s="23">
        <f t="shared" si="0"/>
        <v>6328.1171613748484</v>
      </c>
      <c r="F14" s="23" cm="1">
        <f t="array" ref="F14" xml:space="preserve"> C14 * 3% * _xlfn.IFS(
   C14 + C14 * 3% &lt;= 18720, 10.5%,
   C14 + C14 * 3% &lt;= 64200, 17.5%,
   C14 + C14 * 3% &lt;= 93720, 30%,
   C14 + C14 * 3% &lt;= 216000, 33%,
   C14 + C14 * 3% &gt; 216000, 39%
)</f>
        <v>1044.13933162685</v>
      </c>
      <c r="G14" s="23">
        <f t="shared" si="1"/>
        <v>5805.4078297479991</v>
      </c>
      <c r="H14" s="23" t="str" cm="1">
        <f t="array" aca="1" ref="H14" ca="1">_xlfn.IFS(
  H13="Boom", CHOOSE(MATCH(RAND(), {0,0.67,1}, 1), "Normal", "Recession"),
  H13="Normal", CHOOSE(MATCH(RAND(), {0,0.18,0.82,1}, 1), "Boom", "Normal", "Recession"),
  H13="Recession", CHOOSE(MATCH(RAND(), {0,0.17,0.34,1}, 1), "Boom", "Normal", "Recession")
)</f>
        <v>Normal</v>
      </c>
      <c r="I14" s="1" cm="1">
        <f t="array" aca="1" ref="I14" ca="1">_xlfn.LET(
  _xlpm.ε, (_xlfn.BETA.INV(RAND(), 5, 5) - 0.5) * 2,
  _xlpm.Scenario,H14,
  _xlpm.pre_scenario,H13,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_xlpm.ρ*(I13-_xlpm.μ_prev) + _xlpm.σ * _xlpm.ε
)</f>
        <v>4.2524731215280401E-2</v>
      </c>
      <c r="J14" s="1" cm="1">
        <f t="array" aca="1" ref="J14" ca="1">_xlfn.LET(
  _xlpm.ε, (_xlfn.BETA.INV(RAND(), 5, 5) - 0.5) * 2,
  _xlpm.Scenario,H14,
  _xlpm.pre_scenario,H13,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_xlpm.ρ*(MAX(J13, -0.05)-_xlpm.μ_prev) + _xlpm.σ * _xlpm.ε
)</f>
        <v>0.18306416341211856</v>
      </c>
      <c r="K14" s="1" cm="1">
        <f t="array" aca="1" ref="K14" ca="1">_xlfn.LET(
  _xlpm.ε, (_xlfn.BETA.INV(RAND(), 5, 5) - 0.5) * 2,
  _xlpm.Scenario,H14,
  _xlpm.pre_scenario,H13,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_xlpm.ρ*(MAX(K13, -0.07)-_xlpm.μ_prev) + _xlpm.σ * _xlpm.ε
)</f>
        <v>0.15427496608719982</v>
      </c>
      <c r="L14" s="1">
        <f t="shared" ca="1" si="2"/>
        <v>0.11821163133590767</v>
      </c>
      <c r="M14" s="23">
        <f t="shared" ca="1" si="5"/>
        <v>17297.873796748459</v>
      </c>
      <c r="N14" s="23">
        <f t="shared" ca="1" si="3"/>
        <v>13188.116170558669</v>
      </c>
      <c r="O14" s="23">
        <f t="shared" ca="1" si="4"/>
        <v>71025.564019130063</v>
      </c>
      <c r="P14" s="1" cm="1">
        <f t="array" aca="1" ref="P14" ca="1">_xlfn.LET(
  _xlpm.state, H14,
  _xlpm.last, P13,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MAX(0,_xlfn.IFS(A13=49,-_xlfn.NORM.INV(RAND(), 0.01, 0.005), A13=57,ABS(_xlfn.NORM.INV(RAND(), 0.02, 0.01)),TRUE,0))
)</f>
        <v>1.5313079242899265E-2</v>
      </c>
      <c r="Q14" s="1">
        <f t="shared" ca="1" si="6"/>
        <v>0.76241255575801947</v>
      </c>
      <c r="S14" s="113" cm="1">
        <f t="array" aca="1" ref="S14" ca="1">_xlfn.LET(
    _xlpm.KS_rate, $V$2 + 3%,
    _xlpm.ESCT_rate, 3%,
    _xlpm.W_HS, $V$3,
    _xlpm.W_HR, $V$4,
    _xlpm.W_SH, $V$5,
    _xlpm.salary, C14,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I14 + _xlpm.W_HR * J14 + _xlpm.W_SH * K14,
    _xlpm.net_growth, (1 + _xlpm.return_rate) * (1 - 28%),
    _xlpm.prev_value, S13,
    _xlpm.result, (_xlpm.prev_value + _xlpm.ks_contrib) * _xlpm.net_growth,
    _xlpm.result
)</f>
        <v>39051.791278754594</v>
      </c>
      <c r="T14" s="113" cm="1">
        <f t="array" aca="1" ref="T14" ca="1">_xlfn.LET(
    _xlpm.KS_rate, $V$2 + 3%,
    _xlpm.ESCT_rate, 3%,
    _xlpm.W_HS, $V$3,
    _xlpm.W_HR, $V$4,
    _xlpm.W_SH, $V$5,
    _xlpm.salary, C14,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I14 + _xlpm.W_HR * J14 + _xlpm.W_SH * K14,
    _xlpm.net_growth, (1 + _xlpm.return_rate) * (1 - 28%),
    _xlpm.prev_value, IF(ROW()=2, 0, S13),
    _xlpm.base, IF(ROW()=2,
        _xlpm.ks_contrib,
        _xlpm.prev_value + _xlpm.ks_contrib
    ),
    _xlpm.current_value, _xlpm.base * _xlpm.net_growth,
    _xlpm.real_value, _xlpm.current_value * Q14,
    _xlpm.real_value
)</f>
        <v>29773.575995764026</v>
      </c>
      <c r="X14" s="113" cm="1">
        <f t="array" aca="1" ref="X14" ca="1">_xlfn.LET(
   _xlpm.KS_rate, Dashboard!$Q$2 + 3%,
    _xlpm.ESCT_rate, 3%,
    _xlpm.W_HS, _xlfn.SWITCH(H13,
        "Recession", Dashboard!$Q$4,
        "Normal",    Dashboard!$Q$8,
        "Boom",      Dashboard!$Q$12    ),
    _xlpm.W_HR, _xlfn.SWITCH(H13,
        "Recession", Dashboard!$Q$5,
        "Normal",    Dashboard!$Q$9,
        "Boom",      Dashboard!$Q$13    ),
    _xlpm.W_SH, _xlfn.SWITCH(H13,
        "Recession", Dashboard!$Q$6,
        "Normal",    Dashboard!$Q$10,
        "Boom",      Dashboard!$Q$14    ),
    _xlpm.salary, C14,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I14 + _xlpm.W_HR * J14 + _xlpm.W_SH * K14,
    _xlpm.net_growth, (1 + _xlpm.return_rate) * (1 - 28%),
    _xlpm.prev_value, S13,
    _xlpm.result, (_xlpm.prev_value + _xlpm.ks_contrib) * _xlpm.net_growth,
    _xlpm.result
)</f>
        <v>40813.955639070751</v>
      </c>
      <c r="Y14" s="113" cm="1">
        <f t="array" aca="1" ref="Y14" ca="1">_xlfn.LET(
    _xlpm.KS_rate, Dashboard!$Q$2 + 3%,
    _xlpm.ESCT_rate, 3%,
    _xlpm.W_HS, _xlfn.SWITCH(H14,
        "Recession", Dashboard!$Q$4,
        "Normal",    Dashboard!$Q$8,
        "Boom",      Dashboard!$Q$12    ),
    _xlpm.W_HR, _xlfn.SWITCH(H14,
        "Recession", Dashboard!$Q$5,
        "Normal",    Dashboard!$Q$9,
        "Boom",      Dashboard!$Q$13    ),
    _xlpm.W_SH, _xlfn.SWITCH(H14,
        "Recession", Dashboard!$Q$6,
        "Normal",    Dashboard!$Q$10,
        "Boom",      Dashboard!$Q$14    ),
    _xlpm.salary, C14,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I14 + _xlpm.W_HR * J14 + _xlpm.W_SH * K14,
    _xlpm.net_growth, (1 + _xlpm.return_rate) * (1 - 28%),
    _xlpm.prev_value, IF(ROW()=2, 0, X13),
    _xlpm.base, IF(ROW()=2, _xlpm.ks_contrib, _xlpm.prev_value + _xlpm.ks_contrib),
    _xlpm.current_value, _xlpm.base * _xlpm.net_growth,
    _xlpm.real_value, _xlpm.current_value * Q14,
    _xlpm.real_value
)</f>
        <v>30006.67596969461</v>
      </c>
      <c r="Z14" s="1">
        <v>105468.61935624748</v>
      </c>
    </row>
    <row r="15" spans="1:33">
      <c r="A15" s="1">
        <v>43</v>
      </c>
      <c r="B15" s="6">
        <f ca="1">VLOOKUP(t4_salaryGrowthevent!J15,t4_salaryGrowthevent!J:J,1,FALSE)</f>
        <v>3.4750000000000003E-2</v>
      </c>
      <c r="C15" s="23">
        <f>VLOOKUP(t4_salaryGrowthevent!B15,t4_salaryGrowthevent!B:B,1,FALSE)</f>
        <v>109133.65387887708</v>
      </c>
      <c r="D15" s="23" cm="1">
        <f t="array" ref="D15">_xlfn.LET(
  _xlpm.taxable, C15,
  _xlpm.kiwisaver,C15*0.03,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C15 * 0.0167,
  _xlpm.taxable - _xlpm.incomeTax - _xlpm.acc - _xlpm.kiwisaver
)</f>
        <v>78145.506462704085</v>
      </c>
      <c r="E15" s="23">
        <f t="shared" si="0"/>
        <v>6548.0192327326249</v>
      </c>
      <c r="F15" s="23" cm="1">
        <f t="array" ref="F15" xml:space="preserve"> C15 * 3% * _xlfn.IFS(
   C15 + C15 * 3% &lt;= 18720, 10.5%,
   C15 + C15 * 3% &lt;= 64200, 17.5%,
   C15 + C15 * 3% &lt;= 93720, 30%,
   C15 + C15 * 3% &lt;= 216000, 33%,
   C15 + C15 * 3% &gt; 216000, 39%
)</f>
        <v>1080.4231734008831</v>
      </c>
      <c r="G15" s="23">
        <f t="shared" si="1"/>
        <v>5989.0260593317416</v>
      </c>
      <c r="H15" s="23" t="str" cm="1">
        <f t="array" aca="1" ref="H15" ca="1">_xlfn.IFS(
  H14="Boom", CHOOSE(MATCH(RAND(), {0,0.67,1}, 1), "Normal", "Recession"),
  H14="Normal", CHOOSE(MATCH(RAND(), {0,0.18,0.82,1}, 1), "Boom", "Normal", "Recession"),
  H14="Recession", CHOOSE(MATCH(RAND(), {0,0.17,0.34,1}, 1), "Boom", "Normal", "Recession")
)</f>
        <v>Normal</v>
      </c>
      <c r="I15" s="1" cm="1">
        <f t="array" aca="1" ref="I15" ca="1">_xlfn.LET(
  _xlpm.ε, (_xlfn.BETA.INV(RAND(), 5, 5) - 0.5) * 2,
  _xlpm.Scenario,H15,
  _xlpm.pre_scenario,H14,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_xlpm.ρ*(I14-_xlpm.μ_prev) + _xlpm.σ * _xlpm.ε
)</f>
        <v>4.5657935683015599E-2</v>
      </c>
      <c r="J15" s="1" cm="1">
        <f t="array" aca="1" ref="J15" ca="1">_xlfn.LET(
  _xlpm.ε, (_xlfn.BETA.INV(RAND(), 5, 5) - 0.5) * 2,
  _xlpm.Scenario,H15,
  _xlpm.pre_scenario,H14,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_xlpm.ρ*(MAX(J14, -0.05)-_xlpm.μ_prev) + _xlpm.σ * _xlpm.ε
)</f>
        <v>0.11856165337423491</v>
      </c>
      <c r="K15" s="1" cm="1">
        <f t="array" aca="1" ref="K15" ca="1">_xlfn.LET(
  _xlpm.ε, (_xlfn.BETA.INV(RAND(), 5, 5) - 0.5) * 2,
  _xlpm.Scenario,H15,
  _xlpm.pre_scenario,H14,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_xlpm.ρ*(MAX(K14, -0.07)-_xlpm.μ_prev) + _xlpm.σ * _xlpm.ε
)</f>
        <v>0.13564509901632632</v>
      </c>
      <c r="L15" s="1">
        <f t="shared" ca="1" si="2"/>
        <v>9.4525199990374606E-2</v>
      </c>
      <c r="M15" s="23">
        <f t="shared" ca="1" si="5"/>
        <v>18351.431079935042</v>
      </c>
      <c r="N15" s="23">
        <f t="shared" ca="1" si="3"/>
        <v>13748.658546629335</v>
      </c>
      <c r="O15" s="23">
        <f t="shared" ca="1" si="4"/>
        <v>72294.277176004223</v>
      </c>
      <c r="P15" s="1" cm="1">
        <f t="array" aca="1" ref="P15" ca="1">_xlfn.LET(
  _xlpm.state, H15,
  _xlpm.last, P14,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MAX(0,_xlfn.IFS(A14=49,-_xlfn.NORM.INV(RAND(), 0.01, 0.005), A14=57,ABS(_xlfn.NORM.INV(RAND(), 0.02, 0.01)),TRUE,0))
)</f>
        <v>1.7652844022415057E-2</v>
      </c>
      <c r="Q15" s="1">
        <f t="shared" ca="1" si="6"/>
        <v>0.74918726974169036</v>
      </c>
      <c r="S15" s="113" cm="1">
        <f t="array" aca="1" ref="S15" ca="1">_xlfn.LET(
    _xlpm.KS_rate, $V$2 + 3%,
    _xlpm.ESCT_rate, 3%,
    _xlpm.W_HS, $V$3,
    _xlpm.W_HR, $V$4,
    _xlpm.W_SH, $V$5,
    _xlpm.salary, C15,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I15 + _xlpm.W_HR * J15 + _xlpm.W_SH * K15,
    _xlpm.net_growth, (1 + _xlpm.return_rate) * (1 - 28%),
    _xlpm.prev_value, S14,
    _xlpm.result, (_xlpm.prev_value + _xlpm.ks_contrib) * _xlpm.net_growth,
    _xlpm.result
)</f>
        <v>41515.039445991089</v>
      </c>
      <c r="T15" s="113" cm="1">
        <f t="array" aca="1" ref="T15" ca="1">_xlfn.LET(
    _xlpm.KS_rate, $V$2 + 3%,
    _xlpm.ESCT_rate, 3%,
    _xlpm.W_HS, $V$3,
    _xlpm.W_HR, $V$4,
    _xlpm.W_SH, $V$5,
    _xlpm.salary, C15,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I15 + _xlpm.W_HR * J15 + _xlpm.W_SH * K15,
    _xlpm.net_growth, (1 + _xlpm.return_rate) * (1 - 28%),
    _xlpm.prev_value, IF(ROW()=2, 0, S14),
    _xlpm.base, IF(ROW()=2,
        _xlpm.ks_contrib,
        _xlpm.prev_value + _xlpm.ks_contrib
    ),
    _xlpm.current_value, _xlpm.base * _xlpm.net_growth,
    _xlpm.real_value, _xlpm.current_value * Q15,
    _xlpm.real_value
)</f>
        <v>31102.539055760641</v>
      </c>
      <c r="X15" s="113" cm="1">
        <f t="array" aca="1" ref="X15" ca="1">_xlfn.LET(
   _xlpm.KS_rate, Dashboard!$Q$2 + 3%,
    _xlpm.ESCT_rate, 3%,
    _xlpm.W_HS, _xlfn.SWITCH(H14,
        "Recession", Dashboard!$Q$4,
        "Normal",    Dashboard!$Q$8,
        "Boom",      Dashboard!$Q$12    ),
    _xlpm.W_HR, _xlfn.SWITCH(H14,
        "Recession", Dashboard!$Q$5,
        "Normal",    Dashboard!$Q$9,
        "Boom",      Dashboard!$Q$13    ),
    _xlpm.W_SH, _xlfn.SWITCH(H14,
        "Recession", Dashboard!$Q$6,
        "Normal",    Dashboard!$Q$10,
        "Boom",      Dashboard!$Q$14    ),
    _xlpm.salary, C15,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I15 + _xlpm.W_HR * J15 + _xlpm.W_SH * K15,
    _xlpm.net_growth, (1 + _xlpm.return_rate) * (1 - 28%),
    _xlpm.prev_value, S14,
    _xlpm.result, (_xlpm.prev_value + _xlpm.ks_contrib) * _xlpm.net_growth,
    _xlpm.result
)</f>
        <v>42750.720698681311</v>
      </c>
      <c r="Y15" s="113" cm="1">
        <f t="array" aca="1" ref="Y15" ca="1">_xlfn.LET(
    _xlpm.KS_rate, Dashboard!$Q$2 + 3%,
    _xlpm.ESCT_rate, 3%,
    _xlpm.W_HS, _xlfn.SWITCH(H15,
        "Recession", Dashboard!$Q$4,
        "Normal",    Dashboard!$Q$8,
        "Boom",      Dashboard!$Q$12    ),
    _xlpm.W_HR, _xlfn.SWITCH(H15,
        "Recession", Dashboard!$Q$5,
        "Normal",    Dashboard!$Q$9,
        "Boom",      Dashboard!$Q$13    ),
    _xlpm.W_SH, _xlfn.SWITCH(H15,
        "Recession", Dashboard!$Q$6,
        "Normal",    Dashboard!$Q$10,
        "Boom",      Dashboard!$Q$14    ),
    _xlpm.salary, C15,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I15 + _xlpm.W_HR * J15 + _xlpm.W_SH * K15,
    _xlpm.net_growth, (1 + _xlpm.return_rate) * (1 - 28%),
    _xlpm.prev_value, IF(ROW()=2, 0, X14),
    _xlpm.base, IF(ROW()=2, _xlpm.ks_contrib, _xlpm.prev_value + _xlpm.ks_contrib),
    _xlpm.current_value, _xlpm.base * _xlpm.net_growth,
    _xlpm.real_value, _xlpm.current_value * Q15,
    _xlpm.real_value
)</f>
        <v>33099.649853699862</v>
      </c>
      <c r="Z15" s="1">
        <v>109133.65387887708</v>
      </c>
    </row>
    <row r="16" spans="1:33">
      <c r="A16" s="1">
        <v>44</v>
      </c>
      <c r="B16" s="6">
        <f ca="1">VLOOKUP(t4_salaryGrowthevent!J16,t4_salaryGrowthevent!J:J,1,FALSE)</f>
        <v>3.4750000000000003E-2</v>
      </c>
      <c r="C16" s="23">
        <f>VLOOKUP(t4_salaryGrowthevent!B16,t4_salaryGrowthevent!B:B,1,FALSE)</f>
        <v>112926.04835116806</v>
      </c>
      <c r="D16" s="23" cm="1">
        <f t="array" ref="D16">_xlfn.LET(
  _xlpm.taxable, C16,
  _xlpm.kiwisaver,C16*0.03,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C16 * 0.0167,
  _xlpm.taxable - _xlpm.incomeTax - _xlpm.acc - _xlpm.kiwisaver
)</f>
        <v>80509.305937283047</v>
      </c>
      <c r="E16" s="23">
        <f t="shared" si="0"/>
        <v>6775.5629010700841</v>
      </c>
      <c r="F16" s="23" cm="1">
        <f t="array" ref="F16" xml:space="preserve"> C16 * 3% * _xlfn.IFS(
   C16 + C16 * 3% &lt;= 18720, 10.5%,
   C16 + C16 * 3% &lt;= 64200, 17.5%,
   C16 + C16 * 3% &lt;= 93720, 30%,
   C16 + C16 * 3% &lt;= 216000, 33%,
   C16 + C16 * 3% &gt; 216000, 39%
)</f>
        <v>1117.9678786765639</v>
      </c>
      <c r="G16" s="23">
        <f t="shared" si="1"/>
        <v>6179.02502239352</v>
      </c>
      <c r="H16" s="23" t="str" cm="1">
        <f t="array" aca="1" ref="H16" ca="1">_xlfn.IFS(
  H15="Boom", CHOOSE(MATCH(RAND(), {0,0.67,1}, 1), "Normal", "Recession"),
  H15="Normal", CHOOSE(MATCH(RAND(), {0,0.18,0.82,1}, 1), "Boom", "Normal", "Recession"),
  H15="Recession", CHOOSE(MATCH(RAND(), {0,0.17,0.34,1}, 1), "Boom", "Normal", "Recession")
)</f>
        <v>Recession</v>
      </c>
      <c r="I16" s="1" cm="1">
        <f t="array" aca="1" ref="I16" ca="1">_xlfn.LET(
  _xlpm.ε, (_xlfn.BETA.INV(RAND(), 5, 5) - 0.5) * 2,
  _xlpm.Scenario,H16,
  _xlpm.pre_scenario,H15,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_xlpm.ρ*(I15-_xlpm.μ_prev) + _xlpm.σ * _xlpm.ε
)</f>
        <v>2.1815770535459432E-2</v>
      </c>
      <c r="J16" s="1" cm="1">
        <f t="array" aca="1" ref="J16" ca="1">_xlfn.LET(
  _xlpm.ε, (_xlfn.BETA.INV(RAND(), 5, 5) - 0.5) * 2,
  _xlpm.Scenario,H16,
  _xlpm.pre_scenario,H15,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_xlpm.ρ*(MAX(J15, -0.05)-_xlpm.μ_prev) + _xlpm.σ * _xlpm.ε
)</f>
        <v>4.6723432016937141E-2</v>
      </c>
      <c r="K16" s="1" cm="1">
        <f t="array" aca="1" ref="K16" ca="1">_xlfn.LET(
  _xlpm.ε, (_xlfn.BETA.INV(RAND(), 5, 5) - 0.5) * 2,
  _xlpm.Scenario,H16,
  _xlpm.pre_scenario,H15,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_xlpm.ρ*(MAX(K15, -0.07)-_xlpm.μ_prev) + _xlpm.σ * _xlpm.ε
)</f>
        <v>1.4321529171876221E-2</v>
      </c>
      <c r="L16" s="1">
        <f t="shared" ca="1" si="2"/>
        <v>2.7039796570827782E-2</v>
      </c>
      <c r="M16" s="23">
        <f t="shared" ca="1" si="5"/>
        <v>18139.503344490109</v>
      </c>
      <c r="N16" s="23">
        <f t="shared" ca="1" si="3"/>
        <v>13455.647397180597</v>
      </c>
      <c r="O16" s="23">
        <f t="shared" ca="1" si="4"/>
        <v>73176.402277323097</v>
      </c>
      <c r="P16" s="1" cm="1">
        <f t="array" aca="1" ref="P16" ca="1">_xlfn.LET(
  _xlpm.state, H16,
  _xlpm.last, P15,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MAX(0,_xlfn.IFS(A15=49,-_xlfn.NORM.INV(RAND(), 0.01, 0.005), A15=57,ABS(_xlfn.NORM.INV(RAND(), 0.02, 0.01)),TRUE,0))
)</f>
        <v>9.9763009527388154E-3</v>
      </c>
      <c r="Q16" s="1">
        <f t="shared" ca="1" si="6"/>
        <v>0.74178697959047279</v>
      </c>
      <c r="S16" s="113" cm="1">
        <f t="array" aca="1" ref="S16" ca="1">_xlfn.LET(
    _xlpm.KS_rate, $V$2 + 3%,
    _xlpm.ESCT_rate, 3%,
    _xlpm.W_HS, $V$3,
    _xlpm.W_HR, $V$4,
    _xlpm.W_SH, $V$5,
    _xlpm.salary, C16,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I16 + _xlpm.W_HR * J16 + _xlpm.W_SH * K16,
    _xlpm.net_growth, (1 + _xlpm.return_rate) * (1 - 28%),
    _xlpm.prev_value, S15,
    _xlpm.result, (_xlpm.prev_value + _xlpm.ks_contrib) * _xlpm.net_growth,
    _xlpm.result
)</f>
        <v>41113.634738453897</v>
      </c>
      <c r="T16" s="113" cm="1">
        <f t="array" aca="1" ref="T16" ca="1">_xlfn.LET(
    _xlpm.KS_rate, $V$2 + 3%,
    _xlpm.ESCT_rate, 3%,
    _xlpm.W_HS, $V$3,
    _xlpm.W_HR, $V$4,
    _xlpm.W_SH, $V$5,
    _xlpm.salary, C16,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I16 + _xlpm.W_HR * J16 + _xlpm.W_SH * K16,
    _xlpm.net_growth, (1 + _xlpm.return_rate) * (1 - 28%),
    _xlpm.prev_value, IF(ROW()=2, 0, S15),
    _xlpm.base, IF(ROW()=2,
        _xlpm.ks_contrib,
        _xlpm.prev_value + _xlpm.ks_contrib
    ),
    _xlpm.current_value, _xlpm.base * _xlpm.net_growth,
    _xlpm.real_value, _xlpm.current_value * Q16,
    _xlpm.real_value
)</f>
        <v>30497.558932623655</v>
      </c>
      <c r="X16" s="113" cm="1">
        <f t="array" aca="1" ref="X16" ca="1">_xlfn.LET(
   _xlpm.KS_rate, Dashboard!$Q$2 + 3%,
    _xlpm.ESCT_rate, 3%,
    _xlpm.W_HS, _xlfn.SWITCH(H15,
        "Recession", Dashboard!$Q$4,
        "Normal",    Dashboard!$Q$8,
        "Boom",      Dashboard!$Q$12    ),
    _xlpm.W_HR, _xlfn.SWITCH(H15,
        "Recession", Dashboard!$Q$5,
        "Normal",    Dashboard!$Q$9,
        "Boom",      Dashboard!$Q$13    ),
    _xlpm.W_SH, _xlfn.SWITCH(H15,
        "Recession", Dashboard!$Q$6,
        "Normal",    Dashboard!$Q$10,
        "Boom",      Dashboard!$Q$14    ),
    _xlpm.salary, C16,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I16 + _xlpm.W_HR * J16 + _xlpm.W_SH * K16,
    _xlpm.net_growth, (1 + _xlpm.return_rate) * (1 - 28%),
    _xlpm.prev_value, S15,
    _xlpm.result, (_xlpm.prev_value + _xlpm.ks_contrib) * _xlpm.net_growth,
    _xlpm.result
)</f>
        <v>41253.050756540979</v>
      </c>
      <c r="Y16" s="113" cm="1">
        <f t="array" aca="1" ref="Y16" ca="1">_xlfn.LET(
    _xlpm.KS_rate, Dashboard!$Q$2 + 3%,
    _xlpm.ESCT_rate, 3%,
    _xlpm.W_HS, _xlfn.SWITCH(H16,
        "Recession", Dashboard!$Q$4,
        "Normal",    Dashboard!$Q$8,
        "Boom",      Dashboard!$Q$12    ),
    _xlpm.W_HR, _xlfn.SWITCH(H16,
        "Recession", Dashboard!$Q$5,
        "Normal",    Dashboard!$Q$9,
        "Boom",      Dashboard!$Q$13    ),
    _xlpm.W_SH, _xlfn.SWITCH(H16,
        "Recession", Dashboard!$Q$6,
        "Normal",    Dashboard!$Q$10,
        "Boom",      Dashboard!$Q$14    ),
    _xlpm.salary, C16,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I16 + _xlpm.W_HR * J16 + _xlpm.W_SH * K16,
    _xlpm.net_growth, (1 + _xlpm.return_rate) * (1 - 28%),
    _xlpm.prev_value, IF(ROW()=2, 0, X15),
    _xlpm.base, IF(ROW()=2, _xlpm.ks_contrib, _xlpm.prev_value + _xlpm.ks_contrib),
    _xlpm.current_value, _xlpm.base * _xlpm.net_growth,
    _xlpm.real_value, _xlpm.current_value * Q16,
    _xlpm.real_value
)</f>
        <v>31016.791836414865</v>
      </c>
      <c r="Z16" s="1">
        <v>112926.04835116806</v>
      </c>
    </row>
    <row r="17" spans="1:26">
      <c r="A17" s="1">
        <v>45</v>
      </c>
      <c r="B17" s="6">
        <f ca="1">VLOOKUP(t4_salaryGrowthevent!J17,t4_salaryGrowthevent!J:J,1,FALSE)</f>
        <v>3.4750000000000003E-2</v>
      </c>
      <c r="C17" s="23">
        <f>VLOOKUP(t4_salaryGrowthevent!B17,t4_salaryGrowthevent!B:B,1,FALSE)</f>
        <v>116850.22853137116</v>
      </c>
      <c r="D17" s="23" cm="1">
        <f t="array" ref="D17">_xlfn.LET(
  _xlpm.taxable, C17,
  _xlpm.kiwisaver,C17*0.03,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C17 * 0.0167,
  _xlpm.taxable - _xlpm.incomeTax - _xlpm.acc - _xlpm.kiwisaver
)</f>
        <v>82955.247443603657</v>
      </c>
      <c r="E17" s="23">
        <f t="shared" si="0"/>
        <v>7011.0137118822695</v>
      </c>
      <c r="F17" s="23" cm="1">
        <f t="array" ref="F17" xml:space="preserve"> C17 * 3% * _xlfn.IFS(
   C17 + C17 * 3% &lt;= 18720, 10.5%,
   C17 + C17 * 3% &lt;= 64200, 17.5%,
   C17 + C17 * 3% &lt;= 93720, 30%,
   C17 + C17 * 3% &lt;= 216000, 33%,
   C17 + C17 * 3% &gt; 216000, 39%
)</f>
        <v>1156.8172624605745</v>
      </c>
      <c r="G17" s="23">
        <f t="shared" si="1"/>
        <v>6375.6264494216957</v>
      </c>
      <c r="H17" s="23" t="str" cm="1">
        <f t="array" aca="1" ref="H17" ca="1">_xlfn.IFS(
  H16="Boom", CHOOSE(MATCH(RAND(), {0,0.67,1}, 1), "Normal", "Recession"),
  H16="Normal", CHOOSE(MATCH(RAND(), {0,0.18,0.82,1}, 1), "Boom", "Normal", "Recession"),
  H16="Recession", CHOOSE(MATCH(RAND(), {0,0.17,0.34,1}, 1), "Boom", "Normal", "Recession")
)</f>
        <v>Recession</v>
      </c>
      <c r="I17" s="1" cm="1">
        <f t="array" aca="1" ref="I17" ca="1">_xlfn.LET(
  _xlpm.ε, (_xlfn.BETA.INV(RAND(), 5, 5) - 0.5) * 2,
  _xlpm.Scenario,H17,
  _xlpm.pre_scenario,H16,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_xlpm.ρ*(I16-_xlpm.μ_prev) + _xlpm.σ * _xlpm.ε
)</f>
        <v>2.0312706733429539E-2</v>
      </c>
      <c r="J17" s="1" cm="1">
        <f t="array" aca="1" ref="J17" ca="1">_xlfn.LET(
  _xlpm.ε, (_xlfn.BETA.INV(RAND(), 5, 5) - 0.5) * 2,
  _xlpm.Scenario,H17,
  _xlpm.pre_scenario,H16,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_xlpm.ρ*(MAX(J16, -0.05)-_xlpm.μ_prev) + _xlpm.σ * _xlpm.ε
)</f>
        <v>3.2999110785235181E-2</v>
      </c>
      <c r="K17" s="1" cm="1">
        <f t="array" aca="1" ref="K17" ca="1">_xlfn.LET(
  _xlpm.ε, (_xlfn.BETA.INV(RAND(), 5, 5) - 0.5) * 2,
  _xlpm.Scenario,H17,
  _xlpm.pre_scenario,H16,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_xlpm.ρ*(MAX(K16, -0.07)-_xlpm.μ_prev) + _xlpm.σ * _xlpm.ε
)</f>
        <v>-1.1784639718466314E-2</v>
      </c>
      <c r="L17" s="1">
        <f t="shared" ca="1" si="2"/>
        <v>1.4489424013402473E-2</v>
      </c>
      <c r="M17" s="23">
        <f t="shared" ca="1" si="5"/>
        <v>17906.644731052358</v>
      </c>
      <c r="N17" s="23">
        <f t="shared" ca="1" si="3"/>
        <v>13047.102027461551</v>
      </c>
      <c r="O17" s="23">
        <f t="shared" ca="1" si="4"/>
        <v>73489.780897005898</v>
      </c>
      <c r="P17" s="1" cm="1">
        <f t="array" aca="1" ref="P17" ca="1">_xlfn.LET(
  _xlpm.state, H17,
  _xlpm.last, P16,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MAX(0,_xlfn.IFS(A16=49,-_xlfn.NORM.INV(RAND(), 0.01, 0.005), A16=57,ABS(_xlfn.NORM.INV(RAND(), 0.02, 0.01)),TRUE,0))
)</f>
        <v>1.8074042932222919E-2</v>
      </c>
      <c r="Q17" s="1">
        <f t="shared" ca="1" si="6"/>
        <v>0.72861790823583195</v>
      </c>
      <c r="S17" s="113" cm="1">
        <f t="array" aca="1" ref="S17" ca="1">_xlfn.LET(
    _xlpm.KS_rate, $V$2 + 3%,
    _xlpm.ESCT_rate, 3%,
    _xlpm.W_HS, $V$3,
    _xlpm.W_HR, $V$4,
    _xlpm.W_SH, $V$5,
    _xlpm.salary, C17,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I17 + _xlpm.W_HR * J17 + _xlpm.W_SH * K17,
    _xlpm.net_growth, (1 + _xlpm.return_rate) * (1 - 28%),
    _xlpm.prev_value, S16,
    _xlpm.result, (_xlpm.prev_value + _xlpm.ks_contrib) * _xlpm.net_growth,
    _xlpm.result
)</f>
        <v>40662.277705449858</v>
      </c>
      <c r="T17" s="113" cm="1">
        <f t="array" aca="1" ref="T17" ca="1">_xlfn.LET(
    _xlpm.KS_rate, $V$2 + 3%,
    _xlpm.ESCT_rate, 3%,
    _xlpm.W_HS, $V$3,
    _xlpm.W_HR, $V$4,
    _xlpm.W_SH, $V$5,
    _xlpm.salary, C17,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I17 + _xlpm.W_HR * J17 + _xlpm.W_SH * K17,
    _xlpm.net_growth, (1 + _xlpm.return_rate) * (1 - 28%),
    _xlpm.prev_value, IF(ROW()=2, 0, S16),
    _xlpm.base, IF(ROW()=2,
        _xlpm.ks_contrib,
        _xlpm.prev_value + _xlpm.ks_contrib
    ),
    _xlpm.current_value, _xlpm.base * _xlpm.net_growth,
    _xlpm.real_value, _xlpm.current_value * Q17,
    _xlpm.real_value
)</f>
        <v>29627.263725849381</v>
      </c>
      <c r="X17" s="113" cm="1">
        <f t="array" aca="1" ref="X17" ca="1">_xlfn.LET(
   _xlpm.KS_rate, Dashboard!$Q$2 + 3%,
    _xlpm.ESCT_rate, 3%,
    _xlpm.W_HS, _xlfn.SWITCH(H16,
        "Recession", Dashboard!$Q$4,
        "Normal",    Dashboard!$Q$8,
        "Boom",      Dashboard!$Q$12    ),
    _xlpm.W_HR, _xlfn.SWITCH(H16,
        "Recession", Dashboard!$Q$5,
        "Normal",    Dashboard!$Q$9,
        "Boom",      Dashboard!$Q$13    ),
    _xlpm.W_SH, _xlfn.SWITCH(H16,
        "Recession", Dashboard!$Q$6,
        "Normal",    Dashboard!$Q$10,
        "Boom",      Dashboard!$Q$14    ),
    _xlpm.salary, C17,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I17 + _xlpm.W_HR * J17 + _xlpm.W_SH * K17,
    _xlpm.net_growth, (1 + _xlpm.return_rate) * (1 - 28%),
    _xlpm.prev_value, S16,
    _xlpm.result, (_xlpm.prev_value + _xlpm.ks_contrib) * _xlpm.net_growth,
    _xlpm.result
)</f>
        <v>40895.683725773204</v>
      </c>
      <c r="Y17" s="113" cm="1">
        <f t="array" aca="1" ref="Y17" ca="1">_xlfn.LET(
    _xlpm.KS_rate, Dashboard!$Q$2 + 3%,
    _xlpm.ESCT_rate, 3%,
    _xlpm.W_HS, _xlfn.SWITCH(H17,
        "Recession", Dashboard!$Q$4,
        "Normal",    Dashboard!$Q$8,
        "Boom",      Dashboard!$Q$12    ),
    _xlpm.W_HR, _xlfn.SWITCH(H17,
        "Recession", Dashboard!$Q$5,
        "Normal",    Dashboard!$Q$9,
        "Boom",      Dashboard!$Q$13    ),
    _xlpm.W_SH, _xlfn.SWITCH(H17,
        "Recession", Dashboard!$Q$6,
        "Normal",    Dashboard!$Q$10,
        "Boom",      Dashboard!$Q$14    ),
    _xlpm.salary, C17,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I17 + _xlpm.W_HR * J17 + _xlpm.W_SH * K17,
    _xlpm.net_growth, (1 + _xlpm.return_rate) * (1 - 28%),
    _xlpm.prev_value, IF(ROW()=2, 0, X16),
    _xlpm.base, IF(ROW()=2, _xlpm.ks_contrib, _xlpm.prev_value + _xlpm.ks_contrib),
    _xlpm.current_value, _xlpm.base * _xlpm.net_growth,
    _xlpm.real_value, _xlpm.current_value * Q17,
    _xlpm.real_value
)</f>
        <v>29871.951494882145</v>
      </c>
      <c r="Z17" s="1">
        <v>116850.22853137116</v>
      </c>
    </row>
    <row r="18" spans="1:26">
      <c r="A18" s="1">
        <v>46</v>
      </c>
      <c r="B18" s="6">
        <f ca="1">VLOOKUP(t4_salaryGrowthevent!J18,t4_salaryGrowthevent!J:J,1,FALSE)</f>
        <v>1.922649683799833E-2</v>
      </c>
      <c r="C18" s="23">
        <f ca="1">VLOOKUP(t4_salaryGrowthevent!B18,t4_salaryGrowthevent!B:B,1,FALSE)</f>
        <v>119096.84908074894</v>
      </c>
      <c r="D18" s="23" cm="1">
        <f t="array" aca="1" ref="D18" ca="1">_xlfn.LET(
  _xlpm.taxable, C18,
  _xlpm.kiwisaver,C18*0.03,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C18 * 0.0167,
  _xlpm.taxable - _xlpm.incomeTax - _xlpm.acc - _xlpm.kiwisaver
)</f>
        <v>84355.566032030809</v>
      </c>
      <c r="E18" s="23">
        <f t="shared" ca="1" si="0"/>
        <v>7145.8109448449368</v>
      </c>
      <c r="F18" s="23" cm="1">
        <f t="array" aca="1" ref="F18" ca="1" xml:space="preserve"> C18 * 3% * _xlfn.IFS(
   C18 + C18 * 3% &lt;= 18720, 10.5%,
   C18 + C18 * 3% &lt;= 64200, 17.5%,
   C18 + C18 * 3% &lt;= 93720, 30%,
   C18 + C18 * 3% &lt;= 216000, 33%,
   C18 + C18 * 3% &gt; 216000, 39%
)</f>
        <v>1179.0588058994147</v>
      </c>
      <c r="G18" s="23">
        <f t="shared" ca="1" si="1"/>
        <v>6488.1821389455226</v>
      </c>
      <c r="H18" s="23" t="str" cm="1">
        <f t="array" aca="1" ref="H18" ca="1">_xlfn.IFS(
  H17="Boom", CHOOSE(MATCH(RAND(), {0,0.67,1}, 1), "Normal", "Recession"),
  H17="Normal", CHOOSE(MATCH(RAND(), {0,0.18,0.82,1}, 1), "Boom", "Normal", "Recession"),
  H17="Recession", CHOOSE(MATCH(RAND(), {0,0.17,0.34,1}, 1), "Boom", "Normal", "Recession")
)</f>
        <v>Recession</v>
      </c>
      <c r="I18" s="1" cm="1">
        <f t="array" aca="1" ref="I18" ca="1">_xlfn.LET(
  _xlpm.ε, (_xlfn.BETA.INV(RAND(), 5, 5) - 0.5) * 2,
  _xlpm.Scenario,H18,
  _xlpm.pre_scenario,H17,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_xlpm.ρ*(I17-_xlpm.μ_prev) + _xlpm.σ * _xlpm.ε
)</f>
        <v>2.3295216595353645E-2</v>
      </c>
      <c r="J18" s="1" cm="1">
        <f t="array" aca="1" ref="J18" ca="1">_xlfn.LET(
  _xlpm.ε, (_xlfn.BETA.INV(RAND(), 5, 5) - 0.5) * 2,
  _xlpm.Scenario,H18,
  _xlpm.pre_scenario,H17,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_xlpm.ρ*(MAX(J17, -0.05)-_xlpm.μ_prev) + _xlpm.σ * _xlpm.ε
)</f>
        <v>3.6492693813672934E-2</v>
      </c>
      <c r="K18" s="1" cm="1">
        <f t="array" aca="1" ref="K18" ca="1">_xlfn.LET(
  _xlpm.ε, (_xlfn.BETA.INV(RAND(), 5, 5) - 0.5) * 2,
  _xlpm.Scenario,H18,
  _xlpm.pre_scenario,H17,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_xlpm.ρ*(MAX(K17, -0.07)-_xlpm.μ_prev) + _xlpm.σ * _xlpm.ε
)</f>
        <v>4.1624558530489159E-2</v>
      </c>
      <c r="L18" s="1">
        <f t="shared" ca="1" si="2"/>
        <v>3.2753262341390088E-2</v>
      </c>
      <c r="M18" s="23">
        <f t="shared" ca="1" si="5"/>
        <v>18139.56266465547</v>
      </c>
      <c r="N18" s="23">
        <f t="shared" ca="1" si="3"/>
        <v>13080.688816581333</v>
      </c>
      <c r="O18" s="23">
        <f t="shared" ca="1" si="4"/>
        <v>73910.65090610733</v>
      </c>
      <c r="P18" s="1" cm="1">
        <f t="array" aca="1" ref="P18" ca="1">_xlfn.LET(
  _xlpm.state, H18,
  _xlpm.last, P17,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MAX(0,_xlfn.IFS(A17=49,-_xlfn.NORM.INV(RAND(), 0.01, 0.005), A17=57,ABS(_xlfn.NORM.INV(RAND(), 0.02, 0.01)),TRUE,0))
)</f>
        <v>1.0406285965627598E-2</v>
      </c>
      <c r="Q18" s="1">
        <f t="shared" ca="1" si="6"/>
        <v>0.72111379190352587</v>
      </c>
      <c r="S18" s="113" cm="1">
        <f t="array" aca="1" ref="S18" ca="1">_xlfn.LET(
    _xlpm.KS_rate, $V$2 + 3%,
    _xlpm.ESCT_rate, 3%,
    _xlpm.W_HS, $V$3,
    _xlpm.W_HR, $V$4,
    _xlpm.W_SH, $V$5,
    _xlpm.salary, C18,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I18 + _xlpm.W_HR * J18 + _xlpm.W_SH * K18,
    _xlpm.net_growth, (1 + _xlpm.return_rate) * (1 - 28%),
    _xlpm.prev_value, S17,
    _xlpm.result, (_xlpm.prev_value + _xlpm.ks_contrib) * _xlpm.net_growth,
    _xlpm.result
)</f>
        <v>41259.331717046414</v>
      </c>
      <c r="T18" s="113" cm="1">
        <f t="array" aca="1" ref="T18" ca="1">_xlfn.LET(
    _xlpm.KS_rate, $V$2 + 3%,
    _xlpm.ESCT_rate, 3%,
    _xlpm.W_HS, $V$3,
    _xlpm.W_HR, $V$4,
    _xlpm.W_SH, $V$5,
    _xlpm.salary, C18,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I18 + _xlpm.W_HR * J18 + _xlpm.W_SH * K18,
    _xlpm.net_growth, (1 + _xlpm.return_rate) * (1 - 28%),
    _xlpm.prev_value, IF(ROW()=2, 0, S17),
    _xlpm.base, IF(ROW()=2,
        _xlpm.ks_contrib,
        _xlpm.prev_value + _xlpm.ks_contrib
    ),
    _xlpm.current_value, _xlpm.base * _xlpm.net_growth,
    _xlpm.real_value, _xlpm.current_value * Q18,
    _xlpm.real_value
)</f>
        <v>29752.673145884753</v>
      </c>
      <c r="X18" s="113" cm="1">
        <f t="array" aca="1" ref="X18" ca="1">_xlfn.LET(
   _xlpm.KS_rate, Dashboard!$Q$2 + 3%,
    _xlpm.ESCT_rate, 3%,
    _xlpm.W_HS, _xlfn.SWITCH(H17,
        "Recession", Dashboard!$Q$4,
        "Normal",    Dashboard!$Q$8,
        "Boom",      Dashboard!$Q$12    ),
    _xlpm.W_HR, _xlfn.SWITCH(H17,
        "Recession", Dashboard!$Q$5,
        "Normal",    Dashboard!$Q$9,
        "Boom",      Dashboard!$Q$13    ),
    _xlpm.W_SH, _xlfn.SWITCH(H17,
        "Recession", Dashboard!$Q$6,
        "Normal",    Dashboard!$Q$10,
        "Boom",      Dashboard!$Q$14    ),
    _xlpm.salary, C18,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I18 + _xlpm.W_HR * J18 + _xlpm.W_SH * K18,
    _xlpm.net_growth, (1 + _xlpm.return_rate) * (1 - 28%),
    _xlpm.prev_value, S17,
    _xlpm.result, (_xlpm.prev_value + _xlpm.ks_contrib) * _xlpm.net_growth,
    _xlpm.result
)</f>
        <v>40881.475106895406</v>
      </c>
      <c r="Y18" s="113" cm="1">
        <f t="array" aca="1" ref="Y18" ca="1">_xlfn.LET(
    _xlpm.KS_rate, Dashboard!$Q$2 + 3%,
    _xlpm.ESCT_rate, 3%,
    _xlpm.W_HS, _xlfn.SWITCH(H18,
        "Recession", Dashboard!$Q$4,
        "Normal",    Dashboard!$Q$8,
        "Boom",      Dashboard!$Q$12    ),
    _xlpm.W_HR, _xlfn.SWITCH(H18,
        "Recession", Dashboard!$Q$5,
        "Normal",    Dashboard!$Q$9,
        "Boom",      Dashboard!$Q$13    ),
    _xlpm.W_SH, _xlfn.SWITCH(H18,
        "Recession", Dashboard!$Q$6,
        "Normal",    Dashboard!$Q$10,
        "Boom",      Dashboard!$Q$14    ),
    _xlpm.salary, C18,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I18 + _xlpm.W_HR * J18 + _xlpm.W_SH * K18,
    _xlpm.net_growth, (1 + _xlpm.return_rate) * (1 - 28%),
    _xlpm.prev_value, IF(ROW()=2, 0, X17),
    _xlpm.base, IF(ROW()=2, _xlpm.ks_contrib, _xlpm.prev_value + _xlpm.ks_contrib),
    _xlpm.current_value, _xlpm.base * _xlpm.net_growth,
    _xlpm.real_value, _xlpm.current_value * Q18,
    _xlpm.real_value
)</f>
        <v>29604.203416683031</v>
      </c>
      <c r="Z18" s="1">
        <v>117799.13659960745</v>
      </c>
    </row>
    <row r="19" spans="1:26">
      <c r="A19" s="1">
        <v>47</v>
      </c>
      <c r="B19" s="6">
        <f ca="1">VLOOKUP(t4_salaryGrowthevent!J19,t4_salaryGrowthevent!J:J,1,FALSE)</f>
        <v>2.0485918413925556E-2</v>
      </c>
      <c r="C19" s="23">
        <f ca="1">VLOOKUP(t4_salaryGrowthevent!B19,t4_salaryGrowthevent!B:B,1,FALSE)</f>
        <v>121536.65741437278</v>
      </c>
      <c r="D19" s="23" cm="1">
        <f t="array" aca="1" ref="D19" ca="1">_xlfn.LET(
  _xlpm.taxable, C19,
  _xlpm.kiwisaver,C19*0.03,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C19 * 0.0167,
  _xlpm.taxable - _xlpm.incomeTax - _xlpm.acc - _xlpm.kiwisaver
)</f>
        <v>85876.298566378537</v>
      </c>
      <c r="E19" s="23">
        <f t="shared" ca="1" si="0"/>
        <v>7292.1994448623664</v>
      </c>
      <c r="F19" s="23" cm="1">
        <f t="array" aca="1" ref="F19" ca="1" xml:space="preserve"> C19 * 3% * _xlfn.IFS(
   C19 + C19 * 3% &lt;= 18720, 10.5%,
   C19 + C19 * 3% &lt;= 64200, 17.5%,
   C19 + C19 * 3% &lt;= 93720, 30%,
   C19 + C19 * 3% &lt;= 216000, 33%,
   C19 + C19 * 3% &gt; 216000, 39%
)</f>
        <v>1203.2129084022904</v>
      </c>
      <c r="G19" s="23">
        <f t="shared" ca="1" si="1"/>
        <v>6610.4165364600758</v>
      </c>
      <c r="H19" s="23" t="str" cm="1">
        <f t="array" aca="1" ref="H19" ca="1">_xlfn.IFS(
  H18="Boom", CHOOSE(MATCH(RAND(), {0,0.67,1}, 1), "Normal", "Recession"),
  H18="Normal", CHOOSE(MATCH(RAND(), {0,0.18,0.82,1}, 1), "Boom", "Normal", "Recession"),
  H18="Recession", CHOOSE(MATCH(RAND(), {0,0.17,0.34,1}, 1), "Boom", "Normal", "Recession")
)</f>
        <v>Recession</v>
      </c>
      <c r="I19" s="1" cm="1">
        <f t="array" aca="1" ref="I19" ca="1">_xlfn.LET(
  _xlpm.ε, (_xlfn.BETA.INV(RAND(), 5, 5) - 0.5) * 2,
  _xlpm.Scenario,H19,
  _xlpm.pre_scenario,H18,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_xlpm.ρ*(I18-_xlpm.μ_prev) + _xlpm.σ * _xlpm.ε
)</f>
        <v>9.4707122373755177E-3</v>
      </c>
      <c r="J19" s="1" cm="1">
        <f t="array" aca="1" ref="J19" ca="1">_xlfn.LET(
  _xlpm.ε, (_xlfn.BETA.INV(RAND(), 5, 5) - 0.5) * 2,
  _xlpm.Scenario,H19,
  _xlpm.pre_scenario,H18,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_xlpm.ρ*(MAX(J18, -0.05)-_xlpm.μ_prev) + _xlpm.σ * _xlpm.ε
)</f>
        <v>2.3045214634076147E-4</v>
      </c>
      <c r="K19" s="1" cm="1">
        <f t="array" aca="1" ref="K19" ca="1">_xlfn.LET(
  _xlpm.ε, (_xlfn.BETA.INV(RAND(), 5, 5) - 0.5) * 2,
  _xlpm.Scenario,H19,
  _xlpm.pre_scenario,H18,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_xlpm.ρ*(MAX(K18, -0.07)-_xlpm.μ_prev) + _xlpm.σ * _xlpm.ε
)</f>
        <v>-5.5100876310522857E-2</v>
      </c>
      <c r="L19" s="1">
        <f t="shared" ca="1" si="2"/>
        <v>-1.2672842354304423E-2</v>
      </c>
      <c r="M19" s="23">
        <f t="shared" ca="1" si="5"/>
        <v>17594.155163827796</v>
      </c>
      <c r="N19" s="23">
        <f t="shared" ca="1" si="3"/>
        <v>12450.626024476129</v>
      </c>
      <c r="O19" s="23">
        <f t="shared" ca="1" si="4"/>
        <v>73221.584780964418</v>
      </c>
      <c r="P19" s="1" cm="1">
        <f t="array" aca="1" ref="P19" ca="1">_xlfn.LET(
  _xlpm.state, H19,
  _xlpm.last, P18,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MAX(0,_xlfn.IFS(A18=49,-_xlfn.NORM.INV(RAND(), 0.01, 0.005), A18=57,ABS(_xlfn.NORM.INV(RAND(), 0.02, 0.01)),TRUE,0))
)</f>
        <v>1.9016065584597421E-2</v>
      </c>
      <c r="Q19" s="1">
        <f t="shared" ca="1" si="6"/>
        <v>0.70765694110016941</v>
      </c>
      <c r="S19" s="113" cm="1">
        <f t="array" aca="1" ref="S19" ca="1">_xlfn.LET(
    _xlpm.KS_rate, $V$2 + 3%,
    _xlpm.ESCT_rate, 3%,
    _xlpm.W_HS, $V$3,
    _xlpm.W_HR, $V$4,
    _xlpm.W_SH, $V$5,
    _xlpm.salary, C19,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I19 + _xlpm.W_HR * J19 + _xlpm.W_SH * K19,
    _xlpm.net_growth, (1 + _xlpm.return_rate) * (1 - 28%),
    _xlpm.prev_value, S18,
    _xlpm.result, (_xlpm.prev_value + _xlpm.ks_contrib) * _xlpm.net_growth,
    _xlpm.result
)</f>
        <v>40077.254488592123</v>
      </c>
      <c r="T19" s="113" cm="1">
        <f t="array" aca="1" ref="T19" ca="1">_xlfn.LET(
    _xlpm.KS_rate, $V$2 + 3%,
    _xlpm.ESCT_rate, 3%,
    _xlpm.W_HS, $V$3,
    _xlpm.W_HR, $V$4,
    _xlpm.W_SH, $V$5,
    _xlpm.salary, C19,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I19 + _xlpm.W_HR * J19 + _xlpm.W_SH * K19,
    _xlpm.net_growth, (1 + _xlpm.return_rate) * (1 - 28%),
    _xlpm.prev_value, IF(ROW()=2, 0, S18),
    _xlpm.base, IF(ROW()=2,
        _xlpm.ks_contrib,
        _xlpm.prev_value + _xlpm.ks_contrib
    ),
    _xlpm.current_value, _xlpm.base * _xlpm.net_growth,
    _xlpm.real_value, _xlpm.current_value * Q19,
    _xlpm.real_value
)</f>
        <v>28360.947319090137</v>
      </c>
      <c r="X19" s="113" cm="1">
        <f t="array" aca="1" ref="X19" ca="1">_xlfn.LET(
   _xlpm.KS_rate, Dashboard!$Q$2 + 3%,
    _xlpm.ESCT_rate, 3%,
    _xlpm.W_HS, _xlfn.SWITCH(H18,
        "Recession", Dashboard!$Q$4,
        "Normal",    Dashboard!$Q$8,
        "Boom",      Dashboard!$Q$12    ),
    _xlpm.W_HR, _xlfn.SWITCH(H18,
        "Recession", Dashboard!$Q$5,
        "Normal",    Dashboard!$Q$9,
        "Boom",      Dashboard!$Q$13    ),
    _xlpm.W_SH, _xlfn.SWITCH(H18,
        "Recession", Dashboard!$Q$6,
        "Normal",    Dashboard!$Q$10,
        "Boom",      Dashboard!$Q$14    ),
    _xlpm.salary, C19,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I19 + _xlpm.W_HR * J19 + _xlpm.W_SH * K19,
    _xlpm.net_growth, (1 + _xlpm.return_rate) * (1 - 28%),
    _xlpm.prev_value, S18,
    _xlpm.result, (_xlpm.prev_value + _xlpm.ks_contrib) * _xlpm.net_growth,
    _xlpm.result
)</f>
        <v>40976.098266746616</v>
      </c>
      <c r="Y19" s="113" cm="1">
        <f t="array" aca="1" ref="Y19" ca="1">_xlfn.LET(
    _xlpm.KS_rate, Dashboard!$Q$2 + 3%,
    _xlpm.ESCT_rate, 3%,
    _xlpm.W_HS, _xlfn.SWITCH(H19,
        "Recession", Dashboard!$Q$4,
        "Normal",    Dashboard!$Q$8,
        "Boom",      Dashboard!$Q$12    ),
    _xlpm.W_HR, _xlfn.SWITCH(H19,
        "Recession", Dashboard!$Q$5,
        "Normal",    Dashboard!$Q$9,
        "Boom",      Dashboard!$Q$13    ),
    _xlpm.W_SH, _xlfn.SWITCH(H19,
        "Recession", Dashboard!$Q$6,
        "Normal",    Dashboard!$Q$10,
        "Boom",      Dashboard!$Q$14    ),
    _xlpm.salary, C19,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I19 + _xlpm.W_HR * J19 + _xlpm.W_SH * K19,
    _xlpm.net_growth, (1 + _xlpm.return_rate) * (1 - 28%),
    _xlpm.prev_value, IF(ROW()=2, 0, X18),
    _xlpm.base, IF(ROW()=2, _xlpm.ks_contrib, _xlpm.prev_value + _xlpm.ks_contrib),
    _xlpm.current_value, _xlpm.base * _xlpm.net_growth,
    _xlpm.real_value, _xlpm.current_value * Q19,
    _xlpm.real_value
)</f>
        <v>28802.67417501755</v>
      </c>
      <c r="Z19" s="1">
        <v>118886.00996096265</v>
      </c>
    </row>
    <row r="20" spans="1:26">
      <c r="A20" s="1">
        <v>48</v>
      </c>
      <c r="B20" s="6">
        <f ca="1">VLOOKUP(t4_salaryGrowthevent!J20,t4_salaryGrowthevent!J:J,1,FALSE)</f>
        <v>1.9308916379451122E-2</v>
      </c>
      <c r="C20" s="23">
        <f ca="1">VLOOKUP(t4_salaryGrowthevent!B20,t4_salaryGrowthevent!B:B,1,FALSE)</f>
        <v>123883.3985694249</v>
      </c>
      <c r="D20" s="23" cm="1">
        <f t="array" aca="1" ref="D20" ca="1">_xlfn.LET(
  _xlpm.taxable, C20,
  _xlpm.kiwisaver,C20*0.03,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C20 * 0.0167,
  _xlpm.taxable - _xlpm.incomeTax - _xlpm.acc - _xlpm.kiwisaver
)</f>
        <v>87339.022328322535</v>
      </c>
      <c r="E20" s="23">
        <f t="shared" ca="1" si="0"/>
        <v>7433.0039141654934</v>
      </c>
      <c r="F20" s="23" cm="1">
        <f t="array" aca="1" ref="F20" ca="1" xml:space="preserve"> C20 * 3% * _xlfn.IFS(
   C20 + C20 * 3% &lt;= 18720, 10.5%,
   C20 + C20 * 3% &lt;= 64200, 17.5%,
   C20 + C20 * 3% &lt;= 93720, 30%,
   C20 + C20 * 3% &lt;= 216000, 33%,
   C20 + C20 * 3% &gt; 216000, 39%
)</f>
        <v>1226.4456458373065</v>
      </c>
      <c r="G20" s="23">
        <f t="shared" ca="1" si="1"/>
        <v>6727.9882683281867</v>
      </c>
      <c r="H20" s="23" t="str" cm="1">
        <f t="array" aca="1" ref="H20" ca="1">_xlfn.IFS(
  H19="Boom", CHOOSE(MATCH(RAND(), {0,0.67,1}, 1), "Normal", "Recession"),
  H19="Normal", CHOOSE(MATCH(RAND(), {0,0.18,0.82,1}, 1), "Boom", "Normal", "Recession"),
  H19="Recession", CHOOSE(MATCH(RAND(), {0,0.17,0.34,1}, 1), "Boom", "Normal", "Recession")
)</f>
        <v>Normal</v>
      </c>
      <c r="I20" s="1" cm="1">
        <f t="array" aca="1" ref="I20" ca="1">_xlfn.LET(
  _xlpm.ε, (_xlfn.BETA.INV(RAND(), 5, 5) - 0.5) * 2,
  _xlpm.Scenario,H20,
  _xlpm.pre_scenario,H19,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_xlpm.ρ*(I19-_xlpm.μ_prev) + _xlpm.σ * _xlpm.ε
)</f>
        <v>3.8567093502691566E-2</v>
      </c>
      <c r="J20" s="1" cm="1">
        <f t="array" aca="1" ref="J20" ca="1">_xlfn.LET(
  _xlpm.ε, (_xlfn.BETA.INV(RAND(), 5, 5) - 0.5) * 2,
  _xlpm.Scenario,H20,
  _xlpm.pre_scenario,H19,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_xlpm.ρ*(MAX(J19, -0.05)-_xlpm.μ_prev) + _xlpm.σ * _xlpm.ε
)</f>
        <v>4.8315686296448543E-2</v>
      </c>
      <c r="K20" s="1" cm="1">
        <f t="array" aca="1" ref="K20" ca="1">_xlfn.LET(
  _xlpm.ε, (_xlfn.BETA.INV(RAND(), 5, 5) - 0.5) * 2,
  _xlpm.Scenario,H20,
  _xlpm.pre_scenario,H19,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_xlpm.ρ*(MAX(K19, -0.07)-_xlpm.μ_prev) + _xlpm.σ * _xlpm.ε
)</f>
        <v>0.15256022070139394</v>
      </c>
      <c r="L20" s="1">
        <f t="shared" ca="1" si="2"/>
        <v>7.568960950042937E-2</v>
      </c>
      <c r="M20" s="23">
        <f t="shared" ca="1" si="5"/>
        <v>18837.415418939498</v>
      </c>
      <c r="N20" s="23">
        <f t="shared" ca="1" si="3"/>
        <v>13035.897688341676</v>
      </c>
      <c r="O20" s="23">
        <f t="shared" ca="1" si="4"/>
        <v>73476.384557208483</v>
      </c>
      <c r="P20" s="1" cm="1">
        <f t="array" aca="1" ref="P20" ca="1">_xlfn.LET(
  _xlpm.state, H20,
  _xlpm.last, P19,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MAX(0,_xlfn.IFS(A19=49,-_xlfn.NORM.INV(RAND(), 0.01, 0.005), A19=57,ABS(_xlfn.NORM.INV(RAND(), 0.02, 0.01)),TRUE,0))
)</f>
        <v>2.2593770854892503E-2</v>
      </c>
      <c r="Q20" s="1">
        <f t="shared" ca="1" si="6"/>
        <v>0.69202156444642271</v>
      </c>
      <c r="S20" s="113" cm="1">
        <f t="array" aca="1" ref="S20" ca="1">_xlfn.LET(
    _xlpm.KS_rate, $V$2 + 3%,
    _xlpm.ESCT_rate, 3%,
    _xlpm.W_HS, $V$3,
    _xlpm.W_HR, $V$4,
    _xlpm.W_SH, $V$5,
    _xlpm.salary, C20,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I20 + _xlpm.W_HR * J20 + _xlpm.W_SH * K20,
    _xlpm.net_growth, (1 + _xlpm.return_rate) * (1 - 28%),
    _xlpm.prev_value, S19,
    _xlpm.result, (_xlpm.prev_value + _xlpm.ks_contrib) * _xlpm.net_growth,
    _xlpm.result
)</f>
        <v>42966.805844099203</v>
      </c>
      <c r="T20" s="113" cm="1">
        <f t="array" aca="1" ref="T20" ca="1">_xlfn.LET(
    _xlpm.KS_rate, $V$2 + 3%,
    _xlpm.ESCT_rate, 3%,
    _xlpm.W_HS, $V$3,
    _xlpm.W_HR, $V$4,
    _xlpm.W_SH, $V$5,
    _xlpm.salary, C20,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I20 + _xlpm.W_HR * J20 + _xlpm.W_SH * K20,
    _xlpm.net_growth, (1 + _xlpm.return_rate) * (1 - 28%),
    _xlpm.prev_value, IF(ROW()=2, 0, S19),
    _xlpm.base, IF(ROW()=2,
        _xlpm.ks_contrib,
        _xlpm.prev_value + _xlpm.ks_contrib
    ),
    _xlpm.current_value, _xlpm.base * _xlpm.net_growth,
    _xlpm.real_value, _xlpm.current_value * Q20,
    _xlpm.real_value
)</f>
        <v>29733.956199499229</v>
      </c>
      <c r="X20" s="113" cm="1">
        <f t="array" aca="1" ref="X20" ca="1">_xlfn.LET(
   _xlpm.KS_rate, Dashboard!$Q$2 + 3%,
    _xlpm.ESCT_rate, 3%,
    _xlpm.W_HS, _xlfn.SWITCH(H19,
        "Recession", Dashboard!$Q$4,
        "Normal",    Dashboard!$Q$8,
        "Boom",      Dashboard!$Q$12    ),
    _xlpm.W_HR, _xlfn.SWITCH(H19,
        "Recession", Dashboard!$Q$5,
        "Normal",    Dashboard!$Q$9,
        "Boom",      Dashboard!$Q$13    ),
    _xlpm.W_SH, _xlfn.SWITCH(H19,
        "Recession", Dashboard!$Q$6,
        "Normal",    Dashboard!$Q$10,
        "Boom",      Dashboard!$Q$14    ),
    _xlpm.salary, C20,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I20 + _xlpm.W_HR * J20 + _xlpm.W_SH * K20,
    _xlpm.net_growth, (1 + _xlpm.return_rate) * (1 - 28%),
    _xlpm.prev_value, S19,
    _xlpm.result, (_xlpm.prev_value + _xlpm.ks_contrib) * _xlpm.net_growth,
    _xlpm.result
)</f>
        <v>41484.002697883043</v>
      </c>
      <c r="Y20" s="113" cm="1">
        <f t="array" aca="1" ref="Y20" ca="1">_xlfn.LET(
    _xlpm.KS_rate, Dashboard!$Q$2 + 3%,
    _xlpm.ESCT_rate, 3%,
    _xlpm.W_HS, _xlfn.SWITCH(H20,
        "Recession", Dashboard!$Q$4,
        "Normal",    Dashboard!$Q$8,
        "Boom",      Dashboard!$Q$12    ),
    _xlpm.W_HR, _xlfn.SWITCH(H20,
        "Recession", Dashboard!$Q$5,
        "Normal",    Dashboard!$Q$9,
        "Boom",      Dashboard!$Q$13    ),
    _xlpm.W_SH, _xlfn.SWITCH(H20,
        "Recession", Dashboard!$Q$6,
        "Normal",    Dashboard!$Q$10,
        "Boom",      Dashboard!$Q$14    ),
    _xlpm.salary, C20,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I20 + _xlpm.W_HR * J20 + _xlpm.W_SH * K20,
    _xlpm.net_growth, (1 + _xlpm.return_rate) * (1 - 28%),
    _xlpm.prev_value, IF(ROW()=2, 0, X19),
    _xlpm.base, IF(ROW()=2, _xlpm.ks_contrib, _xlpm.prev_value + _xlpm.ks_contrib),
    _xlpm.current_value, _xlpm.base * _xlpm.net_growth,
    _xlpm.real_value, _xlpm.current_value * Q20,
    _xlpm.real_value
)</f>
        <v>30910.879441834015</v>
      </c>
      <c r="Z20" s="1">
        <v>121597.28176857693</v>
      </c>
    </row>
    <row r="21" spans="1:26">
      <c r="A21" s="1">
        <v>49</v>
      </c>
      <c r="B21" s="6">
        <f ca="1">VLOOKUP(t4_salaryGrowthevent!J21,t4_salaryGrowthevent!J:J,1,FALSE)</f>
        <v>2.2071020706046014E-2</v>
      </c>
      <c r="C21" s="23">
        <f ca="1">VLOOKUP(t4_salaryGrowthevent!B21,t4_salaryGrowthevent!B:B,1,FALSE)</f>
        <v>126617.63162438602</v>
      </c>
      <c r="D21" s="23" cm="1">
        <f t="array" aca="1" ref="D21" ca="1">_xlfn.LET(
  _xlpm.taxable, C21,
  _xlpm.kiwisaver,C21*0.03,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C21 * 0.0167,
  _xlpm.taxable - _xlpm.incomeTax - _xlpm.acc - _xlpm.kiwisaver
)</f>
        <v>89043.269791479805</v>
      </c>
      <c r="E21" s="23">
        <f t="shared" ca="1" si="0"/>
        <v>7597.0578974631608</v>
      </c>
      <c r="F21" s="23" cm="1">
        <f t="array" aca="1" ref="F21" ca="1" xml:space="preserve"> C21 * 3% * _xlfn.IFS(
   C21 + C21 * 3% &lt;= 18720, 10.5%,
   C21 + C21 * 3% &lt;= 64200, 17.5%,
   C21 + C21 * 3% &lt;= 93720, 30%,
   C21 + C21 * 3% &lt;= 216000, 33%,
   C21 + C21 * 3% &gt; 216000, 39%
)</f>
        <v>1253.5145530814216</v>
      </c>
      <c r="G21" s="23">
        <f t="shared" ca="1" si="1"/>
        <v>6864.9733443817395</v>
      </c>
      <c r="H21" s="23" t="str" cm="1">
        <f t="array" aca="1" ref="H21" ca="1">_xlfn.IFS(
  H20="Boom", CHOOSE(MATCH(RAND(), {0,0.67,1}, 1), "Normal", "Recession"),
  H20="Normal", CHOOSE(MATCH(RAND(), {0,0.18,0.82,1}, 1), "Boom", "Normal", "Recession"),
  H20="Recession", CHOOSE(MATCH(RAND(), {0,0.17,0.34,1}, 1), "Boom", "Normal", "Recession")
)</f>
        <v>Recession</v>
      </c>
      <c r="I21" s="1" cm="1">
        <f t="array" aca="1" ref="I21" ca="1">_xlfn.LET(
  _xlpm.ε, (_xlfn.BETA.INV(RAND(), 5, 5) - 0.5) * 2,
  _xlpm.Scenario,H21,
  _xlpm.pre_scenario,H20,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_xlpm.ρ*(I20-_xlpm.μ_prev) + _xlpm.σ * _xlpm.ε
)</f>
        <v>3.5876074319367464E-2</v>
      </c>
      <c r="J21" s="1" cm="1">
        <f t="array" aca="1" ref="J21" ca="1">_xlfn.LET(
  _xlpm.ε, (_xlfn.BETA.INV(RAND(), 5, 5) - 0.5) * 2,
  _xlpm.Scenario,H21,
  _xlpm.pre_scenario,H20,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_xlpm.ρ*(MAX(J20, -0.05)-_xlpm.μ_prev) + _xlpm.σ * _xlpm.ε
)</f>
        <v>4.0464603943485139E-2</v>
      </c>
      <c r="K21" s="1" cm="1">
        <f t="array" aca="1" ref="K21" ca="1">_xlfn.LET(
  _xlpm.ε, (_xlfn.BETA.INV(RAND(), 5, 5) - 0.5) * 2,
  _xlpm.Scenario,H21,
  _xlpm.pre_scenario,H20,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_xlpm.ρ*(MAX(K20, -0.07)-_xlpm.μ_prev) + _xlpm.σ * _xlpm.ε
)</f>
        <v>4.4208119244011107E-2</v>
      </c>
      <c r="L21" s="1">
        <f t="shared" ca="1" si="2"/>
        <v>3.9752246683995858E-2</v>
      </c>
      <c r="M21" s="23">
        <f t="shared" ca="1" si="5"/>
        <v>19241.363852502298</v>
      </c>
      <c r="N21" s="23">
        <f t="shared" ca="1" si="3"/>
        <v>12966.934867638936</v>
      </c>
      <c r="O21" s="23">
        <f t="shared" ca="1" si="4"/>
        <v>72974.026289984482</v>
      </c>
      <c r="P21" s="1" cm="1">
        <f t="array" aca="1" ref="P21" ca="1">_xlfn.LET(
  _xlpm.state, H21,
  _xlpm.last, P20,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MAX(0,_xlfn.IFS(A20=49,-_xlfn.NORM.INV(RAND(), 0.01, 0.005), A20=57,ABS(_xlfn.NORM.INV(RAND(), 0.02, 0.01)),TRUE,0))
)</f>
        <v>2.6876347510798346E-2</v>
      </c>
      <c r="Q21" s="1">
        <f t="shared" ca="1" si="6"/>
        <v>0.67390934275964098</v>
      </c>
      <c r="S21" s="113" cm="1">
        <f t="array" aca="1" ref="S21" ca="1">_xlfn.LET(
    _xlpm.KS_rate, $V$2 + 3%,
    _xlpm.ESCT_rate, 3%,
    _xlpm.W_HS, $V$3,
    _xlpm.W_HR, $V$4,
    _xlpm.W_SH, $V$5,
    _xlpm.salary, C21,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I21 + _xlpm.W_HR * J21 + _xlpm.W_SH * K21,
    _xlpm.net_growth, (1 + _xlpm.return_rate) * (1 - 28%),
    _xlpm.prev_value, S20,
    _xlpm.result, (_xlpm.prev_value + _xlpm.ks_contrib) * _xlpm.net_growth,
    _xlpm.result
)</f>
        <v>43940.355878931972</v>
      </c>
      <c r="T21" s="113" cm="1">
        <f t="array" aca="1" ref="T21" ca="1">_xlfn.LET(
    _xlpm.KS_rate, $V$2 + 3%,
    _xlpm.ESCT_rate, 3%,
    _xlpm.W_HS, $V$3,
    _xlpm.W_HR, $V$4,
    _xlpm.W_SH, $V$5,
    _xlpm.salary, C21,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I21 + _xlpm.W_HR * J21 + _xlpm.W_SH * K21,
    _xlpm.net_growth, (1 + _xlpm.return_rate) * (1 - 28%),
    _xlpm.prev_value, IF(ROW()=2, 0, S20),
    _xlpm.base, IF(ROW()=2,
        _xlpm.ks_contrib,
        _xlpm.prev_value + _xlpm.ks_contrib
    ),
    _xlpm.current_value, _xlpm.base * _xlpm.net_growth,
    _xlpm.real_value, _xlpm.current_value * Q21,
    _xlpm.real_value
)</f>
        <v>29611.816350995774</v>
      </c>
      <c r="X21" s="113" cm="1">
        <f t="array" aca="1" ref="X21" ca="1">_xlfn.LET(
   _xlpm.KS_rate, Dashboard!$Q$2 + 3%,
    _xlpm.ESCT_rate, 3%,
    _xlpm.W_HS, _xlfn.SWITCH(H20,
        "Recession", Dashboard!$Q$4,
        "Normal",    Dashboard!$Q$8,
        "Boom",      Dashboard!$Q$12    ),
    _xlpm.W_HR, _xlfn.SWITCH(H20,
        "Recession", Dashboard!$Q$5,
        "Normal",    Dashboard!$Q$9,
        "Boom",      Dashboard!$Q$13    ),
    _xlpm.W_SH, _xlfn.SWITCH(H20,
        "Recession", Dashboard!$Q$6,
        "Normal",    Dashboard!$Q$10,
        "Boom",      Dashboard!$Q$14    ),
    _xlpm.salary, C21,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I21 + _xlpm.W_HR * J21 + _xlpm.W_SH * K21,
    _xlpm.net_growth, (1 + _xlpm.return_rate) * (1 - 28%),
    _xlpm.prev_value, S20,
    _xlpm.result, (_xlpm.prev_value + _xlpm.ks_contrib) * _xlpm.net_growth,
    _xlpm.result
)</f>
        <v>44049.561633599682</v>
      </c>
      <c r="Y21" s="113" cm="1">
        <f t="array" aca="1" ref="Y21" ca="1">_xlfn.LET(
    _xlpm.KS_rate, Dashboard!$Q$2 + 3%,
    _xlpm.ESCT_rate, 3%,
    _xlpm.W_HS, _xlfn.SWITCH(H21,
        "Recession", Dashboard!$Q$4,
        "Normal",    Dashboard!$Q$8,
        "Boom",      Dashboard!$Q$12    ),
    _xlpm.W_HR, _xlfn.SWITCH(H21,
        "Recession", Dashboard!$Q$5,
        "Normal",    Dashboard!$Q$9,
        "Boom",      Dashboard!$Q$13    ),
    _xlpm.W_SH, _xlfn.SWITCH(H21,
        "Recession", Dashboard!$Q$6,
        "Normal",    Dashboard!$Q$10,
        "Boom",      Dashboard!$Q$14    ),
    _xlpm.salary, C21,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I21 + _xlpm.W_HR * J21 + _xlpm.W_SH * K21,
    _xlpm.net_growth, (1 + _xlpm.return_rate) * (1 - 28%),
    _xlpm.prev_value, IF(ROW()=2, 0, X20),
    _xlpm.base, IF(ROW()=2, _xlpm.ks_contrib, _xlpm.prev_value + _xlpm.ks_contrib),
    _xlpm.current_value, _xlpm.base * _xlpm.net_growth,
    _xlpm.real_value, _xlpm.current_value * Q21,
    _xlpm.real_value
)</f>
        <v>28756.134216541599</v>
      </c>
      <c r="Z21" s="1">
        <v>124077.81581933516</v>
      </c>
    </row>
    <row r="22" spans="1:26">
      <c r="A22" s="1">
        <v>50</v>
      </c>
      <c r="B22" s="6">
        <f ca="1">VLOOKUP(t4_salaryGrowthevent!J22,t4_salaryGrowthevent!J:J,1,FALSE)</f>
        <v>1.4872701005434412E-2</v>
      </c>
      <c r="C22" s="23">
        <f ca="1">VLOOKUP(t4_salaryGrowthevent!B22,t4_salaryGrowthevent!B:B,1,FALSE)</f>
        <v>128500.77780155174</v>
      </c>
      <c r="D22" s="23" cm="1">
        <f t="array" aca="1" ref="D22" ca="1">_xlfn.LET(
  _xlpm.taxable, C22,
  _xlpm.kiwisaver,C22*0.03,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C22 * 0.0167,
  _xlpm.taxable - _xlpm.incomeTax - _xlpm.acc - _xlpm.kiwisaver
)</f>
        <v>90217.034803707211</v>
      </c>
      <c r="E22" s="23">
        <f t="shared" ca="1" si="0"/>
        <v>7710.046668093104</v>
      </c>
      <c r="F22" s="23" cm="1">
        <f t="array" aca="1" ref="F22" ca="1" xml:space="preserve"> C22 * 3% * _xlfn.IFS(
   C22 + C22 * 3% &lt;= 18720, 10.5%,
   C22 + C22 * 3% &lt;= 64200, 17.5%,
   C22 + C22 * 3% &lt;= 93720, 30%,
   C22 + C22 * 3% &lt;= 216000, 33%,
   C22 + C22 * 3% &gt; 216000, 39%
)</f>
        <v>1272.1577002353622</v>
      </c>
      <c r="G22" s="23">
        <f t="shared" ca="1" si="1"/>
        <v>6959.3189678577419</v>
      </c>
      <c r="H22" s="23" t="str" cm="1">
        <f t="array" aca="1" ref="H22" ca="1">_xlfn.IFS(
  H21="Boom", CHOOSE(MATCH(RAND(), {0,0.67,1}, 1), "Normal", "Recession"),
  H21="Normal", CHOOSE(MATCH(RAND(), {0,0.18,0.82,1}, 1), "Boom", "Normal", "Recession"),
  H21="Recession", CHOOSE(MATCH(RAND(), {0,0.17,0.34,1}, 1), "Boom", "Normal", "Recession")
)</f>
        <v>Normal</v>
      </c>
      <c r="I22" s="1" cm="1">
        <f t="array" aca="1" ref="I22" ca="1">_xlfn.LET(
  _xlpm.ε, (_xlfn.BETA.INV(RAND(), 5, 5) - 0.5) * 2,
  _xlpm.Scenario,H22,
  _xlpm.pre_scenario,H21,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_xlpm.ρ*(I21-_xlpm.μ_prev) + _xlpm.σ * _xlpm.ε
)</f>
        <v>5.2641368677492612E-2</v>
      </c>
      <c r="J22" s="1" cm="1">
        <f t="array" aca="1" ref="J22" ca="1">_xlfn.LET(
  _xlpm.ε, (_xlfn.BETA.INV(RAND(), 5, 5) - 0.5) * 2,
  _xlpm.Scenario,H22,
  _xlpm.pre_scenario,H21,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_xlpm.ρ*(MAX(J21, -0.05)-_xlpm.μ_prev) + _xlpm.σ * _xlpm.ε
)</f>
        <v>7.2184264101510243E-2</v>
      </c>
      <c r="K22" s="1" cm="1">
        <f t="array" aca="1" ref="K22" ca="1">_xlfn.LET(
  _xlpm.ε, (_xlfn.BETA.INV(RAND(), 5, 5) - 0.5) * 2,
  _xlpm.Scenario,H22,
  _xlpm.pre_scenario,H21,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_xlpm.ρ*(MAX(K21, -0.07)-_xlpm.μ_prev) + _xlpm.σ * _xlpm.ε
)</f>
        <v>8.9444421732352786E-2</v>
      </c>
      <c r="L22" s="1">
        <f t="shared" ca="1" si="2"/>
        <v>6.9545153221155953E-2</v>
      </c>
      <c r="M22" s="23">
        <f t="shared" ca="1" si="5"/>
        <v>20176.425591552637</v>
      </c>
      <c r="N22" s="23">
        <f t="shared" ca="1" si="3"/>
        <v>13385.900554044496</v>
      </c>
      <c r="O22" s="23">
        <f t="shared" ca="1" si="4"/>
        <v>73239.726033856088</v>
      </c>
      <c r="P22" s="1" cm="1">
        <f t="array" aca="1" ref="P22" ca="1">_xlfn.LET(
  _xlpm.state, H22,
  _xlpm.last, P21,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MAX(0,_xlfn.IFS(A21=49,-_xlfn.NORM.INV(RAND(), 0.01, 0.005), A21=57,ABS(_xlfn.NORM.INV(RAND(), 0.02, 0.01)),TRUE,0))
)</f>
        <v>1.5776387606116996E-2</v>
      </c>
      <c r="Q22" s="1">
        <f t="shared" ca="1" si="6"/>
        <v>0.66344261491236767</v>
      </c>
      <c r="S22" s="113" cm="1">
        <f t="array" aca="1" ref="S22" ca="1">_xlfn.LET(
    _xlpm.KS_rate, $V$2 + 3%,
    _xlpm.ESCT_rate, 3%,
    _xlpm.W_HS, $V$3,
    _xlpm.W_HR, $V$4,
    _xlpm.W_SH, $V$5,
    _xlpm.salary, C22,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I22 + _xlpm.W_HR * J22 + _xlpm.W_SH * K22,
    _xlpm.net_growth, (1 + _xlpm.return_rate) * (1 - 28%),
    _xlpm.prev_value, S21,
    _xlpm.result, (_xlpm.prev_value + _xlpm.ks_contrib) * _xlpm.net_growth,
    _xlpm.result
)</f>
        <v>46123.284541473076</v>
      </c>
      <c r="T22" s="113" cm="1">
        <f t="array" aca="1" ref="T22" ca="1">_xlfn.LET(
    _xlpm.KS_rate, $V$2 + 3%,
    _xlpm.ESCT_rate, 3%,
    _xlpm.W_HS, $V$3,
    _xlpm.W_HR, $V$4,
    _xlpm.W_SH, $V$5,
    _xlpm.salary, C22,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I22 + _xlpm.W_HR * J22 + _xlpm.W_SH * K22,
    _xlpm.net_growth, (1 + _xlpm.return_rate) * (1 - 28%),
    _xlpm.prev_value, IF(ROW()=2, 0, S21),
    _xlpm.base, IF(ROW()=2,
        _xlpm.ks_contrib,
        _xlpm.prev_value + _xlpm.ks_contrib
    ),
    _xlpm.current_value, _xlpm.base * _xlpm.net_growth,
    _xlpm.real_value, _xlpm.current_value * Q22,
    _xlpm.real_value
)</f>
        <v>30600.152504542082</v>
      </c>
      <c r="X22" s="113" cm="1">
        <f t="array" aca="1" ref="X22" ca="1">_xlfn.LET(
   _xlpm.KS_rate, Dashboard!$Q$2 + 3%,
    _xlpm.ESCT_rate, 3%,
    _xlpm.W_HS, _xlfn.SWITCH(H21,
        "Recession", Dashboard!$Q$4,
        "Normal",    Dashboard!$Q$8,
        "Boom",      Dashboard!$Q$12    ),
    _xlpm.W_HR, _xlfn.SWITCH(H21,
        "Recession", Dashboard!$Q$5,
        "Normal",    Dashboard!$Q$9,
        "Boom",      Dashboard!$Q$13    ),
    _xlpm.W_SH, _xlfn.SWITCH(H21,
        "Recession", Dashboard!$Q$6,
        "Normal",    Dashboard!$Q$10,
        "Boom",      Dashboard!$Q$14    ),
    _xlpm.salary, C22,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I22 + _xlpm.W_HR * J22 + _xlpm.W_SH * K22,
    _xlpm.net_growth, (1 + _xlpm.return_rate) * (1 - 28%),
    _xlpm.prev_value, S21,
    _xlpm.result, (_xlpm.prev_value + _xlpm.ks_contrib) * _xlpm.net_growth,
    _xlpm.result
)</f>
        <v>45394.322269999982</v>
      </c>
      <c r="Y22" s="113" cm="1">
        <f t="array" aca="1" ref="Y22" ca="1">_xlfn.LET(
    _xlpm.KS_rate, Dashboard!$Q$2 + 3%,
    _xlpm.ESCT_rate, 3%,
    _xlpm.W_HS, _xlfn.SWITCH(H22,
        "Recession", Dashboard!$Q$4,
        "Normal",    Dashboard!$Q$8,
        "Boom",      Dashboard!$Q$12    ),
    _xlpm.W_HR, _xlfn.SWITCH(H22,
        "Recession", Dashboard!$Q$5,
        "Normal",    Dashboard!$Q$9,
        "Boom",      Dashboard!$Q$13    ),
    _xlpm.W_SH, _xlfn.SWITCH(H22,
        "Recession", Dashboard!$Q$6,
        "Normal",    Dashboard!$Q$10,
        "Boom",      Dashboard!$Q$14    ),
    _xlpm.salary, C22,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I22 + _xlpm.W_HR * J22 + _xlpm.W_SH * K22,
    _xlpm.net_growth, (1 + _xlpm.return_rate) * (1 - 28%),
    _xlpm.prev_value, IF(ROW()=2, 0, X21),
    _xlpm.base, IF(ROW()=2, _xlpm.ks_contrib, _xlpm.prev_value + _xlpm.ks_contrib),
    _xlpm.current_value, _xlpm.base * _xlpm.net_growth,
    _xlpm.real_value, _xlpm.current_value * Q22,
    _xlpm.real_value
)</f>
        <v>30978.949890578551</v>
      </c>
      <c r="Z22" s="1">
        <v>125831.52344275301</v>
      </c>
    </row>
    <row r="23" spans="1:26">
      <c r="A23" s="1">
        <v>51</v>
      </c>
      <c r="B23" s="6">
        <f ca="1">VLOOKUP(t4_salaryGrowthevent!J23,t4_salaryGrowthevent!J:J,1,FALSE)</f>
        <v>1.8231354693697726E-2</v>
      </c>
      <c r="C23" s="23">
        <f ca="1">VLOOKUP(t4_salaryGrowthevent!B23,t4_salaryGrowthevent!B:B,1,FALSE)</f>
        <v>130843.52106006785</v>
      </c>
      <c r="D23" s="23" cm="1">
        <f t="array" aca="1" ref="D23" ca="1">_xlfn.LET(
  _xlpm.taxable, C23,
  _xlpm.kiwisaver,C23*0.03,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C23 * 0.0167,
  _xlpm.taxable - _xlpm.incomeTax - _xlpm.acc - _xlpm.kiwisaver
)</f>
        <v>91677.266676740299</v>
      </c>
      <c r="E23" s="23">
        <f t="shared" ca="1" si="0"/>
        <v>7850.6112636040707</v>
      </c>
      <c r="F23" s="23" cm="1">
        <f t="array" aca="1" ref="F23" ca="1" xml:space="preserve"> C23 * 3% * _xlfn.IFS(
   C23 + C23 * 3% &lt;= 18720, 10.5%,
   C23 + C23 * 3% &lt;= 64200, 17.5%,
   C23 + C23 * 3% &lt;= 93720, 30%,
   C23 + C23 * 3% &lt;= 216000, 33%,
   C23 + C23 * 3% &gt; 216000, 39%
)</f>
        <v>1295.3508584946717</v>
      </c>
      <c r="G23" s="23">
        <f t="shared" ca="1" si="1"/>
        <v>7076.6904051093989</v>
      </c>
      <c r="H23" s="23" t="str" cm="1">
        <f t="array" aca="1" ref="H23" ca="1">_xlfn.IFS(
  H22="Boom", CHOOSE(MATCH(RAND(), {0,0.67,1}, 1), "Normal", "Recession"),
  H22="Normal", CHOOSE(MATCH(RAND(), {0,0.18,0.82,1}, 1), "Boom", "Normal", "Recession"),
  H22="Recession", CHOOSE(MATCH(RAND(), {0,0.17,0.34,1}, 1), "Boom", "Normal", "Recession")
)</f>
        <v>Normal</v>
      </c>
      <c r="I23" s="1" cm="1">
        <f t="array" aca="1" ref="I23" ca="1">_xlfn.LET(
  _xlpm.ε, (_xlfn.BETA.INV(RAND(), 5, 5) - 0.5) * 2,
  _xlpm.Scenario,H23,
  _xlpm.pre_scenario,H22,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_xlpm.ρ*(I22-_xlpm.μ_prev) + _xlpm.σ * _xlpm.ε
)</f>
        <v>7.2966799157572843E-2</v>
      </c>
      <c r="J23" s="1" cm="1">
        <f t="array" aca="1" ref="J23" ca="1">_xlfn.LET(
  _xlpm.ε, (_xlfn.BETA.INV(RAND(), 5, 5) - 0.5) * 2,
  _xlpm.Scenario,H23,
  _xlpm.pre_scenario,H22,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_xlpm.ρ*(MAX(J22, -0.05)-_xlpm.μ_prev) + _xlpm.σ * _xlpm.ε
)</f>
        <v>8.177567328652266E-2</v>
      </c>
      <c r="K23" s="1" cm="1">
        <f t="array" aca="1" ref="K23" ca="1">_xlfn.LET(
  _xlpm.ε, (_xlfn.BETA.INV(RAND(), 5, 5) - 0.5) * 2,
  _xlpm.Scenario,H23,
  _xlpm.pre_scenario,H22,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_xlpm.ρ*(MAX(K22, -0.07)-_xlpm.μ_prev) + _xlpm.σ * _xlpm.ε
)</f>
        <v>2.5705156205168764E-2</v>
      </c>
      <c r="L23" s="1">
        <f t="shared" ca="1" si="2"/>
        <v>6.1430968510536567E-2</v>
      </c>
      <c r="M23" s="23">
        <f t="shared" ca="1" si="5"/>
        <v>20827.656941232228</v>
      </c>
      <c r="N23" s="23">
        <f t="shared" ca="1" si="3"/>
        <v>13493.773898724005</v>
      </c>
      <c r="O23" s="23">
        <f t="shared" ca="1" si="4"/>
        <v>72889.428036849495</v>
      </c>
      <c r="P23" s="1" cm="1">
        <f t="array" aca="1" ref="P23" ca="1">_xlfn.LET(
  _xlpm.state, H23,
  _xlpm.last, P22,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MAX(0,_xlfn.IFS(A22=49,-_xlfn.NORM.INV(RAND(), 0.01, 0.005), A22=57,ABS(_xlfn.NORM.INV(RAND(), 0.02, 0.01)),TRUE,0))
)</f>
        <v>2.4024508436108205E-2</v>
      </c>
      <c r="Q23" s="1">
        <f t="shared" ca="1" si="6"/>
        <v>0.64787767230842774</v>
      </c>
      <c r="S23" s="113" cm="1">
        <f t="array" aca="1" ref="S23" ca="1">_xlfn.LET(
    _xlpm.KS_rate, $V$2 + 3%,
    _xlpm.ESCT_rate, 3%,
    _xlpm.W_HS, $V$3,
    _xlpm.W_HR, $V$4,
    _xlpm.W_SH, $V$5,
    _xlpm.salary, C23,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I23 + _xlpm.W_HR * J23 + _xlpm.W_SH * K23,
    _xlpm.net_growth, (1 + _xlpm.return_rate) * (1 - 28%),
    _xlpm.prev_value, S22,
    _xlpm.result, (_xlpm.prev_value + _xlpm.ks_contrib) * _xlpm.net_growth,
    _xlpm.result
)</f>
        <v>47656.653481465546</v>
      </c>
      <c r="T23" s="113" cm="1">
        <f t="array" aca="1" ref="T23" ca="1">_xlfn.LET(
    _xlpm.KS_rate, $V$2 + 3%,
    _xlpm.ESCT_rate, 3%,
    _xlpm.W_HS, $V$3,
    _xlpm.W_HR, $V$4,
    _xlpm.W_SH, $V$5,
    _xlpm.salary, C23,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I23 + _xlpm.W_HR * J23 + _xlpm.W_SH * K23,
    _xlpm.net_growth, (1 + _xlpm.return_rate) * (1 - 28%),
    _xlpm.prev_value, IF(ROW()=2, 0, S22),
    _xlpm.base, IF(ROW()=2,
        _xlpm.ks_contrib,
        _xlpm.prev_value + _xlpm.ks_contrib
    ),
    _xlpm.current_value, _xlpm.base * _xlpm.net_growth,
    _xlpm.real_value, _xlpm.current_value * Q23,
    _xlpm.real_value
)</f>
        <v>30875.681727581228</v>
      </c>
      <c r="X23" s="113" cm="1">
        <f t="array" aca="1" ref="X23" ca="1">_xlfn.LET(
   _xlpm.KS_rate, Dashboard!$Q$2 + 3%,
    _xlpm.ESCT_rate, 3%,
    _xlpm.W_HS, _xlfn.SWITCH(H22,
        "Recession", Dashboard!$Q$4,
        "Normal",    Dashboard!$Q$8,
        "Boom",      Dashboard!$Q$12    ),
    _xlpm.W_HR, _xlfn.SWITCH(H22,
        "Recession", Dashboard!$Q$5,
        "Normal",    Dashboard!$Q$9,
        "Boom",      Dashboard!$Q$13    ),
    _xlpm.W_SH, _xlfn.SWITCH(H22,
        "Recession", Dashboard!$Q$6,
        "Normal",    Dashboard!$Q$10,
        "Boom",      Dashboard!$Q$14    ),
    _xlpm.salary, C23,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I23 + _xlpm.W_HR * J23 + _xlpm.W_SH * K23,
    _xlpm.net_growth, (1 + _xlpm.return_rate) * (1 - 28%),
    _xlpm.prev_value, S22,
    _xlpm.result, (_xlpm.prev_value + _xlpm.ks_contrib) * _xlpm.net_growth,
    _xlpm.result
)</f>
        <v>47311.359188461494</v>
      </c>
      <c r="Y23" s="113" cm="1">
        <f t="array" aca="1" ref="Y23" ca="1">_xlfn.LET(
    _xlpm.KS_rate, Dashboard!$Q$2 + 3%,
    _xlpm.ESCT_rate, 3%,
    _xlpm.W_HS, _xlfn.SWITCH(H23,
        "Recession", Dashboard!$Q$4,
        "Normal",    Dashboard!$Q$8,
        "Boom",      Dashboard!$Q$12    ),
    _xlpm.W_HR, _xlfn.SWITCH(H23,
        "Recession", Dashboard!$Q$5,
        "Normal",    Dashboard!$Q$9,
        "Boom",      Dashboard!$Q$13    ),
    _xlpm.W_SH, _xlfn.SWITCH(H23,
        "Recession", Dashboard!$Q$6,
        "Normal",    Dashboard!$Q$10,
        "Boom",      Dashboard!$Q$14    ),
    _xlpm.salary, C23,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I23 + _xlpm.W_HR * J23 + _xlpm.W_SH * K23,
    _xlpm.net_growth, (1 + _xlpm.return_rate) * (1 - 28%),
    _xlpm.prev_value, IF(ROW()=2, 0, X22),
    _xlpm.base, IF(ROW()=2, _xlpm.ks_contrib, _xlpm.prev_value + _xlpm.ks_contrib),
    _xlpm.current_value, _xlpm.base * _xlpm.net_growth,
    _xlpm.real_value, _xlpm.current_value * Q23,
    _xlpm.real_value
)</f>
        <v>30293.658917507477</v>
      </c>
      <c r="Z23" s="1">
        <v>127610.01785346337</v>
      </c>
    </row>
    <row r="24" spans="1:26">
      <c r="A24" s="1">
        <v>52</v>
      </c>
      <c r="B24" s="6">
        <f ca="1">VLOOKUP(t4_salaryGrowthevent!J24,t4_salaryGrowthevent!J:J,1,FALSE)</f>
        <v>8.0000012083125058E-3</v>
      </c>
      <c r="C24" s="23">
        <f ca="1">VLOOKUP(t4_salaryGrowthevent!B24,t4_salaryGrowthevent!B:B,1,FALSE)</f>
        <v>131890.26938664826</v>
      </c>
      <c r="D24" s="23" cm="1">
        <f t="array" aca="1" ref="D24" ca="1">_xlfn.LET(
  _xlpm.taxable, C24,
  _xlpm.kiwisaver,C24*0.03,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C24 * 0.0167,
  _xlpm.taxable - _xlpm.incomeTax - _xlpm.acc - _xlpm.kiwisaver
)</f>
        <v>92329.704908697866</v>
      </c>
      <c r="E24" s="23">
        <f t="shared" ca="1" si="0"/>
        <v>7913.4161631988954</v>
      </c>
      <c r="F24" s="23" cm="1">
        <f t="array" aca="1" ref="F24" ca="1" xml:space="preserve"> C24 * 3% * _xlfn.IFS(
   C24 + C24 * 3% &lt;= 18720, 10.5%,
   C24 + C24 * 3% &lt;= 64200, 17.5%,
   C24 + C24 * 3% &lt;= 93720, 30%,
   C24 + C24 * 3% &lt;= 216000, 33%,
   C24 + C24 * 3% &gt; 216000, 39%
)</f>
        <v>1305.7136669278177</v>
      </c>
      <c r="G24" s="23">
        <f t="shared" ca="1" si="1"/>
        <v>7129.1324962710778</v>
      </c>
      <c r="H24" s="23" t="str" cm="1">
        <f t="array" aca="1" ref="H24" ca="1">_xlfn.IFS(
  H23="Boom", CHOOSE(MATCH(RAND(), {0,0.67,1}, 1), "Normal", "Recession"),
  H23="Normal", CHOOSE(MATCH(RAND(), {0,0.18,0.82,1}, 1), "Boom", "Normal", "Recession"),
  H23="Recession", CHOOSE(MATCH(RAND(), {0,0.17,0.34,1}, 1), "Boom", "Normal", "Recession")
)</f>
        <v>Normal</v>
      </c>
      <c r="I24" s="1" cm="1">
        <f t="array" aca="1" ref="I24" ca="1">_xlfn.LET(
  _xlpm.ε, (_xlfn.BETA.INV(RAND(), 5, 5) - 0.5) * 2,
  _xlpm.Scenario,H24,
  _xlpm.pre_scenario,H23,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_xlpm.ρ*(I23-_xlpm.μ_prev) + _xlpm.σ * _xlpm.ε
)</f>
        <v>5.6052793485815128E-2</v>
      </c>
      <c r="J24" s="1" cm="1">
        <f t="array" aca="1" ref="J24" ca="1">_xlfn.LET(
  _xlpm.ε, (_xlfn.BETA.INV(RAND(), 5, 5) - 0.5) * 2,
  _xlpm.Scenario,H24,
  _xlpm.pre_scenario,H23,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_xlpm.ρ*(MAX(J23, -0.05)-_xlpm.μ_prev) + _xlpm.σ * _xlpm.ε
)</f>
        <v>5.6191125245648912E-2</v>
      </c>
      <c r="K24" s="1" cm="1">
        <f t="array" aca="1" ref="K24" ca="1">_xlfn.LET(
  _xlpm.ε, (_xlfn.BETA.INV(RAND(), 5, 5) - 0.5) * 2,
  _xlpm.Scenario,H24,
  _xlpm.pre_scenario,H23,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_xlpm.ρ*(MAX(K23, -0.07)-_xlpm.μ_prev) + _xlpm.σ * _xlpm.ε
)</f>
        <v>0.14127218885141773</v>
      </c>
      <c r="L24" s="1">
        <f t="shared" ca="1" si="2"/>
        <v>8.1660111623446052E-2</v>
      </c>
      <c r="M24" s="23">
        <f t="shared" ca="1" si="5"/>
        <v>21772.615668194165</v>
      </c>
      <c r="N24" s="23">
        <f t="shared" ca="1" si="3"/>
        <v>13887.367911032818</v>
      </c>
      <c r="O24" s="23">
        <f t="shared" ca="1" si="4"/>
        <v>72778.619229874836</v>
      </c>
      <c r="P24" s="1" cm="1">
        <f t="array" aca="1" ref="P24" ca="1">_xlfn.LET(
  _xlpm.state, H24,
  _xlpm.last, P23,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MAX(0,_xlfn.IFS(A23=49,-_xlfn.NORM.INV(RAND(), 0.01, 0.005), A23=57,ABS(_xlfn.NORM.INV(RAND(), 0.02, 0.01)),TRUE,0))
)</f>
        <v>1.5742626647713233E-2</v>
      </c>
      <c r="Q24" s="1">
        <f t="shared" ca="1" si="6"/>
        <v>0.63783645119496313</v>
      </c>
      <c r="S24" s="113" cm="1">
        <f t="array" aca="1" ref="S24" ca="1">_xlfn.LET(
    _xlpm.KS_rate, $V$2 + 3%,
    _xlpm.ESCT_rate, 3%,
    _xlpm.W_HS, $V$3,
    _xlpm.W_HR, $V$4,
    _xlpm.W_SH, $V$5,
    _xlpm.salary, C24,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I24 + _xlpm.W_HR * J24 + _xlpm.W_SH * K24,
    _xlpm.net_growth, (1 + _xlpm.return_rate) * (1 - 28%),
    _xlpm.prev_value, S23,
    _xlpm.result, (_xlpm.prev_value + _xlpm.ks_contrib) * _xlpm.net_growth,
    _xlpm.result
)</f>
        <v>49856.997903504052</v>
      </c>
      <c r="T24" s="113" cm="1">
        <f t="array" aca="1" ref="T24" ca="1">_xlfn.LET(
    _xlpm.KS_rate, $V$2 + 3%,
    _xlpm.ESCT_rate, 3%,
    _xlpm.W_HS, $V$3,
    _xlpm.W_HR, $V$4,
    _xlpm.W_SH, $V$5,
    _xlpm.salary, C24,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I24 + _xlpm.W_HR * J24 + _xlpm.W_SH * K24,
    _xlpm.net_growth, (1 + _xlpm.return_rate) * (1 - 28%),
    _xlpm.prev_value, IF(ROW()=2, 0, S23),
    _xlpm.base, IF(ROW()=2,
        _xlpm.ks_contrib,
        _xlpm.prev_value + _xlpm.ks_contrib
    ),
    _xlpm.current_value, _xlpm.base * _xlpm.net_growth,
    _xlpm.real_value, _xlpm.current_value * Q24,
    _xlpm.real_value
)</f>
        <v>31800.61061000574</v>
      </c>
      <c r="X24" s="113" cm="1">
        <f t="array" aca="1" ref="X24" ca="1">_xlfn.LET(
   _xlpm.KS_rate, Dashboard!$Q$2 + 3%,
    _xlpm.ESCT_rate, 3%,
    _xlpm.W_HS, _xlfn.SWITCH(H23,
        "Recession", Dashboard!$Q$4,
        "Normal",    Dashboard!$Q$8,
        "Boom",      Dashboard!$Q$12    ),
    _xlpm.W_HR, _xlfn.SWITCH(H23,
        "Recession", Dashboard!$Q$5,
        "Normal",    Dashboard!$Q$9,
        "Boom",      Dashboard!$Q$13    ),
    _xlpm.W_SH, _xlfn.SWITCH(H23,
        "Recession", Dashboard!$Q$6,
        "Normal",    Dashboard!$Q$10,
        "Boom",      Dashboard!$Q$14    ),
    _xlpm.salary, C24,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I24 + _xlpm.W_HR * J24 + _xlpm.W_SH * K24,
    _xlpm.net_growth, (1 + _xlpm.return_rate) * (1 - 28%),
    _xlpm.prev_value, S23,
    _xlpm.result, (_xlpm.prev_value + _xlpm.ks_contrib) * _xlpm.net_growth,
    _xlpm.result
)</f>
        <v>50643.877252499078</v>
      </c>
      <c r="Y24" s="113" cm="1">
        <f t="array" aca="1" ref="Y24" ca="1">_xlfn.LET(
    _xlpm.KS_rate, Dashboard!$Q$2 + 3%,
    _xlpm.ESCT_rate, 3%,
    _xlpm.W_HS, _xlfn.SWITCH(H24,
        "Recession", Dashboard!$Q$4,
        "Normal",    Dashboard!$Q$8,
        "Boom",      Dashboard!$Q$12    ),
    _xlpm.W_HR, _xlfn.SWITCH(H24,
        "Recession", Dashboard!$Q$5,
        "Normal",    Dashboard!$Q$9,
        "Boom",      Dashboard!$Q$13    ),
    _xlpm.W_SH, _xlfn.SWITCH(H24,
        "Recession", Dashboard!$Q$6,
        "Normal",    Dashboard!$Q$10,
        "Boom",      Dashboard!$Q$14    ),
    _xlpm.salary, C24,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I24 + _xlpm.W_HR * J24 + _xlpm.W_SH * K24,
    _xlpm.net_growth, (1 + _xlpm.return_rate) * (1 - 28%),
    _xlpm.prev_value, IF(ROW()=2, 0, X23),
    _xlpm.base, IF(ROW()=2, _xlpm.ks_contrib, _xlpm.prev_value + _xlpm.ks_contrib),
    _xlpm.current_value, _xlpm.base * _xlpm.net_growth,
    _xlpm.real_value, _xlpm.current_value * Q24,
    _xlpm.real_value
)</f>
        <v>32128.280968472998</v>
      </c>
      <c r="Z24" s="1">
        <v>127499.49911847273</v>
      </c>
    </row>
    <row r="25" spans="1:26">
      <c r="A25" s="1">
        <v>53</v>
      </c>
      <c r="B25" s="6">
        <f ca="1">VLOOKUP(t4_salaryGrowthevent!J25,t4_salaryGrowthevent!J:J,1,FALSE)</f>
        <v>1.922649683799833E-2</v>
      </c>
      <c r="C25" s="23">
        <f ca="1">VLOOKUP(t4_salaryGrowthevent!B25,t4_salaryGrowthevent!B:B,1,FALSE)</f>
        <v>134426.05723397338</v>
      </c>
      <c r="D25" s="23" cm="1">
        <f t="array" aca="1" ref="D25" ca="1">_xlfn.LET(
  _xlpm.taxable, C25,
  _xlpm.kiwisaver,C25*0.03,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C25 * 0.0167,
  _xlpm.taxable - _xlpm.incomeTax - _xlpm.acc - _xlpm.kiwisaver
)</f>
        <v>93910.261473935621</v>
      </c>
      <c r="E25" s="23">
        <f t="shared" ca="1" si="0"/>
        <v>8065.5634340384022</v>
      </c>
      <c r="F25" s="23" cm="1">
        <f t="array" aca="1" ref="F25" ca="1" xml:space="preserve"> C25 * 3% * _xlfn.IFS(
   C25 + C25 * 3% &lt;= 18720, 10.5%,
   C25 + C25 * 3% &lt;= 64200, 17.5%,
   C25 + C25 * 3% &lt;= 93720, 30%,
   C25 + C25 * 3% &lt;= 216000, 33%,
   C25 + C25 * 3% &gt; 216000, 39%
)</f>
        <v>1330.8179666163364</v>
      </c>
      <c r="G25" s="23">
        <f t="shared" ca="1" si="1"/>
        <v>7256.1754674220665</v>
      </c>
      <c r="H25" s="23" t="str" cm="1">
        <f t="array" aca="1" ref="H25" ca="1">_xlfn.IFS(
  H24="Boom", CHOOSE(MATCH(RAND(), {0,0.67,1}, 1), "Normal", "Recession"),
  H24="Normal", CHOOSE(MATCH(RAND(), {0,0.18,0.82,1}, 1), "Boom", "Normal", "Recession"),
  H24="Recession", CHOOSE(MATCH(RAND(), {0,0.17,0.34,1}, 1), "Boom", "Normal", "Recession")
)</f>
        <v>Normal</v>
      </c>
      <c r="I25" s="1" cm="1">
        <f t="array" aca="1" ref="I25" ca="1">_xlfn.LET(
  _xlpm.ε, (_xlfn.BETA.INV(RAND(), 5, 5) - 0.5) * 2,
  _xlpm.Scenario,H25,
  _xlpm.pre_scenario,H24,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_xlpm.ρ*(I24-_xlpm.μ_prev) + _xlpm.σ * _xlpm.ε
)</f>
        <v>4.1154486042443185E-2</v>
      </c>
      <c r="J25" s="1" cm="1">
        <f t="array" aca="1" ref="J25" ca="1">_xlfn.LET(
  _xlpm.ε, (_xlfn.BETA.INV(RAND(), 5, 5) - 0.5) * 2,
  _xlpm.Scenario,H25,
  _xlpm.pre_scenario,H24,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_xlpm.ρ*(MAX(J24, -0.05)-_xlpm.μ_prev) + _xlpm.σ * _xlpm.ε
)</f>
        <v>1.7011546522816202E-2</v>
      </c>
      <c r="K25" s="1" cm="1">
        <f t="array" aca="1" ref="K25" ca="1">_xlfn.LET(
  _xlpm.ε, (_xlfn.BETA.INV(RAND(), 5, 5) - 0.5) * 2,
  _xlpm.Scenario,H25,
  _xlpm.pre_scenario,H24,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_xlpm.ρ*(MAX(K24, -0.07)-_xlpm.μ_prev) + _xlpm.σ * _xlpm.ε
)</f>
        <v>0.21309419076393049</v>
      </c>
      <c r="L25" s="1">
        <f t="shared" ca="1" si="2"/>
        <v>8.549351560300128E-2</v>
      </c>
      <c r="M25" s="23">
        <f t="shared" ca="1" si="5"/>
        <v>22687.606471323812</v>
      </c>
      <c r="N25" s="23">
        <f t="shared" ca="1" si="3"/>
        <v>14160.912310706533</v>
      </c>
      <c r="O25" s="23">
        <f t="shared" ca="1" si="4"/>
        <v>72776.83459800492</v>
      </c>
      <c r="P25" s="1" cm="1">
        <f t="array" aca="1" ref="P25" ca="1">_xlfn.LET(
  _xlpm.state, H25,
  _xlpm.last, P24,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MAX(0,_xlfn.IFS(A24=49,-_xlfn.NORM.INV(RAND(), 0.01, 0.005), A24=57,ABS(_xlfn.NORM.INV(RAND(), 0.02, 0.01)),TRUE,0))
)</f>
        <v>2.1896194275286347E-2</v>
      </c>
      <c r="Q25" s="1">
        <f t="shared" ca="1" si="6"/>
        <v>0.62416951425022893</v>
      </c>
      <c r="S25" s="113" cm="1">
        <f t="array" aca="1" ref="S25" ca="1">_xlfn.LET(
    _xlpm.KS_rate, $V$2 + 3%,
    _xlpm.ESCT_rate, 3%,
    _xlpm.W_HS, $V$3,
    _xlpm.W_HR, $V$4,
    _xlpm.W_SH, $V$5,
    _xlpm.salary, C25,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I25 + _xlpm.W_HR * J25 + _xlpm.W_SH * K25,
    _xlpm.net_growth, (1 + _xlpm.return_rate) * (1 - 28%),
    _xlpm.prev_value, S24,
    _xlpm.result, (_xlpm.prev_value + _xlpm.ks_contrib) * _xlpm.net_growth,
    _xlpm.result
)</f>
        <v>51991.403249908246</v>
      </c>
      <c r="T25" s="113" cm="1">
        <f t="array" aca="1" ref="T25" ca="1">_xlfn.LET(
    _xlpm.KS_rate, $V$2 + 3%,
    _xlpm.ESCT_rate, 3%,
    _xlpm.W_HS, $V$3,
    _xlpm.W_HR, $V$4,
    _xlpm.W_SH, $V$5,
    _xlpm.salary, C25,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I25 + _xlpm.W_HR * J25 + _xlpm.W_SH * K25,
    _xlpm.net_growth, (1 + _xlpm.return_rate) * (1 - 28%),
    _xlpm.prev_value, IF(ROW()=2, 0, S24),
    _xlpm.base, IF(ROW()=2,
        _xlpm.ks_contrib,
        _xlpm.prev_value + _xlpm.ks_contrib
    ),
    _xlpm.current_value, _xlpm.base * _xlpm.net_growth,
    _xlpm.real_value, _xlpm.current_value * Q25,
    _xlpm.real_value
)</f>
        <v>32451.448911683005</v>
      </c>
      <c r="X25" s="113" cm="1">
        <f t="array" aca="1" ref="X25" ca="1">_xlfn.LET(
   _xlpm.KS_rate, Dashboard!$Q$2 + 3%,
    _xlpm.ESCT_rate, 3%,
    _xlpm.W_HS, _xlfn.SWITCH(H24,
        "Recession", Dashboard!$Q$4,
        "Normal",    Dashboard!$Q$8,
        "Boom",      Dashboard!$Q$12    ),
    _xlpm.W_HR, _xlfn.SWITCH(H24,
        "Recession", Dashboard!$Q$5,
        "Normal",    Dashboard!$Q$9,
        "Boom",      Dashboard!$Q$13    ),
    _xlpm.W_SH, _xlfn.SWITCH(H24,
        "Recession", Dashboard!$Q$6,
        "Normal",    Dashboard!$Q$10,
        "Boom",      Dashboard!$Q$14    ),
    _xlpm.salary, C25,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I25 + _xlpm.W_HR * J25 + _xlpm.W_SH * K25,
    _xlpm.net_growth, (1 + _xlpm.return_rate) * (1 - 28%),
    _xlpm.prev_value, S24,
    _xlpm.result, (_xlpm.prev_value + _xlpm.ks_contrib) * _xlpm.net_growth,
    _xlpm.result
)</f>
        <v>53407.19452054947</v>
      </c>
      <c r="Y25" s="113" cm="1">
        <f t="array" aca="1" ref="Y25" ca="1">_xlfn.LET(
    _xlpm.KS_rate, Dashboard!$Q$2 + 3%,
    _xlpm.ESCT_rate, 3%,
    _xlpm.W_HS, _xlfn.SWITCH(H25,
        "Recession", Dashboard!$Q$4,
        "Normal",    Dashboard!$Q$8,
        "Boom",      Dashboard!$Q$12    ),
    _xlpm.W_HR, _xlfn.SWITCH(H25,
        "Recession", Dashboard!$Q$5,
        "Normal",    Dashboard!$Q$9,
        "Boom",      Dashboard!$Q$13    ),
    _xlpm.W_SH, _xlfn.SWITCH(H25,
        "Recession", Dashboard!$Q$6,
        "Normal",    Dashboard!$Q$10,
        "Boom",      Dashboard!$Q$14    ),
    _xlpm.salary, C25,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I25 + _xlpm.W_HR * J25 + _xlpm.W_SH * K25,
    _xlpm.net_growth, (1 + _xlpm.return_rate) * (1 - 28%),
    _xlpm.prev_value, IF(ROW()=2, 0, X24),
    _xlpm.base, IF(ROW()=2, _xlpm.ks_contrib, _xlpm.prev_value + _xlpm.ks_contrib),
    _xlpm.current_value, _xlpm.base * _xlpm.net_growth,
    _xlpm.real_value, _xlpm.current_value * Q25,
    _xlpm.real_value
)</f>
        <v>33729.453446954562</v>
      </c>
      <c r="Z25" s="1">
        <v>129569.00636076476</v>
      </c>
    </row>
    <row r="26" spans="1:26">
      <c r="A26" s="1">
        <v>54</v>
      </c>
      <c r="B26" s="6">
        <f ca="1">VLOOKUP(t4_salaryGrowthevent!J26,t4_salaryGrowthevent!J:J,1,FALSE)</f>
        <v>-5.866066292048961E-3</v>
      </c>
      <c r="C26" s="23">
        <f ca="1">VLOOKUP(t4_salaryGrowthevent!B26,t4_salaryGrowthevent!B:B,1,FALSE)</f>
        <v>133637.50507086012</v>
      </c>
      <c r="D26" s="23" cm="1">
        <f t="array" aca="1" ref="D26" ca="1">_xlfn.LET(
  _xlpm.taxable, C26,
  _xlpm.kiwisaver,C26*0.03,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C26 * 0.0167,
  _xlpm.taxable - _xlpm.incomeTax - _xlpm.acc - _xlpm.kiwisaver
)</f>
        <v>93418.7569106671</v>
      </c>
      <c r="E26" s="23">
        <f t="shared" ca="1" si="0"/>
        <v>8018.2503042516073</v>
      </c>
      <c r="F26" s="23" cm="1">
        <f t="array" aca="1" ref="F26" ca="1" xml:space="preserve"> C26 * 3% * _xlfn.IFS(
   C26 + C26 * 3% &lt;= 18720, 10.5%,
   C26 + C26 * 3% &lt;= 64200, 17.5%,
   C26 + C26 * 3% &lt;= 93720, 30%,
   C26 + C26 * 3% &lt;= 216000, 33%,
   C26 + C26 * 3% &gt; 216000, 39%
)</f>
        <v>1323.0113002015153</v>
      </c>
      <c r="G26" s="23">
        <f t="shared" ca="1" si="1"/>
        <v>7216.6690040500926</v>
      </c>
      <c r="H26" s="23" t="str" cm="1">
        <f t="array" aca="1" ref="H26" ca="1">_xlfn.IFS(
  H25="Boom", CHOOSE(MATCH(RAND(), {0,0.67,1}, 1), "Normal", "Recession"),
  H25="Normal", CHOOSE(MATCH(RAND(), {0,0.18,0.82,1}, 1), "Boom", "Normal", "Recession"),
  H25="Recession", CHOOSE(MATCH(RAND(), {0,0.17,0.34,1}, 1), "Boom", "Normal", "Recession")
)</f>
        <v>Boom</v>
      </c>
      <c r="I26" s="1" cm="1">
        <f t="array" aca="1" ref="I26" ca="1">_xlfn.LET(
  _xlpm.ε, (_xlfn.BETA.INV(RAND(), 5, 5) - 0.5) * 2,
  _xlpm.Scenario,H26,
  _xlpm.pre_scenario,H25,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_xlpm.ρ*(I25-_xlpm.μ_prev) + _xlpm.σ * _xlpm.ε
)</f>
        <v>2.9441963948003753E-2</v>
      </c>
      <c r="J26" s="1" cm="1">
        <f t="array" aca="1" ref="J26" ca="1">_xlfn.LET(
  _xlpm.ε, (_xlfn.BETA.INV(RAND(), 5, 5) - 0.5) * 2,
  _xlpm.Scenario,H26,
  _xlpm.pre_scenario,H25,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_xlpm.ρ*(MAX(J25, -0.05)-_xlpm.μ_prev) + _xlpm.σ * _xlpm.ε
)</f>
        <v>-0.22890749531005183</v>
      </c>
      <c r="K26" s="1" cm="1">
        <f t="array" aca="1" ref="K26" ca="1">_xlfn.LET(
  _xlpm.ε, (_xlfn.BETA.INV(RAND(), 5, 5) - 0.5) * 2,
  _xlpm.Scenario,H26,
  _xlpm.pre_scenario,H25,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_xlpm.ρ*(MAX(K25, -0.07)-_xlpm.μ_prev) + _xlpm.σ * _xlpm.ε
)</f>
        <v>0.30815352637938137</v>
      </c>
      <c r="L26" s="1">
        <f t="shared" ca="1" si="2"/>
        <v>3.5550594900000371E-2</v>
      </c>
      <c r="M26" s="23">
        <f t="shared" ca="1" si="5"/>
        <v>22296.520986175394</v>
      </c>
      <c r="N26" s="23">
        <f t="shared" ca="1" si="3"/>
        <v>13647.633972479343</v>
      </c>
      <c r="O26" s="23">
        <f t="shared" ca="1" si="4"/>
        <v>70828.976356401894</v>
      </c>
      <c r="P26" s="1" cm="1">
        <f t="array" aca="1" ref="P26" ca="1">_xlfn.LET(
  _xlpm.state, H26,
  _xlpm.last, P25,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MAX(0,_xlfn.IFS(A25=49,-_xlfn.NORM.INV(RAND(), 0.01, 0.005), A25=57,ABS(_xlfn.NORM.INV(RAND(), 0.02, 0.01)),TRUE,0))
)</f>
        <v>1.9723177033805644E-2</v>
      </c>
      <c r="Q26" s="1">
        <f t="shared" ca="1" si="6"/>
        <v>0.61209701643325176</v>
      </c>
      <c r="S26" s="113" cm="1">
        <f t="array" aca="1" ref="S26" ca="1">_xlfn.LET(
    _xlpm.KS_rate, $V$2 + 3%,
    _xlpm.ESCT_rate, 3%,
    _xlpm.W_HS, $V$3,
    _xlpm.W_HR, $V$4,
    _xlpm.W_SH, $V$5,
    _xlpm.salary, C26,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I26 + _xlpm.W_HR * J26 + _xlpm.W_SH * K26,
    _xlpm.net_growth, (1 + _xlpm.return_rate) * (1 - 28%),
    _xlpm.prev_value, S25,
    _xlpm.result, (_xlpm.prev_value + _xlpm.ks_contrib) * _xlpm.net_growth,
    _xlpm.result
)</f>
        <v>51120.102453742387</v>
      </c>
      <c r="T26" s="113" cm="1">
        <f t="array" aca="1" ref="T26" ca="1">_xlfn.LET(
    _xlpm.KS_rate, $V$2 + 3%,
    _xlpm.ESCT_rate, 3%,
    _xlpm.W_HS, $V$3,
    _xlpm.W_HR, $V$4,
    _xlpm.W_SH, $V$5,
    _xlpm.salary, C26,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I26 + _xlpm.W_HR * J26 + _xlpm.W_SH * K26,
    _xlpm.net_growth, (1 + _xlpm.return_rate) * (1 - 28%),
    _xlpm.prev_value, IF(ROW()=2, 0, S25),
    _xlpm.base, IF(ROW()=2,
        _xlpm.ks_contrib,
        _xlpm.prev_value + _xlpm.ks_contrib
    ),
    _xlpm.current_value, _xlpm.base * _xlpm.net_growth,
    _xlpm.real_value, _xlpm.current_value * Q26,
    _xlpm.real_value
)</f>
        <v>31290.462191697869</v>
      </c>
      <c r="X26" s="113" cm="1">
        <f t="array" aca="1" ref="X26" ca="1">_xlfn.LET(
   _xlpm.KS_rate, Dashboard!$Q$2 + 3%,
    _xlpm.ESCT_rate, 3%,
    _xlpm.W_HS, _xlfn.SWITCH(H25,
        "Recession", Dashboard!$Q$4,
        "Normal",    Dashboard!$Q$8,
        "Boom",      Dashboard!$Q$12    ),
    _xlpm.W_HR, _xlfn.SWITCH(H25,
        "Recession", Dashboard!$Q$5,
        "Normal",    Dashboard!$Q$9,
        "Boom",      Dashboard!$Q$13    ),
    _xlpm.W_SH, _xlfn.SWITCH(H25,
        "Recession", Dashboard!$Q$6,
        "Normal",    Dashboard!$Q$10,
        "Boom",      Dashboard!$Q$14    ),
    _xlpm.salary, C26,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I26 + _xlpm.W_HR * J26 + _xlpm.W_SH * K26,
    _xlpm.net_growth, (1 + _xlpm.return_rate) * (1 - 28%),
    _xlpm.prev_value, S25,
    _xlpm.result, (_xlpm.prev_value + _xlpm.ks_contrib) * _xlpm.net_growth,
    _xlpm.result
)</f>
        <v>51321.13807779018</v>
      </c>
      <c r="Y26" s="113" cm="1">
        <f t="array" aca="1" ref="Y26" ca="1">_xlfn.LET(
    _xlpm.KS_rate, Dashboard!$Q$2 + 3%,
    _xlpm.ESCT_rate, 3%,
    _xlpm.W_HS, _xlfn.SWITCH(H26,
        "Recession", Dashboard!$Q$4,
        "Normal",    Dashboard!$Q$8,
        "Boom",      Dashboard!$Q$12    ),
    _xlpm.W_HR, _xlfn.SWITCH(H26,
        "Recession", Dashboard!$Q$5,
        "Normal",    Dashboard!$Q$9,
        "Boom",      Dashboard!$Q$13    ),
    _xlpm.W_SH, _xlfn.SWITCH(H26,
        "Recession", Dashboard!$Q$6,
        "Normal",    Dashboard!$Q$10,
        "Boom",      Dashboard!$Q$14    ),
    _xlpm.salary, C26,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I26 + _xlpm.W_HR * J26 + _xlpm.W_SH * K26,
    _xlpm.net_growth, (1 + _xlpm.return_rate) * (1 - 28%),
    _xlpm.prev_value, IF(ROW()=2, 0, X25),
    _xlpm.base, IF(ROW()=2, _xlpm.ks_contrib, _xlpm.prev_value + _xlpm.ks_contrib),
    _xlpm.current_value, _xlpm.base * _xlpm.net_growth,
    _xlpm.real_value, _xlpm.current_value * Q26,
    _xlpm.real_value
)</f>
        <v>40343.728766616994</v>
      </c>
      <c r="Z26" s="1">
        <v>131400.32610727291</v>
      </c>
    </row>
    <row r="27" spans="1:26">
      <c r="A27" s="1">
        <v>55</v>
      </c>
      <c r="B27" s="6">
        <f ca="1">VLOOKUP(t4_salaryGrowthevent!J27,t4_salaryGrowthevent!J:J,1,FALSE)</f>
        <v>1.6309926145177966E-2</v>
      </c>
      <c r="C27" s="23">
        <f ca="1">VLOOKUP(t4_salaryGrowthevent!B27,t4_salaryGrowthevent!B:B,1,FALSE)</f>
        <v>135817.1229087917</v>
      </c>
      <c r="D27" s="23" cm="1">
        <f t="array" aca="1" ref="D27" ca="1">_xlfn.LET(
  _xlpm.taxable, C27,
  _xlpm.kiwisaver,C27*0.03,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C27 * 0.0167,
  _xlpm.taxable - _xlpm.incomeTax - _xlpm.acc - _xlpm.kiwisaver
)</f>
        <v>94777.312709049875</v>
      </c>
      <c r="E27" s="23">
        <f t="shared" ca="1" si="0"/>
        <v>8149.0273745275017</v>
      </c>
      <c r="F27" s="23" cm="1">
        <f t="array" aca="1" ref="F27" ca="1" xml:space="preserve"> C27 * 3% * _xlfn.IFS(
   C27 + C27 * 3% &lt;= 18720, 10.5%,
   C27 + C27 * 3% &lt;= 64200, 17.5%,
   C27 + C27 * 3% &lt;= 93720, 30%,
   C27 + C27 * 3% &lt;= 216000, 33%,
   C27 + C27 * 3% &gt; 216000, 39%
)</f>
        <v>1344.5895167970377</v>
      </c>
      <c r="G27" s="23">
        <f t="shared" ca="1" si="1"/>
        <v>7325.8678577304645</v>
      </c>
      <c r="H27" s="23" t="str" cm="1">
        <f t="array" aca="1" ref="H27" ca="1">_xlfn.IFS(
  H26="Boom", CHOOSE(MATCH(RAND(), {0,0.67,1}, 1), "Normal", "Recession"),
  H26="Normal", CHOOSE(MATCH(RAND(), {0,0.18,0.82,1}, 1), "Boom", "Normal", "Recession"),
  H26="Recession", CHOOSE(MATCH(RAND(), {0,0.17,0.34,1}, 1), "Boom", "Normal", "Recession")
)</f>
        <v>Normal</v>
      </c>
      <c r="I27" s="1" cm="1">
        <f t="array" aca="1" ref="I27" ca="1">_xlfn.LET(
  _xlpm.ε, (_xlfn.BETA.INV(RAND(), 5, 5) - 0.5) * 2,
  _xlpm.Scenario,H27,
  _xlpm.pre_scenario,H26,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_xlpm.ρ*(I26-_xlpm.μ_prev) + _xlpm.σ * _xlpm.ε
)</f>
        <v>3.7764645336676499E-2</v>
      </c>
      <c r="J27" s="1" cm="1">
        <f t="array" aca="1" ref="J27" ca="1">_xlfn.LET(
  _xlpm.ε, (_xlfn.BETA.INV(RAND(), 5, 5) - 0.5) * 2,
  _xlpm.Scenario,H27,
  _xlpm.pre_scenario,H26,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_xlpm.ρ*(MAX(J26, -0.05)-_xlpm.μ_prev) + _xlpm.σ * _xlpm.ε
)</f>
        <v>7.2988383190594822E-2</v>
      </c>
      <c r="K27" s="1" cm="1">
        <f t="array" aca="1" ref="K27" ca="1">_xlfn.LET(
  _xlpm.ε, (_xlfn.BETA.INV(RAND(), 5, 5) - 0.5) * 2,
  _xlpm.Scenario,H27,
  _xlpm.pre_scenario,H26,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_xlpm.ρ*(MAX(K26, -0.07)-_xlpm.μ_prev) + _xlpm.σ * _xlpm.ε
)</f>
        <v>0.11198433546930359</v>
      </c>
      <c r="L27" s="1">
        <f t="shared" ca="1" si="2"/>
        <v>7.0597673732640115E-2</v>
      </c>
      <c r="M27" s="23">
        <f t="shared" ca="1" si="5"/>
        <v>22833.835622416311</v>
      </c>
      <c r="N27" s="23">
        <f t="shared" ca="1" si="3"/>
        <v>13673.019530768592</v>
      </c>
      <c r="O27" s="23">
        <f t="shared" ca="1" si="4"/>
        <v>70426.167323091533</v>
      </c>
      <c r="P27" s="1" cm="1">
        <f t="array" aca="1" ref="P27" ca="1">_xlfn.LET(
  _xlpm.state, H27,
  _xlpm.last, P26,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MAX(0,_xlfn.IFS(A26=49,-_xlfn.NORM.INV(RAND(), 0.01, 0.005), A26=57,ABS(_xlfn.NORM.INV(RAND(), 0.02, 0.01)),TRUE,0))
)</f>
        <v>2.2197227668457484E-2</v>
      </c>
      <c r="Q27" s="1">
        <f t="shared" ca="1" si="6"/>
        <v>0.5988052010563476</v>
      </c>
      <c r="S27" s="113" cm="1">
        <f t="array" aca="1" ref="S27" ca="1">_xlfn.LET(
    _xlpm.KS_rate, $V$2 + 3%,
    _xlpm.ESCT_rate, 3%,
    _xlpm.W_HS, $V$3,
    _xlpm.W_HR, $V$4,
    _xlpm.W_SH, $V$5,
    _xlpm.salary, C27,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I27 + _xlpm.W_HR * J27 + _xlpm.W_SH * K27,
    _xlpm.net_growth, (1 + _xlpm.return_rate) * (1 - 28%),
    _xlpm.prev_value, S26,
    _xlpm.result, (_xlpm.prev_value + _xlpm.ks_contrib) * _xlpm.net_growth,
    _xlpm.result
)</f>
        <v>52380.363285543353</v>
      </c>
      <c r="T27" s="113" cm="1">
        <f t="array" aca="1" ref="T27" ca="1">_xlfn.LET(
    _xlpm.KS_rate, $V$2 + 3%,
    _xlpm.ESCT_rate, 3%,
    _xlpm.W_HS, $V$3,
    _xlpm.W_HR, $V$4,
    _xlpm.W_SH, $V$5,
    _xlpm.salary, C27,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I27 + _xlpm.W_HR * J27 + _xlpm.W_SH * K27,
    _xlpm.net_growth, (1 + _xlpm.return_rate) * (1 - 28%),
    _xlpm.prev_value, IF(ROW()=2, 0, S26),
    _xlpm.base, IF(ROW()=2,
        _xlpm.ks_contrib,
        _xlpm.prev_value + _xlpm.ks_contrib
    ),
    _xlpm.current_value, _xlpm.base * _xlpm.net_growth,
    _xlpm.real_value, _xlpm.current_value * Q27,
    _xlpm.real_value
)</f>
        <v>31365.633968604317</v>
      </c>
      <c r="X27" s="113" cm="1">
        <f t="array" aca="1" ref="X27" ca="1">_xlfn.LET(
   _xlpm.KS_rate, Dashboard!$Q$2 + 3%,
    _xlpm.ESCT_rate, 3%,
    _xlpm.W_HS, _xlfn.SWITCH(H26,
        "Recession", Dashboard!$Q$4,
        "Normal",    Dashboard!$Q$8,
        "Boom",      Dashboard!$Q$12    ),
    _xlpm.W_HR, _xlfn.SWITCH(H26,
        "Recession", Dashboard!$Q$5,
        "Normal",    Dashboard!$Q$9,
        "Boom",      Dashboard!$Q$13    ),
    _xlpm.W_SH, _xlfn.SWITCH(H26,
        "Recession", Dashboard!$Q$6,
        "Normal",    Dashboard!$Q$10,
        "Boom",      Dashboard!$Q$14    ),
    _xlpm.salary, C27,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I27 + _xlpm.W_HR * J27 + _xlpm.W_SH * K27,
    _xlpm.net_growth, (1 + _xlpm.return_rate) * (1 - 28%),
    _xlpm.prev_value, S26,
    _xlpm.result, (_xlpm.prev_value + _xlpm.ks_contrib) * _xlpm.net_growth,
    _xlpm.result
)</f>
        <v>54405.258752935995</v>
      </c>
      <c r="Y27" s="113" cm="1">
        <f t="array" aca="1" ref="Y27" ca="1">_xlfn.LET(
    _xlpm.KS_rate, Dashboard!$Q$2 + 3%,
    _xlpm.ESCT_rate, 3%,
    _xlpm.W_HS, _xlfn.SWITCH(H27,
        "Recession", Dashboard!$Q$4,
        "Normal",    Dashboard!$Q$8,
        "Boom",      Dashboard!$Q$12    ),
    _xlpm.W_HR, _xlfn.SWITCH(H27,
        "Recession", Dashboard!$Q$5,
        "Normal",    Dashboard!$Q$9,
        "Boom",      Dashboard!$Q$13    ),
    _xlpm.W_SH, _xlfn.SWITCH(H27,
        "Recession", Dashboard!$Q$6,
        "Normal",    Dashboard!$Q$10,
        "Boom",      Dashboard!$Q$14    ),
    _xlpm.salary, C27,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I27 + _xlpm.W_HR * J27 + _xlpm.W_SH * K27,
    _xlpm.net_growth, (1 + _xlpm.return_rate) * (1 - 28%),
    _xlpm.prev_value, IF(ROW()=2, 0, X26),
    _xlpm.base, IF(ROW()=2, _xlpm.ks_contrib, _xlpm.prev_value + _xlpm.ks_contrib),
    _xlpm.current_value, _xlpm.base * _xlpm.net_growth,
    _xlpm.real_value, _xlpm.current_value * Q27,
    _xlpm.real_value
)</f>
        <v>32101.604269416315</v>
      </c>
      <c r="Z27" s="1">
        <v>133926.69406168634</v>
      </c>
    </row>
    <row r="28" spans="1:26">
      <c r="A28" s="1">
        <v>56</v>
      </c>
      <c r="B28" s="6">
        <f ca="1">VLOOKUP(t4_salaryGrowthevent!J28,t4_salaryGrowthevent!J:J,1,FALSE)</f>
        <v>2.0854294180093248E-2</v>
      </c>
      <c r="C28" s="23">
        <f ca="1">VLOOKUP(t4_salaryGrowthevent!B28,t4_salaryGrowthevent!B:B,1,FALSE)</f>
        <v>138649.49314462554</v>
      </c>
      <c r="D28" s="23" cm="1">
        <f t="array" aca="1" ref="D28" ca="1">_xlfn.LET(
  _xlpm.taxable, C28,
  _xlpm.kiwisaver,C28*0.03,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C28 * 0.0167,
  _xlpm.taxable - _xlpm.incomeTax - _xlpm.acc - _xlpm.kiwisaver
)</f>
        <v>96542.729077045093</v>
      </c>
      <c r="E28" s="23">
        <f t="shared" ca="1" si="0"/>
        <v>8318.9695886775316</v>
      </c>
      <c r="F28" s="23" cm="1">
        <f t="array" aca="1" ref="F28" ca="1" xml:space="preserve"> C28 * 3% * _xlfn.IFS(
   C28 + C28 * 3% &lt;= 18720, 10.5%,
   C28 + C28 * 3% &lt;= 64200, 17.5%,
   C28 + C28 * 3% &lt;= 93720, 30%,
   C28 + C28 * 3% &lt;= 216000, 33%,
   C28 + C28 * 3% &gt; 216000, 39%
)</f>
        <v>1372.6299821317928</v>
      </c>
      <c r="G28" s="23">
        <f t="shared" ca="1" si="1"/>
        <v>7467.7696065457394</v>
      </c>
      <c r="H28" s="23" t="str" cm="1">
        <f t="array" aca="1" ref="H28" ca="1">_xlfn.IFS(
  H27="Boom", CHOOSE(MATCH(RAND(), {0,0.67,1}, 1), "Normal", "Recession"),
  H27="Normal", CHOOSE(MATCH(RAND(), {0,0.18,0.82,1}, 1), "Boom", "Normal", "Recession"),
  H27="Recession", CHOOSE(MATCH(RAND(), {0,0.17,0.34,1}, 1), "Boom", "Normal", "Recession")
)</f>
        <v>Normal</v>
      </c>
      <c r="I28" s="1" cm="1">
        <f t="array" aca="1" ref="I28" ca="1">_xlfn.LET(
  _xlpm.ε, (_xlfn.BETA.INV(RAND(), 5, 5) - 0.5) * 2,
  _xlpm.Scenario,H28,
  _xlpm.pre_scenario,H27,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_xlpm.ρ*(I27-_xlpm.μ_prev) + _xlpm.σ * _xlpm.ε
)</f>
        <v>4.9241102394433786E-2</v>
      </c>
      <c r="J28" s="1" cm="1">
        <f t="array" aca="1" ref="J28" ca="1">_xlfn.LET(
  _xlpm.ε, (_xlfn.BETA.INV(RAND(), 5, 5) - 0.5) * 2,
  _xlpm.Scenario,H28,
  _xlpm.pre_scenario,H27,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_xlpm.ρ*(MAX(J27, -0.05)-_xlpm.μ_prev) + _xlpm.σ * _xlpm.ε
)</f>
        <v>0.10853778008421658</v>
      </c>
      <c r="K28" s="1" cm="1">
        <f t="array" aca="1" ref="K28" ca="1">_xlfn.LET(
  _xlpm.ε, (_xlfn.BETA.INV(RAND(), 5, 5) - 0.5) * 2,
  _xlpm.Scenario,H28,
  _xlpm.pre_scenario,H27,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_xlpm.ρ*(MAX(K27, -0.07)-_xlpm.μ_prev) + _xlpm.σ * _xlpm.ε
)</f>
        <v>0.16973919123829828</v>
      </c>
      <c r="L28" s="1">
        <f t="shared" ca="1" si="2"/>
        <v>0.10317953235452798</v>
      </c>
      <c r="M28" s="23">
        <f t="shared" ca="1" si="5"/>
        <v>24068.239693976069</v>
      </c>
      <c r="N28" s="23">
        <f t="shared" ca="1" si="3"/>
        <v>14146.59334066104</v>
      </c>
      <c r="O28" s="23">
        <f t="shared" ca="1" si="4"/>
        <v>70891.529639114</v>
      </c>
      <c r="P28" s="1" cm="1">
        <f t="array" aca="1" ref="P28" ca="1">_xlfn.LET(
  _xlpm.state, H28,
  _xlpm.last, P27,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MAX(0,_xlfn.IFS(A27=49,-_xlfn.NORM.INV(RAND(), 0.01, 0.005), A27=57,ABS(_xlfn.NORM.INV(RAND(), 0.02, 0.01)),TRUE,0))
)</f>
        <v>1.8774397621176983E-2</v>
      </c>
      <c r="Q28" s="1">
        <f t="shared" ca="1" si="6"/>
        <v>0.58777017017167765</v>
      </c>
      <c r="S28" s="113" cm="1">
        <f t="array" aca="1" ref="S28" ca="1">_xlfn.LET(
    _xlpm.KS_rate, $V$2 + 3%,
    _xlpm.ESCT_rate, 3%,
    _xlpm.W_HS, $V$3,
    _xlpm.W_HR, $V$4,
    _xlpm.W_SH, $V$5,
    _xlpm.salary, C28,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I28 + _xlpm.W_HR * J28 + _xlpm.W_SH * K28,
    _xlpm.net_growth, (1 + _xlpm.return_rate) * (1 - 28%),
    _xlpm.prev_value, S27,
    _xlpm.result, (_xlpm.prev_value + _xlpm.ks_contrib) * _xlpm.net_growth,
    _xlpm.result
)</f>
        <v>55245.675648081677</v>
      </c>
      <c r="T28" s="113" cm="1">
        <f t="array" aca="1" ref="T28" ca="1">_xlfn.LET(
    _xlpm.KS_rate, $V$2 + 3%,
    _xlpm.ESCT_rate, 3%,
    _xlpm.W_HS, $V$3,
    _xlpm.W_HR, $V$4,
    _xlpm.W_SH, $V$5,
    _xlpm.salary, C28,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I28 + _xlpm.W_HR * J28 + _xlpm.W_SH * K28,
    _xlpm.net_growth, (1 + _xlpm.return_rate) * (1 - 28%),
    _xlpm.prev_value, IF(ROW()=2, 0, S27),
    _xlpm.base, IF(ROW()=2,
        _xlpm.ks_contrib,
        _xlpm.prev_value + _xlpm.ks_contrib
    ),
    _xlpm.current_value, _xlpm.base * _xlpm.net_growth,
    _xlpm.real_value, _xlpm.current_value * Q28,
    _xlpm.real_value
)</f>
        <v>32471.760176922275</v>
      </c>
      <c r="X28" s="113" cm="1">
        <f t="array" aca="1" ref="X28" ca="1">_xlfn.LET(
   _xlpm.KS_rate, Dashboard!$Q$2 + 3%,
    _xlpm.ESCT_rate, 3%,
    _xlpm.W_HS, _xlfn.SWITCH(H27,
        "Recession", Dashboard!$Q$4,
        "Normal",    Dashboard!$Q$8,
        "Boom",      Dashboard!$Q$12    ),
    _xlpm.W_HR, _xlfn.SWITCH(H27,
        "Recession", Dashboard!$Q$5,
        "Normal",    Dashboard!$Q$9,
        "Boom",      Dashboard!$Q$13    ),
    _xlpm.W_SH, _xlfn.SWITCH(H27,
        "Recession", Dashboard!$Q$6,
        "Normal",    Dashboard!$Q$10,
        "Boom",      Dashboard!$Q$14    ),
    _xlpm.salary, C28,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I28 + _xlpm.W_HR * J28 + _xlpm.W_SH * K28,
    _xlpm.net_growth, (1 + _xlpm.return_rate) * (1 - 28%),
    _xlpm.prev_value, S27,
    _xlpm.result, (_xlpm.prev_value + _xlpm.ks_contrib) * _xlpm.net_growth,
    _xlpm.result
)</f>
        <v>57046.449332477474</v>
      </c>
      <c r="Y28" s="113" cm="1">
        <f t="array" aca="1" ref="Y28" ca="1">_xlfn.LET(
    _xlpm.KS_rate, Dashboard!$Q$2 + 3%,
    _xlpm.ESCT_rate, 3%,
    _xlpm.W_HS, _xlfn.SWITCH(H28,
        "Recession", Dashboard!$Q$4,
        "Normal",    Dashboard!$Q$8,
        "Boom",      Dashboard!$Q$12    ),
    _xlpm.W_HR, _xlfn.SWITCH(H28,
        "Recession", Dashboard!$Q$5,
        "Normal",    Dashboard!$Q$9,
        "Boom",      Dashboard!$Q$13    ),
    _xlpm.W_SH, _xlfn.SWITCH(H28,
        "Recession", Dashboard!$Q$6,
        "Normal",    Dashboard!$Q$10,
        "Boom",      Dashboard!$Q$14    ),
    _xlpm.salary, C28,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I28 + _xlpm.W_HR * J28 + _xlpm.W_SH * K28,
    _xlpm.net_growth, (1 + _xlpm.return_rate) * (1 - 28%),
    _xlpm.prev_value, IF(ROW()=2, 0, X27),
    _xlpm.base, IF(ROW()=2, _xlpm.ks_contrib, _xlpm.prev_value + _xlpm.ks_contrib),
    _xlpm.current_value, _xlpm.base * _xlpm.net_growth,
    _xlpm.real_value, _xlpm.current_value * Q28,
    _xlpm.real_value
)</f>
        <v>34506.357103300565</v>
      </c>
      <c r="Z28" s="1">
        <v>136207.44571704874</v>
      </c>
    </row>
    <row r="29" spans="1:26">
      <c r="A29" s="1">
        <v>57</v>
      </c>
      <c r="B29" s="6">
        <f ca="1">VLOOKUP(t4_salaryGrowthevent!J29,t4_salaryGrowthevent!J:J,1,FALSE)</f>
        <v>2.2325134583678539E-2</v>
      </c>
      <c r="C29" s="23">
        <f ca="1">VLOOKUP(t4_salaryGrowthevent!B29,t4_salaryGrowthevent!B:B,1,FALSE)</f>
        <v>141744.86173903811</v>
      </c>
      <c r="D29" s="23" cm="1">
        <f t="array" aca="1" ref="D29" ca="1">_xlfn.LET(
  _xlpm.taxable, C29,
  _xlpm.kiwisaver,C29*0.03,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C29 * 0.0167,
  _xlpm.taxable - _xlpm.incomeTax - _xlpm.acc - _xlpm.kiwisaver
)</f>
        <v>98472.072321942454</v>
      </c>
      <c r="E29" s="23">
        <f t="shared" ca="1" si="0"/>
        <v>8504.6917043422873</v>
      </c>
      <c r="F29" s="23" cm="1">
        <f t="array" aca="1" ref="F29" ca="1" xml:space="preserve"> C29 * 3% * _xlfn.IFS(
   C29 + C29 * 3% &lt;= 18720, 10.5%,
   C29 + C29 * 3% &lt;= 64200, 17.5%,
   C29 + C29 * 3% &lt;= 93720, 30%,
   C29 + C29 * 3% &lt;= 216000, 33%,
   C29 + C29 * 3% &gt; 216000, 39%
)</f>
        <v>1403.2741312164774</v>
      </c>
      <c r="G29" s="23">
        <f t="shared" ca="1" si="1"/>
        <v>7622.8475731258104</v>
      </c>
      <c r="H29" s="23" t="str" cm="1">
        <f t="array" aca="1" ref="H29" ca="1">_xlfn.IFS(
  H28="Boom", CHOOSE(MATCH(RAND(), {0,0.67,1}, 1), "Normal", "Recession"),
  H28="Normal", CHOOSE(MATCH(RAND(), {0,0.18,0.82,1}, 1), "Boom", "Normal", "Recession"),
  H28="Recession", CHOOSE(MATCH(RAND(), {0,0.17,0.34,1}, 1), "Boom", "Normal", "Recession")
)</f>
        <v>Normal</v>
      </c>
      <c r="I29" s="1" cm="1">
        <f t="array" aca="1" ref="I29" ca="1">_xlfn.LET(
  _xlpm.ε, (_xlfn.BETA.INV(RAND(), 5, 5) - 0.5) * 2,
  _xlpm.Scenario,H29,
  _xlpm.pre_scenario,H28,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_xlpm.ρ*(I28-_xlpm.μ_prev) + _xlpm.σ * _xlpm.ε
)</f>
        <v>6.539436894926208E-2</v>
      </c>
      <c r="J29" s="1" cm="1">
        <f t="array" aca="1" ref="J29" ca="1">_xlfn.LET(
  _xlpm.ε, (_xlfn.BETA.INV(RAND(), 5, 5) - 0.5) * 2,
  _xlpm.Scenario,H29,
  _xlpm.pre_scenario,H28,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_xlpm.ρ*(MAX(J28, -0.05)-_xlpm.μ_prev) + _xlpm.σ * _xlpm.ε
)</f>
        <v>4.2474114392645562E-2</v>
      </c>
      <c r="K29" s="1" cm="1">
        <f t="array" aca="1" ref="K29" ca="1">_xlfn.LET(
  _xlpm.ε, (_xlfn.BETA.INV(RAND(), 5, 5) - 0.5) * 2,
  _xlpm.Scenario,H29,
  _xlpm.pre_scenario,H28,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_xlpm.ρ*(MAX(K28, -0.07)-_xlpm.μ_prev) + _xlpm.σ * _xlpm.ε
)</f>
        <v>8.932963595283186E-2</v>
      </c>
      <c r="L29" s="1">
        <f t="shared" ca="1" si="2"/>
        <v>6.5698872683348064E-2</v>
      </c>
      <c r="M29" s="23">
        <f t="shared" ca="1" si="5"/>
        <v>24316.672301755258</v>
      </c>
      <c r="N29" s="23">
        <f t="shared" ca="1" si="3"/>
        <v>13981.462722158634</v>
      </c>
      <c r="O29" s="23">
        <f t="shared" ca="1" si="4"/>
        <v>70600.377977416094</v>
      </c>
      <c r="P29" s="1" cm="1">
        <f t="array" aca="1" ref="P29" ca="1">_xlfn.LET(
  _xlpm.state, H29,
  _xlpm.last, P28,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MAX(0,_xlfn.IFS(A28=49,-_xlfn.NORM.INV(RAND(), 0.01, 0.005), A28=57,ABS(_xlfn.NORM.INV(RAND(), 0.02, 0.01)),TRUE,0))
)</f>
        <v>2.2254602457283779E-2</v>
      </c>
      <c r="Q29" s="1">
        <f t="shared" ca="1" si="6"/>
        <v>0.5749743447070842</v>
      </c>
      <c r="S29" s="113" cm="1">
        <f t="array" aca="1" ref="S29" ca="1">_xlfn.LET(
    _xlpm.KS_rate, $V$2 + 3%,
    _xlpm.ESCT_rate, 3%,
    _xlpm.W_HS, $V$3,
    _xlpm.W_HR, $V$4,
    _xlpm.W_SH, $V$5,
    _xlpm.salary, C29,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I29 + _xlpm.W_HR * J29 + _xlpm.W_SH * K29,
    _xlpm.net_growth, (1 + _xlpm.return_rate) * (1 - 28%),
    _xlpm.prev_value, S28,
    _xlpm.result, (_xlpm.prev_value + _xlpm.ks_contrib) * _xlpm.net_growth,
    _xlpm.result
)</f>
        <v>55852.508217300623</v>
      </c>
      <c r="T29" s="113" cm="1">
        <f t="array" aca="1" ref="T29" ca="1">_xlfn.LET(
    _xlpm.KS_rate, $V$2 + 3%,
    _xlpm.ESCT_rate, 3%,
    _xlpm.W_HS, $V$3,
    _xlpm.W_HR, $V$4,
    _xlpm.W_SH, $V$5,
    _xlpm.salary, C29,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I29 + _xlpm.W_HR * J29 + _xlpm.W_SH * K29,
    _xlpm.net_growth, (1 + _xlpm.return_rate) * (1 - 28%),
    _xlpm.prev_value, IF(ROW()=2, 0, S28),
    _xlpm.base, IF(ROW()=2,
        _xlpm.ks_contrib,
        _xlpm.prev_value + _xlpm.ks_contrib
    ),
    _xlpm.current_value, _xlpm.base * _xlpm.net_growth,
    _xlpm.real_value, _xlpm.current_value * Q29,
    _xlpm.real_value
)</f>
        <v>32113.759312489459</v>
      </c>
      <c r="X29" s="113" cm="1">
        <f t="array" aca="1" ref="X29" ca="1">_xlfn.LET(
   _xlpm.KS_rate, Dashboard!$Q$2 + 3%,
    _xlpm.ESCT_rate, 3%,
    _xlpm.W_HS, _xlfn.SWITCH(H28,
        "Recession", Dashboard!$Q$4,
        "Normal",    Dashboard!$Q$8,
        "Boom",      Dashboard!$Q$12    ),
    _xlpm.W_HR, _xlfn.SWITCH(H28,
        "Recession", Dashboard!$Q$5,
        "Normal",    Dashboard!$Q$9,
        "Boom",      Dashboard!$Q$13    ),
    _xlpm.W_SH, _xlfn.SWITCH(H28,
        "Recession", Dashboard!$Q$6,
        "Normal",    Dashboard!$Q$10,
        "Boom",      Dashboard!$Q$14    ),
    _xlpm.salary, C29,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I29 + _xlpm.W_HR * J29 + _xlpm.W_SH * K29,
    _xlpm.net_growth, (1 + _xlpm.return_rate) * (1 - 28%),
    _xlpm.prev_value, S28,
    _xlpm.result, (_xlpm.prev_value + _xlpm.ks_contrib) * _xlpm.net_growth,
    _xlpm.result
)</f>
        <v>55863.147431151228</v>
      </c>
      <c r="Y29" s="113" cm="1">
        <f t="array" aca="1" ref="Y29" ca="1">_xlfn.LET(
    _xlpm.KS_rate, Dashboard!$Q$2 + 3%,
    _xlpm.ESCT_rate, 3%,
    _xlpm.W_HS, _xlfn.SWITCH(H29,
        "Recession", Dashboard!$Q$4,
        "Normal",    Dashboard!$Q$8,
        "Boom",      Dashboard!$Q$12    ),
    _xlpm.W_HR, _xlfn.SWITCH(H29,
        "Recession", Dashboard!$Q$5,
        "Normal",    Dashboard!$Q$9,
        "Boom",      Dashboard!$Q$13    ),
    _xlpm.W_SH, _xlfn.SWITCH(H29,
        "Recession", Dashboard!$Q$6,
        "Normal",    Dashboard!$Q$10,
        "Boom",      Dashboard!$Q$14    ),
    _xlpm.salary, C29,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I29 + _xlpm.W_HR * J29 + _xlpm.W_SH * K29,
    _xlpm.net_growth, (1 + _xlpm.return_rate) * (1 - 28%),
    _xlpm.prev_value, IF(ROW()=2, 0, X28),
    _xlpm.base, IF(ROW()=2, _xlpm.ks_contrib, _xlpm.prev_value + _xlpm.ks_contrib),
    _xlpm.current_value, _xlpm.base * _xlpm.net_growth,
    _xlpm.real_value, _xlpm.current_value * Q29,
    _xlpm.real_value
)</f>
        <v>32914.492623261169</v>
      </c>
      <c r="Z29" s="1">
        <v>138132.59272534287</v>
      </c>
    </row>
    <row r="30" spans="1:26">
      <c r="A30" s="1">
        <v>58</v>
      </c>
      <c r="B30" s="6">
        <f ca="1">VLOOKUP(t4_salaryGrowthevent!J30,t4_salaryGrowthevent!J:J,1,FALSE)</f>
        <v>-1.1999998791687495E-2</v>
      </c>
      <c r="C30" s="23">
        <f ca="1">VLOOKUP(t4_salaryGrowthevent!B30,t4_salaryGrowthevent!B:B,1,FALSE)</f>
        <v>140043.92356944174</v>
      </c>
      <c r="D30" s="23" cm="1">
        <f t="array" aca="1" ref="D30" ca="1">_xlfn.LET(
  _xlpm.taxable, C30,
  _xlpm.kiwisaver,C30*0.03,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C30 * 0.0167,
  _xlpm.taxable - _xlpm.incomeTax - _xlpm.acc - _xlpm.kiwisaver
)</f>
        <v>97411.877560833032</v>
      </c>
      <c r="E30" s="23">
        <f t="shared" ca="1" si="0"/>
        <v>8402.6354141665051</v>
      </c>
      <c r="F30" s="23" cm="1">
        <f t="array" aca="1" ref="F30" ca="1" xml:space="preserve"> C30 * 3% * _xlfn.IFS(
   C30 + C30 * 3% &lt;= 18720, 10.5%,
   C30 + C30 * 3% &lt;= 64200, 17.5%,
   C30 + C30 * 3% &lt;= 93720, 30%,
   C30 + C30 * 3% &lt;= 216000, 33%,
   C30 + C30 * 3% &gt; 216000, 39%
)</f>
        <v>1386.4348433374735</v>
      </c>
      <c r="G30" s="23">
        <f t="shared" ca="1" si="1"/>
        <v>7537.630570829032</v>
      </c>
      <c r="H30" s="23" t="str" cm="1">
        <f t="array" aca="1" ref="H30" ca="1">_xlfn.IFS(
  H29="Boom", CHOOSE(MATCH(RAND(), {0,0.67,1}, 1), "Normal", "Recession"),
  H29="Normal", CHOOSE(MATCH(RAND(), {0,0.18,0.82,1}, 1), "Boom", "Normal", "Recession"),
  H29="Recession", CHOOSE(MATCH(RAND(), {0,0.17,0.34,1}, 1), "Boom", "Normal", "Recession")
)</f>
        <v>Normal</v>
      </c>
      <c r="I30" s="1" cm="1">
        <f t="array" aca="1" ref="I30" ca="1">_xlfn.LET(
  _xlpm.ε, (_xlfn.BETA.INV(RAND(), 5, 5) - 0.5) * 2,
  _xlpm.Scenario,H30,
  _xlpm.pre_scenario,H29,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_xlpm.ρ*(I29-_xlpm.μ_prev) + _xlpm.σ * _xlpm.ε
)</f>
        <v>7.1127368812647668E-2</v>
      </c>
      <c r="J30" s="1" cm="1">
        <f t="array" aca="1" ref="J30" ca="1">_xlfn.LET(
  _xlpm.ε, (_xlfn.BETA.INV(RAND(), 5, 5) - 0.5) * 2,
  _xlpm.Scenario,H30,
  _xlpm.pre_scenario,H29,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_xlpm.ρ*(MAX(J29, -0.05)-_xlpm.μ_prev) + _xlpm.σ * _xlpm.ε
)</f>
        <v>6.0900516963735371E-2</v>
      </c>
      <c r="K30" s="1" cm="1">
        <f t="array" aca="1" ref="K30" ca="1">_xlfn.LET(
  _xlpm.ε, (_xlfn.BETA.INV(RAND(), 5, 5) - 0.5) * 2,
  _xlpm.Scenario,H30,
  _xlpm.pre_scenario,H29,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_xlpm.ρ*(MAX(K29, -0.07)-_xlpm.μ_prev) + _xlpm.σ * _xlpm.ε
)</f>
        <v>-9.2350543063351165E-3</v>
      </c>
      <c r="L30" s="1">
        <f t="shared" ca="1" si="2"/>
        <v>4.3950586322279148E-2</v>
      </c>
      <c r="M30" s="23">
        <f t="shared" ca="1" si="5"/>
        <v>23943.109075719716</v>
      </c>
      <c r="N30" s="23">
        <f t="shared" ca="1" si="3"/>
        <v>13159.410965071271</v>
      </c>
      <c r="O30" s="23">
        <f t="shared" ca="1" si="4"/>
        <v>66698.110790907216</v>
      </c>
      <c r="P30" s="1" cm="1">
        <f t="array" aca="1" ref="P30" ca="1">_xlfn.LET(
  _xlpm.state, H30,
  _xlpm.last, P29,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MAX(0,_xlfn.IFS(A29=49,-_xlfn.NORM.INV(RAND(), 0.01, 0.005), A29=57,ABS(_xlfn.NORM.INV(RAND(), 0.02, 0.01)),TRUE,0))
)</f>
        <v>4.6146631304604641E-2</v>
      </c>
      <c r="Q30" s="1">
        <f t="shared" ca="1" si="6"/>
        <v>0.54961161992182528</v>
      </c>
      <c r="S30" s="113" cm="1">
        <f t="array" aca="1" ref="S30" ca="1">_xlfn.LET(
    _xlpm.KS_rate, $V$2 + 3%,
    _xlpm.ESCT_rate, 3%,
    _xlpm.W_HS, $V$3,
    _xlpm.W_HR, $V$4,
    _xlpm.W_SH, $V$5,
    _xlpm.salary, C30,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I30 + _xlpm.W_HR * J30 + _xlpm.W_SH * K30,
    _xlpm.net_growth, (1 + _xlpm.return_rate) * (1 - 28%),
    _xlpm.prev_value, S29,
    _xlpm.result, (_xlpm.prev_value + _xlpm.ks_contrib) * _xlpm.net_growth,
    _xlpm.result
)</f>
        <v>55015.270620049429</v>
      </c>
      <c r="T30" s="113" cm="1">
        <f t="array" aca="1" ref="T30" ca="1">_xlfn.LET(
    _xlpm.KS_rate, $V$2 + 3%,
    _xlpm.ESCT_rate, 3%,
    _xlpm.W_HS, $V$3,
    _xlpm.W_HR, $V$4,
    _xlpm.W_SH, $V$5,
    _xlpm.salary, C30,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I30 + _xlpm.W_HR * J30 + _xlpm.W_SH * K30,
    _xlpm.net_growth, (1 + _xlpm.return_rate) * (1 - 28%),
    _xlpm.prev_value, IF(ROW()=2, 0, S29),
    _xlpm.base, IF(ROW()=2,
        _xlpm.ks_contrib,
        _xlpm.prev_value + _xlpm.ks_contrib
    ),
    _xlpm.current_value, _xlpm.base * _xlpm.net_growth,
    _xlpm.real_value, _xlpm.current_value * Q30,
    _xlpm.real_value
)</f>
        <v>30237.032005922967</v>
      </c>
      <c r="X30" s="113" cm="1">
        <f t="array" aca="1" ref="X30" ca="1">_xlfn.LET(
   _xlpm.KS_rate, Dashboard!$Q$2 + 3%,
    _xlpm.ESCT_rate, 3%,
    _xlpm.W_HS, _xlfn.SWITCH(H29,
        "Recession", Dashboard!$Q$4,
        "Normal",    Dashboard!$Q$8,
        "Boom",      Dashboard!$Q$12    ),
    _xlpm.W_HR, _xlfn.SWITCH(H29,
        "Recession", Dashboard!$Q$5,
        "Normal",    Dashboard!$Q$9,
        "Boom",      Dashboard!$Q$13    ),
    _xlpm.W_SH, _xlfn.SWITCH(H29,
        "Recession", Dashboard!$Q$6,
        "Normal",    Dashboard!$Q$10,
        "Boom",      Dashboard!$Q$14    ),
    _xlpm.salary, C30,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I30 + _xlpm.W_HR * J30 + _xlpm.W_SH * K30,
    _xlpm.net_growth, (1 + _xlpm.return_rate) * (1 - 28%),
    _xlpm.prev_value, S29,
    _xlpm.result, (_xlpm.prev_value + _xlpm.ks_contrib) * _xlpm.net_growth,
    _xlpm.result
)</f>
        <v>54060.475720189235</v>
      </c>
      <c r="Y30" s="113" cm="1">
        <f t="array" aca="1" ref="Y30" ca="1">_xlfn.LET(
    _xlpm.KS_rate, Dashboard!$Q$2 + 3%,
    _xlpm.ESCT_rate, 3%,
    _xlpm.W_HS, _xlfn.SWITCH(H30,
        "Recession", Dashboard!$Q$4,
        "Normal",    Dashboard!$Q$8,
        "Boom",      Dashboard!$Q$12    ),
    _xlpm.W_HR, _xlfn.SWITCH(H30,
        "Recession", Dashboard!$Q$5,
        "Normal",    Dashboard!$Q$9,
        "Boom",      Dashboard!$Q$13    ),
    _xlpm.W_SH, _xlfn.SWITCH(H30,
        "Recession", Dashboard!$Q$6,
        "Normal",    Dashboard!$Q$10,
        "Boom",      Dashboard!$Q$14    ),
    _xlpm.salary, C30,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I30 + _xlpm.W_HR * J30 + _xlpm.W_SH * K30,
    _xlpm.net_growth, (1 + _xlpm.return_rate) * (1 - 28%),
    _xlpm.prev_value, IF(ROW()=2, 0, X29),
    _xlpm.base, IF(ROW()=2, _xlpm.ks_contrib, _xlpm.prev_value + _xlpm.ks_contrib),
    _xlpm.current_value, _xlpm.base * _xlpm.net_growth,
    _xlpm.real_value, _xlpm.current_value * Q30,
    _xlpm.real_value
)</f>
        <v>29716.584547687151</v>
      </c>
      <c r="Z30" s="1">
        <v>140084.94963383029</v>
      </c>
    </row>
    <row r="31" spans="1:26">
      <c r="A31" s="1">
        <v>59</v>
      </c>
      <c r="B31" s="6">
        <f ca="1">VLOOKUP(t4_salaryGrowthevent!J31,t4_salaryGrowthevent!J:J,1,FALSE)</f>
        <v>1.4133933707951039E-2</v>
      </c>
      <c r="C31" s="23">
        <f ca="1">VLOOKUP(t4_salaryGrowthevent!B31,t4_salaryGrowthevent!B:B,1,FALSE)</f>
        <v>142023.2951013736</v>
      </c>
      <c r="D31" s="23" cm="1">
        <f t="array" aca="1" ref="D31" ca="1">_xlfn.LET(
  _xlpm.taxable, C31,
  _xlpm.kiwisaver,C31*0.03,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C31 * 0.0167,
  _xlpm.taxable - _xlpm.incomeTax - _xlpm.acc - _xlpm.kiwisaver
)</f>
        <v>98645.619836686164</v>
      </c>
      <c r="E31" s="23">
        <f t="shared" ca="1" si="0"/>
        <v>8521.3977060824163</v>
      </c>
      <c r="F31" s="23" cm="1">
        <f t="array" aca="1" ref="F31" ca="1" xml:space="preserve"> C31 * 3% * _xlfn.IFS(
   C31 + C31 * 3% &lt;= 18720, 10.5%,
   C31 + C31 * 3% &lt;= 64200, 17.5%,
   C31 + C31 * 3% &lt;= 93720, 30%,
   C31 + C31 * 3% &lt;= 216000, 33%,
   C31 + C31 * 3% &gt; 216000, 39%
)</f>
        <v>1406.0306215035987</v>
      </c>
      <c r="G31" s="23">
        <f t="shared" ca="1" si="1"/>
        <v>7636.7970845788177</v>
      </c>
      <c r="H31" s="23" t="str" cm="1">
        <f t="array" aca="1" ref="H31" ca="1">_xlfn.IFS(
  H30="Boom", CHOOSE(MATCH(RAND(), {0,0.67,1}, 1), "Normal", "Recession"),
  H30="Normal", CHOOSE(MATCH(RAND(), {0,0.18,0.82,1}, 1), "Boom", "Normal", "Recession"),
  H30="Recession", CHOOSE(MATCH(RAND(), {0,0.17,0.34,1}, 1), "Boom", "Normal", "Recession")
)</f>
        <v>Boom</v>
      </c>
      <c r="I31" s="1" cm="1">
        <f t="array" aca="1" ref="I31" ca="1">_xlfn.LET(
  _xlpm.ε, (_xlfn.BETA.INV(RAND(), 5, 5) - 0.5) * 2,
  _xlpm.Scenario,H31,
  _xlpm.pre_scenario,H30,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_xlpm.ρ*(I30-_xlpm.μ_prev) + _xlpm.σ * _xlpm.ε
)</f>
        <v>4.740603057467576E-2</v>
      </c>
      <c r="J31" s="1" cm="1">
        <f t="array" aca="1" ref="J31" ca="1">_xlfn.LET(
  _xlpm.ε, (_xlfn.BETA.INV(RAND(), 5, 5) - 0.5) * 2,
  _xlpm.Scenario,H31,
  _xlpm.pre_scenario,H30,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_xlpm.ρ*(MAX(J30, -0.05)-_xlpm.μ_prev) + _xlpm.σ * _xlpm.ε
)</f>
        <v>0.1750427749589058</v>
      </c>
      <c r="K31" s="1" cm="1">
        <f t="array" aca="1" ref="K31" ca="1">_xlfn.LET(
  _xlpm.ε, (_xlfn.BETA.INV(RAND(), 5, 5) - 0.5) * 2,
  _xlpm.Scenario,H31,
  _xlpm.pre_scenario,H30,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_xlpm.ρ*(MAX(K30, -0.07)-_xlpm.μ_prev) + _xlpm.σ * _xlpm.ε
)</f>
        <v>7.500440375119026E-2</v>
      </c>
      <c r="L31" s="1">
        <f t="shared" ca="1" si="2"/>
        <v>9.3976565842899124E-2</v>
      </c>
      <c r="M31" s="23">
        <f t="shared" ca="1" si="5"/>
        <v>24874.327649436767</v>
      </c>
      <c r="N31" s="23">
        <f t="shared" ca="1" si="3"/>
        <v>13134.590711799368</v>
      </c>
      <c r="O31" s="23">
        <f t="shared" ca="1" si="4"/>
        <v>65223.228456183497</v>
      </c>
      <c r="P31" s="1" cm="1">
        <f t="array" aca="1" ref="P31" ca="1">_xlfn.LET(
  _xlpm.state, H31,
  _xlpm.last, P30,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MAX(0,_xlfn.IFS(A30=49,-_xlfn.NORM.INV(RAND(), 0.01, 0.005), A30=57,ABS(_xlfn.NORM.INV(RAND(), 0.02, 0.01)),TRUE,0))
)</f>
        <v>4.0856149525218433E-2</v>
      </c>
      <c r="Q31" s="1">
        <f t="shared" ca="1" si="6"/>
        <v>0.52803801963655395</v>
      </c>
      <c r="S31" s="113" cm="1">
        <f t="array" aca="1" ref="S31" ca="1">_xlfn.LET(
    _xlpm.KS_rate, $V$2 + 3%,
    _xlpm.ESCT_rate, 3%,
    _xlpm.W_HS, $V$3,
    _xlpm.W_HR, $V$4,
    _xlpm.W_SH, $V$5,
    _xlpm.salary, C31,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I31 + _xlpm.W_HR * J31 + _xlpm.W_SH * K31,
    _xlpm.net_growth, (1 + _xlpm.return_rate) * (1 - 28%),
    _xlpm.prev_value, S30,
    _xlpm.result, (_xlpm.prev_value + _xlpm.ks_contrib) * _xlpm.net_growth,
    _xlpm.result
)</f>
        <v>57179.379481628064</v>
      </c>
      <c r="T31" s="113" cm="1">
        <f t="array" aca="1" ref="T31" ca="1">_xlfn.LET(
    _xlpm.KS_rate, $V$2 + 3%,
    _xlpm.ESCT_rate, 3%,
    _xlpm.W_HS, $V$3,
    _xlpm.W_HR, $V$4,
    _xlpm.W_SH, $V$5,
    _xlpm.salary, C31,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I31 + _xlpm.W_HR * J31 + _xlpm.W_SH * K31,
    _xlpm.net_growth, (1 + _xlpm.return_rate) * (1 - 28%),
    _xlpm.prev_value, IF(ROW()=2, 0, S30),
    _xlpm.base, IF(ROW()=2,
        _xlpm.ks_contrib,
        _xlpm.prev_value + _xlpm.ks_contrib
    ),
    _xlpm.current_value, _xlpm.base * _xlpm.net_growth,
    _xlpm.real_value, _xlpm.current_value * Q31,
    _xlpm.real_value
)</f>
        <v>30192.886305525888</v>
      </c>
      <c r="X31" s="113" cm="1">
        <f t="array" aca="1" ref="X31" ca="1">_xlfn.LET(
   _xlpm.KS_rate, Dashboard!$Q$2 + 3%,
    _xlpm.ESCT_rate, 3%,
    _xlpm.W_HS, _xlfn.SWITCH(H30,
        "Recession", Dashboard!$Q$4,
        "Normal",    Dashboard!$Q$8,
        "Boom",      Dashboard!$Q$12    ),
    _xlpm.W_HR, _xlfn.SWITCH(H30,
        "Recession", Dashboard!$Q$5,
        "Normal",    Dashboard!$Q$9,
        "Boom",      Dashboard!$Q$13    ),
    _xlpm.W_SH, _xlfn.SWITCH(H30,
        "Recession", Dashboard!$Q$6,
        "Normal",    Dashboard!$Q$10,
        "Boom",      Dashboard!$Q$14    ),
    _xlpm.salary, C31,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I31 + _xlpm.W_HR * J31 + _xlpm.W_SH * K31,
    _xlpm.net_growth, (1 + _xlpm.return_rate) * (1 - 28%),
    _xlpm.prev_value, S30,
    _xlpm.result, (_xlpm.prev_value + _xlpm.ks_contrib) * _xlpm.net_growth,
    _xlpm.result
)</f>
        <v>58802.128628734688</v>
      </c>
      <c r="Y31" s="113" cm="1">
        <f t="array" aca="1" ref="Y31" ca="1">_xlfn.LET(
    _xlpm.KS_rate, Dashboard!$Q$2 + 3%,
    _xlpm.ESCT_rate, 3%,
    _xlpm.W_HS, _xlfn.SWITCH(H31,
        "Recession", Dashboard!$Q$4,
        "Normal",    Dashboard!$Q$8,
        "Boom",      Dashboard!$Q$12    ),
    _xlpm.W_HR, _xlfn.SWITCH(H31,
        "Recession", Dashboard!$Q$5,
        "Normal",    Dashboard!$Q$9,
        "Boom",      Dashboard!$Q$13    ),
    _xlpm.W_SH, _xlfn.SWITCH(H31,
        "Recession", Dashboard!$Q$6,
        "Normal",    Dashboard!$Q$10,
        "Boom",      Dashboard!$Q$14    ),
    _xlpm.salary, C31,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I31 + _xlpm.W_HR * J31 + _xlpm.W_SH * K31,
    _xlpm.net_growth, (1 + _xlpm.return_rate) * (1 - 28%),
    _xlpm.prev_value, IF(ROW()=2, 0, X30),
    _xlpm.base, IF(ROW()=2, _xlpm.ks_contrib, _xlpm.prev_value + _xlpm.ks_contrib),
    _xlpm.current_value, _xlpm.base * _xlpm.net_growth,
    _xlpm.real_value, _xlpm.current_value * Q31,
    _xlpm.real_value
)</f>
        <v>29279.042029290475</v>
      </c>
      <c r="Z31" s="1">
        <v>142620.60276186929</v>
      </c>
    </row>
    <row r="32" spans="1:26">
      <c r="A32" s="1">
        <v>60</v>
      </c>
      <c r="B32" s="6">
        <f ca="1">VLOOKUP(t4_salaryGrowthevent!J32,t4_salaryGrowthevent!J:J,1,FALSE)</f>
        <v>0</v>
      </c>
      <c r="C32" s="23">
        <f ca="1">VLOOKUP(t4_salaryGrowthevent!B32,t4_salaryGrowthevent!B:B,1,FALSE)</f>
        <v>142023.2951013736</v>
      </c>
      <c r="D32" s="23" cm="1">
        <f t="array" aca="1" ref="D32" ca="1">_xlfn.LET(
  _xlpm.taxable, C32,
  _xlpm.kiwisaver,C32*0.03,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C32 * 0.0167,
  _xlpm.taxable - _xlpm.incomeTax - _xlpm.acc - _xlpm.kiwisaver
)</f>
        <v>98645.619836686164</v>
      </c>
      <c r="E32" s="23">
        <f t="shared" ca="1" si="0"/>
        <v>8521.3977060824163</v>
      </c>
      <c r="F32" s="23" cm="1">
        <f t="array" aca="1" ref="F32" ca="1" xml:space="preserve"> C32 * 3% * _xlfn.IFS(
   C32 + C32 * 3% &lt;= 18720, 10.5%,
   C32 + C32 * 3% &lt;= 64200, 17.5%,
   C32 + C32 * 3% &lt;= 93720, 30%,
   C32 + C32 * 3% &lt;= 216000, 33%,
   C32 + C32 * 3% &gt; 216000, 39%
)</f>
        <v>1406.0306215035987</v>
      </c>
      <c r="G32" s="23">
        <f t="shared" ca="1" si="1"/>
        <v>7636.7970845788177</v>
      </c>
      <c r="H32" s="23" t="str" cm="1">
        <f t="array" aca="1" ref="H32" ca="1">_xlfn.IFS(
  H31="Boom", CHOOSE(MATCH(RAND(), {0,0.67,1}, 1), "Normal", "Recession"),
  H31="Normal", CHOOSE(MATCH(RAND(), {0,0.18,0.82,1}, 1), "Boom", "Normal", "Recession"),
  H31="Recession", CHOOSE(MATCH(RAND(), {0,0.17,0.34,1}, 1), "Boom", "Normal", "Recession")
)</f>
        <v>Recession</v>
      </c>
      <c r="I32" s="1" cm="1">
        <f t="array" aca="1" ref="I32" ca="1">_xlfn.LET(
  _xlpm.ε, (_xlfn.BETA.INV(RAND(), 5, 5) - 0.5) * 2,
  _xlpm.Scenario,H32,
  _xlpm.pre_scenario,H31,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_xlpm.ρ*(I31-_xlpm.μ_prev) + _xlpm.σ * _xlpm.ε
)</f>
        <v>2.1060811360043112E-2</v>
      </c>
      <c r="J32" s="1" cm="1">
        <f t="array" aca="1" ref="J32" ca="1">_xlfn.LET(
  _xlpm.ε, (_xlfn.BETA.INV(RAND(), 5, 5) - 0.5) * 2,
  _xlpm.Scenario,H32,
  _xlpm.pre_scenario,H31,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_xlpm.ρ*(MAX(J31, -0.05)-_xlpm.μ_prev) + _xlpm.σ * _xlpm.ε
)</f>
        <v>5.8402191874827925E-2</v>
      </c>
      <c r="K32" s="1" cm="1">
        <f t="array" aca="1" ref="K32" ca="1">_xlfn.LET(
  _xlpm.ε, (_xlfn.BETA.INV(RAND(), 5, 5) - 0.5) * 2,
  _xlpm.Scenario,H32,
  _xlpm.pre_scenario,H31,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_xlpm.ρ*(MAX(K31, -0.07)-_xlpm.μ_prev) + _xlpm.σ * _xlpm.ε
)</f>
        <v>-0.14466646809224235</v>
      </c>
      <c r="L32" s="1">
        <f t="shared" ca="1" si="2"/>
        <v>-1.7454958321207078E-2</v>
      </c>
      <c r="M32" s="23">
        <f t="shared" ca="1" si="5"/>
        <v>22999.423972901601</v>
      </c>
      <c r="N32" s="23">
        <f t="shared" ca="1" si="3"/>
        <v>11739.334858191882</v>
      </c>
      <c r="O32" s="23">
        <f t="shared" ca="1" si="4"/>
        <v>62089.898634100973</v>
      </c>
      <c r="P32" s="1" cm="1">
        <f t="array" aca="1" ref="P32" ca="1">_xlfn.LET(
  _xlpm.state, H32,
  _xlpm.last, P31,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MAX(0,_xlfn.IFS(A31=49,-_xlfn.NORM.INV(RAND(), 0.01, 0.005), A31=57,ABS(_xlfn.NORM.INV(RAND(), 0.02, 0.01)),TRUE,0))
)</f>
        <v>3.4519453967000804E-2</v>
      </c>
      <c r="Q32" s="1">
        <f t="shared" ca="1" si="6"/>
        <v>0.51041864665929937</v>
      </c>
      <c r="S32" s="113" cm="1">
        <f t="array" aca="1" ref="S32" ca="1">_xlfn.LET(
    _xlpm.KS_rate, $V$2 + 3%,
    _xlpm.ESCT_rate, 3%,
    _xlpm.W_HS, $V$3,
    _xlpm.W_HR, $V$4,
    _xlpm.W_SH, $V$5,
    _xlpm.salary, C32,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I32 + _xlpm.W_HR * J32 + _xlpm.W_SH * K32,
    _xlpm.net_growth, (1 + _xlpm.return_rate) * (1 - 28%),
    _xlpm.prev_value, S31,
    _xlpm.result, (_xlpm.prev_value + _xlpm.ks_contrib) * _xlpm.net_growth,
    _xlpm.result
)</f>
        <v>52886.097226105529</v>
      </c>
      <c r="T32" s="113" cm="1">
        <f t="array" aca="1" ref="T32" ca="1">_xlfn.LET(
    _xlpm.KS_rate, $V$2 + 3%,
    _xlpm.ESCT_rate, 3%,
    _xlpm.W_HS, $V$3,
    _xlpm.W_HR, $V$4,
    _xlpm.W_SH, $V$5,
    _xlpm.salary, C32,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I32 + _xlpm.W_HR * J32 + _xlpm.W_SH * K32,
    _xlpm.net_growth, (1 + _xlpm.return_rate) * (1 - 28%),
    _xlpm.prev_value, IF(ROW()=2, 0, S31),
    _xlpm.base, IF(ROW()=2,
        _xlpm.ks_contrib,
        _xlpm.prev_value + _xlpm.ks_contrib
    ),
    _xlpm.current_value, _xlpm.base * _xlpm.net_growth,
    _xlpm.real_value, _xlpm.current_value * Q32,
    _xlpm.real_value
)</f>
        <v>26994.05017324091</v>
      </c>
      <c r="X32" s="113" cm="1">
        <f t="array" aca="1" ref="X32" ca="1">_xlfn.LET(
   _xlpm.KS_rate, Dashboard!$Q$2 + 3%,
    _xlpm.ESCT_rate, 3%,
    _xlpm.W_HS, _xlfn.SWITCH(H31,
        "Recession", Dashboard!$Q$4,
        "Normal",    Dashboard!$Q$8,
        "Boom",      Dashboard!$Q$12    ),
    _xlpm.W_HR, _xlfn.SWITCH(H31,
        "Recession", Dashboard!$Q$5,
        "Normal",    Dashboard!$Q$9,
        "Boom",      Dashboard!$Q$13    ),
    _xlpm.W_SH, _xlfn.SWITCH(H31,
        "Recession", Dashboard!$Q$6,
        "Normal",    Dashboard!$Q$10,
        "Boom",      Dashboard!$Q$14    ),
    _xlpm.salary, C32,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I32 + _xlpm.W_HR * J32 + _xlpm.W_SH * K32,
    _xlpm.net_growth, (1 + _xlpm.return_rate) * (1 - 28%),
    _xlpm.prev_value, S31,
    _xlpm.result, (_xlpm.prev_value + _xlpm.ks_contrib) * _xlpm.net_growth,
    _xlpm.result
)</f>
        <v>46038.858688790686</v>
      </c>
      <c r="Y32" s="113" cm="1">
        <f t="array" aca="1" ref="Y32" ca="1">_xlfn.LET(
    _xlpm.KS_rate, Dashboard!$Q$2 + 3%,
    _xlpm.ESCT_rate, 3%,
    _xlpm.W_HS, _xlfn.SWITCH(H32,
        "Recession", Dashboard!$Q$4,
        "Normal",    Dashboard!$Q$8,
        "Boom",      Dashboard!$Q$12    ),
    _xlpm.W_HR, _xlfn.SWITCH(H32,
        "Recession", Dashboard!$Q$5,
        "Normal",    Dashboard!$Q$9,
        "Boom",      Dashboard!$Q$13    ),
    _xlpm.W_SH, _xlfn.SWITCH(H32,
        "Recession", Dashboard!$Q$6,
        "Normal",    Dashboard!$Q$10,
        "Boom",      Dashboard!$Q$14    ),
    _xlpm.salary, C32,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I32 + _xlpm.W_HR * J32 + _xlpm.W_SH * K32,
    _xlpm.net_growth, (1 + _xlpm.return_rate) * (1 - 28%),
    _xlpm.prev_value, IF(ROW()=2, 0, X31),
    _xlpm.base, IF(ROW()=2, _xlpm.ks_contrib, _xlpm.prev_value + _xlpm.ks_contrib),
    _xlpm.current_value, _xlpm.base * _xlpm.net_growth,
    _xlpm.real_value, _xlpm.current_value * Q32,
    _xlpm.real_value
)</f>
        <v>28661.13955692013</v>
      </c>
      <c r="Z32" s="1">
        <v>142620.60276186929</v>
      </c>
    </row>
    <row r="33" spans="1:26">
      <c r="A33" s="1">
        <v>61</v>
      </c>
      <c r="B33" s="6">
        <f ca="1">VLOOKUP(t4_salaryGrowthevent!J33,t4_salaryGrowthevent!J:J,1,FALSE)</f>
        <v>0</v>
      </c>
      <c r="C33" s="23">
        <f ca="1">VLOOKUP(t4_salaryGrowthevent!B33,t4_salaryGrowthevent!B:B,1,FALSE)</f>
        <v>142023.2951013736</v>
      </c>
      <c r="D33" s="23" cm="1">
        <f t="array" aca="1" ref="D33" ca="1">_xlfn.LET(
  _xlpm.taxable, C33,
  _xlpm.kiwisaver,C33*0.03,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C33 * 0.0167,
  _xlpm.taxable - _xlpm.incomeTax - _xlpm.acc - _xlpm.kiwisaver
)</f>
        <v>98645.619836686164</v>
      </c>
      <c r="E33" s="23">
        <f t="shared" ca="1" si="0"/>
        <v>8521.3977060824163</v>
      </c>
      <c r="F33" s="23" cm="1">
        <f t="array" aca="1" ref="F33" ca="1" xml:space="preserve"> C33 * 3% * _xlfn.IFS(
   C33 + C33 * 3% &lt;= 18720, 10.5%,
   C33 + C33 * 3% &lt;= 64200, 17.5%,
   C33 + C33 * 3% &lt;= 93720, 30%,
   C33 + C33 * 3% &lt;= 216000, 33%,
   C33 + C33 * 3% &gt; 216000, 39%
)</f>
        <v>1406.0306215035987</v>
      </c>
      <c r="G33" s="23">
        <f t="shared" ca="1" si="1"/>
        <v>7636.7970845788177</v>
      </c>
      <c r="H33" s="23" t="str" cm="1">
        <f t="array" aca="1" ref="H33" ca="1">_xlfn.IFS(
  H32="Boom", CHOOSE(MATCH(RAND(), {0,0.67,1}, 1), "Normal", "Recession"),
  H32="Normal", CHOOSE(MATCH(RAND(), {0,0.18,0.82,1}, 1), "Boom", "Normal", "Recession"),
  H32="Recession", CHOOSE(MATCH(RAND(), {0,0.17,0.34,1}, 1), "Boom", "Normal", "Recession")
)</f>
        <v>Boom</v>
      </c>
      <c r="I33" s="1" cm="1">
        <f t="array" aca="1" ref="I33" ca="1">_xlfn.LET(
  _xlpm.ε, (_xlfn.BETA.INV(RAND(), 5, 5) - 0.5) * 2,
  _xlpm.Scenario,H33,
  _xlpm.pre_scenario,H32,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_xlpm.ρ*(I32-_xlpm.μ_prev) + _xlpm.σ * _xlpm.ε
)</f>
        <v>3.3521654959250025E-2</v>
      </c>
      <c r="J33" s="1" cm="1">
        <f t="array" aca="1" ref="J33" ca="1">_xlfn.LET(
  _xlpm.ε, (_xlfn.BETA.INV(RAND(), 5, 5) - 0.5) * 2,
  _xlpm.Scenario,H33,
  _xlpm.pre_scenario,H32,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_xlpm.ρ*(MAX(J32, -0.05)-_xlpm.μ_prev) + _xlpm.σ * _xlpm.ε
)</f>
        <v>-0.26439225379438397</v>
      </c>
      <c r="K33" s="1" cm="1">
        <f t="array" aca="1" ref="K33" ca="1">_xlfn.LET(
  _xlpm.ε, (_xlfn.BETA.INV(RAND(), 5, 5) - 0.5) * 2,
  _xlpm.Scenario,H33,
  _xlpm.pre_scenario,H32,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_xlpm.ρ*(MAX(K32, -0.07)-_xlpm.μ_prev) + _xlpm.σ * _xlpm.ε
)</f>
        <v>0.23594676772760748</v>
      </c>
      <c r="L33" s="1">
        <f t="shared" ca="1" si="2"/>
        <v>4.8750161636670758E-3</v>
      </c>
      <c r="M33" s="23">
        <f t="shared" ca="1" si="5"/>
        <v>22165.612653837106</v>
      </c>
      <c r="N33" s="23">
        <f t="shared" ca="1" si="3"/>
        <v>11006.777793381958</v>
      </c>
      <c r="O33" s="23">
        <f t="shared" ca="1" si="4"/>
        <v>59991.231090001194</v>
      </c>
      <c r="P33" s="1" cm="1">
        <f t="array" aca="1" ref="P33" ca="1">_xlfn.LET(
  _xlpm.state, H33,
  _xlpm.last, P32,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MAX(0,_xlfn.IFS(A32=49,-_xlfn.NORM.INV(RAND(), 0.01, 0.005), A32=57,ABS(_xlfn.NORM.INV(RAND(), 0.02, 0.01)),TRUE,0))
)</f>
        <v>2.7888654202539491E-2</v>
      </c>
      <c r="Q33" s="1">
        <f t="shared" ca="1" si="6"/>
        <v>0.49656997824856269</v>
      </c>
      <c r="S33" s="113" cm="1">
        <f t="array" aca="1" ref="S33" ca="1">_xlfn.LET(
    _xlpm.KS_rate, $V$2 + 3%,
    _xlpm.ESCT_rate, 3%,
    _xlpm.W_HS, $V$3,
    _xlpm.W_HR, $V$4,
    _xlpm.W_SH, $V$5,
    _xlpm.salary, C33,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I33 + _xlpm.W_HR * J33 + _xlpm.W_SH * K33,
    _xlpm.net_growth, (1 + _xlpm.return_rate) * (1 - 28%),
    _xlpm.prev_value, S32,
    _xlpm.result, (_xlpm.prev_value + _xlpm.ks_contrib) * _xlpm.net_growth,
    _xlpm.result
)</f>
        <v>50981.789279493751</v>
      </c>
      <c r="T33" s="113" cm="1">
        <f t="array" aca="1" ref="T33" ca="1">_xlfn.LET(
    _xlpm.KS_rate, $V$2 + 3%,
    _xlpm.ESCT_rate, 3%,
    _xlpm.W_HS, $V$3,
    _xlpm.W_HR, $V$4,
    _xlpm.W_SH, $V$5,
    _xlpm.salary, C33,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I33 + _xlpm.W_HR * J33 + _xlpm.W_SH * K33,
    _xlpm.net_growth, (1 + _xlpm.return_rate) * (1 - 28%),
    _xlpm.prev_value, IF(ROW()=2, 0, S32),
    _xlpm.base, IF(ROW()=2,
        _xlpm.ks_contrib,
        _xlpm.prev_value + _xlpm.ks_contrib
    ),
    _xlpm.current_value, _xlpm.base * _xlpm.net_growth,
    _xlpm.real_value, _xlpm.current_value * Q33,
    _xlpm.real_value
)</f>
        <v>25316.025993591018</v>
      </c>
      <c r="X33" s="113" cm="1">
        <f t="array" aca="1" ref="X33" ca="1">_xlfn.LET(
   _xlpm.KS_rate, Dashboard!$Q$2 + 3%,
    _xlpm.ESCT_rate, 3%,
    _xlpm.W_HS, _xlfn.SWITCH(H32,
        "Recession", Dashboard!$Q$4,
        "Normal",    Dashboard!$Q$8,
        "Boom",      Dashboard!$Q$12    ),
    _xlpm.W_HR, _xlfn.SWITCH(H32,
        "Recession", Dashboard!$Q$5,
        "Normal",    Dashboard!$Q$9,
        "Boom",      Dashboard!$Q$13    ),
    _xlpm.W_SH, _xlfn.SWITCH(H32,
        "Recession", Dashboard!$Q$6,
        "Normal",    Dashboard!$Q$10,
        "Boom",      Dashboard!$Q$14    ),
    _xlpm.salary, C33,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I33 + _xlpm.W_HR * J33 + _xlpm.W_SH * K33,
    _xlpm.net_growth, (1 + _xlpm.return_rate) * (1 - 28%),
    _xlpm.prev_value, S32,
    _xlpm.result, (_xlpm.prev_value + _xlpm.ks_contrib) * _xlpm.net_growth,
    _xlpm.result
)</f>
        <v>52435.16097164488</v>
      </c>
      <c r="Y33" s="113" cm="1">
        <f t="array" aca="1" ref="Y33" ca="1">_xlfn.LET(
    _xlpm.KS_rate, Dashboard!$Q$2 + 3%,
    _xlpm.ESCT_rate, 3%,
    _xlpm.W_HS, _xlfn.SWITCH(H33,
        "Recession", Dashboard!$Q$4,
        "Normal",    Dashboard!$Q$8,
        "Boom",      Dashboard!$Q$12    ),
    _xlpm.W_HR, _xlfn.SWITCH(H33,
        "Recession", Dashboard!$Q$5,
        "Normal",    Dashboard!$Q$9,
        "Boom",      Dashboard!$Q$13    ),
    _xlpm.W_SH, _xlfn.SWITCH(H33,
        "Recession", Dashboard!$Q$6,
        "Normal",    Dashboard!$Q$10,
        "Boom",      Dashboard!$Q$14    ),
    _xlpm.salary, C33,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I33 + _xlpm.W_HR * J33 + _xlpm.W_SH * K33,
    _xlpm.net_growth, (1 + _xlpm.return_rate) * (1 - 28%),
    _xlpm.prev_value, IF(ROW()=2, 0, X32),
    _xlpm.base, IF(ROW()=2, _xlpm.ks_contrib, _xlpm.prev_value + _xlpm.ks_contrib),
    _xlpm.current_value, _xlpm.base * _xlpm.net_growth,
    _xlpm.real_value, _xlpm.current_value * Q33,
    _xlpm.real_value
)</f>
        <v>28111.748730911015</v>
      </c>
      <c r="Z33" s="1">
        <v>142620.60276186929</v>
      </c>
    </row>
    <row r="34" spans="1:26">
      <c r="A34" s="1">
        <v>62</v>
      </c>
      <c r="B34" s="6">
        <f ca="1">VLOOKUP(t4_salaryGrowthevent!J34,t4_salaryGrowthevent!J:J,1,FALSE)</f>
        <v>0</v>
      </c>
      <c r="C34" s="23">
        <f ca="1">VLOOKUP(t4_salaryGrowthevent!B34,t4_salaryGrowthevent!B:B,1,FALSE)</f>
        <v>142023.2951013736</v>
      </c>
      <c r="D34" s="23" cm="1">
        <f t="array" aca="1" ref="D34" ca="1">_xlfn.LET(
  _xlpm.taxable, C34,
  _xlpm.kiwisaver,C34*0.03,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C34 * 0.0167,
  _xlpm.taxable - _xlpm.incomeTax - _xlpm.acc - _xlpm.kiwisaver
)</f>
        <v>98645.619836686164</v>
      </c>
      <c r="E34" s="23">
        <f t="shared" ca="1" si="0"/>
        <v>8521.3977060824163</v>
      </c>
      <c r="F34" s="23" cm="1">
        <f t="array" aca="1" ref="F34" ca="1" xml:space="preserve"> C34 * 3% * _xlfn.IFS(
   C34 + C34 * 3% &lt;= 18720, 10.5%,
   C34 + C34 * 3% &lt;= 64200, 17.5%,
   C34 + C34 * 3% &lt;= 93720, 30%,
   C34 + C34 * 3% &lt;= 216000, 33%,
   C34 + C34 * 3% &gt; 216000, 39%
)</f>
        <v>1406.0306215035987</v>
      </c>
      <c r="G34" s="23">
        <f t="shared" ca="1" si="1"/>
        <v>7636.7970845788177</v>
      </c>
      <c r="H34" s="23" t="str" cm="1">
        <f t="array" aca="1" ref="H34" ca="1">_xlfn.IFS(
  H33="Boom", CHOOSE(MATCH(RAND(), {0,0.67,1}, 1), "Normal", "Recession"),
  H33="Normal", CHOOSE(MATCH(RAND(), {0,0.18,0.82,1}, 1), "Boom", "Normal", "Recession"),
  H33="Recession", CHOOSE(MATCH(RAND(), {0,0.17,0.34,1}, 1), "Boom", "Normal", "Recession")
)</f>
        <v>Normal</v>
      </c>
      <c r="I34" s="1" cm="1">
        <f t="array" aca="1" ref="I34" ca="1">_xlfn.LET(
  _xlpm.ε, (_xlfn.BETA.INV(RAND(), 5, 5) - 0.5) * 2,
  _xlpm.Scenario,H34,
  _xlpm.pre_scenario,H33,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_xlpm.ρ*(I33-_xlpm.μ_prev) + _xlpm.σ * _xlpm.ε
)</f>
        <v>4.7158115445563045E-2</v>
      </c>
      <c r="J34" s="1" cm="1">
        <f t="array" aca="1" ref="J34" ca="1">_xlfn.LET(
  _xlpm.ε, (_xlfn.BETA.INV(RAND(), 5, 5) - 0.5) * 2,
  _xlpm.Scenario,H34,
  _xlpm.pre_scenario,H33,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_xlpm.ρ*(MAX(J33, -0.05)-_xlpm.μ_prev) + _xlpm.σ * _xlpm.ε
)</f>
        <v>3.6697786806604411E-2</v>
      </c>
      <c r="K34" s="1" cm="1">
        <f t="array" aca="1" ref="K34" ca="1">_xlfn.LET(
  _xlpm.ε, (_xlfn.BETA.INV(RAND(), 5, 5) - 0.5) * 2,
  _xlpm.Scenario,H34,
  _xlpm.pre_scenario,H33,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_xlpm.ρ*(MAX(K33, -0.07)-_xlpm.μ_prev) + _xlpm.σ * _xlpm.ε
)</f>
        <v>0.17664181501758128</v>
      </c>
      <c r="L34" s="1">
        <f t="shared" ca="1" si="2"/>
        <v>8.2865126725480923E-2</v>
      </c>
      <c r="M34" s="23">
        <f t="shared" ca="1" si="5"/>
        <v>23235.832942642417</v>
      </c>
      <c r="N34" s="23">
        <f t="shared" ca="1" si="3"/>
        <v>11229.376119367073</v>
      </c>
      <c r="O34" s="23">
        <f t="shared" ca="1" si="4"/>
        <v>58902.673238031653</v>
      </c>
      <c r="P34" s="1" cm="1">
        <f t="array" aca="1" ref="P34" ca="1">_xlfn.LET(
  _xlpm.state, H34,
  _xlpm.last, P33,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MAX(0,_xlfn.IFS(A33=49,-_xlfn.NORM.INV(RAND(), 0.01, 0.005), A33=57,ABS(_xlfn.NORM.INV(RAND(), 0.02, 0.01)),TRUE,0))
)</f>
        <v>2.7502947293345823E-2</v>
      </c>
      <c r="Q34" s="1">
        <f t="shared" ca="1" si="6"/>
        <v>0.48327839794195254</v>
      </c>
      <c r="S34" s="113" cm="1">
        <f t="array" aca="1" ref="S34" ca="1">_xlfn.LET(
    _xlpm.KS_rate, $V$2 + 3%,
    _xlpm.ESCT_rate, 3%,
    _xlpm.W_HS, $V$3,
    _xlpm.W_HR, $V$4,
    _xlpm.W_SH, $V$5,
    _xlpm.salary, C34,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I34 + _xlpm.W_HR * J34 + _xlpm.W_SH * K34,
    _xlpm.net_growth, (1 + _xlpm.return_rate) * (1 - 28%),
    _xlpm.prev_value, S33,
    _xlpm.result, (_xlpm.prev_value + _xlpm.ks_contrib) * _xlpm.net_growth,
    _xlpm.result
)</f>
        <v>53453.857026927122</v>
      </c>
      <c r="T34" s="113" cm="1">
        <f t="array" aca="1" ref="T34" ca="1">_xlfn.LET(
    _xlpm.KS_rate, $V$2 + 3%,
    _xlpm.ESCT_rate, 3%,
    _xlpm.W_HS, $V$3,
    _xlpm.W_HR, $V$4,
    _xlpm.W_SH, $V$5,
    _xlpm.salary, C34,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I34 + _xlpm.W_HR * J34 + _xlpm.W_SH * K34,
    _xlpm.net_growth, (1 + _xlpm.return_rate) * (1 - 28%),
    _xlpm.prev_value, IF(ROW()=2, 0, S33),
    _xlpm.base, IF(ROW()=2,
        _xlpm.ks_contrib,
        _xlpm.prev_value + _xlpm.ks_contrib
    ),
    _xlpm.current_value, _xlpm.base * _xlpm.net_growth,
    _xlpm.real_value, _xlpm.current_value * Q34,
    _xlpm.real_value
)</f>
        <v>25833.094387791523</v>
      </c>
      <c r="X34" s="113" cm="1">
        <f t="array" aca="1" ref="X34" ca="1">_xlfn.LET(
   _xlpm.KS_rate, Dashboard!$Q$2 + 3%,
    _xlpm.ESCT_rate, 3%,
    _xlpm.W_HS, _xlfn.SWITCH(H33,
        "Recession", Dashboard!$Q$4,
        "Normal",    Dashboard!$Q$8,
        "Boom",      Dashboard!$Q$12    ),
    _xlpm.W_HR, _xlfn.SWITCH(H33,
        "Recession", Dashboard!$Q$5,
        "Normal",    Dashboard!$Q$9,
        "Boom",      Dashboard!$Q$13    ),
    _xlpm.W_SH, _xlfn.SWITCH(H33,
        "Recession", Dashboard!$Q$6,
        "Normal",    Dashboard!$Q$10,
        "Boom",      Dashboard!$Q$14    ),
    _xlpm.salary, C34,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I34 + _xlpm.W_HR * J34 + _xlpm.W_SH * K34,
    _xlpm.net_growth, (1 + _xlpm.return_rate) * (1 - 28%),
    _xlpm.prev_value, S33,
    _xlpm.result, (_xlpm.prev_value + _xlpm.ks_contrib) * _xlpm.net_growth,
    _xlpm.result
)</f>
        <v>58082.989099526807</v>
      </c>
      <c r="Y34" s="113" cm="1">
        <f t="array" aca="1" ref="Y34" ca="1">_xlfn.LET(
    _xlpm.KS_rate, Dashboard!$Q$2 + 3%,
    _xlpm.ESCT_rate, 3%,
    _xlpm.W_HS, _xlfn.SWITCH(H34,
        "Recession", Dashboard!$Q$4,
        "Normal",    Dashboard!$Q$8,
        "Boom",      Dashboard!$Q$12    ),
    _xlpm.W_HR, _xlfn.SWITCH(H34,
        "Recession", Dashboard!$Q$5,
        "Normal",    Dashboard!$Q$9,
        "Boom",      Dashboard!$Q$13    ),
    _xlpm.W_SH, _xlfn.SWITCH(H34,
        "Recession", Dashboard!$Q$6,
        "Normal",    Dashboard!$Q$10,
        "Boom",      Dashboard!$Q$14    ),
    _xlpm.salary, C34,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I34 + _xlpm.W_HR * J34 + _xlpm.W_SH * K34,
    _xlpm.net_growth, (1 + _xlpm.return_rate) * (1 - 28%),
    _xlpm.prev_value, IF(ROW()=2, 0, X33),
    _xlpm.base, IF(ROW()=2, _xlpm.ks_contrib, _xlpm.prev_value + _xlpm.ks_contrib),
    _xlpm.current_value, _xlpm.base * _xlpm.net_growth,
    _xlpm.real_value, _xlpm.current_value * Q34,
    _xlpm.real_value
)</f>
        <v>26960.644970432284</v>
      </c>
      <c r="Z34" s="1">
        <v>142620.60276186929</v>
      </c>
    </row>
    <row r="35" spans="1:26">
      <c r="A35" s="1">
        <v>63</v>
      </c>
      <c r="B35" s="6">
        <f ca="1">VLOOKUP(t4_salaryGrowthevent!J35,t4_salaryGrowthevent!J:J,1,FALSE)</f>
        <v>0</v>
      </c>
      <c r="C35" s="23">
        <f ca="1">VLOOKUP(t4_salaryGrowthevent!B35,t4_salaryGrowthevent!B:B,1,FALSE)</f>
        <v>142023.2951013736</v>
      </c>
      <c r="D35" s="23" cm="1">
        <f t="array" aca="1" ref="D35" ca="1">_xlfn.LET(
  _xlpm.taxable, C35,
  _xlpm.kiwisaver,C35*0.03,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C35 * 0.0167,
  _xlpm.taxable - _xlpm.incomeTax - _xlpm.acc - _xlpm.kiwisaver
)</f>
        <v>98645.619836686164</v>
      </c>
      <c r="E35" s="23">
        <f t="shared" ca="1" si="0"/>
        <v>8521.3977060824163</v>
      </c>
      <c r="F35" s="23" cm="1">
        <f t="array" aca="1" ref="F35" ca="1" xml:space="preserve"> C35 * 3% * _xlfn.IFS(
   C35 + C35 * 3% &lt;= 18720, 10.5%,
   C35 + C35 * 3% &lt;= 64200, 17.5%,
   C35 + C35 * 3% &lt;= 93720, 30%,
   C35 + C35 * 3% &lt;= 216000, 33%,
   C35 + C35 * 3% &gt; 216000, 39%
)</f>
        <v>1406.0306215035987</v>
      </c>
      <c r="G35" s="23">
        <f t="shared" ca="1" si="1"/>
        <v>7636.7970845788177</v>
      </c>
      <c r="H35" s="23" t="str" cm="1">
        <f t="array" aca="1" ref="H35" ca="1">_xlfn.IFS(
  H34="Boom", CHOOSE(MATCH(RAND(), {0,0.67,1}, 1), "Normal", "Recession"),
  H34="Normal", CHOOSE(MATCH(RAND(), {0,0.18,0.82,1}, 1), "Boom", "Normal", "Recession"),
  H34="Recession", CHOOSE(MATCH(RAND(), {0,0.17,0.34,1}, 1), "Boom", "Normal", "Recession")
)</f>
        <v>Normal</v>
      </c>
      <c r="I35" s="1" cm="1">
        <f t="array" aca="1" ref="I35" ca="1">_xlfn.LET(
  _xlpm.ε, (_xlfn.BETA.INV(RAND(), 5, 5) - 0.5) * 2,
  _xlpm.Scenario,H35,
  _xlpm.pre_scenario,H34,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_xlpm.ρ*(I34-_xlpm.μ_prev) + _xlpm.σ * _xlpm.ε
)</f>
        <v>6.9311089957241501E-2</v>
      </c>
      <c r="J35" s="1" cm="1">
        <f t="array" aca="1" ref="J35" ca="1">_xlfn.LET(
  _xlpm.ε, (_xlfn.BETA.INV(RAND(), 5, 5) - 0.5) * 2,
  _xlpm.Scenario,H35,
  _xlpm.pre_scenario,H34,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_xlpm.ρ*(MAX(J34, -0.05)-_xlpm.μ_prev) + _xlpm.σ * _xlpm.ε
)</f>
        <v>2.1043964907147231E-2</v>
      </c>
      <c r="K35" s="1" cm="1">
        <f t="array" aca="1" ref="K35" ca="1">_xlfn.LET(
  _xlpm.ε, (_xlfn.BETA.INV(RAND(), 5, 5) - 0.5) * 2,
  _xlpm.Scenario,H35,
  _xlpm.pre_scenario,H34,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_xlpm.ρ*(MAX(K34, -0.07)-_xlpm.μ_prev) + _xlpm.σ * _xlpm.ε
)</f>
        <v>0.16194144683294207</v>
      </c>
      <c r="L35" s="1">
        <f t="shared" ca="1" si="2"/>
        <v>8.262005950492339E-2</v>
      </c>
      <c r="M35" s="23">
        <f t="shared" ca="1" si="5"/>
        <v>24064.796561143488</v>
      </c>
      <c r="N35" s="23">
        <f t="shared" ca="1" si="3"/>
        <v>11424.198866728433</v>
      </c>
      <c r="O35" s="23">
        <f t="shared" ca="1" si="4"/>
        <v>58253.897820661528</v>
      </c>
      <c r="P35" s="1" cm="1">
        <f t="array" aca="1" ref="P35" ca="1">_xlfn.LET(
  _xlpm.state, H35,
  _xlpm.last, P34,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MAX(0,_xlfn.IFS(A34=49,-_xlfn.NORM.INV(RAND(), 0.01, 0.005), A34=57,ABS(_xlfn.NORM.INV(RAND(), 0.02, 0.01)),TRUE,0))
)</f>
        <v>1.8014170143637771E-2</v>
      </c>
      <c r="Q35" s="1">
        <f t="shared" ca="1" si="6"/>
        <v>0.4747265923359042</v>
      </c>
      <c r="S35" s="113" cm="1">
        <f t="array" aca="1" ref="S35" ca="1">_xlfn.LET(
    _xlpm.KS_rate, $V$2 + 3%,
    _xlpm.ESCT_rate, 3%,
    _xlpm.W_HS, $V$3,
    _xlpm.W_HR, $V$4,
    _xlpm.W_SH, $V$5,
    _xlpm.salary, C35,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I35 + _xlpm.W_HR * J35 + _xlpm.W_SH * K35,
    _xlpm.net_growth, (1 + _xlpm.return_rate) * (1 - 28%),
    _xlpm.prev_value, S34,
    _xlpm.result, (_xlpm.prev_value + _xlpm.ks_contrib) * _xlpm.net_growth,
    _xlpm.result
)</f>
        <v>55368.70298132734</v>
      </c>
      <c r="T35" s="113" cm="1">
        <f t="array" aca="1" ref="T35" ca="1">_xlfn.LET(
    _xlpm.KS_rate, $V$2 + 3%,
    _xlpm.ESCT_rate, 3%,
    _xlpm.W_HS, $V$3,
    _xlpm.W_HR, $V$4,
    _xlpm.W_SH, $V$5,
    _xlpm.salary, C35,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I35 + _xlpm.W_HR * J35 + _xlpm.W_SH * K35,
    _xlpm.net_growth, (1 + _xlpm.return_rate) * (1 - 28%),
    _xlpm.prev_value, IF(ROW()=2, 0, S34),
    _xlpm.base, IF(ROW()=2,
        _xlpm.ks_contrib,
        _xlpm.prev_value + _xlpm.ks_contrib
    ),
    _xlpm.current_value, _xlpm.base * _xlpm.net_growth,
    _xlpm.real_value, _xlpm.current_value * Q35,
    _xlpm.real_value
)</f>
        <v>26284.995688384348</v>
      </c>
      <c r="X35" s="113" cm="1">
        <f t="array" aca="1" ref="X35" ca="1">_xlfn.LET(
   _xlpm.KS_rate, Dashboard!$Q$2 + 3%,
    _xlpm.ESCT_rate, 3%,
    _xlpm.W_HS, _xlfn.SWITCH(H34,
        "Recession", Dashboard!$Q$4,
        "Normal",    Dashboard!$Q$8,
        "Boom",      Dashboard!$Q$12    ),
    _xlpm.W_HR, _xlfn.SWITCH(H34,
        "Recession", Dashboard!$Q$5,
        "Normal",    Dashboard!$Q$9,
        "Boom",      Dashboard!$Q$13    ),
    _xlpm.W_SH, _xlfn.SWITCH(H34,
        "Recession", Dashboard!$Q$6,
        "Normal",    Dashboard!$Q$10,
        "Boom",      Dashboard!$Q$14    ),
    _xlpm.salary, C35,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I35 + _xlpm.W_HR * J35 + _xlpm.W_SH * K35,
    _xlpm.net_growth, (1 + _xlpm.return_rate) * (1 - 28%),
    _xlpm.prev_value, S34,
    _xlpm.result, (_xlpm.prev_value + _xlpm.ks_contrib) * _xlpm.net_growth,
    _xlpm.result
)</f>
        <v>55822.4789084734</v>
      </c>
      <c r="Y35" s="113" cm="1">
        <f t="array" aca="1" ref="Y35" ca="1">_xlfn.LET(
    _xlpm.KS_rate, Dashboard!$Q$2 + 3%,
    _xlpm.ESCT_rate, 3%,
    _xlpm.W_HS, _xlfn.SWITCH(H35,
        "Recession", Dashboard!$Q$4,
        "Normal",    Dashboard!$Q$8,
        "Boom",      Dashboard!$Q$12    ),
    _xlpm.W_HR, _xlfn.SWITCH(H35,
        "Recession", Dashboard!$Q$5,
        "Normal",    Dashboard!$Q$9,
        "Boom",      Dashboard!$Q$13    ),
    _xlpm.W_SH, _xlfn.SWITCH(H35,
        "Recession", Dashboard!$Q$6,
        "Normal",    Dashboard!$Q$10,
        "Boom",      Dashboard!$Q$14    ),
    _xlpm.salary, C35,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I35 + _xlpm.W_HR * J35 + _xlpm.W_SH * K35,
    _xlpm.net_growth, (1 + _xlpm.return_rate) * (1 - 28%),
    _xlpm.prev_value, IF(ROW()=2, 0, X34),
    _xlpm.base, IF(ROW()=2, _xlpm.ks_contrib, _xlpm.prev_value + _xlpm.ks_contrib),
    _xlpm.current_value, _xlpm.base * _xlpm.net_growth,
    _xlpm.real_value, _xlpm.current_value * Q35,
    _xlpm.real_value
)</f>
        <v>28227.431604278408</v>
      </c>
      <c r="Z35" s="1">
        <v>142620.60276186929</v>
      </c>
    </row>
    <row r="36" spans="1:26">
      <c r="A36" s="1">
        <v>64</v>
      </c>
      <c r="B36" s="6">
        <f ca="1">VLOOKUP(t4_salaryGrowthevent!J36,t4_salaryGrowthevent!J:J,1,FALSE)</f>
        <v>0</v>
      </c>
      <c r="C36" s="23">
        <f ca="1">VLOOKUP(t4_salaryGrowthevent!B36,t4_salaryGrowthevent!B:B,1,FALSE)</f>
        <v>142023.2951013736</v>
      </c>
      <c r="D36" s="23" cm="1">
        <f t="array" aca="1" ref="D36" ca="1">_xlfn.LET(
  _xlpm.taxable, C36,
  _xlpm.kiwisaver,C36*0.03,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C36 * 0.0167,
  _xlpm.taxable - _xlpm.incomeTax - _xlpm.acc - _xlpm.kiwisaver
)</f>
        <v>98645.619836686164</v>
      </c>
      <c r="E36" s="23">
        <f t="shared" ca="1" si="0"/>
        <v>8521.3977060824163</v>
      </c>
      <c r="F36" s="23" cm="1">
        <f t="array" aca="1" ref="F36" ca="1" xml:space="preserve"> C36 * 3% * _xlfn.IFS(
   C36 + C36 * 3% &lt;= 18720, 10.5%,
   C36 + C36 * 3% &lt;= 64200, 17.5%,
   C36 + C36 * 3% &lt;= 93720, 30%,
   C36 + C36 * 3% &lt;= 216000, 33%,
   C36 + C36 * 3% &gt; 216000, 39%
)</f>
        <v>1406.0306215035987</v>
      </c>
      <c r="G36" s="23">
        <f t="shared" ca="1" si="1"/>
        <v>7636.7970845788177</v>
      </c>
      <c r="H36" s="23" t="str" cm="1">
        <f t="array" aca="1" ref="H36" ca="1">_xlfn.IFS(
  H35="Boom", CHOOSE(MATCH(RAND(), {0,0.67,1}, 1), "Normal", "Recession"),
  H35="Normal", CHOOSE(MATCH(RAND(), {0,0.18,0.82,1}, 1), "Boom", "Normal", "Recession"),
  H35="Recession", CHOOSE(MATCH(RAND(), {0,0.17,0.34,1}, 1), "Boom", "Normal", "Recession")
)</f>
        <v>Normal</v>
      </c>
      <c r="I36" s="1" cm="1">
        <f t="array" aca="1" ref="I36" ca="1">_xlfn.LET(
  _xlpm.ε, (_xlfn.BETA.INV(RAND(), 5, 5) - 0.5) * 2,
  _xlpm.Scenario,H36,
  _xlpm.pre_scenario,H35,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_xlpm.ρ*(I35-_xlpm.μ_prev) + _xlpm.σ * _xlpm.ε
)</f>
        <v>5.2107234497503797E-2</v>
      </c>
      <c r="J36" s="1" cm="1">
        <f t="array" aca="1" ref="J36" ca="1">_xlfn.LET(
  _xlpm.ε, (_xlfn.BETA.INV(RAND(), 5, 5) - 0.5) * 2,
  _xlpm.Scenario,H36,
  _xlpm.pre_scenario,H35,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_xlpm.ρ*(MAX(J35, -0.05)-_xlpm.μ_prev) + _xlpm.σ * _xlpm.ε
)</f>
        <v>8.1145322707003475E-2</v>
      </c>
      <c r="K36" s="1" cm="1">
        <f t="array" aca="1" ref="K36" ca="1">_xlfn.LET(
  _xlpm.ε, (_xlfn.BETA.INV(RAND(), 5, 5) - 0.5) * 2,
  _xlpm.Scenario,H36,
  _xlpm.pre_scenario,H35,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_xlpm.ρ*(MAX(K35, -0.07)-_xlpm.μ_prev) + _xlpm.σ * _xlpm.ε
)</f>
        <v>0.1256230541671291</v>
      </c>
      <c r="L36" s="1">
        <f t="shared" ca="1" si="2"/>
        <v>8.2873406861241283E-2</v>
      </c>
      <c r="M36" s="23">
        <f t="shared" ca="1" si="5"/>
        <v>24716.745154133278</v>
      </c>
      <c r="N36" s="23">
        <f t="shared" ca="1" si="3"/>
        <v>11571.58888052751</v>
      </c>
      <c r="O36" s="23">
        <f t="shared" ca="1" si="4"/>
        <v>57754.310371429623</v>
      </c>
      <c r="P36" s="1" cm="1">
        <f t="array" aca="1" ref="P36" ca="1">_xlfn.LET(
  _xlpm.state, H36,
  _xlpm.last, P35,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MAX(0,_xlfn.IFS(A35=49,-_xlfn.NORM.INV(RAND(), 0.01, 0.005), A35=57,ABS(_xlfn.NORM.INV(RAND(), 0.02, 0.01)),TRUE,0))
)</f>
        <v>1.4009080499044337E-2</v>
      </c>
      <c r="Q36" s="1">
        <f t="shared" ca="1" si="6"/>
        <v>0.46816798928690823</v>
      </c>
      <c r="S36" s="113" cm="1">
        <f t="array" aca="1" ref="S36" ca="1">_xlfn.LET(
    _xlpm.KS_rate, $V$2 + 3%,
    _xlpm.ESCT_rate, 3%,
    _xlpm.W_HS, $V$3,
    _xlpm.W_HR, $V$4,
    _xlpm.W_SH, $V$5,
    _xlpm.salary, C36,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I36 + _xlpm.W_HR * J36 + _xlpm.W_SH * K36,
    _xlpm.net_growth, (1 + _xlpm.return_rate) * (1 - 28%),
    _xlpm.prev_value, S35,
    _xlpm.result, (_xlpm.prev_value + _xlpm.ks_contrib) * _xlpm.net_growth,
    _xlpm.result
)</f>
        <v>56874.605736074278</v>
      </c>
      <c r="T36" s="113" cm="1">
        <f t="array" aca="1" ref="T36" ca="1">_xlfn.LET(
    _xlpm.KS_rate, $V$2 + 3%,
    _xlpm.ESCT_rate, 3%,
    _xlpm.W_HS, $V$3,
    _xlpm.W_HR, $V$4,
    _xlpm.W_SH, $V$5,
    _xlpm.salary, C36,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I36 + _xlpm.W_HR * J36 + _xlpm.W_SH * K36,
    _xlpm.net_growth, (1 + _xlpm.return_rate) * (1 - 28%),
    _xlpm.prev_value, IF(ROW()=2, 0, S35),
    _xlpm.base, IF(ROW()=2,
        _xlpm.ks_contrib,
        _xlpm.prev_value + _xlpm.ks_contrib
    ),
    _xlpm.current_value, _xlpm.base * _xlpm.net_growth,
    _xlpm.real_value, _xlpm.current_value * Q36,
    _xlpm.real_value
)</f>
        <v>26626.869808943553</v>
      </c>
      <c r="X36" s="113" cm="1">
        <f t="array" aca="1" ref="X36" ca="1">_xlfn.LET(
   _xlpm.KS_rate, Dashboard!$Q$2 + 3%,
    _xlpm.ESCT_rate, 3%,
    _xlpm.W_HS, _xlfn.SWITCH(H35,
        "Recession", Dashboard!$Q$4,
        "Normal",    Dashboard!$Q$8,
        "Boom",      Dashboard!$Q$12    ),
    _xlpm.W_HR, _xlfn.SWITCH(H35,
        "Recession", Dashboard!$Q$5,
        "Normal",    Dashboard!$Q$9,
        "Boom",      Dashboard!$Q$13    ),
    _xlpm.W_SH, _xlfn.SWITCH(H35,
        "Recession", Dashboard!$Q$6,
        "Normal",    Dashboard!$Q$10,
        "Boom",      Dashboard!$Q$14    ),
    _xlpm.salary, C36,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I36 + _xlpm.W_HR * J36 + _xlpm.W_SH * K36,
    _xlpm.net_growth, (1 + _xlpm.return_rate) * (1 - 28%),
    _xlpm.prev_value, S35,
    _xlpm.result, (_xlpm.prev_value + _xlpm.ks_contrib) * _xlpm.net_growth,
    _xlpm.result
)</f>
        <v>57951.871654760987</v>
      </c>
      <c r="Y36" s="113" cm="1">
        <f t="array" aca="1" ref="Y36" ca="1">_xlfn.LET(
    _xlpm.KS_rate, Dashboard!$Q$2 + 3%,
    _xlpm.ESCT_rate, 3%,
    _xlpm.W_HS, _xlfn.SWITCH(H36,
        "Recession", Dashboard!$Q$4,
        "Normal",    Dashboard!$Q$8,
        "Boom",      Dashboard!$Q$12    ),
    _xlpm.W_HR, _xlfn.SWITCH(H36,
        "Recession", Dashboard!$Q$5,
        "Normal",    Dashboard!$Q$9,
        "Boom",      Dashboard!$Q$13    ),
    _xlpm.W_SH, _xlfn.SWITCH(H36,
        "Recession", Dashboard!$Q$6,
        "Normal",    Dashboard!$Q$10,
        "Boom",      Dashboard!$Q$14    ),
    _xlpm.salary, C36,
    _xlpm.salary_with_employer, _xlpm.salary + _xlpm.salary * _xlpm.ESCT_rate,
    _xlpm.esct, _xlpm.salary * _xlpm.ESCT_rate * _xlfn.IFS(
        _xlpm.salary_with_employer &lt;= 18720, 10.5%,
        _xlpm.salary_with_employer &lt;= 64200, 17.5%,
        _xlpm.salary_with_employer &lt;= 93720, 30%,
        _xlpm.salary_with_employer &lt;= 216000, 33%,
        _xlpm.salary_with_employer &gt; 216000, 39%
    ),
    _xlpm.ks_contrib, _xlpm.salary * _xlpm.KS_rate - _xlpm.esct + 521.43,
    _xlpm.return_rate, _xlpm.W_HS * I36 + _xlpm.W_HR * J36 + _xlpm.W_SH * K36,
    _xlpm.net_growth, (1 + _xlpm.return_rate) * (1 - 28%),
    _xlpm.prev_value, IF(ROW()=2, 0, X35),
    _xlpm.base, IF(ROW()=2, _xlpm.ks_contrib, _xlpm.prev_value + _xlpm.ks_contrib),
    _xlpm.current_value, _xlpm.base * _xlpm.net_growth,
    _xlpm.real_value, _xlpm.current_value * Q36,
    _xlpm.real_value
)</f>
        <v>27299.984014663492</v>
      </c>
      <c r="Z36" s="1">
        <v>142620.60276186929</v>
      </c>
    </row>
    <row r="37" spans="1:26">
      <c r="B37" s="6"/>
      <c r="C37" s="23"/>
      <c r="D37" s="23"/>
      <c r="E37" s="23"/>
      <c r="F37" s="23"/>
      <c r="G37" s="23"/>
      <c r="H37" s="23"/>
      <c r="M37" s="23"/>
      <c r="N37" s="23"/>
      <c r="O37" s="23"/>
      <c r="S37" s="113"/>
      <c r="T37" s="172">
        <f ca="1">SUM(T2:T36)</f>
        <v>930999.08959756582</v>
      </c>
      <c r="X37" s="113"/>
      <c r="Y37" s="171">
        <f ca="1">SUM(Y2:Y36)</f>
        <v>971637.43746065383</v>
      </c>
    </row>
    <row r="38" spans="1:26">
      <c r="B38" s="6"/>
      <c r="C38" s="23"/>
      <c r="D38" s="23"/>
      <c r="E38" s="23"/>
      <c r="F38" s="23"/>
      <c r="G38" s="23"/>
      <c r="H38" s="23"/>
      <c r="M38" s="23"/>
      <c r="N38" s="23"/>
      <c r="O38" s="23"/>
      <c r="S38" s="113"/>
      <c r="T38" s="1" t="s">
        <v>115</v>
      </c>
      <c r="X38" s="113"/>
      <c r="Y38" s="1" t="s">
        <v>116</v>
      </c>
    </row>
    <row r="40" spans="1:26">
      <c r="D40" s="3"/>
      <c r="N40" s="23"/>
      <c r="T40" s="113"/>
      <c r="Y40" s="113"/>
    </row>
    <row r="44" spans="1:26">
      <c r="X44" s="113"/>
    </row>
  </sheetData>
  <phoneticPr fontId="2"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CA93F-8714-4636-B38E-703D9E356433}">
  <sheetPr codeName="Sheet9">
    <tabColor theme="7"/>
  </sheetPr>
  <dimension ref="A1:Y38"/>
  <sheetViews>
    <sheetView topLeftCell="A7" workbookViewId="0">
      <selection activeCell="D38" sqref="D38"/>
    </sheetView>
  </sheetViews>
  <sheetFormatPr defaultColWidth="8.59765625" defaultRowHeight="13.9"/>
  <cols>
    <col min="1" max="1" width="11.59765625" style="1" customWidth="1"/>
    <col min="2" max="2" width="14.1328125" style="1" customWidth="1"/>
    <col min="3" max="3" width="17.59765625" style="1" customWidth="1"/>
    <col min="4" max="4" width="13.73046875" style="1" customWidth="1"/>
    <col min="5" max="5" width="15.1328125" style="1" customWidth="1"/>
    <col min="6" max="6" width="13.3984375" style="1" customWidth="1"/>
    <col min="7" max="7" width="12.3984375" style="1" customWidth="1"/>
    <col min="8" max="8" width="8.59765625" style="1"/>
    <col min="9" max="9" width="12.1328125" style="1" customWidth="1"/>
    <col min="10" max="10" width="16.3984375" style="1" customWidth="1"/>
    <col min="11" max="11" width="14" style="1" customWidth="1"/>
    <col min="12" max="12" width="17.3984375" style="1" customWidth="1"/>
    <col min="13" max="13" width="11.3984375" style="1" customWidth="1"/>
    <col min="14" max="14" width="9" style="1" customWidth="1"/>
    <col min="15" max="15" width="8.59765625" style="1"/>
    <col min="16" max="16" width="14" style="1" customWidth="1"/>
    <col min="17" max="17" width="8.1328125" style="1" bestFit="1" customWidth="1"/>
    <col min="18" max="19" width="6.1328125" style="1" bestFit="1" customWidth="1"/>
    <col min="20" max="20" width="22.3984375" style="1" customWidth="1"/>
    <col min="21" max="21" width="13.73046875" style="1" customWidth="1"/>
    <col min="22" max="22" width="13.59765625" style="1" customWidth="1"/>
    <col min="23" max="23" width="13.3984375" style="1" customWidth="1"/>
    <col min="24" max="24" width="13.59765625" style="1" customWidth="1"/>
    <col min="25" max="16384" width="8.59765625" style="1"/>
  </cols>
  <sheetData>
    <row r="1" spans="1:25" ht="83.65" customHeight="1">
      <c r="A1" s="2" t="s">
        <v>91</v>
      </c>
      <c r="B1" s="2" t="s">
        <v>117</v>
      </c>
      <c r="C1" s="2" t="s">
        <v>118</v>
      </c>
      <c r="D1" s="7" t="s">
        <v>119</v>
      </c>
      <c r="E1" s="7" t="s">
        <v>120</v>
      </c>
      <c r="F1" s="7" t="s">
        <v>121</v>
      </c>
      <c r="G1" s="7" t="s">
        <v>122</v>
      </c>
      <c r="H1" s="7" t="s">
        <v>123</v>
      </c>
      <c r="I1" s="7" t="s">
        <v>124</v>
      </c>
      <c r="J1" s="107" t="s">
        <v>125</v>
      </c>
      <c r="K1" s="2" t="s">
        <v>126</v>
      </c>
      <c r="L1" s="7" t="s">
        <v>127</v>
      </c>
      <c r="M1" s="7" t="s">
        <v>128</v>
      </c>
      <c r="P1" s="7" t="s">
        <v>129</v>
      </c>
      <c r="Q1" s="7" t="s">
        <v>130</v>
      </c>
      <c r="R1" s="7" t="s">
        <v>131</v>
      </c>
      <c r="S1" s="7" t="s">
        <v>132</v>
      </c>
      <c r="T1" s="7" t="s">
        <v>133</v>
      </c>
      <c r="U1" s="175" t="s">
        <v>134</v>
      </c>
      <c r="V1" s="175" t="s">
        <v>135</v>
      </c>
      <c r="W1" s="175" t="s">
        <v>136</v>
      </c>
      <c r="X1" s="7"/>
    </row>
    <row r="2" spans="1:25" ht="27.75">
      <c r="A2" s="1" cm="1">
        <f t="array" ref="A2:A36">_xlfn.SEQUENCE(35,1,30,1)</f>
        <v>30</v>
      </c>
      <c r="B2" s="1">
        <f>IF(A2=30, 70000, B1 * (1 + J2))</f>
        <v>70000</v>
      </c>
      <c r="C2" s="1" t="s">
        <v>27</v>
      </c>
      <c r="D2" s="3" cm="1">
        <f t="array" ref="D2">_xlfn.IFS(
  A2&lt;=45,
    _xlfn.SWITCH(C2,
      "Boom", salaryParameters!$E$24,
      "Normal", salaryParameters!$E$25,
      "Recession", salaryParameters!$E$26    ),
  A2&gt;=46,
    _xlfn.SWITCH(C2,
      "Boom", salaryParameters!$E$27,
      "Normal", salaryParameters!$E$28,
      "Recession", salaryParameters!$E$29    )
)</f>
        <v>3.4999985347503544E-2</v>
      </c>
      <c r="E2" s="1" cm="1">
        <f t="array" ref="E2">_xlfn.IFS(
  A2&lt;=45,
    _xlfn.SWITCH(C2,
      "Boom", salaryParameters!$F$24,
      "Normal", salaryParameters!$F$25,
      "Recession", salaryParameters!$F$26    ),
  A2&gt;=46,
    _xlfn.SWITCH(C2,
      "Boom", salaryParameters!$F$27,
      "Normal", salaryParameters!$F$28,
      "Recession", salaryParameters!$F$29    )
)</f>
        <v>6.9999941994113067E-3</v>
      </c>
      <c r="F2" s="1" cm="1">
        <f t="array" aca="1" ref="F2" ca="1">_xlfn.SWITCH(C2,
  "Boom", IF(A2&lt;=45, _xlfn.RANDARRAY(1,1,0.3,0.4,FALSE), _xlfn.RANDARRAY(1,1,0.7,0.8,FALSE)),
  "Normal", IF(A2&lt;=45, _xlfn.RANDARRAY(1,1,0.4,0.5,FALSE), _xlfn.RANDARRAY(1,1,0.7,0.8,FALSE)),
  "Recession", IF(A2&lt;=45, _xlfn.RANDARRAY(1,1,0.5,0.6,FALSE), _xlfn.RANDARRAY(1,1,0.8,0.9,FALSE))
)</f>
        <v>0.42394927149971795</v>
      </c>
      <c r="G2" s="1">
        <f ca="1">IF(A2=30,
    0.035,
    IF(AND(A2&gt;=31, A2&lt;=45),
        D2 + MAX(0, F2 * (G1 - D2) + E2 * _xlfn.NORM.S.INV(RAND())),
        IF(A2=46,
            D2 + MAX(0, E2 * _xlfn.NORM.S.INV(RAND())),
            D2 + MAX(0, F2 * (G1 - D2) + E2 * _xlfn.NORM.S.INV(RAND()))
        )
    )
)</f>
        <v>3.5000000000000003E-2</v>
      </c>
      <c r="H2" s="1">
        <v>3.5000000000000003E-2</v>
      </c>
      <c r="I2" s="1">
        <f ca="1">IF(A2&lt;=45,0.5*G2+0.5*H2,G2)</f>
        <v>3.5000000000000003E-2</v>
      </c>
      <c r="J2" s="1" cm="1">
        <f t="array" aca="1" ref="J2" ca="1">_xlfn.LET(
  _xlpm.age, A2,
  _xlpm.scenario, C2,
  _xlpm.r, L2,
  _xlpm.event, K2,
  _xlpm.μ_base, D2,
  _xlpm.σ_base, E2,
  _xlpm.ρ_base, F2,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G1,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3.4750000000000003E-2</v>
      </c>
      <c r="K2" s="1" t="s">
        <v>137</v>
      </c>
      <c r="L2" s="1">
        <v>0.85553109645843506</v>
      </c>
      <c r="M2" s="1" cm="1">
        <f t="array" aca="1" ref="M2" ca="1">_xlfn.LET(
  _xlpm.age, A2,
  _xlpm.scenario, C2,
  _xlpm.r, L2,
  _xlpm.event, K2,
  _xlpm.μ_base, D2,
  _xlpm.σ_base, E2,
  _xlpm.ρ_base, F2,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G1,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3.4750000000000003E-2</v>
      </c>
      <c r="P2" s="3" t="s">
        <v>138</v>
      </c>
      <c r="Q2" s="3">
        <v>0.01</v>
      </c>
      <c r="R2" s="3">
        <v>0.01</v>
      </c>
      <c r="S2" s="3">
        <v>0.2</v>
      </c>
      <c r="T2" s="3" t="s">
        <v>139</v>
      </c>
      <c r="U2" s="3" t="s">
        <v>140</v>
      </c>
      <c r="V2" s="3" t="s">
        <v>141</v>
      </c>
      <c r="W2" s="96" t="s">
        <v>142</v>
      </c>
      <c r="X2" s="96"/>
      <c r="Y2" s="96"/>
    </row>
    <row r="3" spans="1:25" ht="27.75">
      <c r="A3" s="1">
        <v>31</v>
      </c>
      <c r="B3" s="1">
        <f t="shared" ref="B3:B36" si="0">IF(A3=30, 70000, B2 * (1 + J3))</f>
        <v>72432.5</v>
      </c>
      <c r="C3" s="1" t="str" cm="1">
        <f t="array" aca="1" ref="C3" ca="1">_xlfn.IFS(
  C2="Boom", CHOOSE(MATCH(RAND(), {0,0.67,1}, 1), "Normal", "Recession"),
  C2="Normal", CHOOSE(MATCH(RAND(), {0,0.18,0.82,1}, 1), "Boom", "Normal", "Recession"),
  C2="Recession", CHOOSE(MATCH(RAND(), {0,0.17,0.34,1}, 1), "Boom", "Normal", "Recession")
)</f>
        <v>Normal</v>
      </c>
      <c r="D3" s="3" cm="1">
        <f t="array" aca="1" ref="D3" ca="1">_xlfn.IFS(
  A3&lt;=45,
    _xlfn.SWITCH(C3,
      "Boom", salaryParameters!$E$24,
      "Normal", salaryParameters!$E$25,
      "Recession", salaryParameters!$E$26    ),
  A3&gt;=46,
    _xlfn.SWITCH(C3,
      "Boom", salaryParameters!$E$27,
      "Normal", salaryParameters!$E$28,
      "Recession", salaryParameters!$E$29    )
)</f>
        <v>3.4999985347503544E-2</v>
      </c>
      <c r="E3" s="1" cm="1">
        <f t="array" aca="1" ref="E3" ca="1">_xlfn.IFS(
  A3&lt;=45,
    _xlfn.SWITCH(C3,
      "Boom", salaryParameters!$F$24,
      "Normal", salaryParameters!$F$25,
      "Recession", salaryParameters!$F$26    ),
  A3&gt;=46,
    _xlfn.SWITCH(C3,
      "Boom", salaryParameters!$F$27,
      "Normal", salaryParameters!$F$28,
      "Recession", salaryParameters!$F$29    )
)</f>
        <v>6.9999941994113067E-3</v>
      </c>
      <c r="F3" s="1" cm="1">
        <f t="array" aca="1" ref="F3" ca="1">_xlfn.SWITCH(C3,
  "Boom", IF(A3&lt;=45, _xlfn.RANDARRAY(1,1,0.3,0.4,FALSE), _xlfn.RANDARRAY(1,1,0.7,0.8,FALSE)),
  "Normal", IF(A3&lt;=45, _xlfn.RANDARRAY(1,1,0.4,0.5,FALSE), _xlfn.RANDARRAY(1,1,0.7,0.8,FALSE)),
  "Recession", IF(A3&lt;=45, _xlfn.RANDARRAY(1,1,0.5,0.6,FALSE), _xlfn.RANDARRAY(1,1,0.8,0.9,FALSE))
)</f>
        <v>0.4558855481416888</v>
      </c>
      <c r="G3" s="1">
        <f t="shared" ref="G3:G36" ca="1" si="1">IF(A3=30,
    0.035,
    IF(AND(A3&gt;=31, A3&lt;=45),
        D3 + MAX(0, F3 * (G2 - D3) + E3 * _xlfn.NORM.S.INV(RAND())),
        IF(A3=46,
            D3 + MAX(0, E3 * _xlfn.NORM.S.INV(RAND())),
            D3 + MAX(0, F3 * (G2 - D3) + E3 * _xlfn.NORM.S.INV(RAND()))
        )
    )
)</f>
        <v>3.4999985347503544E-2</v>
      </c>
      <c r="H3" s="1" cm="1">
        <f t="array" aca="1" ref="H3" ca="1">_xlfn.SWITCH(C3,
  "Boom", _xlfn.BETA.INV(RAND(), 2, 1.5, 0.03, 0.05),
  "Normal", _xlfn.BETA.INV(RAND(), 1.364706192, 1, 0.02, 0.045991351),
  "Recession", _xlfn.BETA.INV(RAND(), 2.699989178, 1.5, 0.01, 0.038)
)</f>
        <v>3.6271074359714058E-2</v>
      </c>
      <c r="I3" s="1">
        <f t="shared" ref="I3:I36" ca="1" si="2">IF(A3&lt;=45,0.5*G3+0.5*H3,G3)</f>
        <v>3.5635529853608801E-2</v>
      </c>
      <c r="J3" s="1">
        <v>3.4750000000000003E-2</v>
      </c>
      <c r="K3" s="1" t="s">
        <v>138</v>
      </c>
      <c r="L3" s="1">
        <v>2.5062620639801025E-2</v>
      </c>
      <c r="M3" s="1" cm="1">
        <f t="array" aca="1" ref="M3" ca="1">_xlfn.LET(
  _xlpm.age, A3,
  _xlpm.scenario, C3,
  _xlpm.r, L3,
  _xlpm.event, K3,
  _xlpm.μ_base, D3,
  _xlpm.σ_base, E3,
  _xlpm.ρ_base, F3,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G2,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3.3372304934613226E-2</v>
      </c>
      <c r="P3" s="3" t="s">
        <v>64</v>
      </c>
      <c r="Q3" s="3">
        <v>-5.0000000000000001E-3</v>
      </c>
      <c r="R3" s="3">
        <v>1.4999999999999999E-2</v>
      </c>
      <c r="S3" s="3">
        <v>-0.1</v>
      </c>
      <c r="T3" s="3" t="s">
        <v>143</v>
      </c>
      <c r="U3" s="3" t="s">
        <v>144</v>
      </c>
      <c r="V3" s="3" t="s">
        <v>145</v>
      </c>
      <c r="W3" s="96" t="s">
        <v>146</v>
      </c>
      <c r="X3" s="97"/>
      <c r="Y3" s="96"/>
    </row>
    <row r="4" spans="1:25" ht="14.25">
      <c r="A4" s="1">
        <v>32</v>
      </c>
      <c r="B4" s="1">
        <f t="shared" si="0"/>
        <v>74949.529374999998</v>
      </c>
      <c r="C4" s="1" t="str" cm="1">
        <f t="array" aca="1" ref="C4" ca="1">_xlfn.IFS(
  C3="Boom", CHOOSE(MATCH(RAND(), {0,0.67,1}, 1), "Normal", "Recession"),
  C3="Normal", CHOOSE(MATCH(RAND(), {0,0.18,0.82,1}, 1), "Boom", "Normal", "Recession"),
  C3="Recession", CHOOSE(MATCH(RAND(), {0,0.17,0.34,1}, 1), "Boom", "Normal", "Recession")
)</f>
        <v>Normal</v>
      </c>
      <c r="D4" s="3" cm="1">
        <f t="array" aca="1" ref="D4" ca="1">_xlfn.IFS(
  A4&lt;=45,
    _xlfn.SWITCH(C4,
      "Boom", salaryParameters!$E$24,
      "Normal", salaryParameters!$E$25,
      "Recession", salaryParameters!$E$26    ),
  A4&gt;=46,
    _xlfn.SWITCH(C4,
      "Boom", salaryParameters!$E$27,
      "Normal", salaryParameters!$E$28,
      "Recession", salaryParameters!$E$29    )
)</f>
        <v>3.4999985347503544E-2</v>
      </c>
      <c r="E4" s="1" cm="1">
        <f t="array" aca="1" ref="E4" ca="1">_xlfn.IFS(
  A4&lt;=45,
    _xlfn.SWITCH(C4,
      "Boom", salaryParameters!$F$24,
      "Normal", salaryParameters!$F$25,
      "Recession", salaryParameters!$F$26    ),
  A4&gt;=46,
    _xlfn.SWITCH(C4,
      "Boom", salaryParameters!$F$27,
      "Normal", salaryParameters!$F$28,
      "Recession", salaryParameters!$F$29    )
)</f>
        <v>6.9999941994113067E-3</v>
      </c>
      <c r="F4" s="1" cm="1">
        <f t="array" aca="1" ref="F4" ca="1">_xlfn.SWITCH(C4,
  "Boom", IF(A4&lt;=45, _xlfn.RANDARRAY(1,1,0.3,0.4,FALSE), _xlfn.RANDARRAY(1,1,0.7,0.8,FALSE)),
  "Normal", IF(A4&lt;=45, _xlfn.RANDARRAY(1,1,0.4,0.5,FALSE), _xlfn.RANDARRAY(1,1,0.7,0.8,FALSE)),
  "Recession", IF(A4&lt;=45, _xlfn.RANDARRAY(1,1,0.5,0.6,FALSE), _xlfn.RANDARRAY(1,1,0.8,0.9,FALSE))
)</f>
        <v>0.49269832686340154</v>
      </c>
      <c r="G4" s="1">
        <f t="shared" ca="1" si="1"/>
        <v>3.4999985347503544E-2</v>
      </c>
      <c r="H4" s="1" cm="1">
        <f t="array" aca="1" ref="H4" ca="1">_xlfn.SWITCH(C4,
  "Boom", _xlfn.BETA.INV(RAND(), 2, 1.5, 0.03, 0.05),
  "Normal", _xlfn.BETA.INV(RAND(), 1.364706192, 1, 0.02, 0.045991351),
  "Recession", _xlfn.BETA.INV(RAND(), 2.699989178, 1.5, 0.01, 0.038)
)</f>
        <v>4.5326007923183462E-2</v>
      </c>
      <c r="I4" s="1">
        <f t="shared" ca="1" si="2"/>
        <v>4.0162996635343506E-2</v>
      </c>
      <c r="J4" s="1">
        <v>3.4750000000000003E-2</v>
      </c>
      <c r="K4" s="1" t="s">
        <v>137</v>
      </c>
      <c r="L4" s="1">
        <v>0.46733474731445313</v>
      </c>
      <c r="M4" s="1" cm="1">
        <f t="array" aca="1" ref="M4" ca="1">_xlfn.LET(
  _xlpm.age, A4,
  _xlpm.scenario, C4,
  _xlpm.r, L4,
  _xlpm.event, K4,
  _xlpm.μ_base, D4,
  _xlpm.σ_base, E4,
  _xlpm.ρ_base, F4,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G3,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3.4942444562744604E-2</v>
      </c>
      <c r="P4" s="3" t="s">
        <v>147</v>
      </c>
      <c r="Q4" s="3">
        <v>-0.02</v>
      </c>
      <c r="R4" s="3">
        <v>0.02</v>
      </c>
      <c r="S4" s="3">
        <v>-0.3</v>
      </c>
      <c r="T4" s="3" t="s">
        <v>148</v>
      </c>
      <c r="U4" s="3" t="s">
        <v>149</v>
      </c>
      <c r="V4" s="3" t="s">
        <v>150</v>
      </c>
      <c r="W4" s="96" t="s">
        <v>151</v>
      </c>
      <c r="X4" s="97"/>
      <c r="Y4" s="96"/>
    </row>
    <row r="5" spans="1:25" ht="27.75">
      <c r="A5" s="1">
        <v>33</v>
      </c>
      <c r="B5" s="1">
        <f>IF(A5=30, 70000, B4 * (1 + J5))</f>
        <v>77554.025520781259</v>
      </c>
      <c r="C5" s="1" t="str" cm="1">
        <f t="array" aca="1" ref="C5" ca="1">_xlfn.IFS(
  C4="Boom", CHOOSE(MATCH(RAND(), {0,0.67,1}, 1), "Normal", "Recession"),
  C4="Normal", CHOOSE(MATCH(RAND(), {0,0.18,0.82,1}, 1), "Boom", "Normal", "Recession"),
  C4="Recession", CHOOSE(MATCH(RAND(), {0,0.17,0.34,1}, 1), "Boom", "Normal", "Recession")
)</f>
        <v>Normal</v>
      </c>
      <c r="D5" s="3" cm="1">
        <f t="array" aca="1" ref="D5" ca="1">_xlfn.IFS(
  A5&lt;=45,
    _xlfn.SWITCH(C5,
      "Boom", salaryParameters!$E$24,
      "Normal", salaryParameters!$E$25,
      "Recession", salaryParameters!$E$26    ),
  A5&gt;=46,
    _xlfn.SWITCH(C5,
      "Boom", salaryParameters!$E$27,
      "Normal", salaryParameters!$E$28,
      "Recession", salaryParameters!$E$29    )
)</f>
        <v>3.4999985347503544E-2</v>
      </c>
      <c r="E5" s="1" cm="1">
        <f t="array" aca="1" ref="E5" ca="1">_xlfn.IFS(
  A5&lt;=45,
    _xlfn.SWITCH(C5,
      "Boom", salaryParameters!$F$24,
      "Normal", salaryParameters!$F$25,
      "Recession", salaryParameters!$F$26    ),
  A5&gt;=46,
    _xlfn.SWITCH(C5,
      "Boom", salaryParameters!$F$27,
      "Normal", salaryParameters!$F$28,
      "Recession", salaryParameters!$F$29    )
)</f>
        <v>6.9999941994113067E-3</v>
      </c>
      <c r="F5" s="1" cm="1">
        <f t="array" aca="1" ref="F5" ca="1">_xlfn.SWITCH(C5,
  "Boom", IF(A5&lt;=45, _xlfn.RANDARRAY(1,1,0.3,0.4,FALSE), _xlfn.RANDARRAY(1,1,0.7,0.8,FALSE)),
  "Normal", IF(A5&lt;=45, _xlfn.RANDARRAY(1,1,0.4,0.5,FALSE), _xlfn.RANDARRAY(1,1,0.7,0.8,FALSE)),
  "Recession", IF(A5&lt;=45, _xlfn.RANDARRAY(1,1,0.5,0.6,FALSE), _xlfn.RANDARRAY(1,1,0.8,0.9,FALSE))
)</f>
        <v>0.44776943336541852</v>
      </c>
      <c r="G5" s="1">
        <f t="shared" ca="1" si="1"/>
        <v>3.4999985347503544E-2</v>
      </c>
      <c r="H5" s="1" cm="1">
        <f t="array" aca="1" ref="H5" ca="1">_xlfn.SWITCH(C5,
  "Boom", _xlfn.BETA.INV(RAND(), 2, 1.5, 0.03, 0.05),
  "Normal", _xlfn.BETA.INV(RAND(), 1.364706192, 1, 0.02, 0.045991351),
  "Recession", _xlfn.BETA.INV(RAND(), 2.699989178, 1.5, 0.01, 0.038)
)</f>
        <v>2.9507549953594822E-2</v>
      </c>
      <c r="I5" s="1">
        <f t="shared" ca="1" si="2"/>
        <v>3.2253767650549187E-2</v>
      </c>
      <c r="J5" s="1">
        <v>3.4750000000000003E-2</v>
      </c>
      <c r="K5" s="1" t="s">
        <v>137</v>
      </c>
      <c r="L5" s="1">
        <v>0.97541826963424683</v>
      </c>
      <c r="M5" s="1" cm="1">
        <f t="array" aca="1" ref="M5" ca="1">_xlfn.LET(
  _xlpm.age, A5,
  _xlpm.scenario, C5,
  _xlpm.r, L5,
  _xlpm.event, K5,
  _xlpm.μ_base, D5,
  _xlpm.σ_base, E5,
  _xlpm.ρ_base, F5,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G4,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4.7145900962833262E-2</v>
      </c>
      <c r="P5" s="3" t="s">
        <v>152</v>
      </c>
      <c r="Q5" s="3">
        <v>-1.4999999999999999E-2</v>
      </c>
      <c r="R5" s="3">
        <v>0.01</v>
      </c>
      <c r="S5" s="3">
        <v>-0.2</v>
      </c>
      <c r="T5" s="3" t="s">
        <v>153</v>
      </c>
      <c r="U5" s="3" t="s">
        <v>154</v>
      </c>
      <c r="V5" s="3" t="s">
        <v>155</v>
      </c>
      <c r="W5" s="96" t="s">
        <v>156</v>
      </c>
      <c r="X5" s="97"/>
      <c r="Y5" s="96"/>
    </row>
    <row r="6" spans="1:25" ht="27.75">
      <c r="A6" s="1">
        <v>34</v>
      </c>
      <c r="B6" s="1">
        <f t="shared" si="0"/>
        <v>80249.027907628406</v>
      </c>
      <c r="C6" s="1" t="str" cm="1">
        <f t="array" aca="1" ref="C6" ca="1">_xlfn.IFS(
  C5="Boom", CHOOSE(MATCH(RAND(), {0,0.67,1}, 1), "Normal", "Recession"),
  C5="Normal", CHOOSE(MATCH(RAND(), {0,0.18,0.82,1}, 1), "Boom", "Normal", "Recession"),
  C5="Recession", CHOOSE(MATCH(RAND(), {0,0.17,0.34,1}, 1), "Boom", "Normal", "Recession")
)</f>
        <v>Recession</v>
      </c>
      <c r="D6" s="3" cm="1">
        <f t="array" aca="1" ref="D6" ca="1">_xlfn.IFS(
  A6&lt;=45,
    _xlfn.SWITCH(C6,
      "Boom", salaryParameters!$E$24,
      "Normal", salaryParameters!$E$25,
      "Recession", salaryParameters!$E$26    ),
  A6&gt;=46,
    _xlfn.SWITCH(C6,
      "Boom", salaryParameters!$E$27,
      "Normal", salaryParameters!$E$28,
      "Recession", salaryParameters!$E$29    )
)</f>
        <v>2.7999974234004792E-2</v>
      </c>
      <c r="E6" s="1" cm="1">
        <f t="array" aca="1" ref="E6" ca="1">_xlfn.IFS(
  A6&lt;=45,
    _xlfn.SWITCH(C6,
      "Boom", salaryParameters!$F$24,
      "Normal", salaryParameters!$F$25,
      "Recession", salaryParameters!$F$26    ),
  A6&gt;=46,
    _xlfn.SWITCH(C6,
      "Boom", salaryParameters!$F$27,
      "Normal", salaryParameters!$F$28,
      "Recession", salaryParameters!$F$29    )
)</f>
        <v>5.8834935449407844E-3</v>
      </c>
      <c r="F6" s="1" cm="1">
        <f t="array" aca="1" ref="F6" ca="1">_xlfn.SWITCH(C6,
  "Boom", IF(A6&lt;=45, _xlfn.RANDARRAY(1,1,0.3,0.4,FALSE), _xlfn.RANDARRAY(1,1,0.7,0.8,FALSE)),
  "Normal", IF(A6&lt;=45, _xlfn.RANDARRAY(1,1,0.4,0.5,FALSE), _xlfn.RANDARRAY(1,1,0.7,0.8,FALSE)),
  "Recession", IF(A6&lt;=45, _xlfn.RANDARRAY(1,1,0.5,0.6,FALSE), _xlfn.RANDARRAY(1,1,0.8,0.9,FALSE))
)</f>
        <v>0.50068773870748473</v>
      </c>
      <c r="G6" s="1">
        <f t="shared" ca="1" si="1"/>
        <v>3.8687743894701851E-2</v>
      </c>
      <c r="H6" s="1" cm="1">
        <f t="array" aca="1" ref="H6" ca="1">_xlfn.SWITCH(C6,
  "Boom", _xlfn.BETA.INV(RAND(), 2, 1.5, 0.03, 0.05),
  "Normal", _xlfn.BETA.INV(RAND(), 1.364706192, 1, 0.02, 0.045991351),
  "Recession", _xlfn.BETA.INV(RAND(), 2.699989178, 1.5, 0.01, 0.038)
)</f>
        <v>2.9268631650208633E-2</v>
      </c>
      <c r="I6" s="1">
        <f t="shared" ca="1" si="2"/>
        <v>3.3978187772455246E-2</v>
      </c>
      <c r="J6" s="1">
        <v>3.4750000000000003E-2</v>
      </c>
      <c r="K6" s="1" t="s">
        <v>137</v>
      </c>
      <c r="L6" s="1">
        <v>0.88396799564361572</v>
      </c>
      <c r="M6" s="1" cm="1">
        <f t="array" aca="1" ref="M6" ca="1">_xlfn.LET(
  _xlpm.age, A6,
  _xlpm.scenario, C6,
  _xlpm.r, L6,
  _xlpm.event, K6,
  _xlpm.μ_base, D6,
  _xlpm.σ_base, E6,
  _xlpm.ρ_base, F6,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G5,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3.6789593477361077E-2</v>
      </c>
      <c r="P6" s="3" t="s">
        <v>157</v>
      </c>
      <c r="Q6" s="3">
        <v>-0.01</v>
      </c>
      <c r="R6" s="3">
        <v>1.4999999999999999E-2</v>
      </c>
      <c r="S6" s="3">
        <v>-0.2</v>
      </c>
      <c r="T6" s="3" t="s">
        <v>158</v>
      </c>
      <c r="U6" s="3" t="s">
        <v>159</v>
      </c>
      <c r="V6" s="3" t="s">
        <v>160</v>
      </c>
      <c r="W6" s="96" t="s">
        <v>161</v>
      </c>
      <c r="X6" s="97"/>
      <c r="Y6" s="96"/>
    </row>
    <row r="7" spans="1:25" ht="27.75">
      <c r="A7" s="1">
        <v>35</v>
      </c>
      <c r="B7" s="1">
        <f t="shared" si="0"/>
        <v>83037.681627418497</v>
      </c>
      <c r="C7" s="1" t="str" cm="1">
        <f t="array" aca="1" ref="C7" ca="1">_xlfn.IFS(
  C6="Boom", CHOOSE(MATCH(RAND(), {0,0.67,1}, 1), "Normal", "Recession"),
  C6="Normal", CHOOSE(MATCH(RAND(), {0,0.18,0.82,1}, 1), "Boom", "Normal", "Recession"),
  C6="Recession", CHOOSE(MATCH(RAND(), {0,0.17,0.34,1}, 1), "Boom", "Normal", "Recession")
)</f>
        <v>Boom</v>
      </c>
      <c r="D7" s="3" cm="1">
        <f t="array" aca="1" ref="D7" ca="1">_xlfn.IFS(
  A7&lt;=45,
    _xlfn.SWITCH(C7,
      "Boom", salaryParameters!$E$24,
      "Normal", salaryParameters!$E$25,
      "Recession", salaryParameters!$E$26    ),
  A7&gt;=46,
    _xlfn.SWITCH(C7,
      "Boom", salaryParameters!$E$27,
      "Normal", salaryParameters!$E$28,
      "Recession", salaryParameters!$E$29    )
)</f>
        <v>4.1428571428571426E-2</v>
      </c>
      <c r="E7" s="1" cm="1">
        <f t="array" aca="1" ref="E7" ca="1">_xlfn.IFS(
  A7&lt;=45,
    _xlfn.SWITCH(C7,
      "Boom", salaryParameters!$F$24,
      "Normal", salaryParameters!$F$25,
      "Recession", salaryParameters!$F$26    ),
  A7&gt;=46,
    _xlfn.SWITCH(C7,
      "Boom", salaryParameters!$F$27,
      "Normal", salaryParameters!$F$28,
      "Recession", salaryParameters!$F$29    )
)</f>
        <v>4.6656947481584351E-3</v>
      </c>
      <c r="F7" s="1" cm="1">
        <f t="array" aca="1" ref="F7" ca="1">_xlfn.SWITCH(C7,
  "Boom", IF(A7&lt;=45, _xlfn.RANDARRAY(1,1,0.3,0.4,FALSE), _xlfn.RANDARRAY(1,1,0.7,0.8,FALSE)),
  "Normal", IF(A7&lt;=45, _xlfn.RANDARRAY(1,1,0.4,0.5,FALSE), _xlfn.RANDARRAY(1,1,0.7,0.8,FALSE)),
  "Recession", IF(A7&lt;=45, _xlfn.RANDARRAY(1,1,0.5,0.6,FALSE), _xlfn.RANDARRAY(1,1,0.8,0.9,FALSE))
)</f>
        <v>0.30685801473894864</v>
      </c>
      <c r="G7" s="1">
        <f t="shared" ca="1" si="1"/>
        <v>5.0146520045969548E-2</v>
      </c>
      <c r="H7" s="1" cm="1">
        <f t="array" aca="1" ref="H7" ca="1">_xlfn.SWITCH(C7,
  "Boom", _xlfn.BETA.INV(RAND(), 2, 1.5, 0.03, 0.05),
  "Normal", _xlfn.BETA.INV(RAND(), 1.364706192, 1, 0.02, 0.045991351),
  "Recession", _xlfn.BETA.INV(RAND(), 2.699989178, 1.5, 0.01, 0.038)
)</f>
        <v>3.9052702425086537E-2</v>
      </c>
      <c r="I7" s="1">
        <f t="shared" ca="1" si="2"/>
        <v>4.4599611235528039E-2</v>
      </c>
      <c r="J7" s="1">
        <v>3.4750000000000003E-2</v>
      </c>
      <c r="K7" s="1" t="s">
        <v>138</v>
      </c>
      <c r="L7" s="1">
        <v>4.7417938709259033E-2</v>
      </c>
      <c r="M7" s="1" cm="1">
        <f t="array" aca="1" ref="M7" ca="1">_xlfn.LET(
  _xlpm.age, A7,
  _xlpm.scenario, C7,
  _xlpm.r, L7,
  _xlpm.event, K7,
  _xlpm.μ_base, D7,
  _xlpm.σ_base, E7,
  _xlpm.ρ_base, F7,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G6,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4.2351360435874237E-2</v>
      </c>
      <c r="P7" s="3" t="s">
        <v>162</v>
      </c>
      <c r="Q7" s="3">
        <v>0</v>
      </c>
      <c r="R7" s="3">
        <v>0</v>
      </c>
      <c r="S7" s="3">
        <v>0</v>
      </c>
      <c r="T7" s="3" t="s">
        <v>163</v>
      </c>
      <c r="U7" s="3" t="s">
        <v>164</v>
      </c>
      <c r="V7" s="3" t="s">
        <v>165</v>
      </c>
      <c r="W7" s="96" t="s">
        <v>165</v>
      </c>
      <c r="X7" s="97"/>
      <c r="Y7" s="96"/>
    </row>
    <row r="8" spans="1:25" ht="27.75">
      <c r="A8" s="1">
        <v>36</v>
      </c>
      <c r="B8" s="1">
        <f t="shared" si="0"/>
        <v>85923.241063971291</v>
      </c>
      <c r="C8" s="1" t="str" cm="1">
        <f t="array" aca="1" ref="C8" ca="1">_xlfn.IFS(
  C7="Boom", CHOOSE(MATCH(RAND(), {0,0.67,1}, 1), "Normal", "Recession"),
  C7="Normal", CHOOSE(MATCH(RAND(), {0,0.18,0.82,1}, 1), "Boom", "Normal", "Recession"),
  C7="Recession", CHOOSE(MATCH(RAND(), {0,0.17,0.34,1}, 1), "Boom", "Normal", "Recession")
)</f>
        <v>Recession</v>
      </c>
      <c r="D8" s="3" cm="1">
        <f t="array" aca="1" ref="D8" ca="1">_xlfn.IFS(
  A8&lt;=45,
    _xlfn.SWITCH(C8,
      "Boom", salaryParameters!$E$24,
      "Normal", salaryParameters!$E$25,
      "Recession", salaryParameters!$E$26    ),
  A8&gt;=46,
    _xlfn.SWITCH(C8,
      "Boom", salaryParameters!$E$27,
      "Normal", salaryParameters!$E$28,
      "Recession", salaryParameters!$E$29    )
)</f>
        <v>2.7999974234004792E-2</v>
      </c>
      <c r="E8" s="1" cm="1">
        <f t="array" aca="1" ref="E8" ca="1">_xlfn.IFS(
  A8&lt;=45,
    _xlfn.SWITCH(C8,
      "Boom", salaryParameters!$F$24,
      "Normal", salaryParameters!$F$25,
      "Recession", salaryParameters!$F$26    ),
  A8&gt;=46,
    _xlfn.SWITCH(C8,
      "Boom", salaryParameters!$F$27,
      "Normal", salaryParameters!$F$28,
      "Recession", salaryParameters!$F$29    )
)</f>
        <v>5.8834935449407844E-3</v>
      </c>
      <c r="F8" s="1" cm="1">
        <f t="array" aca="1" ref="F8" ca="1">_xlfn.SWITCH(C8,
  "Boom", IF(A8&lt;=45, _xlfn.RANDARRAY(1,1,0.3,0.4,FALSE), _xlfn.RANDARRAY(1,1,0.7,0.8,FALSE)),
  "Normal", IF(A8&lt;=45, _xlfn.RANDARRAY(1,1,0.4,0.5,FALSE), _xlfn.RANDARRAY(1,1,0.7,0.8,FALSE)),
  "Recession", IF(A8&lt;=45, _xlfn.RANDARRAY(1,1,0.5,0.6,FALSE), _xlfn.RANDARRAY(1,1,0.8,0.9,FALSE))
)</f>
        <v>0.50840690396784372</v>
      </c>
      <c r="G8" s="1">
        <f t="shared" ca="1" si="1"/>
        <v>3.4739553527295942E-2</v>
      </c>
      <c r="H8" s="1" cm="1">
        <f t="array" aca="1" ref="H8" ca="1">_xlfn.SWITCH(C8,
  "Boom", _xlfn.BETA.INV(RAND(), 2, 1.5, 0.03, 0.05),
  "Normal", _xlfn.BETA.INV(RAND(), 1.364706192, 1, 0.02, 0.045991351),
  "Recession", _xlfn.BETA.INV(RAND(), 2.699989178, 1.5, 0.01, 0.038)
)</f>
        <v>1.6190636355006553E-2</v>
      </c>
      <c r="I8" s="1">
        <f t="shared" ca="1" si="2"/>
        <v>2.5465094941151248E-2</v>
      </c>
      <c r="J8" s="1">
        <v>3.4750000000000003E-2</v>
      </c>
      <c r="K8" s="1" t="s">
        <v>137</v>
      </c>
      <c r="L8" s="1">
        <v>0.3272707462310791</v>
      </c>
      <c r="M8" s="1" cm="1">
        <f t="array" aca="1" ref="M8" ca="1">_xlfn.LET(
  _xlpm.age, A8,
  _xlpm.scenario, C8,
  _xlpm.r, L8,
  _xlpm.event, K8,
  _xlpm.μ_base, D8,
  _xlpm.σ_base, E8,
  _xlpm.ρ_base, F8,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G7,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3.1068302379453797E-2</v>
      </c>
      <c r="P8" s="3" t="s">
        <v>166</v>
      </c>
      <c r="Q8" s="3">
        <v>0</v>
      </c>
      <c r="R8" s="3">
        <v>0</v>
      </c>
      <c r="S8" s="3">
        <v>0</v>
      </c>
      <c r="T8" s="3" t="s">
        <v>167</v>
      </c>
      <c r="U8" s="3" t="s">
        <v>165</v>
      </c>
      <c r="V8" s="3" t="s">
        <v>165</v>
      </c>
      <c r="W8" s="96" t="s">
        <v>168</v>
      </c>
      <c r="X8" s="97"/>
      <c r="Y8" s="96"/>
    </row>
    <row r="9" spans="1:25" ht="14.25">
      <c r="A9" s="1">
        <v>37</v>
      </c>
      <c r="B9" s="1">
        <f t="shared" si="0"/>
        <v>88909.073690944293</v>
      </c>
      <c r="C9" s="1" t="str" cm="1">
        <f t="array" aca="1" ref="C9" ca="1">_xlfn.IFS(
  C8="Boom", CHOOSE(MATCH(RAND(), {0,0.67,1}, 1), "Normal", "Recession"),
  C8="Normal", CHOOSE(MATCH(RAND(), {0,0.18,0.82,1}, 1), "Boom", "Normal", "Recession"),
  C8="Recession", CHOOSE(MATCH(RAND(), {0,0.17,0.34,1}, 1), "Boom", "Normal", "Recession")
)</f>
        <v>Normal</v>
      </c>
      <c r="D9" s="3" cm="1">
        <f t="array" aca="1" ref="D9" ca="1">_xlfn.IFS(
  A9&lt;=45,
    _xlfn.SWITCH(C9,
      "Boom", salaryParameters!$E$24,
      "Normal", salaryParameters!$E$25,
      "Recession", salaryParameters!$E$26    ),
  A9&gt;=46,
    _xlfn.SWITCH(C9,
      "Boom", salaryParameters!$E$27,
      "Normal", salaryParameters!$E$28,
      "Recession", salaryParameters!$E$29    )
)</f>
        <v>3.4999985347503544E-2</v>
      </c>
      <c r="E9" s="1" cm="1">
        <f t="array" aca="1" ref="E9" ca="1">_xlfn.IFS(
  A9&lt;=45,
    _xlfn.SWITCH(C9,
      "Boom", salaryParameters!$F$24,
      "Normal", salaryParameters!$F$25,
      "Recession", salaryParameters!$F$26    ),
  A9&gt;=46,
    _xlfn.SWITCH(C9,
      "Boom", salaryParameters!$F$27,
      "Normal", salaryParameters!$F$28,
      "Recession", salaryParameters!$F$29    )
)</f>
        <v>6.9999941994113067E-3</v>
      </c>
      <c r="F9" s="1" cm="1">
        <f t="array" aca="1" ref="F9" ca="1">_xlfn.SWITCH(C9,
  "Boom", IF(A9&lt;=45, _xlfn.RANDARRAY(1,1,0.3,0.4,FALSE), _xlfn.RANDARRAY(1,1,0.7,0.8,FALSE)),
  "Normal", IF(A9&lt;=45, _xlfn.RANDARRAY(1,1,0.4,0.5,FALSE), _xlfn.RANDARRAY(1,1,0.7,0.8,FALSE)),
  "Recession", IF(A9&lt;=45, _xlfn.RANDARRAY(1,1,0.5,0.6,FALSE), _xlfn.RANDARRAY(1,1,0.8,0.9,FALSE))
)</f>
        <v>0.46683953815534729</v>
      </c>
      <c r="G9" s="1">
        <f t="shared" ca="1" si="1"/>
        <v>3.4999985347503544E-2</v>
      </c>
      <c r="H9" s="1" cm="1">
        <f t="array" aca="1" ref="H9" ca="1">_xlfn.SWITCH(C9,
  "Boom", _xlfn.BETA.INV(RAND(), 2, 1.5, 0.03, 0.05),
  "Normal", _xlfn.BETA.INV(RAND(), 1.364706192, 1, 0.02, 0.045991351),
  "Recession", _xlfn.BETA.INV(RAND(), 2.699989178, 1.5, 0.01, 0.038)
)</f>
        <v>3.0960840078712425E-2</v>
      </c>
      <c r="I9" s="1">
        <f t="shared" ca="1" si="2"/>
        <v>3.2980412713107983E-2</v>
      </c>
      <c r="J9" s="1">
        <v>3.4750000000000003E-2</v>
      </c>
      <c r="K9" s="1" t="s">
        <v>137</v>
      </c>
      <c r="L9" s="1">
        <v>0.8646044135093689</v>
      </c>
      <c r="M9" s="1" cm="1">
        <f t="array" aca="1" ref="M9" ca="1">_xlfn.LET(
  _xlpm.age, A9,
  _xlpm.scenario, C9,
  _xlpm.r, L9,
  _xlpm.event, K9,
  _xlpm.μ_base, D9,
  _xlpm.σ_base, E9,
  _xlpm.ρ_base, F9,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G8,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4.2975120462839002E-2</v>
      </c>
      <c r="P9" s="3" t="s">
        <v>169</v>
      </c>
      <c r="Q9" s="3">
        <v>0</v>
      </c>
      <c r="R9" s="3">
        <v>0</v>
      </c>
      <c r="S9" s="3">
        <v>0</v>
      </c>
      <c r="T9" s="3" t="s">
        <v>170</v>
      </c>
      <c r="U9" s="3" t="s">
        <v>171</v>
      </c>
      <c r="V9" s="3" t="s">
        <v>172</v>
      </c>
      <c r="W9" s="96" t="s">
        <v>173</v>
      </c>
      <c r="X9" s="97"/>
      <c r="Y9" s="96"/>
    </row>
    <row r="10" spans="1:25">
      <c r="A10" s="1">
        <v>38</v>
      </c>
      <c r="B10" s="1">
        <f t="shared" si="0"/>
        <v>91998.664001704616</v>
      </c>
      <c r="C10" s="1" t="str" cm="1">
        <f t="array" aca="1" ref="C10" ca="1">_xlfn.IFS(
  C9="Boom", CHOOSE(MATCH(RAND(), {0,0.67,1}, 1), "Normal", "Recession"),
  C9="Normal", CHOOSE(MATCH(RAND(), {0,0.18,0.82,1}, 1), "Boom", "Normal", "Recession"),
  C9="Recession", CHOOSE(MATCH(RAND(), {0,0.17,0.34,1}, 1), "Boom", "Normal", "Recession")
)</f>
        <v>Recession</v>
      </c>
      <c r="D10" s="3" cm="1">
        <f t="array" aca="1" ref="D10" ca="1">_xlfn.IFS(
  A10&lt;=45,
    _xlfn.SWITCH(C10,
      "Boom", salaryParameters!$E$24,
      "Normal", salaryParameters!$E$25,
      "Recession", salaryParameters!$E$26    ),
  A10&gt;=46,
    _xlfn.SWITCH(C10,
      "Boom", salaryParameters!$E$27,
      "Normal", salaryParameters!$E$28,
      "Recession", salaryParameters!$E$29    )
)</f>
        <v>2.7999974234004792E-2</v>
      </c>
      <c r="E10" s="1" cm="1">
        <f t="array" aca="1" ref="E10" ca="1">_xlfn.IFS(
  A10&lt;=45,
    _xlfn.SWITCH(C10,
      "Boom", salaryParameters!$F$24,
      "Normal", salaryParameters!$F$25,
      "Recession", salaryParameters!$F$26    ),
  A10&gt;=46,
    _xlfn.SWITCH(C10,
      "Boom", salaryParameters!$F$27,
      "Normal", salaryParameters!$F$28,
      "Recession", salaryParameters!$F$29    )
)</f>
        <v>5.8834935449407844E-3</v>
      </c>
      <c r="F10" s="1" cm="1">
        <f t="array" aca="1" ref="F10" ca="1">_xlfn.SWITCH(C10,
  "Boom", IF(A10&lt;=45, _xlfn.RANDARRAY(1,1,0.3,0.4,FALSE), _xlfn.RANDARRAY(1,1,0.7,0.8,FALSE)),
  "Normal", IF(A10&lt;=45, _xlfn.RANDARRAY(1,1,0.4,0.5,FALSE), _xlfn.RANDARRAY(1,1,0.7,0.8,FALSE)),
  "Recession", IF(A10&lt;=45, _xlfn.RANDARRAY(1,1,0.5,0.6,FALSE), _xlfn.RANDARRAY(1,1,0.8,0.9,FALSE))
)</f>
        <v>0.57477726474643998</v>
      </c>
      <c r="G10" s="1">
        <f t="shared" ca="1" si="1"/>
        <v>3.4587698696773632E-2</v>
      </c>
      <c r="H10" s="1" cm="1">
        <f t="array" aca="1" ref="H10" ca="1">_xlfn.SWITCH(C10,
  "Boom", _xlfn.BETA.INV(RAND(), 2, 1.5, 0.03, 0.05),
  "Normal", _xlfn.BETA.INV(RAND(), 1.364706192, 1, 0.02, 0.045991351),
  "Recession", _xlfn.BETA.INV(RAND(), 2.699989178, 1.5, 0.01, 0.038)
)</f>
        <v>2.1324349421441374E-2</v>
      </c>
      <c r="I10" s="1">
        <f t="shared" ca="1" si="2"/>
        <v>2.7956024059107503E-2</v>
      </c>
      <c r="J10" s="1">
        <v>3.4750000000000003E-2</v>
      </c>
      <c r="K10" s="1" t="s">
        <v>174</v>
      </c>
      <c r="L10" s="1">
        <v>5.9427142143249512E-2</v>
      </c>
      <c r="M10" s="1" cm="1">
        <f t="array" aca="1" ref="M10" ca="1">_xlfn.LET(
  _xlpm.age, A10,
  _xlpm.scenario, C10,
  _xlpm.r, L10,
  _xlpm.event, K10,
  _xlpm.μ_base, D10,
  _xlpm.σ_base, E10,
  _xlpm.ρ_base, F10,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G9,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2.0401184531682437E-2</v>
      </c>
      <c r="P10" s="7"/>
    </row>
    <row r="11" spans="1:25">
      <c r="A11" s="1">
        <v>39</v>
      </c>
      <c r="B11" s="1">
        <f t="shared" si="0"/>
        <v>95195.617575763856</v>
      </c>
      <c r="C11" s="1" t="str" cm="1">
        <f t="array" aca="1" ref="C11" ca="1">_xlfn.IFS(
  C10="Boom", CHOOSE(MATCH(RAND(), {0,0.67,1}, 1), "Normal", "Recession"),
  C10="Normal", CHOOSE(MATCH(RAND(), {0,0.18,0.82,1}, 1), "Boom", "Normal", "Recession"),
  C10="Recession", CHOOSE(MATCH(RAND(), {0,0.17,0.34,1}, 1), "Boom", "Normal", "Recession")
)</f>
        <v>Recession</v>
      </c>
      <c r="D11" s="3" cm="1">
        <f t="array" aca="1" ref="D11" ca="1">_xlfn.IFS(
  A11&lt;=45,
    _xlfn.SWITCH(C11,
      "Boom", salaryParameters!$E$24,
      "Normal", salaryParameters!$E$25,
      "Recession", salaryParameters!$E$26    ),
  A11&gt;=46,
    _xlfn.SWITCH(C11,
      "Boom", salaryParameters!$E$27,
      "Normal", salaryParameters!$E$28,
      "Recession", salaryParameters!$E$29    )
)</f>
        <v>2.7999974234004792E-2</v>
      </c>
      <c r="E11" s="1" cm="1">
        <f t="array" aca="1" ref="E11" ca="1">_xlfn.IFS(
  A11&lt;=45,
    _xlfn.SWITCH(C11,
      "Boom", salaryParameters!$F$24,
      "Normal", salaryParameters!$F$25,
      "Recession", salaryParameters!$F$26    ),
  A11&gt;=46,
    _xlfn.SWITCH(C11,
      "Boom", salaryParameters!$F$27,
      "Normal", salaryParameters!$F$28,
      "Recession", salaryParameters!$F$29    )
)</f>
        <v>5.8834935449407844E-3</v>
      </c>
      <c r="F11" s="1" cm="1">
        <f t="array" aca="1" ref="F11" ca="1">_xlfn.SWITCH(C11,
  "Boom", IF(A11&lt;=45, _xlfn.RANDARRAY(1,1,0.3,0.4,FALSE), _xlfn.RANDARRAY(1,1,0.7,0.8,FALSE)),
  "Normal", IF(A11&lt;=45, _xlfn.RANDARRAY(1,1,0.4,0.5,FALSE), _xlfn.RANDARRAY(1,1,0.7,0.8,FALSE)),
  "Recession", IF(A11&lt;=45, _xlfn.RANDARRAY(1,1,0.5,0.6,FALSE), _xlfn.RANDARRAY(1,1,0.8,0.9,FALSE))
)</f>
        <v>0.53744456689318487</v>
      </c>
      <c r="G11" s="1">
        <f t="shared" ca="1" si="1"/>
        <v>3.4822987663623461E-2</v>
      </c>
      <c r="H11" s="1" cm="1">
        <f t="array" aca="1" ref="H11" ca="1">_xlfn.SWITCH(C11,
  "Boom", _xlfn.BETA.INV(RAND(), 2, 1.5, 0.03, 0.05),
  "Normal", _xlfn.BETA.INV(RAND(), 1.364706192, 1, 0.02, 0.045991351),
  "Recession", _xlfn.BETA.INV(RAND(), 2.699989178, 1.5, 0.01, 0.038)
)</f>
        <v>3.3407763062604956E-2</v>
      </c>
      <c r="I11" s="1">
        <f t="shared" ca="1" si="2"/>
        <v>3.4115375363114209E-2</v>
      </c>
      <c r="J11" s="1">
        <v>3.4750000000000003E-2</v>
      </c>
      <c r="K11" s="1" t="s">
        <v>137</v>
      </c>
      <c r="L11" s="1">
        <v>0.24198776483535767</v>
      </c>
      <c r="M11" s="1" cm="1">
        <f t="array" aca="1" ref="M11" ca="1">_xlfn.LET(
  _xlpm.age, A11,
  _xlpm.scenario, C11,
  _xlpm.r, L11,
  _xlpm.event, K11,
  _xlpm.μ_base, D11,
  _xlpm.σ_base, E11,
  _xlpm.ρ_base, F11,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G10,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2.5831841827845634E-2</v>
      </c>
    </row>
    <row r="12" spans="1:25">
      <c r="A12" s="1">
        <v>40</v>
      </c>
      <c r="B12" s="1">
        <f t="shared" si="0"/>
        <v>98503.66528652166</v>
      </c>
      <c r="C12" s="1" t="str" cm="1">
        <f t="array" aca="1" ref="C12" ca="1">_xlfn.IFS(
  C11="Boom", CHOOSE(MATCH(RAND(), {0,0.67,1}, 1), "Normal", "Recession"),
  C11="Normal", CHOOSE(MATCH(RAND(), {0,0.18,0.82,1}, 1), "Boom", "Normal", "Recession"),
  C11="Recession", CHOOSE(MATCH(RAND(), {0,0.17,0.34,1}, 1), "Boom", "Normal", "Recession")
)</f>
        <v>Recession</v>
      </c>
      <c r="D12" s="3" cm="1">
        <f t="array" aca="1" ref="D12" ca="1">_xlfn.IFS(
  A12&lt;=45,
    _xlfn.SWITCH(C12,
      "Boom", salaryParameters!$E$24,
      "Normal", salaryParameters!$E$25,
      "Recession", salaryParameters!$E$26    ),
  A12&gt;=46,
    _xlfn.SWITCH(C12,
      "Boom", salaryParameters!$E$27,
      "Normal", salaryParameters!$E$28,
      "Recession", salaryParameters!$E$29    )
)</f>
        <v>2.7999974234004792E-2</v>
      </c>
      <c r="E12" s="1" cm="1">
        <f t="array" aca="1" ref="E12" ca="1">_xlfn.IFS(
  A12&lt;=45,
    _xlfn.SWITCH(C12,
      "Boom", salaryParameters!$F$24,
      "Normal", salaryParameters!$F$25,
      "Recession", salaryParameters!$F$26    ),
  A12&gt;=46,
    _xlfn.SWITCH(C12,
      "Boom", salaryParameters!$F$27,
      "Normal", salaryParameters!$F$28,
      "Recession", salaryParameters!$F$29    )
)</f>
        <v>5.8834935449407844E-3</v>
      </c>
      <c r="F12" s="1" cm="1">
        <f t="array" aca="1" ref="F12" ca="1">_xlfn.SWITCH(C12,
  "Boom", IF(A12&lt;=45, _xlfn.RANDARRAY(1,1,0.3,0.4,FALSE), _xlfn.RANDARRAY(1,1,0.7,0.8,FALSE)),
  "Normal", IF(A12&lt;=45, _xlfn.RANDARRAY(1,1,0.4,0.5,FALSE), _xlfn.RANDARRAY(1,1,0.7,0.8,FALSE)),
  "Recession", IF(A12&lt;=45, _xlfn.RANDARRAY(1,1,0.5,0.6,FALSE), _xlfn.RANDARRAY(1,1,0.8,0.9,FALSE))
)</f>
        <v>0.53189314534496701</v>
      </c>
      <c r="G12" s="1">
        <f t="shared" ca="1" si="1"/>
        <v>3.2359920365384626E-2</v>
      </c>
      <c r="H12" s="1" cm="1">
        <f t="array" aca="1" ref="H12" ca="1">_xlfn.SWITCH(C12,
  "Boom", _xlfn.BETA.INV(RAND(), 2, 1.5, 0.03, 0.05),
  "Normal", _xlfn.BETA.INV(RAND(), 1.364706192, 1, 0.02, 0.045991351),
  "Recession", _xlfn.BETA.INV(RAND(), 2.699989178, 1.5, 0.01, 0.038)
)</f>
        <v>2.1436241724444041E-2</v>
      </c>
      <c r="I12" s="1">
        <f t="shared" ca="1" si="2"/>
        <v>2.6898081044914333E-2</v>
      </c>
      <c r="J12" s="1">
        <v>3.4750000000000003E-2</v>
      </c>
      <c r="K12" s="1" t="s">
        <v>137</v>
      </c>
      <c r="L12" s="1">
        <v>0.8307194709777832</v>
      </c>
      <c r="M12" s="1" cm="1">
        <f t="array" aca="1" ref="M12" ca="1">_xlfn.LET(
  _xlpm.age, A12,
  _xlpm.scenario, C12,
  _xlpm.r, L12,
  _xlpm.event, K12,
  _xlpm.μ_base, D12,
  _xlpm.σ_base, E12,
  _xlpm.ρ_base, F12,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G11,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3.568125517341432E-2</v>
      </c>
    </row>
    <row r="13" spans="1:25">
      <c r="A13" s="1">
        <v>41</v>
      </c>
      <c r="B13" s="1">
        <f t="shared" si="0"/>
        <v>101926.66765522829</v>
      </c>
      <c r="C13" s="1" t="str" cm="1">
        <f t="array" aca="1" ref="C13" ca="1">_xlfn.IFS(
  C12="Boom", CHOOSE(MATCH(RAND(), {0,0.67,1}, 1), "Normal", "Recession"),
  C12="Normal", CHOOSE(MATCH(RAND(), {0,0.18,0.82,1}, 1), "Boom", "Normal", "Recession"),
  C12="Recession", CHOOSE(MATCH(RAND(), {0,0.17,0.34,1}, 1), "Boom", "Normal", "Recession")
)</f>
        <v>Recession</v>
      </c>
      <c r="D13" s="3" cm="1">
        <f t="array" aca="1" ref="D13" ca="1">_xlfn.IFS(
  A13&lt;=45,
    _xlfn.SWITCH(C13,
      "Boom", salaryParameters!$E$24,
      "Normal", salaryParameters!$E$25,
      "Recession", salaryParameters!$E$26    ),
  A13&gt;=46,
    _xlfn.SWITCH(C13,
      "Boom", salaryParameters!$E$27,
      "Normal", salaryParameters!$E$28,
      "Recession", salaryParameters!$E$29    )
)</f>
        <v>2.7999974234004792E-2</v>
      </c>
      <c r="E13" s="1" cm="1">
        <f t="array" aca="1" ref="E13" ca="1">_xlfn.IFS(
  A13&lt;=45,
    _xlfn.SWITCH(C13,
      "Boom", salaryParameters!$F$24,
      "Normal", salaryParameters!$F$25,
      "Recession", salaryParameters!$F$26    ),
  A13&gt;=46,
    _xlfn.SWITCH(C13,
      "Boom", salaryParameters!$F$27,
      "Normal", salaryParameters!$F$28,
      "Recession", salaryParameters!$F$29    )
)</f>
        <v>5.8834935449407844E-3</v>
      </c>
      <c r="F13" s="1" cm="1">
        <f t="array" aca="1" ref="F13" ca="1">_xlfn.SWITCH(C13,
  "Boom", IF(A13&lt;=45, _xlfn.RANDARRAY(1,1,0.3,0.4,FALSE), _xlfn.RANDARRAY(1,1,0.7,0.8,FALSE)),
  "Normal", IF(A13&lt;=45, _xlfn.RANDARRAY(1,1,0.4,0.5,FALSE), _xlfn.RANDARRAY(1,1,0.7,0.8,FALSE)),
  "Recession", IF(A13&lt;=45, _xlfn.RANDARRAY(1,1,0.5,0.6,FALSE), _xlfn.RANDARRAY(1,1,0.8,0.9,FALSE))
)</f>
        <v>0.54523640036439402</v>
      </c>
      <c r="G13" s="1">
        <f t="shared" ca="1" si="1"/>
        <v>2.7999974234004792E-2</v>
      </c>
      <c r="H13" s="1" cm="1">
        <f t="array" aca="1" ref="H13" ca="1">_xlfn.SWITCH(C13,
  "Boom", _xlfn.BETA.INV(RAND(), 2, 1.5, 0.03, 0.05),
  "Normal", _xlfn.BETA.INV(RAND(), 1.364706192, 1, 0.02, 0.045991351),
  "Recession", _xlfn.BETA.INV(RAND(), 2.699989178, 1.5, 0.01, 0.038)
)</f>
        <v>2.8453846861381006E-2</v>
      </c>
      <c r="I13" s="1">
        <f t="shared" ca="1" si="2"/>
        <v>2.8226910547692899E-2</v>
      </c>
      <c r="J13" s="1">
        <v>3.4750000000000003E-2</v>
      </c>
      <c r="K13" s="1" t="s">
        <v>137</v>
      </c>
      <c r="L13" s="1">
        <v>0.34278362989425659</v>
      </c>
      <c r="M13" s="1" cm="1">
        <f t="array" aca="1" ref="M13" ca="1">_xlfn.LET(
  _xlpm.age, A13,
  _xlpm.scenario, C13,
  _xlpm.r, L13,
  _xlpm.event, K13,
  _xlpm.μ_base, D13,
  _xlpm.σ_base, E13,
  _xlpm.ρ_base, F13,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G12,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2.6909897129212011E-2</v>
      </c>
    </row>
    <row r="14" spans="1:25">
      <c r="A14" s="1">
        <v>42</v>
      </c>
      <c r="B14" s="1">
        <f t="shared" si="0"/>
        <v>105468.61935624748</v>
      </c>
      <c r="C14" s="1" t="str" cm="1">
        <f t="array" aca="1" ref="C14" ca="1">_xlfn.IFS(
  C13="Boom", CHOOSE(MATCH(RAND(), {0,0.67,1}, 1), "Normal", "Recession"),
  C13="Normal", CHOOSE(MATCH(RAND(), {0,0.18,0.82,1}, 1), "Boom", "Normal", "Recession"),
  C13="Recession", CHOOSE(MATCH(RAND(), {0,0.17,0.34,1}, 1), "Boom", "Normal", "Recession")
)</f>
        <v>Recession</v>
      </c>
      <c r="D14" s="3" cm="1">
        <f t="array" aca="1" ref="D14" ca="1">_xlfn.IFS(
  A14&lt;=45,
    _xlfn.SWITCH(C14,
      "Boom", salaryParameters!$E$24,
      "Normal", salaryParameters!$E$25,
      "Recession", salaryParameters!$E$26    ),
  A14&gt;=46,
    _xlfn.SWITCH(C14,
      "Boom", salaryParameters!$E$27,
      "Normal", salaryParameters!$E$28,
      "Recession", salaryParameters!$E$29    )
)</f>
        <v>2.7999974234004792E-2</v>
      </c>
      <c r="E14" s="1" cm="1">
        <f t="array" aca="1" ref="E14" ca="1">_xlfn.IFS(
  A14&lt;=45,
    _xlfn.SWITCH(C14,
      "Boom", salaryParameters!$F$24,
      "Normal", salaryParameters!$F$25,
      "Recession", salaryParameters!$F$26    ),
  A14&gt;=46,
    _xlfn.SWITCH(C14,
      "Boom", salaryParameters!$F$27,
      "Normal", salaryParameters!$F$28,
      "Recession", salaryParameters!$F$29    )
)</f>
        <v>5.8834935449407844E-3</v>
      </c>
      <c r="F14" s="1" cm="1">
        <f t="array" aca="1" ref="F14" ca="1">_xlfn.SWITCH(C14,
  "Boom", IF(A14&lt;=45, _xlfn.RANDARRAY(1,1,0.3,0.4,FALSE), _xlfn.RANDARRAY(1,1,0.7,0.8,FALSE)),
  "Normal", IF(A14&lt;=45, _xlfn.RANDARRAY(1,1,0.4,0.5,FALSE), _xlfn.RANDARRAY(1,1,0.7,0.8,FALSE)),
  "Recession", IF(A14&lt;=45, _xlfn.RANDARRAY(1,1,0.5,0.6,FALSE), _xlfn.RANDARRAY(1,1,0.8,0.9,FALSE))
)</f>
        <v>0.532631185232322</v>
      </c>
      <c r="G14" s="1">
        <f t="shared" ca="1" si="1"/>
        <v>3.0375073626560244E-2</v>
      </c>
      <c r="H14" s="1" cm="1">
        <f t="array" aca="1" ref="H14" ca="1">_xlfn.SWITCH(C14,
  "Boom", _xlfn.BETA.INV(RAND(), 2, 1.5, 0.03, 0.05),
  "Normal", _xlfn.BETA.INV(RAND(), 1.364706192, 1, 0.02, 0.045991351),
  "Recession", _xlfn.BETA.INV(RAND(), 2.699989178, 1.5, 0.01, 0.038)
)</f>
        <v>2.2748841289410682E-2</v>
      </c>
      <c r="I14" s="1">
        <f t="shared" ca="1" si="2"/>
        <v>2.6561957457985463E-2</v>
      </c>
      <c r="J14" s="1">
        <v>3.4750000000000003E-2</v>
      </c>
      <c r="K14" s="1" t="s">
        <v>137</v>
      </c>
      <c r="L14" s="1">
        <v>0.90931332111358643</v>
      </c>
      <c r="M14" s="1" cm="1">
        <f t="array" aca="1" ref="M14" ca="1">_xlfn.LET(
  _xlpm.age, A14,
  _xlpm.scenario, C14,
  _xlpm.r, L14,
  _xlpm.event, K14,
  _xlpm.μ_base, D14,
  _xlpm.σ_base, E14,
  _xlpm.ρ_base, F14,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G13,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3.5692624701582409E-2</v>
      </c>
    </row>
    <row r="15" spans="1:25">
      <c r="A15" s="1">
        <v>43</v>
      </c>
      <c r="B15" s="1">
        <f t="shared" si="0"/>
        <v>109133.65387887708</v>
      </c>
      <c r="C15" s="1" t="str" cm="1">
        <f t="array" aca="1" ref="C15" ca="1">_xlfn.IFS(
  C14="Boom", CHOOSE(MATCH(RAND(), {0,0.67,1}, 1), "Normal", "Recession"),
  C14="Normal", CHOOSE(MATCH(RAND(), {0,0.18,0.82,1}, 1), "Boom", "Normal", "Recession"),
  C14="Recession", CHOOSE(MATCH(RAND(), {0,0.17,0.34,1}, 1), "Boom", "Normal", "Recession")
)</f>
        <v>Recession</v>
      </c>
      <c r="D15" s="3" cm="1">
        <f t="array" aca="1" ref="D15" ca="1">_xlfn.IFS(
  A15&lt;=45,
    _xlfn.SWITCH(C15,
      "Boom", salaryParameters!$E$24,
      "Normal", salaryParameters!$E$25,
      "Recession", salaryParameters!$E$26    ),
  A15&gt;=46,
    _xlfn.SWITCH(C15,
      "Boom", salaryParameters!$E$27,
      "Normal", salaryParameters!$E$28,
      "Recession", salaryParameters!$E$29    )
)</f>
        <v>2.7999974234004792E-2</v>
      </c>
      <c r="E15" s="1" cm="1">
        <f t="array" aca="1" ref="E15" ca="1">_xlfn.IFS(
  A15&lt;=45,
    _xlfn.SWITCH(C15,
      "Boom", salaryParameters!$F$24,
      "Normal", salaryParameters!$F$25,
      "Recession", salaryParameters!$F$26    ),
  A15&gt;=46,
    _xlfn.SWITCH(C15,
      "Boom", salaryParameters!$F$27,
      "Normal", salaryParameters!$F$28,
      "Recession", salaryParameters!$F$29    )
)</f>
        <v>5.8834935449407844E-3</v>
      </c>
      <c r="F15" s="1" cm="1">
        <f t="array" aca="1" ref="F15" ca="1">_xlfn.SWITCH(C15,
  "Boom", IF(A15&lt;=45, _xlfn.RANDARRAY(1,1,0.3,0.4,FALSE), _xlfn.RANDARRAY(1,1,0.7,0.8,FALSE)),
  "Normal", IF(A15&lt;=45, _xlfn.RANDARRAY(1,1,0.4,0.5,FALSE), _xlfn.RANDARRAY(1,1,0.7,0.8,FALSE)),
  "Recession", IF(A15&lt;=45, _xlfn.RANDARRAY(1,1,0.5,0.6,FALSE), _xlfn.RANDARRAY(1,1,0.8,0.9,FALSE))
)</f>
        <v>0.53073988745385958</v>
      </c>
      <c r="G15" s="1">
        <f t="shared" ca="1" si="1"/>
        <v>2.9050273284167961E-2</v>
      </c>
      <c r="H15" s="1" cm="1">
        <f t="array" aca="1" ref="H15" ca="1">_xlfn.SWITCH(C15,
  "Boom", _xlfn.BETA.INV(RAND(), 2, 1.5, 0.03, 0.05),
  "Normal", _xlfn.BETA.INV(RAND(), 1.364706192, 1, 0.02, 0.045991351),
  "Recession", _xlfn.BETA.INV(RAND(), 2.699989178, 1.5, 0.01, 0.038)
)</f>
        <v>3.5736302608124784E-2</v>
      </c>
      <c r="I15" s="1">
        <f t="shared" ca="1" si="2"/>
        <v>3.2393287946146376E-2</v>
      </c>
      <c r="J15" s="1">
        <v>3.4750000000000003E-2</v>
      </c>
      <c r="K15" s="1" t="s">
        <v>174</v>
      </c>
      <c r="L15" s="1">
        <v>8.9057743549346924E-2</v>
      </c>
      <c r="M15" s="1" cm="1">
        <f t="array" aca="1" ref="M15" ca="1">_xlfn.LET(
  _xlpm.age, A15,
  _xlpm.scenario, C15,
  _xlpm.r, L15,
  _xlpm.event, K15,
  _xlpm.μ_base, D15,
  _xlpm.σ_base, E15,
  _xlpm.ρ_base, F15,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G14,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2.1069982722021589E-2</v>
      </c>
    </row>
    <row r="16" spans="1:25">
      <c r="A16" s="1">
        <v>44</v>
      </c>
      <c r="B16" s="1">
        <f t="shared" si="0"/>
        <v>112926.04835116806</v>
      </c>
      <c r="C16" s="1" t="str" cm="1">
        <f t="array" aca="1" ref="C16" ca="1">_xlfn.IFS(
  C15="Boom", CHOOSE(MATCH(RAND(), {0,0.67,1}, 1), "Normal", "Recession"),
  C15="Normal", CHOOSE(MATCH(RAND(), {0,0.18,0.82,1}, 1), "Boom", "Normal", "Recession"),
  C15="Recession", CHOOSE(MATCH(RAND(), {0,0.17,0.34,1}, 1), "Boom", "Normal", "Recession")
)</f>
        <v>Recession</v>
      </c>
      <c r="D16" s="3" cm="1">
        <f t="array" aca="1" ref="D16" ca="1">_xlfn.IFS(
  A16&lt;=45,
    _xlfn.SWITCH(C16,
      "Boom", salaryParameters!$E$24,
      "Normal", salaryParameters!$E$25,
      "Recession", salaryParameters!$E$26    ),
  A16&gt;=46,
    _xlfn.SWITCH(C16,
      "Boom", salaryParameters!$E$27,
      "Normal", salaryParameters!$E$28,
      "Recession", salaryParameters!$E$29    )
)</f>
        <v>2.7999974234004792E-2</v>
      </c>
      <c r="E16" s="1" cm="1">
        <f t="array" aca="1" ref="E16" ca="1">_xlfn.IFS(
  A16&lt;=45,
    _xlfn.SWITCH(C16,
      "Boom", salaryParameters!$F$24,
      "Normal", salaryParameters!$F$25,
      "Recession", salaryParameters!$F$26    ),
  A16&gt;=46,
    _xlfn.SWITCH(C16,
      "Boom", salaryParameters!$F$27,
      "Normal", salaryParameters!$F$28,
      "Recession", salaryParameters!$F$29    )
)</f>
        <v>5.8834935449407844E-3</v>
      </c>
      <c r="F16" s="1" cm="1">
        <f t="array" aca="1" ref="F16" ca="1">_xlfn.SWITCH(C16,
  "Boom", IF(A16&lt;=45, _xlfn.RANDARRAY(1,1,0.3,0.4,FALSE), _xlfn.RANDARRAY(1,1,0.7,0.8,FALSE)),
  "Normal", IF(A16&lt;=45, _xlfn.RANDARRAY(1,1,0.4,0.5,FALSE), _xlfn.RANDARRAY(1,1,0.7,0.8,FALSE)),
  "Recession", IF(A16&lt;=45, _xlfn.RANDARRAY(1,1,0.5,0.6,FALSE), _xlfn.RANDARRAY(1,1,0.8,0.9,FALSE))
)</f>
        <v>0.58758041013842666</v>
      </c>
      <c r="G16" s="1">
        <f t="shared" ca="1" si="1"/>
        <v>2.7999974234004792E-2</v>
      </c>
      <c r="H16" s="1" cm="1">
        <f t="array" aca="1" ref="H16" ca="1">_xlfn.SWITCH(C16,
  "Boom", _xlfn.BETA.INV(RAND(), 2, 1.5, 0.03, 0.05),
  "Normal", _xlfn.BETA.INV(RAND(), 1.364706192, 1, 0.02, 0.045991351),
  "Recession", _xlfn.BETA.INV(RAND(), 2.699989178, 1.5, 0.01, 0.038)
)</f>
        <v>3.4489736747700263E-2</v>
      </c>
      <c r="I16" s="1">
        <f t="shared" ca="1" si="2"/>
        <v>3.1244855490852527E-2</v>
      </c>
      <c r="J16" s="1">
        <v>3.4750000000000003E-2</v>
      </c>
      <c r="K16" s="1" t="s">
        <v>137</v>
      </c>
      <c r="L16" s="1">
        <v>0.34932398796081543</v>
      </c>
      <c r="M16" s="1" cm="1">
        <f t="array" aca="1" ref="M16" ca="1">_xlfn.LET(
  _xlpm.age, A16,
  _xlpm.scenario, C16,
  _xlpm.r, L16,
  _xlpm.event, K16,
  _xlpm.μ_base, D16,
  _xlpm.σ_base, E16,
  _xlpm.ρ_base, F16,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G15,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2.6974294745051256E-2</v>
      </c>
    </row>
    <row r="17" spans="1:13">
      <c r="A17" s="1">
        <v>45</v>
      </c>
      <c r="B17" s="1">
        <f t="shared" si="0"/>
        <v>116850.22853137116</v>
      </c>
      <c r="C17" s="1" t="str" cm="1">
        <f t="array" aca="1" ref="C17" ca="1">_xlfn.IFS(
  C16="Boom", CHOOSE(MATCH(RAND(), {0,0.67,1}, 1), "Normal", "Recession"),
  C16="Normal", CHOOSE(MATCH(RAND(), {0,0.18,0.82,1}, 1), "Boom", "Normal", "Recession"),
  C16="Recession", CHOOSE(MATCH(RAND(), {0,0.17,0.34,1}, 1), "Boom", "Normal", "Recession")
)</f>
        <v>Normal</v>
      </c>
      <c r="D17" s="3" cm="1">
        <f t="array" aca="1" ref="D17" ca="1">_xlfn.IFS(
  A17&lt;=45,
    _xlfn.SWITCH(C17,
      "Boom", salaryParameters!$E$24,
      "Normal", salaryParameters!$E$25,
      "Recession", salaryParameters!$E$26    ),
  A17&gt;=46,
    _xlfn.SWITCH(C17,
      "Boom", salaryParameters!$E$27,
      "Normal", salaryParameters!$E$28,
      "Recession", salaryParameters!$E$29    )
)</f>
        <v>3.4999985347503544E-2</v>
      </c>
      <c r="E17" s="1" cm="1">
        <f t="array" aca="1" ref="E17" ca="1">_xlfn.IFS(
  A17&lt;=45,
    _xlfn.SWITCH(C17,
      "Boom", salaryParameters!$F$24,
      "Normal", salaryParameters!$F$25,
      "Recession", salaryParameters!$F$26    ),
  A17&gt;=46,
    _xlfn.SWITCH(C17,
      "Boom", salaryParameters!$F$27,
      "Normal", salaryParameters!$F$28,
      "Recession", salaryParameters!$F$29    )
)</f>
        <v>6.9999941994113067E-3</v>
      </c>
      <c r="F17" s="1" cm="1">
        <f t="array" aca="1" ref="F17" ca="1">_xlfn.SWITCH(C17,
  "Boom", IF(A17&lt;=45, _xlfn.RANDARRAY(1,1,0.3,0.4,FALSE), _xlfn.RANDARRAY(1,1,0.7,0.8,FALSE)),
  "Normal", IF(A17&lt;=45, _xlfn.RANDARRAY(1,1,0.4,0.5,FALSE), _xlfn.RANDARRAY(1,1,0.7,0.8,FALSE)),
  "Recession", IF(A17&lt;=45, _xlfn.RANDARRAY(1,1,0.5,0.6,FALSE), _xlfn.RANDARRAY(1,1,0.8,0.9,FALSE))
)</f>
        <v>0.4086831870996509</v>
      </c>
      <c r="G17" s="1">
        <f t="shared" ca="1" si="1"/>
        <v>3.4999985347503544E-2</v>
      </c>
      <c r="H17" s="1" cm="1">
        <f t="array" aca="1" ref="H17" ca="1">_xlfn.SWITCH(C17,
  "Boom", _xlfn.BETA.INV(RAND(), 2, 1.5, 0.03, 0.05),
  "Normal", _xlfn.BETA.INV(RAND(), 1.364706192, 1, 0.02, 0.045991351),
  "Recession", _xlfn.BETA.INV(RAND(), 2.699989178, 1.5, 0.01, 0.038)
)</f>
        <v>3.42067661899077E-2</v>
      </c>
      <c r="I17" s="1">
        <f t="shared" ca="1" si="2"/>
        <v>3.4603375768705619E-2</v>
      </c>
      <c r="J17" s="1">
        <v>3.4750000000000003E-2</v>
      </c>
      <c r="K17" s="1" t="s">
        <v>137</v>
      </c>
      <c r="L17" s="1">
        <v>0.85752671957015991</v>
      </c>
      <c r="M17" s="1" cm="1">
        <f t="array" aca="1" ref="M17" ca="1">_xlfn.LET(
  _xlpm.age, A17,
  _xlpm.scenario, C17,
  _xlpm.r, L17,
  _xlpm.event, K17,
  _xlpm.μ_base, D17,
  _xlpm.σ_base, E17,
  _xlpm.ρ_base, F17,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G16,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4.1423477425042987E-2</v>
      </c>
    </row>
    <row r="18" spans="1:13">
      <c r="A18" s="1">
        <v>46</v>
      </c>
      <c r="B18" s="1">
        <f t="shared" ca="1" si="0"/>
        <v>119096.84908074894</v>
      </c>
      <c r="C18" s="1" t="str" cm="1">
        <f t="array" aca="1" ref="C18" ca="1">_xlfn.IFS(
  C17="Boom", CHOOSE(MATCH(RAND(), {0,0.67,1}, 1), "Normal", "Recession"),
  C17="Normal", CHOOSE(MATCH(RAND(), {0,0.18,0.82,1}, 1), "Boom", "Normal", "Recession"),
  C17="Recession", CHOOSE(MATCH(RAND(), {0,0.17,0.34,1}, 1), "Boom", "Normal", "Recession")
)</f>
        <v>Boom</v>
      </c>
      <c r="D18" s="3" cm="1">
        <f t="array" aca="1" ref="D18" ca="1">_xlfn.IFS(
  A18&lt;=45,
    _xlfn.SWITCH(C18,
      "Boom", salaryParameters!$E$24,
      "Normal", salaryParameters!$E$25,
      "Recession", salaryParameters!$E$26    ),
  A18&gt;=46,
    _xlfn.SWITCH(C18,
      "Boom", salaryParameters!$E$27,
      "Normal", salaryParameters!$E$28,
      "Recession", salaryParameters!$E$29    )
)</f>
        <v>1.922649683799833E-2</v>
      </c>
      <c r="E18" s="1" cm="1">
        <f t="array" aca="1" ref="E18" ca="1">_xlfn.IFS(
  A18&lt;=45,
    _xlfn.SWITCH(C18,
      "Boom", salaryParameters!$F$24,
      "Normal", salaryParameters!$F$25,
      "Recession", salaryParameters!$F$26    ),
  A18&gt;=46,
    _xlfn.SWITCH(C18,
      "Boom", salaryParameters!$F$27,
      "Normal", salaryParameters!$F$28,
      "Recession", salaryParameters!$F$29    )
)</f>
        <v>2.0000001628492927E-3</v>
      </c>
      <c r="F18" s="1" cm="1">
        <f t="array" aca="1" ref="F18" ca="1">_xlfn.SWITCH(C18,
  "Boom", IF(A18&lt;=45, _xlfn.RANDARRAY(1,1,0.3,0.4,FALSE), _xlfn.RANDARRAY(1,1,0.7,0.8,FALSE)),
  "Normal", IF(A18&lt;=45, _xlfn.RANDARRAY(1,1,0.4,0.5,FALSE), _xlfn.RANDARRAY(1,1,0.7,0.8,FALSE)),
  "Recession", IF(A18&lt;=45, _xlfn.RANDARRAY(1,1,0.5,0.6,FALSE), _xlfn.RANDARRAY(1,1,0.8,0.9,FALSE))
)</f>
        <v>0.79146470302939564</v>
      </c>
      <c r="G18" s="1">
        <f t="shared" ca="1" si="1"/>
        <v>1.9997060111178445E-2</v>
      </c>
      <c r="I18" s="1">
        <f t="shared" ca="1" si="2"/>
        <v>1.9997060111178445E-2</v>
      </c>
      <c r="J18" s="1" cm="1">
        <f t="array" aca="1" ref="J18" ca="1">_xlfn.LET(
  _xlpm.age, A18,
  _xlpm.scenario, C18,
  _xlpm.r, L18,
  _xlpm.event, K18,
  _xlpm.μ_base, D18,
  _xlpm.σ_base, E18,
  _xlpm.ρ_base, F18,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G17,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1.922649683799833E-2</v>
      </c>
      <c r="K18" s="1" t="s">
        <v>137</v>
      </c>
      <c r="L18" s="1">
        <v>0.40341413021087646</v>
      </c>
      <c r="M18" s="1" cm="1">
        <f t="array" aca="1" ref="M18" ca="1">_xlfn.LET(
  _xlpm.age, A18,
  _xlpm.scenario, C18,
  _xlpm.r, L18,
  _xlpm.event, K18,
  _xlpm.μ_base, D18,
  _xlpm.σ_base, E18,
  _xlpm.ρ_base, F18,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G17,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1.922649683799833E-2</v>
      </c>
    </row>
    <row r="19" spans="1:13">
      <c r="A19" s="1">
        <v>47</v>
      </c>
      <c r="B19" s="1">
        <f t="shared" ca="1" si="0"/>
        <v>121536.65741437278</v>
      </c>
      <c r="C19" s="1" t="str" cm="1">
        <f t="array" aca="1" ref="C19" ca="1">_xlfn.IFS(
  C18="Boom", CHOOSE(MATCH(RAND(), {0,0.67,1}, 1), "Normal", "Recession"),
  C18="Normal", CHOOSE(MATCH(RAND(), {0,0.18,0.82,1}, 1), "Boom", "Normal", "Recession"),
  C18="Recession", CHOOSE(MATCH(RAND(), {0,0.17,0.34,1}, 1), "Boom", "Normal", "Recession")
)</f>
        <v>Normal</v>
      </c>
      <c r="D19" s="3" cm="1">
        <f t="array" aca="1" ref="D19" ca="1">_xlfn.IFS(
  A19&lt;=45,
    _xlfn.SWITCH(C19,
      "Boom", salaryParameters!$E$24,
      "Normal", salaryParameters!$E$25,
      "Recession", salaryParameters!$E$26    ),
  A19&gt;=46,
    _xlfn.SWITCH(C19,
      "Boom", salaryParameters!$E$27,
      "Normal", salaryParameters!$E$28,
      "Recession", salaryParameters!$E$29    )
)</f>
        <v>1.4133933707951039E-2</v>
      </c>
      <c r="E19" s="1" cm="1">
        <f t="array" aca="1" ref="E19" ca="1">_xlfn.IFS(
  A19&lt;=45,
    _xlfn.SWITCH(C19,
      "Boom", salaryParameters!$F$24,
      "Normal", salaryParameters!$F$25,
      "Recession", salaryParameters!$F$26    ),
  A19&gt;=46,
    _xlfn.SWITCH(C19,
      "Boom", salaryParameters!$F$27,
      "Normal", salaryParameters!$F$28,
      "Recession", salaryParameters!$F$29    )
)</f>
        <v>2.9999999735977907E-3</v>
      </c>
      <c r="F19" s="1" cm="1">
        <f t="array" aca="1" ref="F19" ca="1">_xlfn.SWITCH(C19,
  "Boom", IF(A19&lt;=45, _xlfn.RANDARRAY(1,1,0.3,0.4,FALSE), _xlfn.RANDARRAY(1,1,0.7,0.8,FALSE)),
  "Normal", IF(A19&lt;=45, _xlfn.RANDARRAY(1,1,0.4,0.5,FALSE), _xlfn.RANDARRAY(1,1,0.7,0.8,FALSE)),
  "Recession", IF(A19&lt;=45, _xlfn.RANDARRAY(1,1,0.5,0.6,FALSE), _xlfn.RANDARRAY(1,1,0.8,0.9,FALSE))
)</f>
        <v>0.75140710453685655</v>
      </c>
      <c r="G19" s="1">
        <f t="shared" ca="1" si="1"/>
        <v>2.1232544295644827E-2</v>
      </c>
      <c r="I19" s="1">
        <f t="shared" ca="1" si="2"/>
        <v>2.1232544295644827E-2</v>
      </c>
      <c r="J19" s="1" cm="1">
        <f t="array" aca="1" ref="J19" ca="1">_xlfn.LET(
  _xlpm.age, A19,
  _xlpm.scenario, C19,
  _xlpm.r, L19,
  _xlpm.event, K19,
  _xlpm.μ_base, D19,
  _xlpm.σ_base, E19,
  _xlpm.ρ_base, F19,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G18,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2.0485918413925556E-2</v>
      </c>
      <c r="K19" s="1" t="s">
        <v>137</v>
      </c>
      <c r="L19" s="1">
        <v>0.74176508188247681</v>
      </c>
      <c r="M19" s="1" cm="1">
        <f t="array" aca="1" ref="M19" ca="1">_xlfn.LET(
  _xlpm.age, A19,
  _xlpm.scenario, C19,
  _xlpm.r, L19,
  _xlpm.event, K19,
  _xlpm.μ_base, D19,
  _xlpm.σ_base, E19,
  _xlpm.ρ_base, F19,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G18,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2.0485918413925556E-2</v>
      </c>
    </row>
    <row r="20" spans="1:13">
      <c r="A20" s="1">
        <v>48</v>
      </c>
      <c r="B20" s="1">
        <f t="shared" ca="1" si="0"/>
        <v>123883.3985694249</v>
      </c>
      <c r="C20" s="1" t="str" cm="1">
        <f t="array" aca="1" ref="C20" ca="1">_xlfn.IFS(
  C19="Boom", CHOOSE(MATCH(RAND(), {0,0.67,1}, 1), "Normal", "Recession"),
  C19="Normal", CHOOSE(MATCH(RAND(), {0,0.18,0.82,1}, 1), "Boom", "Normal", "Recession"),
  C19="Recession", CHOOSE(MATCH(RAND(), {0,0.17,0.34,1}, 1), "Boom", "Normal", "Recession")
)</f>
        <v>Boom</v>
      </c>
      <c r="D20" s="3" cm="1">
        <f t="array" aca="1" ref="D20" ca="1">_xlfn.IFS(
  A20&lt;=45,
    _xlfn.SWITCH(C20,
      "Boom", salaryParameters!$E$24,
      "Normal", salaryParameters!$E$25,
      "Recession", salaryParameters!$E$26    ),
  A20&gt;=46,
    _xlfn.SWITCH(C20,
      "Boom", salaryParameters!$E$27,
      "Normal", salaryParameters!$E$28,
      "Recession", salaryParameters!$E$29    )
)</f>
        <v>1.922649683799833E-2</v>
      </c>
      <c r="E20" s="1" cm="1">
        <f t="array" aca="1" ref="E20" ca="1">_xlfn.IFS(
  A20&lt;=45,
    _xlfn.SWITCH(C20,
      "Boom", salaryParameters!$F$24,
      "Normal", salaryParameters!$F$25,
      "Recession", salaryParameters!$F$26    ),
  A20&gt;=46,
    _xlfn.SWITCH(C20,
      "Boom", salaryParameters!$F$27,
      "Normal", salaryParameters!$F$28,
      "Recession", salaryParameters!$F$29    )
)</f>
        <v>2.0000001628492927E-3</v>
      </c>
      <c r="F20" s="1" cm="1">
        <f t="array" aca="1" ref="F20" ca="1">_xlfn.SWITCH(C20,
  "Boom", IF(A20&lt;=45, _xlfn.RANDARRAY(1,1,0.3,0.4,FALSE), _xlfn.RANDARRAY(1,1,0.7,0.8,FALSE)),
  "Normal", IF(A20&lt;=45, _xlfn.RANDARRAY(1,1,0.4,0.5,FALSE), _xlfn.RANDARRAY(1,1,0.7,0.8,FALSE)),
  "Recession", IF(A20&lt;=45, _xlfn.RANDARRAY(1,1,0.5,0.6,FALSE), _xlfn.RANDARRAY(1,1,0.8,0.9,FALSE))
)</f>
        <v>0.7575873376788399</v>
      </c>
      <c r="G20" s="1">
        <f t="shared" ca="1" si="1"/>
        <v>1.922649683799833E-2</v>
      </c>
      <c r="I20" s="1">
        <f t="shared" ca="1" si="2"/>
        <v>1.922649683799833E-2</v>
      </c>
      <c r="J20" s="1" cm="1">
        <f t="array" aca="1" ref="J20" ca="1">_xlfn.LET(
  _xlpm.age, A20,
  _xlpm.scenario, C20,
  _xlpm.r, L20,
  _xlpm.event, K20,
  _xlpm.μ_base, D20,
  _xlpm.σ_base, E20,
  _xlpm.ρ_base, F20,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G19,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1.9308916379451122E-2</v>
      </c>
      <c r="K20" s="1" t="s">
        <v>137</v>
      </c>
      <c r="L20" s="1">
        <v>0.23617267608642578</v>
      </c>
      <c r="M20" s="1" cm="1">
        <f t="array" aca="1" ref="M20" ca="1">_xlfn.LET(
  _xlpm.age, A20,
  _xlpm.scenario, C20,
  _xlpm.r, L20,
  _xlpm.event, K20,
  _xlpm.μ_base, D20,
  _xlpm.σ_base, E20,
  _xlpm.ρ_base, F20,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G19,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1.9308916379451122E-2</v>
      </c>
    </row>
    <row r="21" spans="1:13">
      <c r="A21" s="1">
        <v>49</v>
      </c>
      <c r="B21" s="1">
        <f t="shared" ca="1" si="0"/>
        <v>126617.63162438602</v>
      </c>
      <c r="C21" s="1" t="str" cm="1">
        <f t="array" aca="1" ref="C21" ca="1">_xlfn.IFS(
  C20="Boom", CHOOSE(MATCH(RAND(), {0,0.67,1}, 1), "Normal", "Recession"),
  C20="Normal", CHOOSE(MATCH(RAND(), {0,0.18,0.82,1}, 1), "Boom", "Normal", "Recession"),
  C20="Recession", CHOOSE(MATCH(RAND(), {0,0.17,0.34,1}, 1), "Boom", "Normal", "Recession")
)</f>
        <v>Normal</v>
      </c>
      <c r="D21" s="3" cm="1">
        <f t="array" aca="1" ref="D21" ca="1">_xlfn.IFS(
  A21&lt;=45,
    _xlfn.SWITCH(C21,
      "Boom", salaryParameters!$E$24,
      "Normal", salaryParameters!$E$25,
      "Recession", salaryParameters!$E$26    ),
  A21&gt;=46,
    _xlfn.SWITCH(C21,
      "Boom", salaryParameters!$E$27,
      "Normal", salaryParameters!$E$28,
      "Recession", salaryParameters!$E$29    )
)</f>
        <v>1.4133933707951039E-2</v>
      </c>
      <c r="E21" s="1" cm="1">
        <f t="array" aca="1" ref="E21" ca="1">_xlfn.IFS(
  A21&lt;=45,
    _xlfn.SWITCH(C21,
      "Boom", salaryParameters!$F$24,
      "Normal", salaryParameters!$F$25,
      "Recession", salaryParameters!$F$26    ),
  A21&gt;=46,
    _xlfn.SWITCH(C21,
      "Boom", salaryParameters!$F$27,
      "Normal", salaryParameters!$F$28,
      "Recession", salaryParameters!$F$29    )
)</f>
        <v>2.9999999735977907E-3</v>
      </c>
      <c r="F21" s="1" cm="1">
        <f t="array" aca="1" ref="F21" ca="1">_xlfn.SWITCH(C21,
  "Boom", IF(A21&lt;=45, _xlfn.RANDARRAY(1,1,0.3,0.4,FALSE), _xlfn.RANDARRAY(1,1,0.7,0.8,FALSE)),
  "Normal", IF(A21&lt;=45, _xlfn.RANDARRAY(1,1,0.4,0.5,FALSE), _xlfn.RANDARRAY(1,1,0.7,0.8,FALSE)),
  "Recession", IF(A21&lt;=45, _xlfn.RANDARRAY(1,1,0.5,0.6,FALSE), _xlfn.RANDARRAY(1,1,0.8,0.9,FALSE))
)</f>
        <v>0.7611641568875418</v>
      </c>
      <c r="G21" s="1">
        <f t="shared" ca="1" si="1"/>
        <v>1.8240087224563661E-2</v>
      </c>
      <c r="I21" s="1">
        <f t="shared" ca="1" si="2"/>
        <v>1.8240087224563661E-2</v>
      </c>
      <c r="J21" s="1" cm="1">
        <f t="array" aca="1" ref="J21" ca="1">_xlfn.LET(
  _xlpm.age, A21,
  _xlpm.scenario, C21,
  _xlpm.r, L21,
  _xlpm.event, K21,
  _xlpm.μ_base, D21,
  _xlpm.σ_base, E21,
  _xlpm.ρ_base, F21,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G20,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2.2071020706046014E-2</v>
      </c>
      <c r="K21" s="1" t="s">
        <v>137</v>
      </c>
      <c r="L21" s="1">
        <v>0.91206854581832886</v>
      </c>
      <c r="M21" s="1" cm="1">
        <f t="array" aca="1" ref="M21" ca="1">_xlfn.LET(
  _xlpm.age, A21,
  _xlpm.scenario, C21,
  _xlpm.r, L21,
  _xlpm.event, K21,
  _xlpm.μ_base, D21,
  _xlpm.σ_base, E21,
  _xlpm.ρ_base, F21,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G20,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2.2071020706046014E-2</v>
      </c>
    </row>
    <row r="22" spans="1:13">
      <c r="A22" s="1">
        <v>50</v>
      </c>
      <c r="B22" s="1">
        <f t="shared" ca="1" si="0"/>
        <v>128500.77780155174</v>
      </c>
      <c r="C22" s="1" t="str" cm="1">
        <f t="array" aca="1" ref="C22" ca="1">_xlfn.IFS(
  C21="Boom", CHOOSE(MATCH(RAND(), {0,0.67,1}, 1), "Normal", "Recession"),
  C21="Normal", CHOOSE(MATCH(RAND(), {0,0.18,0.82,1}, 1), "Boom", "Normal", "Recession"),
  C21="Recession", CHOOSE(MATCH(RAND(), {0,0.17,0.34,1}, 1), "Boom", "Normal", "Recession")
)</f>
        <v>Recession</v>
      </c>
      <c r="D22" s="3" cm="1">
        <f t="array" aca="1" ref="D22" ca="1">_xlfn.IFS(
  A22&lt;=45,
    _xlfn.SWITCH(C22,
      "Boom", salaryParameters!$E$24,
      "Normal", salaryParameters!$E$25,
      "Recession", salaryParameters!$E$26    ),
  A22&gt;=46,
    _xlfn.SWITCH(C22,
      "Boom", salaryParameters!$E$27,
      "Normal", salaryParameters!$E$28,
      "Recession", salaryParameters!$E$29    )
)</f>
        <v>8.0000012083125058E-3</v>
      </c>
      <c r="E22" s="1" cm="1">
        <f t="array" aca="1" ref="E22" ca="1">_xlfn.IFS(
  A22&lt;=45,
    _xlfn.SWITCH(C22,
      "Boom", salaryParameters!$F$24,
      "Normal", salaryParameters!$F$25,
      "Recession", salaryParameters!$F$26    ),
  A22&gt;=46,
    _xlfn.SWITCH(C22,
      "Boom", salaryParameters!$F$27,
      "Normal", salaryParameters!$F$28,
      "Recession", salaryParameters!$F$29    )
)</f>
        <v>3.5031768893903073E-3</v>
      </c>
      <c r="F22" s="1" cm="1">
        <f t="array" aca="1" ref="F22" ca="1">_xlfn.SWITCH(C22,
  "Boom", IF(A22&lt;=45, _xlfn.RANDARRAY(1,1,0.3,0.4,FALSE), _xlfn.RANDARRAY(1,1,0.7,0.8,FALSE)),
  "Normal", IF(A22&lt;=45, _xlfn.RANDARRAY(1,1,0.4,0.5,FALSE), _xlfn.RANDARRAY(1,1,0.7,0.8,FALSE)),
  "Recession", IF(A22&lt;=45, _xlfn.RANDARRAY(1,1,0.5,0.6,FALSE), _xlfn.RANDARRAY(1,1,0.8,0.9,FALSE))
)</f>
        <v>0.80804764432845411</v>
      </c>
      <c r="G22" s="1">
        <f t="shared" ca="1" si="1"/>
        <v>1.6062326978295766E-2</v>
      </c>
      <c r="I22" s="1">
        <f t="shared" ca="1" si="2"/>
        <v>1.6062326978295766E-2</v>
      </c>
      <c r="J22" s="1" cm="1">
        <f t="array" aca="1" ref="J22" ca="1">_xlfn.LET(
  _xlpm.age, A22,
  _xlpm.scenario, C22,
  _xlpm.r, L22,
  _xlpm.event, K22,
  _xlpm.μ_base, D22,
  _xlpm.σ_base, E22,
  _xlpm.ρ_base, F22,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G21,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1.4872701005434412E-2</v>
      </c>
      <c r="K22" s="1" t="s">
        <v>137</v>
      </c>
      <c r="L22" s="1">
        <v>0.34452497959136963</v>
      </c>
      <c r="M22" s="1" cm="1">
        <f t="array" aca="1" ref="M22" ca="1">_xlfn.LET(
  _xlpm.age, A22,
  _xlpm.scenario, C22,
  _xlpm.r, L22,
  _xlpm.event, K22,
  _xlpm.μ_base, D22,
  _xlpm.σ_base, E22,
  _xlpm.ρ_base, F22,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G21,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1.4872701005434412E-2</v>
      </c>
    </row>
    <row r="23" spans="1:13">
      <c r="A23" s="1">
        <v>51</v>
      </c>
      <c r="B23" s="1">
        <f t="shared" ca="1" si="0"/>
        <v>130843.52106006785</v>
      </c>
      <c r="C23" s="1" t="str" cm="1">
        <f t="array" aca="1" ref="C23" ca="1">_xlfn.IFS(
  C22="Boom", CHOOSE(MATCH(RAND(), {0,0.67,1}, 1), "Normal", "Recession"),
  C22="Normal", CHOOSE(MATCH(RAND(), {0,0.18,0.82,1}, 1), "Boom", "Normal", "Recession"),
  C22="Recession", CHOOSE(MATCH(RAND(), {0,0.17,0.34,1}, 1), "Boom", "Normal", "Recession")
)</f>
        <v>Recession</v>
      </c>
      <c r="D23" s="3" cm="1">
        <f t="array" aca="1" ref="D23" ca="1">_xlfn.IFS(
  A23&lt;=45,
    _xlfn.SWITCH(C23,
      "Boom", salaryParameters!$E$24,
      "Normal", salaryParameters!$E$25,
      "Recession", salaryParameters!$E$26    ),
  A23&gt;=46,
    _xlfn.SWITCH(C23,
      "Boom", salaryParameters!$E$27,
      "Normal", salaryParameters!$E$28,
      "Recession", salaryParameters!$E$29    )
)</f>
        <v>8.0000012083125058E-3</v>
      </c>
      <c r="E23" s="1" cm="1">
        <f t="array" aca="1" ref="E23" ca="1">_xlfn.IFS(
  A23&lt;=45,
    _xlfn.SWITCH(C23,
      "Boom", salaryParameters!$F$24,
      "Normal", salaryParameters!$F$25,
      "Recession", salaryParameters!$F$26    ),
  A23&gt;=46,
    _xlfn.SWITCH(C23,
      "Boom", salaryParameters!$F$27,
      "Normal", salaryParameters!$F$28,
      "Recession", salaryParameters!$F$29    )
)</f>
        <v>3.5031768893903073E-3</v>
      </c>
      <c r="F23" s="1" cm="1">
        <f t="array" aca="1" ref="F23" ca="1">_xlfn.SWITCH(C23,
  "Boom", IF(A23&lt;=45, _xlfn.RANDARRAY(1,1,0.3,0.4,FALSE), _xlfn.RANDARRAY(1,1,0.7,0.8,FALSE)),
  "Normal", IF(A23&lt;=45, _xlfn.RANDARRAY(1,1,0.4,0.5,FALSE), _xlfn.RANDARRAY(1,1,0.7,0.8,FALSE)),
  "Recession", IF(A23&lt;=45, _xlfn.RANDARRAY(1,1,0.5,0.6,FALSE), _xlfn.RANDARRAY(1,1,0.8,0.9,FALSE))
)</f>
        <v>0.81074358801026325</v>
      </c>
      <c r="G23" s="1">
        <f t="shared" ca="1" si="1"/>
        <v>8.9648618028913638E-3</v>
      </c>
      <c r="I23" s="1">
        <f t="shared" ca="1" si="2"/>
        <v>8.9648618028913638E-3</v>
      </c>
      <c r="J23" s="1" cm="1">
        <f t="array" aca="1" ref="J23" ca="1">_xlfn.LET(
  _xlpm.age, A23,
  _xlpm.scenario, C23,
  _xlpm.r, L23,
  _xlpm.event, K23,
  _xlpm.μ_base, D23,
  _xlpm.σ_base, E23,
  _xlpm.ρ_base, F23,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G22,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1.8231354693697726E-2</v>
      </c>
      <c r="K23" s="1" t="s">
        <v>137</v>
      </c>
      <c r="L23" s="1">
        <v>0.85422354936599731</v>
      </c>
      <c r="M23" s="1" cm="1">
        <f t="array" aca="1" ref="M23" ca="1">_xlfn.LET(
  _xlpm.age, A23,
  _xlpm.scenario, C23,
  _xlpm.r, L23,
  _xlpm.event, K23,
  _xlpm.μ_base, D23,
  _xlpm.σ_base, E23,
  _xlpm.ρ_base, F23,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G22,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1.8231354693697726E-2</v>
      </c>
    </row>
    <row r="24" spans="1:13">
      <c r="A24" s="1">
        <v>52</v>
      </c>
      <c r="B24" s="1">
        <f t="shared" ca="1" si="0"/>
        <v>131890.26938664826</v>
      </c>
      <c r="C24" s="1" t="str" cm="1">
        <f t="array" aca="1" ref="C24" ca="1">_xlfn.IFS(
  C23="Boom", CHOOSE(MATCH(RAND(), {0,0.67,1}, 1), "Normal", "Recession"),
  C23="Normal", CHOOSE(MATCH(RAND(), {0,0.18,0.82,1}, 1), "Boom", "Normal", "Recession"),
  C23="Recession", CHOOSE(MATCH(RAND(), {0,0.17,0.34,1}, 1), "Boom", "Normal", "Recession")
)</f>
        <v>Recession</v>
      </c>
      <c r="D24" s="3" cm="1">
        <f t="array" aca="1" ref="D24" ca="1">_xlfn.IFS(
  A24&lt;=45,
    _xlfn.SWITCH(C24,
      "Boom", salaryParameters!$E$24,
      "Normal", salaryParameters!$E$25,
      "Recession", salaryParameters!$E$26    ),
  A24&gt;=46,
    _xlfn.SWITCH(C24,
      "Boom", salaryParameters!$E$27,
      "Normal", salaryParameters!$E$28,
      "Recession", salaryParameters!$E$29    )
)</f>
        <v>8.0000012083125058E-3</v>
      </c>
      <c r="E24" s="1" cm="1">
        <f t="array" aca="1" ref="E24" ca="1">_xlfn.IFS(
  A24&lt;=45,
    _xlfn.SWITCH(C24,
      "Boom", salaryParameters!$F$24,
      "Normal", salaryParameters!$F$25,
      "Recession", salaryParameters!$F$26    ),
  A24&gt;=46,
    _xlfn.SWITCH(C24,
      "Boom", salaryParameters!$F$27,
      "Normal", salaryParameters!$F$28,
      "Recession", salaryParameters!$F$29    )
)</f>
        <v>3.5031768893903073E-3</v>
      </c>
      <c r="F24" s="1" cm="1">
        <f t="array" aca="1" ref="F24" ca="1">_xlfn.SWITCH(C24,
  "Boom", IF(A24&lt;=45, _xlfn.RANDARRAY(1,1,0.3,0.4,FALSE), _xlfn.RANDARRAY(1,1,0.7,0.8,FALSE)),
  "Normal", IF(A24&lt;=45, _xlfn.RANDARRAY(1,1,0.4,0.5,FALSE), _xlfn.RANDARRAY(1,1,0.7,0.8,FALSE)),
  "Recession", IF(A24&lt;=45, _xlfn.RANDARRAY(1,1,0.5,0.6,FALSE), _xlfn.RANDARRAY(1,1,0.8,0.9,FALSE))
)</f>
        <v>0.84005370816198022</v>
      </c>
      <c r="G24" s="1">
        <f t="shared" ca="1" si="1"/>
        <v>8.0000012083125058E-3</v>
      </c>
      <c r="I24" s="1">
        <f t="shared" ca="1" si="2"/>
        <v>8.0000012083125058E-3</v>
      </c>
      <c r="J24" s="1" cm="1">
        <f t="array" aca="1" ref="J24" ca="1">_xlfn.LET(
  _xlpm.age, A24,
  _xlpm.scenario, C24,
  _xlpm.r, L24,
  _xlpm.event, K24,
  _xlpm.μ_base, D24,
  _xlpm.σ_base, E24,
  _xlpm.ρ_base, F24,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G23,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8.0000012083125058E-3</v>
      </c>
      <c r="K24" s="1" t="s">
        <v>137</v>
      </c>
      <c r="L24" s="1">
        <v>0.34142422676086426</v>
      </c>
      <c r="M24" s="1" cm="1">
        <f t="array" aca="1" ref="M24" ca="1">_xlfn.LET(
  _xlpm.age, A24,
  _xlpm.scenario, C24,
  _xlpm.r, L24,
  _xlpm.event, K24,
  _xlpm.μ_base, D24,
  _xlpm.σ_base, E24,
  _xlpm.ρ_base, F24,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G23,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8.0000012083125058E-3</v>
      </c>
    </row>
    <row r="25" spans="1:13">
      <c r="A25" s="1">
        <v>53</v>
      </c>
      <c r="B25" s="1">
        <f t="shared" ca="1" si="0"/>
        <v>134426.05723397338</v>
      </c>
      <c r="C25" s="1" t="str" cm="1">
        <f t="array" aca="1" ref="C25" ca="1">_xlfn.IFS(
  C24="Boom", CHOOSE(MATCH(RAND(), {0,0.67,1}, 1), "Normal", "Recession"),
  C24="Normal", CHOOSE(MATCH(RAND(), {0,0.18,0.82,1}, 1), "Boom", "Normal", "Recession"),
  C24="Recession", CHOOSE(MATCH(RAND(), {0,0.17,0.34,1}, 1), "Boom", "Normal", "Recession")
)</f>
        <v>Boom</v>
      </c>
      <c r="D25" s="3" cm="1">
        <f t="array" aca="1" ref="D25" ca="1">_xlfn.IFS(
  A25&lt;=45,
    _xlfn.SWITCH(C25,
      "Boom", salaryParameters!$E$24,
      "Normal", salaryParameters!$E$25,
      "Recession", salaryParameters!$E$26    ),
  A25&gt;=46,
    _xlfn.SWITCH(C25,
      "Boom", salaryParameters!$E$27,
      "Normal", salaryParameters!$E$28,
      "Recession", salaryParameters!$E$29    )
)</f>
        <v>1.922649683799833E-2</v>
      </c>
      <c r="E25" s="1" cm="1">
        <f t="array" aca="1" ref="E25" ca="1">_xlfn.IFS(
  A25&lt;=45,
    _xlfn.SWITCH(C25,
      "Boom", salaryParameters!$F$24,
      "Normal", salaryParameters!$F$25,
      "Recession", salaryParameters!$F$26    ),
  A25&gt;=46,
    _xlfn.SWITCH(C25,
      "Boom", salaryParameters!$F$27,
      "Normal", salaryParameters!$F$28,
      "Recession", salaryParameters!$F$29    )
)</f>
        <v>2.0000001628492927E-3</v>
      </c>
      <c r="F25" s="1" cm="1">
        <f t="array" aca="1" ref="F25" ca="1">_xlfn.SWITCH(C25,
  "Boom", IF(A25&lt;=45, _xlfn.RANDARRAY(1,1,0.3,0.4,FALSE), _xlfn.RANDARRAY(1,1,0.7,0.8,FALSE)),
  "Normal", IF(A25&lt;=45, _xlfn.RANDARRAY(1,1,0.4,0.5,FALSE), _xlfn.RANDARRAY(1,1,0.7,0.8,FALSE)),
  "Recession", IF(A25&lt;=45, _xlfn.RANDARRAY(1,1,0.5,0.6,FALSE), _xlfn.RANDARRAY(1,1,0.8,0.9,FALSE))
)</f>
        <v>0.71711072944309195</v>
      </c>
      <c r="G25" s="1">
        <f t="shared" ca="1" si="1"/>
        <v>1.922649683799833E-2</v>
      </c>
      <c r="I25" s="1">
        <f t="shared" ca="1" si="2"/>
        <v>1.922649683799833E-2</v>
      </c>
      <c r="J25" s="1" cm="1">
        <f t="array" aca="1" ref="J25" ca="1">_xlfn.LET(
  _xlpm.age, A25,
  _xlpm.scenario, C25,
  _xlpm.r, L25,
  _xlpm.event, K25,
  _xlpm.μ_base, D25,
  _xlpm.σ_base, E25,
  _xlpm.ρ_base, F25,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G24,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1.922649683799833E-2</v>
      </c>
      <c r="K25" s="1" t="s">
        <v>137</v>
      </c>
      <c r="L25" s="1">
        <v>0.51843303442001343</v>
      </c>
      <c r="M25" s="1" cm="1">
        <f t="array" aca="1" ref="M25" ca="1">_xlfn.LET(
  _xlpm.age, A25,
  _xlpm.scenario, C25,
  _xlpm.r, L25,
  _xlpm.event, K25,
  _xlpm.μ_base, D25,
  _xlpm.σ_base, E25,
  _xlpm.ρ_base, F25,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G24,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1.922649683799833E-2</v>
      </c>
    </row>
    <row r="26" spans="1:13">
      <c r="A26" s="1">
        <v>54</v>
      </c>
      <c r="B26" s="1">
        <f t="shared" ca="1" si="0"/>
        <v>133637.50507086012</v>
      </c>
      <c r="C26" s="1" t="str" cm="1">
        <f t="array" aca="1" ref="C26" ca="1">_xlfn.IFS(
  C25="Boom", CHOOSE(MATCH(RAND(), {0,0.67,1}, 1), "Normal", "Recession"),
  C25="Normal", CHOOSE(MATCH(RAND(), {0,0.18,0.82,1}, 1), "Boom", "Normal", "Recession"),
  C25="Recession", CHOOSE(MATCH(RAND(), {0,0.17,0.34,1}, 1), "Boom", "Normal", "Recession")
)</f>
        <v>Normal</v>
      </c>
      <c r="D26" s="3" cm="1">
        <f t="array" aca="1" ref="D26" ca="1">_xlfn.IFS(
  A26&lt;=45,
    _xlfn.SWITCH(C26,
      "Boom", salaryParameters!$E$24,
      "Normal", salaryParameters!$E$25,
      "Recession", salaryParameters!$E$26    ),
  A26&gt;=46,
    _xlfn.SWITCH(C26,
      "Boom", salaryParameters!$E$27,
      "Normal", salaryParameters!$E$28,
      "Recession", salaryParameters!$E$29    )
)</f>
        <v>1.4133933707951039E-2</v>
      </c>
      <c r="E26" s="1" cm="1">
        <f t="array" aca="1" ref="E26" ca="1">_xlfn.IFS(
  A26&lt;=45,
    _xlfn.SWITCH(C26,
      "Boom", salaryParameters!$F$24,
      "Normal", salaryParameters!$F$25,
      "Recession", salaryParameters!$F$26    ),
  A26&gt;=46,
    _xlfn.SWITCH(C26,
      "Boom", salaryParameters!$F$27,
      "Normal", salaryParameters!$F$28,
      "Recession", salaryParameters!$F$29    )
)</f>
        <v>2.9999999735977907E-3</v>
      </c>
      <c r="F26" s="1" cm="1">
        <f t="array" aca="1" ref="F26" ca="1">_xlfn.SWITCH(C26,
  "Boom", IF(A26&lt;=45, _xlfn.RANDARRAY(1,1,0.3,0.4,FALSE), _xlfn.RANDARRAY(1,1,0.7,0.8,FALSE)),
  "Normal", IF(A26&lt;=45, _xlfn.RANDARRAY(1,1,0.4,0.5,FALSE), _xlfn.RANDARRAY(1,1,0.7,0.8,FALSE)),
  "Recession", IF(A26&lt;=45, _xlfn.RANDARRAY(1,1,0.5,0.6,FALSE), _xlfn.RANDARRAY(1,1,0.8,0.9,FALSE))
)</f>
        <v>0.71356189657211777</v>
      </c>
      <c r="G26" s="1">
        <f t="shared" ca="1" si="1"/>
        <v>1.5442676614561489E-2</v>
      </c>
      <c r="I26" s="1">
        <f t="shared" ca="1" si="2"/>
        <v>1.5442676614561489E-2</v>
      </c>
      <c r="J26" s="1" cm="1">
        <f t="array" aca="1" ref="J26" ca="1">_xlfn.LET(
  _xlpm.age, A26,
  _xlpm.scenario, C26,
  _xlpm.r, L26,
  _xlpm.event, K26,
  _xlpm.μ_base, D26,
  _xlpm.σ_base, E26,
  _xlpm.ρ_base, F26,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G25,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-5.866066292048961E-3</v>
      </c>
      <c r="K26" s="1" t="s">
        <v>147</v>
      </c>
      <c r="L26" s="1">
        <v>9.074091911315918E-3</v>
      </c>
      <c r="M26" s="1" cm="1">
        <f t="array" aca="1" ref="M26" ca="1">_xlfn.LET(
  _xlpm.age, A26,
  _xlpm.scenario, C26,
  _xlpm.r, L26,
  _xlpm.event, K26,
  _xlpm.μ_base, D26,
  _xlpm.σ_base, E26,
  _xlpm.ρ_base, F26,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G25,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-5.866066292048961E-3</v>
      </c>
    </row>
    <row r="27" spans="1:13">
      <c r="A27" s="1">
        <v>55</v>
      </c>
      <c r="B27" s="1">
        <f t="shared" ca="1" si="0"/>
        <v>135817.1229087917</v>
      </c>
      <c r="C27" s="1" t="str" cm="1">
        <f t="array" aca="1" ref="C27" ca="1">_xlfn.IFS(
  C26="Boom", CHOOSE(MATCH(RAND(), {0,0.67,1}, 1), "Normal", "Recession"),
  C26="Normal", CHOOSE(MATCH(RAND(), {0,0.18,0.82,1}, 1), "Boom", "Normal", "Recession"),
  C26="Recession", CHOOSE(MATCH(RAND(), {0,0.17,0.34,1}, 1), "Boom", "Normal", "Recession")
)</f>
        <v>Normal</v>
      </c>
      <c r="D27" s="3" cm="1">
        <f t="array" aca="1" ref="D27" ca="1">_xlfn.IFS(
  A27&lt;=45,
    _xlfn.SWITCH(C27,
      "Boom", salaryParameters!$E$24,
      "Normal", salaryParameters!$E$25,
      "Recession", salaryParameters!$E$26    ),
  A27&gt;=46,
    _xlfn.SWITCH(C27,
      "Boom", salaryParameters!$E$27,
      "Normal", salaryParameters!$E$28,
      "Recession", salaryParameters!$E$29    )
)</f>
        <v>1.4133933707951039E-2</v>
      </c>
      <c r="E27" s="1" cm="1">
        <f t="array" aca="1" ref="E27" ca="1">_xlfn.IFS(
  A27&lt;=45,
    _xlfn.SWITCH(C27,
      "Boom", salaryParameters!$F$24,
      "Normal", salaryParameters!$F$25,
      "Recession", salaryParameters!$F$26    ),
  A27&gt;=46,
    _xlfn.SWITCH(C27,
      "Boom", salaryParameters!$F$27,
      "Normal", salaryParameters!$F$28,
      "Recession", salaryParameters!$F$29    )
)</f>
        <v>2.9999999735977907E-3</v>
      </c>
      <c r="F27" s="1" cm="1">
        <f t="array" aca="1" ref="F27" ca="1">_xlfn.SWITCH(C27,
  "Boom", IF(A27&lt;=45, _xlfn.RANDARRAY(1,1,0.3,0.4,FALSE), _xlfn.RANDARRAY(1,1,0.7,0.8,FALSE)),
  "Normal", IF(A27&lt;=45, _xlfn.RANDARRAY(1,1,0.4,0.5,FALSE), _xlfn.RANDARRAY(1,1,0.7,0.8,FALSE)),
  "Recession", IF(A27&lt;=45, _xlfn.RANDARRAY(1,1,0.5,0.6,FALSE), _xlfn.RANDARRAY(1,1,0.8,0.9,FALSE))
)</f>
        <v>0.71937779916286648</v>
      </c>
      <c r="G27" s="1">
        <f t="shared" ca="1" si="1"/>
        <v>2.0337343060907159E-2</v>
      </c>
      <c r="I27" s="1">
        <f t="shared" ca="1" si="2"/>
        <v>2.0337343060907159E-2</v>
      </c>
      <c r="J27" s="1" cm="1">
        <f t="array" aca="1" ref="J27" ca="1">_xlfn.LET(
  _xlpm.age, A27,
  _xlpm.scenario, C27,
  _xlpm.r, L27,
  _xlpm.event, K27,
  _xlpm.μ_base, D27,
  _xlpm.σ_base, E27,
  _xlpm.ρ_base, F27,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G26,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1.6309926145177966E-2</v>
      </c>
      <c r="K27" s="1" t="s">
        <v>137</v>
      </c>
      <c r="L27" s="1">
        <v>0.65964847803115845</v>
      </c>
      <c r="M27" s="1" cm="1">
        <f t="array" aca="1" ref="M27" ca="1">_xlfn.LET(
  _xlpm.age, A27,
  _xlpm.scenario, C27,
  _xlpm.r, L27,
  _xlpm.event, K27,
  _xlpm.μ_base, D27,
  _xlpm.σ_base, E27,
  _xlpm.ρ_base, F27,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G26,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1.6309926145177966E-2</v>
      </c>
    </row>
    <row r="28" spans="1:13">
      <c r="A28" s="1">
        <v>56</v>
      </c>
      <c r="B28" s="1">
        <f t="shared" ca="1" si="0"/>
        <v>138649.49314462554</v>
      </c>
      <c r="C28" s="1" t="str" cm="1">
        <f t="array" aca="1" ref="C28" ca="1">_xlfn.IFS(
  C27="Boom", CHOOSE(MATCH(RAND(), {0,0.67,1}, 1), "Normal", "Recession"),
  C27="Normal", CHOOSE(MATCH(RAND(), {0,0.18,0.82,1}, 1), "Boom", "Normal", "Recession"),
  C27="Recession", CHOOSE(MATCH(RAND(), {0,0.17,0.34,1}, 1), "Boom", "Normal", "Recession")
)</f>
        <v>Normal</v>
      </c>
      <c r="D28" s="3" cm="1">
        <f t="array" aca="1" ref="D28" ca="1">_xlfn.IFS(
  A28&lt;=45,
    _xlfn.SWITCH(C28,
      "Boom", salaryParameters!$E$24,
      "Normal", salaryParameters!$E$25,
      "Recession", salaryParameters!$E$26    ),
  A28&gt;=46,
    _xlfn.SWITCH(C28,
      "Boom", salaryParameters!$E$27,
      "Normal", salaryParameters!$E$28,
      "Recession", salaryParameters!$E$29    )
)</f>
        <v>1.4133933707951039E-2</v>
      </c>
      <c r="E28" s="1" cm="1">
        <f t="array" aca="1" ref="E28" ca="1">_xlfn.IFS(
  A28&lt;=45,
    _xlfn.SWITCH(C28,
      "Boom", salaryParameters!$F$24,
      "Normal", salaryParameters!$F$25,
      "Recession", salaryParameters!$F$26    ),
  A28&gt;=46,
    _xlfn.SWITCH(C28,
      "Boom", salaryParameters!$F$27,
      "Normal", salaryParameters!$F$28,
      "Recession", salaryParameters!$F$29    )
)</f>
        <v>2.9999999735977907E-3</v>
      </c>
      <c r="F28" s="1" cm="1">
        <f t="array" aca="1" ref="F28" ca="1">_xlfn.SWITCH(C28,
  "Boom", IF(A28&lt;=45, _xlfn.RANDARRAY(1,1,0.3,0.4,FALSE), _xlfn.RANDARRAY(1,1,0.7,0.8,FALSE)),
  "Normal", IF(A28&lt;=45, _xlfn.RANDARRAY(1,1,0.4,0.5,FALSE), _xlfn.RANDARRAY(1,1,0.7,0.8,FALSE)),
  "Recession", IF(A28&lt;=45, _xlfn.RANDARRAY(1,1,0.5,0.6,FALSE), _xlfn.RANDARRAY(1,1,0.8,0.9,FALSE))
)</f>
        <v>0.71326440244898748</v>
      </c>
      <c r="G28" s="1">
        <f t="shared" ca="1" si="1"/>
        <v>1.9963284644881486E-2</v>
      </c>
      <c r="I28" s="1">
        <f t="shared" ca="1" si="2"/>
        <v>1.9963284644881486E-2</v>
      </c>
      <c r="J28" s="1" cm="1">
        <f t="array" aca="1" ref="J28" ca="1">_xlfn.LET(
  _xlpm.age, A28,
  _xlpm.scenario, C28,
  _xlpm.r, L28,
  _xlpm.event, K28,
  _xlpm.μ_base, D28,
  _xlpm.σ_base, E28,
  _xlpm.ρ_base, F28,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G27,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2.0854294180093248E-2</v>
      </c>
      <c r="K28" s="1" t="s">
        <v>137</v>
      </c>
      <c r="L28" s="1">
        <v>0.77793264389038086</v>
      </c>
      <c r="M28" s="1" cm="1">
        <f t="array" aca="1" ref="M28" ca="1">_xlfn.LET(
  _xlpm.age, A28,
  _xlpm.scenario, C28,
  _xlpm.r, L28,
  _xlpm.event, K28,
  _xlpm.μ_base, D28,
  _xlpm.σ_base, E28,
  _xlpm.ρ_base, F28,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G27,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2.0854294180093248E-2</v>
      </c>
    </row>
    <row r="29" spans="1:13">
      <c r="A29" s="1">
        <v>57</v>
      </c>
      <c r="B29" s="1">
        <f t="shared" ca="1" si="0"/>
        <v>141744.86173903811</v>
      </c>
      <c r="C29" s="1" t="str" cm="1">
        <f t="array" aca="1" ref="C29" ca="1">_xlfn.IFS(
  C28="Boom", CHOOSE(MATCH(RAND(), {0,0.67,1}, 1), "Normal", "Recession"),
  C28="Normal", CHOOSE(MATCH(RAND(), {0,0.18,0.82,1}, 1), "Boom", "Normal", "Recession"),
  C28="Recession", CHOOSE(MATCH(RAND(), {0,0.17,0.34,1}, 1), "Boom", "Normal", "Recession")
)</f>
        <v>Boom</v>
      </c>
      <c r="D29" s="3" cm="1">
        <f t="array" aca="1" ref="D29" ca="1">_xlfn.IFS(
  A29&lt;=45,
    _xlfn.SWITCH(C29,
      "Boom", salaryParameters!$E$24,
      "Normal", salaryParameters!$E$25,
      "Recession", salaryParameters!$E$26    ),
  A29&gt;=46,
    _xlfn.SWITCH(C29,
      "Boom", salaryParameters!$E$27,
      "Normal", salaryParameters!$E$28,
      "Recession", salaryParameters!$E$29    )
)</f>
        <v>1.922649683799833E-2</v>
      </c>
      <c r="E29" s="1" cm="1">
        <f t="array" aca="1" ref="E29" ca="1">_xlfn.IFS(
  A29&lt;=45,
    _xlfn.SWITCH(C29,
      "Boom", salaryParameters!$F$24,
      "Normal", salaryParameters!$F$25,
      "Recession", salaryParameters!$F$26    ),
  A29&gt;=46,
    _xlfn.SWITCH(C29,
      "Boom", salaryParameters!$F$27,
      "Normal", salaryParameters!$F$28,
      "Recession", salaryParameters!$F$29    )
)</f>
        <v>2.0000001628492927E-3</v>
      </c>
      <c r="F29" s="1" cm="1">
        <f t="array" aca="1" ref="F29" ca="1">_xlfn.SWITCH(C29,
  "Boom", IF(A29&lt;=45, _xlfn.RANDARRAY(1,1,0.3,0.4,FALSE), _xlfn.RANDARRAY(1,1,0.7,0.8,FALSE)),
  "Normal", IF(A29&lt;=45, _xlfn.RANDARRAY(1,1,0.4,0.5,FALSE), _xlfn.RANDARRAY(1,1,0.7,0.8,FALSE)),
  "Recession", IF(A29&lt;=45, _xlfn.RANDARRAY(1,1,0.5,0.6,FALSE), _xlfn.RANDARRAY(1,1,0.8,0.9,FALSE))
)</f>
        <v>0.71819915692103609</v>
      </c>
      <c r="G29" s="1">
        <f t="shared" ca="1" si="1"/>
        <v>1.922649683799833E-2</v>
      </c>
      <c r="I29" s="1">
        <f t="shared" ca="1" si="2"/>
        <v>1.922649683799833E-2</v>
      </c>
      <c r="J29" s="1" cm="1">
        <f t="array" aca="1" ref="J29" ca="1">_xlfn.LET(
  _xlpm.age, A29,
  _xlpm.scenario, C29,
  _xlpm.r, L29,
  _xlpm.event, K29,
  _xlpm.μ_base, D29,
  _xlpm.σ_base, E29,
  _xlpm.ρ_base, F29,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G28,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2.2325134583678539E-2</v>
      </c>
      <c r="K29" s="1" t="s">
        <v>137</v>
      </c>
      <c r="L29" s="1">
        <v>0.90055817365646362</v>
      </c>
      <c r="M29" s="1" cm="1">
        <f t="array" aca="1" ref="M29" ca="1">_xlfn.LET(
  _xlpm.age, A29,
  _xlpm.scenario, C29,
  _xlpm.r, L29,
  _xlpm.event, K29,
  _xlpm.μ_base, D29,
  _xlpm.σ_base, E29,
  _xlpm.ρ_base, F29,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G28,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2.2325134583678539E-2</v>
      </c>
    </row>
    <row r="30" spans="1:13">
      <c r="A30" s="1">
        <v>58</v>
      </c>
      <c r="B30" s="1">
        <f t="shared" ca="1" si="0"/>
        <v>140043.92356944174</v>
      </c>
      <c r="C30" s="1" t="str" cm="1">
        <f t="array" aca="1" ref="C30" ca="1">_xlfn.IFS(
  C29="Boom", CHOOSE(MATCH(RAND(), {0,0.67,1}, 1), "Normal", "Recession"),
  C29="Normal", CHOOSE(MATCH(RAND(), {0,0.18,0.82,1}, 1), "Boom", "Normal", "Recession"),
  C29="Recession", CHOOSE(MATCH(RAND(), {0,0.17,0.34,1}, 1), "Boom", "Normal", "Recession")
)</f>
        <v>Recession</v>
      </c>
      <c r="D30" s="3" cm="1">
        <f t="array" aca="1" ref="D30" ca="1">_xlfn.IFS(
  A30&lt;=45,
    _xlfn.SWITCH(C30,
      "Boom", salaryParameters!$E$24,
      "Normal", salaryParameters!$E$25,
      "Recession", salaryParameters!$E$26    ),
  A30&gt;=46,
    _xlfn.SWITCH(C30,
      "Boom", salaryParameters!$E$27,
      "Normal", salaryParameters!$E$28,
      "Recession", salaryParameters!$E$29    )
)</f>
        <v>8.0000012083125058E-3</v>
      </c>
      <c r="E30" s="1" cm="1">
        <f t="array" aca="1" ref="E30" ca="1">_xlfn.IFS(
  A30&lt;=45,
    _xlfn.SWITCH(C30,
      "Boom", salaryParameters!$F$24,
      "Normal", salaryParameters!$F$25,
      "Recession", salaryParameters!$F$26    ),
  A30&gt;=46,
    _xlfn.SWITCH(C30,
      "Boom", salaryParameters!$F$27,
      "Normal", salaryParameters!$F$28,
      "Recession", salaryParameters!$F$29    )
)</f>
        <v>3.5031768893903073E-3</v>
      </c>
      <c r="F30" s="1" cm="1">
        <f t="array" aca="1" ref="F30" ca="1">_xlfn.SWITCH(C30,
  "Boom", IF(A30&lt;=45, _xlfn.RANDARRAY(1,1,0.3,0.4,FALSE), _xlfn.RANDARRAY(1,1,0.7,0.8,FALSE)),
  "Normal", IF(A30&lt;=45, _xlfn.RANDARRAY(1,1,0.4,0.5,FALSE), _xlfn.RANDARRAY(1,1,0.7,0.8,FALSE)),
  "Recession", IF(A30&lt;=45, _xlfn.RANDARRAY(1,1,0.5,0.6,FALSE), _xlfn.RANDARRAY(1,1,0.8,0.9,FALSE))
)</f>
        <v>0.82958532914402983</v>
      </c>
      <c r="G30" s="1">
        <f t="shared" ca="1" si="1"/>
        <v>1.4489298449270606E-2</v>
      </c>
      <c r="I30" s="1">
        <f t="shared" ca="1" si="2"/>
        <v>1.4489298449270606E-2</v>
      </c>
      <c r="J30" s="1" cm="1">
        <f t="array" aca="1" ref="J30" ca="1">_xlfn.LET(
  _xlpm.age, A30,
  _xlpm.scenario, C30,
  _xlpm.r, L30,
  _xlpm.event, K30,
  _xlpm.μ_base, D30,
  _xlpm.σ_base, E30,
  _xlpm.ρ_base, F30,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G29,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-1.1999998791687495E-2</v>
      </c>
      <c r="K30" s="1" t="s">
        <v>147</v>
      </c>
      <c r="L30" s="1">
        <v>3.7747502326965332E-2</v>
      </c>
      <c r="M30" s="1" cm="1">
        <f t="array" aca="1" ref="M30" ca="1">_xlfn.LET(
  _xlpm.age, A30,
  _xlpm.scenario, C30,
  _xlpm.r, L30,
  _xlpm.event, K30,
  _xlpm.μ_base, D30,
  _xlpm.σ_base, E30,
  _xlpm.ρ_base, F30,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G29,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-1.1999998791687495E-2</v>
      </c>
    </row>
    <row r="31" spans="1:13">
      <c r="A31" s="1">
        <v>59</v>
      </c>
      <c r="B31" s="1">
        <f t="shared" ca="1" si="0"/>
        <v>142023.2951013736</v>
      </c>
      <c r="C31" s="1" t="str" cm="1">
        <f t="array" aca="1" ref="C31" ca="1">_xlfn.IFS(
  C30="Boom", CHOOSE(MATCH(RAND(), {0,0.67,1}, 1), "Normal", "Recession"),
  C30="Normal", CHOOSE(MATCH(RAND(), {0,0.18,0.82,1}, 1), "Boom", "Normal", "Recession"),
  C30="Recession", CHOOSE(MATCH(RAND(), {0,0.17,0.34,1}, 1), "Boom", "Normal", "Recession")
)</f>
        <v>Normal</v>
      </c>
      <c r="D31" s="3" cm="1">
        <f t="array" aca="1" ref="D31" ca="1">_xlfn.IFS(
  A31&lt;=45,
    _xlfn.SWITCH(C31,
      "Boom", salaryParameters!$E$24,
      "Normal", salaryParameters!$E$25,
      "Recession", salaryParameters!$E$26    ),
  A31&gt;=46,
    _xlfn.SWITCH(C31,
      "Boom", salaryParameters!$E$27,
      "Normal", salaryParameters!$E$28,
      "Recession", salaryParameters!$E$29    )
)</f>
        <v>1.4133933707951039E-2</v>
      </c>
      <c r="E31" s="1" cm="1">
        <f t="array" aca="1" ref="E31" ca="1">_xlfn.IFS(
  A31&lt;=45,
    _xlfn.SWITCH(C31,
      "Boom", salaryParameters!$F$24,
      "Normal", salaryParameters!$F$25,
      "Recession", salaryParameters!$F$26    ),
  A31&gt;=46,
    _xlfn.SWITCH(C31,
      "Boom", salaryParameters!$F$27,
      "Normal", salaryParameters!$F$28,
      "Recession", salaryParameters!$F$29    )
)</f>
        <v>2.9999999735977907E-3</v>
      </c>
      <c r="F31" s="1" cm="1">
        <f t="array" aca="1" ref="F31" ca="1">_xlfn.SWITCH(C31,
  "Boom", IF(A31&lt;=45, _xlfn.RANDARRAY(1,1,0.3,0.4,FALSE), _xlfn.RANDARRAY(1,1,0.7,0.8,FALSE)),
  "Normal", IF(A31&lt;=45, _xlfn.RANDARRAY(1,1,0.4,0.5,FALSE), _xlfn.RANDARRAY(1,1,0.7,0.8,FALSE)),
  "Recession", IF(A31&lt;=45, _xlfn.RANDARRAY(1,1,0.5,0.6,FALSE), _xlfn.RANDARRAY(1,1,0.8,0.9,FALSE))
)</f>
        <v>0.76238381056476845</v>
      </c>
      <c r="G31" s="1">
        <f t="shared" ca="1" si="1"/>
        <v>1.5506237403953731E-2</v>
      </c>
      <c r="I31" s="1">
        <f t="shared" ca="1" si="2"/>
        <v>1.5506237403953731E-2</v>
      </c>
      <c r="J31" s="1" cm="1">
        <f t="array" aca="1" ref="J31" ca="1">_xlfn.LET(
  _xlpm.age, A31,
  _xlpm.scenario, C31,
  _xlpm.r, L31,
  _xlpm.event, K31,
  _xlpm.μ_base, D31,
  _xlpm.σ_base, E31,
  _xlpm.ρ_base, F31,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G30,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1.4133933707951039E-2</v>
      </c>
      <c r="K31" s="1" t="s">
        <v>137</v>
      </c>
      <c r="L31" s="1">
        <v>0.29848176240921021</v>
      </c>
      <c r="M31" s="1" cm="1">
        <f t="array" aca="1" ref="M31" ca="1">_xlfn.LET(
  _xlpm.age, A31,
  _xlpm.scenario, C31,
  _xlpm.r, L31,
  _xlpm.event, K31,
  _xlpm.μ_base, D31,
  _xlpm.σ_base, E31,
  _xlpm.ρ_base, F31,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G30,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1.4133933707951039E-2</v>
      </c>
    </row>
    <row r="32" spans="1:13">
      <c r="A32" s="1">
        <v>60</v>
      </c>
      <c r="B32" s="1">
        <f t="shared" ca="1" si="0"/>
        <v>142023.2951013736</v>
      </c>
      <c r="C32" s="1" t="str" cm="1">
        <f t="array" aca="1" ref="C32" ca="1">_xlfn.IFS(
  C31="Boom", CHOOSE(MATCH(RAND(), {0,0.67,1}, 1), "Normal", "Recession"),
  C31="Normal", CHOOSE(MATCH(RAND(), {0,0.18,0.82,1}, 1), "Boom", "Normal", "Recession"),
  C31="Recession", CHOOSE(MATCH(RAND(), {0,0.17,0.34,1}, 1), "Boom", "Normal", "Recession")
)</f>
        <v>Normal</v>
      </c>
      <c r="D32" s="3" cm="1">
        <f t="array" aca="1" ref="D32" ca="1">_xlfn.IFS(
  A32&lt;=45,
    _xlfn.SWITCH(C32,
      "Boom", salaryParameters!$E$24,
      "Normal", salaryParameters!$E$25,
      "Recession", salaryParameters!$E$26    ),
  A32&gt;=46,
    _xlfn.SWITCH(C32,
      "Boom", salaryParameters!$E$27,
      "Normal", salaryParameters!$E$28,
      "Recession", salaryParameters!$E$29    )
)</f>
        <v>1.4133933707951039E-2</v>
      </c>
      <c r="E32" s="1" cm="1">
        <f t="array" aca="1" ref="E32" ca="1">_xlfn.IFS(
  A32&lt;=45,
    _xlfn.SWITCH(C32,
      "Boom", salaryParameters!$F$24,
      "Normal", salaryParameters!$F$25,
      "Recession", salaryParameters!$F$26    ),
  A32&gt;=46,
    _xlfn.SWITCH(C32,
      "Boom", salaryParameters!$F$27,
      "Normal", salaryParameters!$F$28,
      "Recession", salaryParameters!$F$29    )
)</f>
        <v>2.9999999735977907E-3</v>
      </c>
      <c r="F32" s="1" cm="1">
        <f t="array" aca="1" ref="F32" ca="1">_xlfn.SWITCH(C32,
  "Boom", IF(A32&lt;=45, _xlfn.RANDARRAY(1,1,0.3,0.4,FALSE), _xlfn.RANDARRAY(1,1,0.7,0.8,FALSE)),
  "Normal", IF(A32&lt;=45, _xlfn.RANDARRAY(1,1,0.4,0.5,FALSE), _xlfn.RANDARRAY(1,1,0.7,0.8,FALSE)),
  "Recession", IF(A32&lt;=45, _xlfn.RANDARRAY(1,1,0.5,0.6,FALSE), _xlfn.RANDARRAY(1,1,0.8,0.9,FALSE))
)</f>
        <v>0.73850840921886685</v>
      </c>
      <c r="G32" s="1">
        <f t="shared" ca="1" si="1"/>
        <v>1.6529756936356273E-2</v>
      </c>
      <c r="I32" s="1">
        <f t="shared" ca="1" si="2"/>
        <v>1.6529756936356273E-2</v>
      </c>
      <c r="J32" s="1">
        <v>0</v>
      </c>
      <c r="K32" s="1" t="s">
        <v>137</v>
      </c>
      <c r="L32" s="1">
        <v>0.93687224388122559</v>
      </c>
      <c r="M32" s="1" cm="1">
        <f t="array" aca="1" ref="M32" ca="1">_xlfn.LET(
  _xlpm.age, A32,
  _xlpm.scenario, C32,
  _xlpm.r, L32,
  _xlpm.event, K32,
  _xlpm.μ_base, D32,
  _xlpm.σ_base, E32,
  _xlpm.ρ_base, F32,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G31,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1.9734499576236429E-2</v>
      </c>
    </row>
    <row r="33" spans="1:16">
      <c r="A33" s="1">
        <v>61</v>
      </c>
      <c r="B33" s="1">
        <f t="shared" ca="1" si="0"/>
        <v>142023.2951013736</v>
      </c>
      <c r="C33" s="1" t="str" cm="1">
        <f t="array" aca="1" ref="C33" ca="1">_xlfn.IFS(
  C32="Boom", CHOOSE(MATCH(RAND(), {0,0.67,1}, 1), "Normal", "Recession"),
  C32="Normal", CHOOSE(MATCH(RAND(), {0,0.18,0.82,1}, 1), "Boom", "Normal", "Recession"),
  C32="Recession", CHOOSE(MATCH(RAND(), {0,0.17,0.34,1}, 1), "Boom", "Normal", "Recession")
)</f>
        <v>Normal</v>
      </c>
      <c r="D33" s="3" cm="1">
        <f t="array" aca="1" ref="D33" ca="1">_xlfn.IFS(
  A33&lt;=45,
    _xlfn.SWITCH(C33,
      "Boom", salaryParameters!$E$24,
      "Normal", salaryParameters!$E$25,
      "Recession", salaryParameters!$E$26    ),
  A33&gt;=46,
    _xlfn.SWITCH(C33,
      "Boom", salaryParameters!$E$27,
      "Normal", salaryParameters!$E$28,
      "Recession", salaryParameters!$E$29    )
)</f>
        <v>1.4133933707951039E-2</v>
      </c>
      <c r="E33" s="1" cm="1">
        <f t="array" aca="1" ref="E33" ca="1">_xlfn.IFS(
  A33&lt;=45,
    _xlfn.SWITCH(C33,
      "Boom", salaryParameters!$F$24,
      "Normal", salaryParameters!$F$25,
      "Recession", salaryParameters!$F$26    ),
  A33&gt;=46,
    _xlfn.SWITCH(C33,
      "Boom", salaryParameters!$F$27,
      "Normal", salaryParameters!$F$28,
      "Recession", salaryParameters!$F$29    )
)</f>
        <v>2.9999999735977907E-3</v>
      </c>
      <c r="F33" s="1" cm="1">
        <f t="array" aca="1" ref="F33" ca="1">_xlfn.SWITCH(C33,
  "Boom", IF(A33&lt;=45, _xlfn.RANDARRAY(1,1,0.3,0.4,FALSE), _xlfn.RANDARRAY(1,1,0.7,0.8,FALSE)),
  "Normal", IF(A33&lt;=45, _xlfn.RANDARRAY(1,1,0.4,0.5,FALSE), _xlfn.RANDARRAY(1,1,0.7,0.8,FALSE)),
  "Recession", IF(A33&lt;=45, _xlfn.RANDARRAY(1,1,0.5,0.6,FALSE), _xlfn.RANDARRAY(1,1,0.8,0.9,FALSE))
)</f>
        <v>0.75354252852062631</v>
      </c>
      <c r="G33" s="1">
        <f t="shared" ca="1" si="1"/>
        <v>1.4133933707951039E-2</v>
      </c>
      <c r="I33" s="1">
        <f t="shared" ca="1" si="2"/>
        <v>1.4133933707951039E-2</v>
      </c>
      <c r="J33" s="1">
        <v>0</v>
      </c>
      <c r="K33" s="1" t="s">
        <v>137</v>
      </c>
      <c r="L33" s="1">
        <v>0.44742101430892944</v>
      </c>
      <c r="M33" s="1" cm="1">
        <f t="array" aca="1" ref="M33" ca="1">_xlfn.LET(
  _xlpm.age, A33,
  _xlpm.scenario, C33,
  _xlpm.r, L33,
  _xlpm.event, K33,
  _xlpm.μ_base, D33,
  _xlpm.σ_base, E33,
  _xlpm.ρ_base, F33,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G32,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1.5542748816856454E-2</v>
      </c>
    </row>
    <row r="34" spans="1:16">
      <c r="A34" s="1">
        <v>62</v>
      </c>
      <c r="B34" s="1">
        <f t="shared" ca="1" si="0"/>
        <v>142023.2951013736</v>
      </c>
      <c r="C34" s="1" t="str" cm="1">
        <f t="array" aca="1" ref="C34" ca="1">_xlfn.IFS(
  C33="Boom", CHOOSE(MATCH(RAND(), {0,0.67,1}, 1), "Normal", "Recession"),
  C33="Normal", CHOOSE(MATCH(RAND(), {0,0.18,0.82,1}, 1), "Boom", "Normal", "Recession"),
  C33="Recession", CHOOSE(MATCH(RAND(), {0,0.17,0.34,1}, 1), "Boom", "Normal", "Recession")
)</f>
        <v>Normal</v>
      </c>
      <c r="D34" s="3" cm="1">
        <f t="array" aca="1" ref="D34" ca="1">_xlfn.IFS(
  A34&lt;=45,
    _xlfn.SWITCH(C34,
      "Boom", salaryParameters!$E$24,
      "Normal", salaryParameters!$E$25,
      "Recession", salaryParameters!$E$26    ),
  A34&gt;=46,
    _xlfn.SWITCH(C34,
      "Boom", salaryParameters!$E$27,
      "Normal", salaryParameters!$E$28,
      "Recession", salaryParameters!$E$29    )
)</f>
        <v>1.4133933707951039E-2</v>
      </c>
      <c r="E34" s="1" cm="1">
        <f t="array" aca="1" ref="E34" ca="1">_xlfn.IFS(
  A34&lt;=45,
    _xlfn.SWITCH(C34,
      "Boom", salaryParameters!$F$24,
      "Normal", salaryParameters!$F$25,
      "Recession", salaryParameters!$F$26    ),
  A34&gt;=46,
    _xlfn.SWITCH(C34,
      "Boom", salaryParameters!$F$27,
      "Normal", salaryParameters!$F$28,
      "Recession", salaryParameters!$F$29    )
)</f>
        <v>2.9999999735977907E-3</v>
      </c>
      <c r="F34" s="1" cm="1">
        <f t="array" aca="1" ref="F34" ca="1">_xlfn.SWITCH(C34,
  "Boom", IF(A34&lt;=45, _xlfn.RANDARRAY(1,1,0.3,0.4,FALSE), _xlfn.RANDARRAY(1,1,0.7,0.8,FALSE)),
  "Normal", IF(A34&lt;=45, _xlfn.RANDARRAY(1,1,0.4,0.5,FALSE), _xlfn.RANDARRAY(1,1,0.7,0.8,FALSE)),
  "Recession", IF(A34&lt;=45, _xlfn.RANDARRAY(1,1,0.5,0.6,FALSE), _xlfn.RANDARRAY(1,1,0.8,0.9,FALSE))
)</f>
        <v>0.7760930057767671</v>
      </c>
      <c r="G34" s="1">
        <f t="shared" ca="1" si="1"/>
        <v>1.4133933707951039E-2</v>
      </c>
      <c r="I34" s="1">
        <f t="shared" ca="1" si="2"/>
        <v>1.4133933707951039E-2</v>
      </c>
      <c r="J34" s="1">
        <v>0</v>
      </c>
      <c r="K34" s="1" t="s">
        <v>137</v>
      </c>
      <c r="L34" s="1">
        <v>0.57611405849456787</v>
      </c>
      <c r="M34" s="1" cm="1">
        <f t="array" aca="1" ref="M34" ca="1">_xlfn.LET(
  _xlpm.age, A34,
  _xlpm.scenario, C34,
  _xlpm.r, L34,
  _xlpm.event, K34,
  _xlpm.μ_base, D34,
  _xlpm.σ_base, E34,
  _xlpm.ρ_base, F34,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G33,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1.470982004145706E-2</v>
      </c>
    </row>
    <row r="35" spans="1:16">
      <c r="A35" s="1">
        <v>63</v>
      </c>
      <c r="B35" s="1">
        <f t="shared" ca="1" si="0"/>
        <v>142023.2951013736</v>
      </c>
      <c r="C35" s="1" t="str" cm="1">
        <f t="array" aca="1" ref="C35" ca="1">_xlfn.IFS(
  C34="Boom", CHOOSE(MATCH(RAND(), {0,0.67,1}, 1), "Normal", "Recession"),
  C34="Normal", CHOOSE(MATCH(RAND(), {0,0.18,0.82,1}, 1), "Boom", "Normal", "Recession"),
  C34="Recession", CHOOSE(MATCH(RAND(), {0,0.17,0.34,1}, 1), "Boom", "Normal", "Recession")
)</f>
        <v>Normal</v>
      </c>
      <c r="D35" s="3" cm="1">
        <f t="array" aca="1" ref="D35" ca="1">_xlfn.IFS(
  A35&lt;=45,
    _xlfn.SWITCH(C35,
      "Boom", salaryParameters!$E$24,
      "Normal", salaryParameters!$E$25,
      "Recession", salaryParameters!$E$26    ),
  A35&gt;=46,
    _xlfn.SWITCH(C35,
      "Boom", salaryParameters!$E$27,
      "Normal", salaryParameters!$E$28,
      "Recession", salaryParameters!$E$29    )
)</f>
        <v>1.4133933707951039E-2</v>
      </c>
      <c r="E35" s="1" cm="1">
        <f t="array" aca="1" ref="E35" ca="1">_xlfn.IFS(
  A35&lt;=45,
    _xlfn.SWITCH(C35,
      "Boom", salaryParameters!$F$24,
      "Normal", salaryParameters!$F$25,
      "Recession", salaryParameters!$F$26    ),
  A35&gt;=46,
    _xlfn.SWITCH(C35,
      "Boom", salaryParameters!$F$27,
      "Normal", salaryParameters!$F$28,
      "Recession", salaryParameters!$F$29    )
)</f>
        <v>2.9999999735977907E-3</v>
      </c>
      <c r="F35" s="1" cm="1">
        <f t="array" aca="1" ref="F35" ca="1">_xlfn.SWITCH(C35,
  "Boom", IF(A35&lt;=45, _xlfn.RANDARRAY(1,1,0.3,0.4,FALSE), _xlfn.RANDARRAY(1,1,0.7,0.8,FALSE)),
  "Normal", IF(A35&lt;=45, _xlfn.RANDARRAY(1,1,0.4,0.5,FALSE), _xlfn.RANDARRAY(1,1,0.7,0.8,FALSE)),
  "Recession", IF(A35&lt;=45, _xlfn.RANDARRAY(1,1,0.5,0.6,FALSE), _xlfn.RANDARRAY(1,1,0.8,0.9,FALSE))
)</f>
        <v>0.72897601774290421</v>
      </c>
      <c r="G35" s="1">
        <f t="shared" ca="1" si="1"/>
        <v>1.4920052335957596E-2</v>
      </c>
      <c r="I35" s="1">
        <f t="shared" ca="1" si="2"/>
        <v>1.4920052335957596E-2</v>
      </c>
      <c r="J35" s="1">
        <v>0</v>
      </c>
      <c r="K35" s="1" t="s">
        <v>137</v>
      </c>
      <c r="L35" s="1">
        <v>0.39651685953140259</v>
      </c>
      <c r="M35" s="1" cm="1">
        <f t="array" aca="1" ref="M35" ca="1">_xlfn.LET(
  _xlpm.age, A35,
  _xlpm.scenario, C35,
  _xlpm.r, L35,
  _xlpm.event, K35,
  _xlpm.μ_base, D35,
  _xlpm.σ_base, E35,
  _xlpm.ρ_base, F35,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G34,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1.4133933707951039E-2</v>
      </c>
      <c r="P35" s="106" t="s">
        <v>175</v>
      </c>
    </row>
    <row r="36" spans="1:16">
      <c r="A36" s="1">
        <v>64</v>
      </c>
      <c r="B36" s="1">
        <f t="shared" ca="1" si="0"/>
        <v>142023.2951013736</v>
      </c>
      <c r="C36" s="1" t="str" cm="1">
        <f t="array" aca="1" ref="C36" ca="1">_xlfn.IFS(
  C35="Boom", CHOOSE(MATCH(RAND(), {0,0.67,1}, 1), "Normal", "Recession"),
  C35="Normal", CHOOSE(MATCH(RAND(), {0,0.18,0.82,1}, 1), "Boom", "Normal", "Recession"),
  C35="Recession", CHOOSE(MATCH(RAND(), {0,0.17,0.34,1}, 1), "Boom", "Normal", "Recession")
)</f>
        <v>Normal</v>
      </c>
      <c r="D36" s="3" cm="1">
        <f t="array" aca="1" ref="D36" ca="1">_xlfn.IFS(
  A36&lt;=45,
    _xlfn.SWITCH(C36,
      "Boom", salaryParameters!$E$24,
      "Normal", salaryParameters!$E$25,
      "Recession", salaryParameters!$E$26    ),
  A36&gt;=46,
    _xlfn.SWITCH(C36,
      "Boom", salaryParameters!$E$27,
      "Normal", salaryParameters!$E$28,
      "Recession", salaryParameters!$E$29    )
)</f>
        <v>1.4133933707951039E-2</v>
      </c>
      <c r="E36" s="1" cm="1">
        <f t="array" aca="1" ref="E36" ca="1">_xlfn.IFS(
  A36&lt;=45,
    _xlfn.SWITCH(C36,
      "Boom", salaryParameters!$F$24,
      "Normal", salaryParameters!$F$25,
      "Recession", salaryParameters!$F$26    ),
  A36&gt;=46,
    _xlfn.SWITCH(C36,
      "Boom", salaryParameters!$F$27,
      "Normal", salaryParameters!$F$28,
      "Recession", salaryParameters!$F$29    )
)</f>
        <v>2.9999999735977907E-3</v>
      </c>
      <c r="F36" s="1" cm="1">
        <f t="array" aca="1" ref="F36" ca="1">_xlfn.SWITCH(C36,
  "Boom", IF(A36&lt;=45, _xlfn.RANDARRAY(1,1,0.3,0.4,FALSE), _xlfn.RANDARRAY(1,1,0.7,0.8,FALSE)),
  "Normal", IF(A36&lt;=45, _xlfn.RANDARRAY(1,1,0.4,0.5,FALSE), _xlfn.RANDARRAY(1,1,0.7,0.8,FALSE)),
  "Recession", IF(A36&lt;=45, _xlfn.RANDARRAY(1,1,0.5,0.6,FALSE), _xlfn.RANDARRAY(1,1,0.8,0.9,FALSE))
)</f>
        <v>0.77547663234812692</v>
      </c>
      <c r="G36" s="1">
        <f t="shared" ca="1" si="1"/>
        <v>1.4133933707951039E-2</v>
      </c>
      <c r="I36" s="1">
        <f t="shared" ca="1" si="2"/>
        <v>1.4133933707951039E-2</v>
      </c>
      <c r="J36" s="1">
        <v>0</v>
      </c>
      <c r="K36" s="1" t="s">
        <v>137</v>
      </c>
      <c r="L36" s="1">
        <v>0.75336265563964844</v>
      </c>
      <c r="M36" s="1" cm="1">
        <f t="array" aca="1" ref="M36" ca="1">_xlfn.LET(
  _xlpm.age, A36,
  _xlpm.scenario, C36,
  _xlpm.r, L36,
  _xlpm.event, K36,
  _xlpm.μ_base, D36,
  _xlpm.σ_base, E36,
  _xlpm.ρ_base, F36,
  _xlpm.Δμ, _xlfn.XLOOKUP(_xlpm.event, $P$2:$P$9, INDEX($Q$2:$S$9,, MATCH("Δμ", $Q$1:$S$1, 0))),
  _xlpm.Δσ, _xlfn.XLOOKUP(_xlpm.event, $P$2:$P$9, INDEX($Q$2:$S$9,, MATCH("Δσ", $Q$1:$S$1, 0))),
  _xlpm.Δρ, _xlfn.XLOOKUP(_xlpm.event, $P$2:$P$9, INDEX($Q$2:$S$9,, MATCH("Δρ", $Q$1:$S$1, 0))),
  _xlpm.μ, _xlpm.μ_base + _xlpm.Δμ,
  _xlpm.σ, _xlpm.σ_base + _xlpm.Δσ,
  _xlpm.ρ, MAX(0, MIN(1, _xlpm.ρ_base + _xlpm.Δρ)),
  _xlpm.prevGrowth, G35,
  _xlpm.ε, _xlfn.NORM.S.INV(_xlpm.r),
  _xlpm.arGrowth, IF(_xlpm.age=30,
      0.035,
      IF(AND(_xlpm.age&gt;=31, _xlpm.age&lt;=45),
          _xlpm.μ + MAX(0, _xlpm.ρ * (_xlpm.prevGrowth - _xlpm.μ) + _xlpm.σ * _xlpm.ε),
          IF(_xlpm.age=46,
              _xlpm.μ + MAX(0, _xlpm.σ * _xlpm.ε),
              _xlpm.μ + MAX(0, _xlpm.ρ * (_xlpm.prevGrowth - _xlpm.μ) + _xlpm.σ * _xlpm.ε)
          )
      )
  ),
  _xlpm.betaGrowth, IF(_xlpm.age=30,
      0.0345,
      IF(_xlpm.age&lt;=45,
        _xlfn.SWITCH(_xlpm.scenario,
          "Boom", _xlfn.BETA.INV(_xlpm.r, 2, 1.5, 0.03, 0.05),
          "Normal", _xlfn.BETA.INV(_xlpm.r, 1.364706192, 1, 0.02, 0.045991351),
          "Recession", _xlfn.BETA.INV(_xlpm.r, 2.699989178, 1.5, 0.01, 0.038)
        ),
        0
      )
  ),
  _xlpm.totalGrowth, IF(_xlpm.age&lt;=45, 0.5 * _xlpm.arGrowth + 0.5 * _xlpm.betaGrowth, _xlpm.arGrowth),
  _xlpm.totalGrowth
)</f>
        <v>1.6798879468429641E-2</v>
      </c>
    </row>
    <row r="37" spans="1:16">
      <c r="D37" s="3"/>
    </row>
    <row r="38" spans="1:16">
      <c r="D38" s="3"/>
    </row>
  </sheetData>
  <phoneticPr fontId="2"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1265" r:id="rId3" name="Button 1">
              <controlPr defaultSize="0" print="0" autoFill="0" autoPict="0" macro="[0]!GenerateEventsWithLimits">
                <anchor moveWithCells="1" sizeWithCells="1">
                  <from>
                    <xdr:col>15</xdr:col>
                    <xdr:colOff>785813</xdr:colOff>
                    <xdr:row>22</xdr:row>
                    <xdr:rowOff>152400</xdr:rowOff>
                  </from>
                  <to>
                    <xdr:col>19</xdr:col>
                    <xdr:colOff>1042988</xdr:colOff>
                    <xdr:row>30</xdr:row>
                    <xdr:rowOff>100013</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25F0E-FB89-48AD-9C33-D3D14EF45269}">
  <sheetPr codeName="Sheet1"/>
  <dimension ref="A1:J27"/>
  <sheetViews>
    <sheetView workbookViewId="0"/>
  </sheetViews>
  <sheetFormatPr defaultColWidth="8.59765625" defaultRowHeight="14.25"/>
  <cols>
    <col min="1" max="1" width="24.1328125" style="57" customWidth="1"/>
    <col min="2" max="2" width="21" style="57" customWidth="1"/>
    <col min="3" max="4" width="18.3984375" style="57" customWidth="1"/>
    <col min="5" max="5" width="16.73046875" style="57" customWidth="1"/>
    <col min="6" max="6" width="22.1328125" style="57" bestFit="1" customWidth="1"/>
    <col min="7" max="7" width="19.3984375" style="57" customWidth="1"/>
    <col min="8" max="9" width="22.1328125" style="57" customWidth="1"/>
    <col min="10" max="10" width="17.1328125" style="57" bestFit="1" customWidth="1"/>
    <col min="11" max="16384" width="8.59765625" style="57"/>
  </cols>
  <sheetData>
    <row r="1" spans="1:10">
      <c r="A1" s="54" t="s">
        <v>176</v>
      </c>
      <c r="B1" s="55" t="s">
        <v>177</v>
      </c>
      <c r="C1" s="55" t="s">
        <v>178</v>
      </c>
      <c r="D1" s="55" t="s">
        <v>179</v>
      </c>
      <c r="E1" s="55" t="s">
        <v>180</v>
      </c>
      <c r="F1" s="55" t="s">
        <v>181</v>
      </c>
      <c r="G1" s="55" t="s">
        <v>182</v>
      </c>
      <c r="H1" s="55" t="s">
        <v>183</v>
      </c>
      <c r="I1" s="55" t="s">
        <v>184</v>
      </c>
      <c r="J1" s="56" t="s">
        <v>185</v>
      </c>
    </row>
    <row r="2" spans="1:10">
      <c r="A2" s="58" t="s">
        <v>186</v>
      </c>
      <c r="B2" s="59">
        <v>0.04</v>
      </c>
      <c r="C2" s="59">
        <v>0.03</v>
      </c>
      <c r="D2" s="59">
        <v>0.4</v>
      </c>
      <c r="E2" s="59">
        <v>3.7499999999999999E-2</v>
      </c>
      <c r="F2" s="59">
        <v>0.05</v>
      </c>
      <c r="G2" s="59">
        <v>0.3</v>
      </c>
      <c r="H2" s="59">
        <v>2.5000000000000001E-2</v>
      </c>
      <c r="I2" s="59">
        <v>2.5000000000000001E-2</v>
      </c>
      <c r="J2" s="60">
        <v>0.2</v>
      </c>
    </row>
    <row r="3" spans="1:10">
      <c r="A3" s="61" t="s">
        <v>187</v>
      </c>
      <c r="B3" s="62">
        <v>0.01</v>
      </c>
      <c r="C3" s="62">
        <v>0.9</v>
      </c>
      <c r="D3" s="62">
        <v>0.6</v>
      </c>
      <c r="E3" s="62">
        <v>6.5000000000000002E-2</v>
      </c>
      <c r="F3" s="62">
        <v>0.105</v>
      </c>
      <c r="G3" s="62">
        <v>0.5</v>
      </c>
      <c r="H3" s="62">
        <v>1.4999999999999999E-2</v>
      </c>
      <c r="I3" s="62">
        <v>6.5000000000000002E-2</v>
      </c>
      <c r="J3" s="63">
        <v>0.4</v>
      </c>
    </row>
    <row r="4" spans="1:10">
      <c r="A4" s="64" t="s">
        <v>188</v>
      </c>
      <c r="B4" s="65">
        <v>0.24</v>
      </c>
      <c r="C4" s="65">
        <v>0.2</v>
      </c>
      <c r="D4" s="65">
        <v>0.8</v>
      </c>
      <c r="E4" s="65">
        <v>0.10249999999999999</v>
      </c>
      <c r="F4" s="65">
        <v>0.20749999999999999</v>
      </c>
      <c r="G4" s="65">
        <v>0.6</v>
      </c>
      <c r="H4" s="65">
        <v>-0.01</v>
      </c>
      <c r="I4" s="65">
        <v>0.12</v>
      </c>
      <c r="J4" s="66">
        <v>0.5</v>
      </c>
    </row>
    <row r="5" spans="1:10">
      <c r="A5" s="67"/>
      <c r="B5" s="67"/>
      <c r="C5" s="67"/>
      <c r="D5" s="67"/>
      <c r="E5" s="67"/>
      <c r="F5" s="1"/>
      <c r="G5" s="1"/>
      <c r="H5" s="1"/>
      <c r="I5" s="1"/>
      <c r="J5" s="1"/>
    </row>
    <row r="6" spans="1:10">
      <c r="A6" s="67"/>
      <c r="B6" s="67"/>
      <c r="C6" s="67"/>
      <c r="D6" s="67"/>
      <c r="E6" s="67"/>
    </row>
    <row r="7" spans="1:10">
      <c r="A7" s="67"/>
      <c r="B7" s="67"/>
      <c r="C7" s="67"/>
      <c r="D7" s="67"/>
      <c r="E7" s="67"/>
    </row>
    <row r="8" spans="1:10">
      <c r="A8" s="67"/>
      <c r="B8" s="67"/>
      <c r="C8" s="67"/>
      <c r="D8" s="67"/>
      <c r="E8" s="67"/>
    </row>
    <row r="9" spans="1:10">
      <c r="A9" s="67"/>
      <c r="B9" s="67"/>
      <c r="C9" s="67"/>
      <c r="D9" s="67"/>
      <c r="E9" s="67"/>
    </row>
    <row r="10" spans="1:10">
      <c r="A10" s="67"/>
      <c r="B10" s="67"/>
      <c r="C10" s="67"/>
      <c r="D10" s="67"/>
      <c r="E10" s="67"/>
    </row>
    <row r="24" spans="1:10">
      <c r="A24" s="7"/>
      <c r="B24" s="7"/>
      <c r="C24" s="7"/>
      <c r="D24" s="7"/>
      <c r="E24" s="7"/>
      <c r="F24" s="7"/>
      <c r="G24" s="7"/>
      <c r="H24" s="7"/>
      <c r="I24" s="7"/>
      <c r="J24" s="7"/>
    </row>
    <row r="25" spans="1:10">
      <c r="A25" s="7"/>
      <c r="B25" s="7"/>
      <c r="C25" s="1"/>
      <c r="D25" s="1"/>
      <c r="E25" s="1"/>
      <c r="F25" s="1"/>
      <c r="G25" s="1"/>
      <c r="H25" s="1"/>
      <c r="I25" s="1"/>
      <c r="J25" s="1"/>
    </row>
    <row r="26" spans="1:10">
      <c r="A26" s="7"/>
      <c r="B26" s="7"/>
      <c r="C26" s="1"/>
      <c r="D26" s="1"/>
      <c r="E26" s="1"/>
      <c r="F26" s="1"/>
      <c r="G26" s="1"/>
      <c r="H26" s="1"/>
      <c r="I26" s="1"/>
      <c r="J26" s="1"/>
    </row>
    <row r="27" spans="1:10">
      <c r="A27" s="7"/>
      <c r="B27" s="7"/>
      <c r="C27" s="1"/>
      <c r="D27" s="1"/>
      <c r="E27" s="1"/>
      <c r="F27" s="1"/>
      <c r="G27" s="1"/>
      <c r="H27" s="1"/>
      <c r="I27" s="1"/>
      <c r="J27" s="1"/>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H43"/>
  <sheetViews>
    <sheetView topLeftCell="A12" workbookViewId="0">
      <selection activeCell="C14" sqref="C14"/>
    </sheetView>
  </sheetViews>
  <sheetFormatPr defaultColWidth="9" defaultRowHeight="13.9"/>
  <cols>
    <col min="1" max="1" width="41.59765625" style="1" customWidth="1"/>
    <col min="2" max="2" width="44.59765625" style="1" customWidth="1"/>
    <col min="3" max="3" width="44.3984375" style="1" customWidth="1"/>
    <col min="4" max="4" width="42.1328125" style="1" customWidth="1"/>
    <col min="5" max="5" width="16.1328125" style="1" customWidth="1"/>
    <col min="6" max="6" width="16.59765625" style="1" customWidth="1"/>
    <col min="7" max="16384" width="9" style="1"/>
  </cols>
  <sheetData>
    <row r="1" spans="1:8">
      <c r="A1" s="200" t="s">
        <v>189</v>
      </c>
      <c r="B1" s="200"/>
      <c r="C1" s="200"/>
      <c r="D1" s="200"/>
      <c r="E1" s="200"/>
      <c r="F1" s="200"/>
      <c r="G1" s="200"/>
      <c r="H1" s="200"/>
    </row>
    <row r="3" spans="1:8" ht="14.25" thickBot="1">
      <c r="A3" s="2" t="s">
        <v>190</v>
      </c>
    </row>
    <row r="4" spans="1:8">
      <c r="A4" s="24" t="s">
        <v>191</v>
      </c>
      <c r="B4" s="25" t="s">
        <v>192</v>
      </c>
      <c r="C4" s="25" t="s">
        <v>193</v>
      </c>
      <c r="D4" s="26" t="s">
        <v>194</v>
      </c>
    </row>
    <row r="5" spans="1:8">
      <c r="A5" s="27" t="s">
        <v>195</v>
      </c>
      <c r="B5" s="1">
        <v>30</v>
      </c>
      <c r="C5" s="1" t="s">
        <v>196</v>
      </c>
      <c r="D5" s="28"/>
    </row>
    <row r="6" spans="1:8">
      <c r="A6" s="27" t="s">
        <v>197</v>
      </c>
      <c r="B6" s="1">
        <v>65</v>
      </c>
      <c r="C6" s="1" t="s">
        <v>196</v>
      </c>
      <c r="D6" s="28"/>
    </row>
    <row r="7" spans="1:8" ht="41.65">
      <c r="A7" s="27" t="s">
        <v>198</v>
      </c>
      <c r="B7" s="1">
        <v>83.7</v>
      </c>
      <c r="C7" s="4" t="s">
        <v>199</v>
      </c>
      <c r="D7" s="28"/>
    </row>
    <row r="8" spans="1:8">
      <c r="A8" s="27" t="s">
        <v>200</v>
      </c>
      <c r="B8" s="1">
        <v>70000</v>
      </c>
      <c r="C8" s="1" t="s">
        <v>196</v>
      </c>
      <c r="D8" s="28"/>
    </row>
    <row r="9" spans="1:8" ht="55.9" thickBot="1">
      <c r="A9" s="27" t="s">
        <v>201</v>
      </c>
      <c r="B9" s="3" t="s">
        <v>202</v>
      </c>
      <c r="C9" s="4" t="s">
        <v>203</v>
      </c>
      <c r="D9" s="28"/>
    </row>
    <row r="10" spans="1:8" ht="14.25" thickBot="1">
      <c r="A10" s="29" t="s">
        <v>204</v>
      </c>
      <c r="B10" s="20">
        <v>20000</v>
      </c>
      <c r="C10" s="13" t="s">
        <v>205</v>
      </c>
      <c r="D10" s="28"/>
    </row>
    <row r="11" spans="1:8" ht="27.75">
      <c r="A11" s="27" t="s">
        <v>206</v>
      </c>
      <c r="B11" s="21">
        <v>0.03</v>
      </c>
      <c r="C11" s="4" t="s">
        <v>207</v>
      </c>
      <c r="D11" s="30" t="s">
        <v>208</v>
      </c>
    </row>
    <row r="12" spans="1:8" ht="41.65">
      <c r="A12" s="31" t="s">
        <v>209</v>
      </c>
      <c r="B12" s="21">
        <v>0.03</v>
      </c>
      <c r="C12" s="4" t="s">
        <v>210</v>
      </c>
      <c r="D12" s="30"/>
    </row>
    <row r="13" spans="1:8" ht="124.9">
      <c r="A13" s="31" t="s">
        <v>211</v>
      </c>
      <c r="B13" s="22" t="s">
        <v>212</v>
      </c>
      <c r="C13" s="199" t="s">
        <v>213</v>
      </c>
      <c r="D13" s="30" t="s">
        <v>214</v>
      </c>
    </row>
    <row r="14" spans="1:8" ht="69.400000000000006">
      <c r="A14" s="27" t="s">
        <v>215</v>
      </c>
      <c r="B14" s="21">
        <v>0.28000000000000003</v>
      </c>
      <c r="C14" s="3" t="s">
        <v>216</v>
      </c>
      <c r="D14" s="30" t="s">
        <v>217</v>
      </c>
    </row>
    <row r="15" spans="1:8" ht="107.25" customHeight="1">
      <c r="A15" s="27" t="s">
        <v>218</v>
      </c>
      <c r="B15" s="21"/>
      <c r="C15" s="4" t="s">
        <v>219</v>
      </c>
      <c r="D15" s="30" t="s">
        <v>220</v>
      </c>
    </row>
    <row r="16" spans="1:8" ht="31.15" customHeight="1">
      <c r="A16" s="27" t="s">
        <v>221</v>
      </c>
      <c r="B16" s="21" t="s">
        <v>222</v>
      </c>
      <c r="C16" s="4" t="s">
        <v>223</v>
      </c>
      <c r="D16" s="30" t="s">
        <v>224</v>
      </c>
    </row>
    <row r="17" spans="1:6" ht="41.65">
      <c r="A17" s="27" t="s">
        <v>225</v>
      </c>
      <c r="B17" s="23">
        <v>521.42999999999995</v>
      </c>
      <c r="C17" s="4" t="s">
        <v>226</v>
      </c>
      <c r="D17" s="30" t="s">
        <v>227</v>
      </c>
    </row>
    <row r="18" spans="1:6">
      <c r="A18" s="40" t="s">
        <v>228</v>
      </c>
      <c r="B18" s="41" t="s">
        <v>229</v>
      </c>
      <c r="C18" s="5" t="s">
        <v>230</v>
      </c>
      <c r="D18" s="30"/>
    </row>
    <row r="19" spans="1:6" ht="28.15" thickBot="1">
      <c r="A19" s="32" t="s">
        <v>231</v>
      </c>
      <c r="B19" s="33" t="s">
        <v>232</v>
      </c>
      <c r="C19" s="4" t="s">
        <v>233</v>
      </c>
      <c r="D19" s="34"/>
    </row>
    <row r="20" spans="1:6">
      <c r="A20" s="3"/>
      <c r="C20" s="42"/>
    </row>
    <row r="21" spans="1:6">
      <c r="A21" s="3"/>
    </row>
    <row r="23" spans="1:6" ht="14.25" thickBot="1">
      <c r="A23" s="2" t="s">
        <v>234</v>
      </c>
    </row>
    <row r="24" spans="1:6">
      <c r="A24" s="24" t="s">
        <v>235</v>
      </c>
      <c r="B24" s="25" t="s">
        <v>236</v>
      </c>
      <c r="C24" s="25" t="s">
        <v>50</v>
      </c>
      <c r="D24" s="25" t="s">
        <v>237</v>
      </c>
      <c r="E24" s="26" t="s">
        <v>193</v>
      </c>
      <c r="F24" s="26" t="s">
        <v>194</v>
      </c>
    </row>
    <row r="25" spans="1:6">
      <c r="A25" s="27" t="s">
        <v>238</v>
      </c>
      <c r="B25" s="6">
        <v>3.5000000000000003E-2</v>
      </c>
      <c r="C25" s="6">
        <v>7.0000000000000001E-3</v>
      </c>
      <c r="D25" s="1" t="s">
        <v>239</v>
      </c>
      <c r="E25" s="1" t="s">
        <v>196</v>
      </c>
      <c r="F25" s="38"/>
    </row>
    <row r="26" spans="1:6" ht="80.650000000000006" customHeight="1">
      <c r="A26" s="27" t="s">
        <v>240</v>
      </c>
      <c r="B26" s="6" t="s">
        <v>241</v>
      </c>
      <c r="C26" s="6" t="s">
        <v>242</v>
      </c>
      <c r="D26" s="1" t="s">
        <v>239</v>
      </c>
      <c r="E26" s="3" t="s">
        <v>243</v>
      </c>
      <c r="F26" s="28"/>
    </row>
    <row r="27" spans="1:6" ht="111">
      <c r="A27" s="27" t="s">
        <v>244</v>
      </c>
      <c r="B27" s="6">
        <v>2.7400000000000001E-2</v>
      </c>
      <c r="C27" s="6">
        <v>2.12E-2</v>
      </c>
      <c r="D27" s="3" t="s">
        <v>245</v>
      </c>
      <c r="E27" s="17" t="s">
        <v>246</v>
      </c>
      <c r="F27" s="30" t="s">
        <v>247</v>
      </c>
    </row>
    <row r="28" spans="1:6">
      <c r="A28" s="27" t="s">
        <v>248</v>
      </c>
      <c r="B28" s="6">
        <v>3.7499999999999999E-2</v>
      </c>
      <c r="C28" s="21">
        <v>0.05</v>
      </c>
      <c r="D28" s="1" t="s">
        <v>249</v>
      </c>
      <c r="E28" s="1" t="s">
        <v>196</v>
      </c>
      <c r="F28" s="28"/>
    </row>
    <row r="29" spans="1:6">
      <c r="A29" s="27" t="s">
        <v>250</v>
      </c>
      <c r="B29" s="6">
        <v>6.5000000000000002E-2</v>
      </c>
      <c r="C29" s="6">
        <v>0.105</v>
      </c>
      <c r="D29" s="1" t="s">
        <v>249</v>
      </c>
      <c r="E29" s="1" t="s">
        <v>196</v>
      </c>
      <c r="F29" s="28"/>
    </row>
    <row r="30" spans="1:6" ht="14.25" thickBot="1">
      <c r="A30" s="35" t="s">
        <v>251</v>
      </c>
      <c r="B30" s="36">
        <v>0.10249999999999999</v>
      </c>
      <c r="C30" s="36">
        <v>0.20749999999999999</v>
      </c>
      <c r="D30" s="33" t="s">
        <v>249</v>
      </c>
      <c r="E30" s="33" t="s">
        <v>196</v>
      </c>
      <c r="F30" s="34"/>
    </row>
    <row r="34" spans="1:4">
      <c r="A34" s="7"/>
    </row>
    <row r="35" spans="1:4">
      <c r="A35" s="174"/>
      <c r="B35" s="174"/>
      <c r="C35" s="174"/>
      <c r="D35" s="174"/>
    </row>
    <row r="36" spans="1:4">
      <c r="A36" s="175"/>
    </row>
    <row r="37" spans="1:4">
      <c r="A37" s="175"/>
    </row>
    <row r="38" spans="1:4">
      <c r="A38" s="175"/>
    </row>
    <row r="41" spans="1:4">
      <c r="A41" s="2"/>
    </row>
    <row r="43" spans="1:4">
      <c r="A43" s="2"/>
    </row>
  </sheetData>
  <mergeCells count="1">
    <mergeCell ref="A1:H1"/>
  </mergeCells>
  <phoneticPr fontId="2" type="noConversion"/>
  <hyperlinks>
    <hyperlink ref="C13" r:id="rId1" xr:uid="{23D4A5C9-0EEE-4F96-AB05-14693A87A919}"/>
  </hyperlinks>
  <pageMargins left="0.7" right="0.7" top="0.75" bottom="0.75" header="0.3" footer="0.3"/>
  <pageSetup paperSize="9" orientation="portrait"/>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B20CE-AC90-48CF-81A0-91C20FE61A86}">
  <sheetPr codeName="Sheet6"/>
  <dimension ref="A1:M1005"/>
  <sheetViews>
    <sheetView workbookViewId="0">
      <selection activeCell="B4" sqref="B4"/>
    </sheetView>
  </sheetViews>
  <sheetFormatPr defaultColWidth="8.73046875" defaultRowHeight="14.25"/>
  <cols>
    <col min="1" max="1" width="22.59765625" customWidth="1"/>
    <col min="2" max="2" width="30.3984375" customWidth="1"/>
    <col min="3" max="3" width="24.3984375" customWidth="1"/>
    <col min="4" max="4" width="22.3984375" customWidth="1"/>
    <col min="5" max="5" width="38.1328125" customWidth="1"/>
    <col min="10" max="10" width="18.73046875" bestFit="1" customWidth="1"/>
    <col min="11" max="11" width="13.3984375" bestFit="1" customWidth="1"/>
    <col min="12" max="12" width="17.73046875" bestFit="1" customWidth="1"/>
    <col min="13" max="13" width="24.3984375" bestFit="1" customWidth="1"/>
  </cols>
  <sheetData>
    <row r="1" spans="1:13">
      <c r="A1" s="4" t="s">
        <v>252</v>
      </c>
      <c r="B1" s="19" t="s">
        <v>253</v>
      </c>
      <c r="C1" t="s">
        <v>254</v>
      </c>
      <c r="D1" t="s">
        <v>255</v>
      </c>
      <c r="J1" t="s">
        <v>256</v>
      </c>
      <c r="K1" t="s">
        <v>257</v>
      </c>
      <c r="L1" t="s">
        <v>258</v>
      </c>
      <c r="M1" t="s">
        <v>259</v>
      </c>
    </row>
    <row r="2" spans="1:13">
      <c r="A2">
        <v>1</v>
      </c>
      <c r="B2">
        <v>162805.932</v>
      </c>
      <c r="C2">
        <v>7841.1940000000004</v>
      </c>
      <c r="D2">
        <v>317400.59649999999</v>
      </c>
      <c r="E2" s="39"/>
      <c r="J2" t="s">
        <v>236</v>
      </c>
      <c r="K2">
        <f>AVERAGE($B$2:$B$1001)</f>
        <v>165956.9984403</v>
      </c>
      <c r="L2">
        <f>AVERAGE($C$2:$C$1001)</f>
        <v>9459.618990200006</v>
      </c>
      <c r="M2">
        <f>AVERAGE($D$2:$D$1001)</f>
        <v>335190.84677219996</v>
      </c>
    </row>
    <row r="3" spans="1:13">
      <c r="A3">
        <v>2</v>
      </c>
      <c r="B3">
        <v>156962.56080000001</v>
      </c>
      <c r="C3">
        <v>17623.228299999999</v>
      </c>
      <c r="D3">
        <v>397315.79109999997</v>
      </c>
      <c r="E3" s="39"/>
      <c r="J3" t="s">
        <v>260</v>
      </c>
      <c r="K3">
        <f>_xlfn.VAR.P($B$2:$B$1001)</f>
        <v>60110470.925294451</v>
      </c>
      <c r="L3">
        <f>_xlfn.VAR.P($C$2:$C$1001)</f>
        <v>10767490.648342673</v>
      </c>
      <c r="M3">
        <f>_xlfn.VAR.P($D$2:$D$1001)</f>
        <v>2734728180.0049281</v>
      </c>
    </row>
    <row r="4" spans="1:13">
      <c r="A4">
        <v>3</v>
      </c>
      <c r="B4">
        <v>169336.3217</v>
      </c>
      <c r="C4">
        <v>9037.8436999999994</v>
      </c>
      <c r="D4">
        <v>333206.12849999999</v>
      </c>
      <c r="J4" t="s">
        <v>51</v>
      </c>
      <c r="K4">
        <f>MIN($B$2:$B$1001)</f>
        <v>144778.16440000001</v>
      </c>
      <c r="L4">
        <f>MIN($C$2:$C$1001)</f>
        <v>3788.2566999999999</v>
      </c>
      <c r="M4">
        <f>MIN($D$2:$D$1001)</f>
        <v>206851.77600000001</v>
      </c>
    </row>
    <row r="5" spans="1:13">
      <c r="A5">
        <v>4</v>
      </c>
      <c r="B5">
        <v>169819.9172</v>
      </c>
      <c r="C5">
        <v>10674.4516</v>
      </c>
      <c r="D5">
        <v>379377.79749999999</v>
      </c>
      <c r="E5" s="39"/>
      <c r="J5" t="s">
        <v>52</v>
      </c>
      <c r="K5">
        <f>MAX($B$2:$B$1001)</f>
        <v>196165.99679999999</v>
      </c>
      <c r="L5">
        <f>MAX($C$2:$C$1001)</f>
        <v>24601.6342</v>
      </c>
      <c r="M5">
        <f>MAX($D$2:$D$1001)</f>
        <v>530388.33420000004</v>
      </c>
    </row>
    <row r="6" spans="1:13">
      <c r="A6">
        <v>5</v>
      </c>
      <c r="B6">
        <v>173737.69620000001</v>
      </c>
      <c r="C6">
        <v>7498.7862999999998</v>
      </c>
      <c r="D6">
        <v>286463.87790000002</v>
      </c>
      <c r="E6" s="39"/>
      <c r="J6" t="s">
        <v>53</v>
      </c>
      <c r="K6">
        <f>AVERAGE($B$2:$B$1001) - 1.96 * _xlfn.STDEV.P($B$2:$B$1001) / SQRT(1000)</f>
        <v>165476.4566782162</v>
      </c>
      <c r="L6">
        <f>AVERAGE($C$2:$C$1001) - 1.96 * _xlfn.STDEV.P($C$2:$C$1001) / SQRT(1000)</f>
        <v>9256.2366112320306</v>
      </c>
      <c r="M6">
        <f>AVERAGE($D$2:$D$1001) - 1.96 * _xlfn.STDEV.P($D$2:$D$1001) / SQRT(1000)</f>
        <v>331949.59211137693</v>
      </c>
    </row>
    <row r="7" spans="1:13">
      <c r="A7">
        <v>6</v>
      </c>
      <c r="B7">
        <v>163064.99859999999</v>
      </c>
      <c r="C7">
        <v>10564.1708</v>
      </c>
      <c r="D7">
        <v>325733.24420000002</v>
      </c>
      <c r="J7" t="s">
        <v>54</v>
      </c>
      <c r="K7">
        <f>AVERAGE($B$2:$B$1001) + 1.96 * _xlfn.STDEV.P($B$2:$B$1001) / SQRT(1000)</f>
        <v>166437.5402023838</v>
      </c>
      <c r="L7">
        <f>AVERAGE($C$2:$C$1001) + 1.96 * _xlfn.STDEV.P($C$2:$C$1001) / SQRT(1000)</f>
        <v>9663.0013691679815</v>
      </c>
      <c r="M7">
        <f>AVERAGE($D$2:$D$1001) + 1.96 * _xlfn.STDEV.P($D$2:$D$1001) / SQRT(1000)</f>
        <v>338432.101433023</v>
      </c>
    </row>
    <row r="8" spans="1:13">
      <c r="A8">
        <v>7</v>
      </c>
      <c r="B8">
        <v>166449.45759999999</v>
      </c>
      <c r="C8">
        <v>6538.7906999999996</v>
      </c>
      <c r="D8">
        <v>279498.16100000002</v>
      </c>
      <c r="J8" t="s">
        <v>261</v>
      </c>
      <c r="K8">
        <f>_xlfn.PERCENTILE.EXC($B$2:$B$1001, 0.025)</f>
        <v>151699.43348000001</v>
      </c>
      <c r="L8">
        <f>_xlfn.PERCENTILE.EXC($C$2:$C$1001, 0.025)</f>
        <v>4899.0997450000004</v>
      </c>
      <c r="M8">
        <f>_xlfn.PERCENTILE.EXC($D$2:$D$1001, 0.025)</f>
        <v>245570.514195</v>
      </c>
    </row>
    <row r="9" spans="1:13">
      <c r="A9">
        <v>8</v>
      </c>
      <c r="B9">
        <v>179259.43119999999</v>
      </c>
      <c r="C9">
        <v>10217.4</v>
      </c>
      <c r="D9">
        <v>241121.39840000001</v>
      </c>
      <c r="E9" s="39"/>
      <c r="J9" t="s">
        <v>262</v>
      </c>
      <c r="K9">
        <f>_xlfn.PERCENTILE.EXC($B$2:$B$1001, 0.975)</f>
        <v>182225.82193999999</v>
      </c>
      <c r="L9">
        <f>_xlfn.PERCENTILE.EXC($C$2:$C$1001, 0.975)</f>
        <v>17411.62573</v>
      </c>
      <c r="M9">
        <f>_xlfn.PERCENTILE.EXC($D$2:$D$1001, 0.975)</f>
        <v>452776.63627750002</v>
      </c>
    </row>
    <row r="10" spans="1:13">
      <c r="A10">
        <v>9</v>
      </c>
      <c r="B10">
        <v>175450.93489999999</v>
      </c>
      <c r="C10">
        <v>9908.7648000000008</v>
      </c>
      <c r="D10">
        <v>364667.39</v>
      </c>
      <c r="E10" s="39"/>
    </row>
    <row r="11" spans="1:13">
      <c r="A11">
        <v>10</v>
      </c>
      <c r="B11">
        <v>162825.1292</v>
      </c>
      <c r="C11">
        <v>5550.4849000000004</v>
      </c>
      <c r="D11">
        <v>230821.8849</v>
      </c>
    </row>
    <row r="12" spans="1:13">
      <c r="A12">
        <v>11</v>
      </c>
      <c r="B12">
        <v>172990.66269999999</v>
      </c>
      <c r="C12">
        <v>5910.1494000000002</v>
      </c>
      <c r="D12">
        <v>256018.99479999999</v>
      </c>
      <c r="E12" s="39"/>
    </row>
    <row r="13" spans="1:13">
      <c r="A13">
        <v>12</v>
      </c>
      <c r="B13">
        <v>158620.92230000001</v>
      </c>
      <c r="C13">
        <v>6064.8240999999998</v>
      </c>
      <c r="D13">
        <v>353210.3272</v>
      </c>
      <c r="E13" s="39"/>
    </row>
    <row r="14" spans="1:13">
      <c r="A14">
        <v>13</v>
      </c>
      <c r="B14">
        <v>169291.7745</v>
      </c>
      <c r="C14">
        <v>8685.2558000000008</v>
      </c>
      <c r="D14">
        <v>362410.69290000002</v>
      </c>
    </row>
    <row r="15" spans="1:13">
      <c r="A15">
        <v>14</v>
      </c>
      <c r="B15">
        <v>153972.93280000001</v>
      </c>
      <c r="C15">
        <v>7109.7782999999999</v>
      </c>
      <c r="D15">
        <v>281529.8861</v>
      </c>
      <c r="E15" s="39"/>
    </row>
    <row r="16" spans="1:13">
      <c r="A16">
        <v>15</v>
      </c>
      <c r="B16">
        <v>165391.06709999999</v>
      </c>
      <c r="C16">
        <v>8403.0858000000007</v>
      </c>
      <c r="D16">
        <v>472102.22570000001</v>
      </c>
    </row>
    <row r="17" spans="1:5">
      <c r="A17">
        <v>16</v>
      </c>
      <c r="B17">
        <v>175006.7843</v>
      </c>
      <c r="C17">
        <v>5417.2635</v>
      </c>
      <c r="D17">
        <v>364758.27120000002</v>
      </c>
    </row>
    <row r="18" spans="1:5">
      <c r="A18">
        <v>17</v>
      </c>
      <c r="B18">
        <v>160472.91959999999</v>
      </c>
      <c r="C18">
        <v>4749.0587999999998</v>
      </c>
      <c r="D18">
        <v>372602.63050000003</v>
      </c>
      <c r="E18" s="39"/>
    </row>
    <row r="19" spans="1:5">
      <c r="A19">
        <v>18</v>
      </c>
      <c r="B19">
        <v>165711.16329999999</v>
      </c>
      <c r="C19">
        <v>6745.4966000000004</v>
      </c>
      <c r="D19">
        <v>366017.85869999998</v>
      </c>
    </row>
    <row r="20" spans="1:5">
      <c r="A20">
        <v>19</v>
      </c>
      <c r="B20">
        <v>176775.9057</v>
      </c>
      <c r="C20">
        <v>11206.8855</v>
      </c>
      <c r="D20">
        <v>309125.97869999998</v>
      </c>
    </row>
    <row r="21" spans="1:5">
      <c r="A21">
        <v>20</v>
      </c>
      <c r="B21">
        <v>159396.9987</v>
      </c>
      <c r="C21">
        <v>6750.2954</v>
      </c>
      <c r="D21">
        <v>263081.55479999998</v>
      </c>
    </row>
    <row r="22" spans="1:5">
      <c r="A22">
        <v>21</v>
      </c>
      <c r="B22">
        <v>178117.4313</v>
      </c>
      <c r="C22">
        <v>13201.5309</v>
      </c>
      <c r="D22">
        <v>414847.03499999997</v>
      </c>
    </row>
    <row r="23" spans="1:5">
      <c r="A23">
        <v>22</v>
      </c>
      <c r="B23">
        <v>170074.88709999999</v>
      </c>
      <c r="C23">
        <v>16479.481599999999</v>
      </c>
      <c r="D23">
        <v>443603.41710000002</v>
      </c>
    </row>
    <row r="24" spans="1:5">
      <c r="A24">
        <v>23</v>
      </c>
      <c r="B24">
        <v>167098.05489999999</v>
      </c>
      <c r="C24">
        <v>9938.1705999999995</v>
      </c>
      <c r="D24">
        <v>358935.5735</v>
      </c>
    </row>
    <row r="25" spans="1:5">
      <c r="A25">
        <v>24</v>
      </c>
      <c r="B25">
        <v>162701.9883</v>
      </c>
      <c r="C25">
        <v>6714.1962000000003</v>
      </c>
      <c r="D25">
        <v>370742.64740000002</v>
      </c>
    </row>
    <row r="26" spans="1:5">
      <c r="A26">
        <v>25</v>
      </c>
      <c r="B26">
        <v>165780.45259999999</v>
      </c>
      <c r="C26">
        <v>7533.0704999999998</v>
      </c>
      <c r="D26">
        <v>410012.09110000002</v>
      </c>
    </row>
    <row r="27" spans="1:5">
      <c r="A27">
        <v>26</v>
      </c>
      <c r="B27">
        <v>164122.07019999999</v>
      </c>
      <c r="C27">
        <v>7859.3572999999997</v>
      </c>
      <c r="D27">
        <v>331620.63419999997</v>
      </c>
    </row>
    <row r="28" spans="1:5">
      <c r="A28">
        <v>27</v>
      </c>
      <c r="B28">
        <v>161054.15040000001</v>
      </c>
      <c r="C28">
        <v>6841.8284000000003</v>
      </c>
      <c r="D28">
        <v>291252.84659999999</v>
      </c>
    </row>
    <row r="29" spans="1:5">
      <c r="A29">
        <v>28</v>
      </c>
      <c r="B29">
        <v>156211.02189999999</v>
      </c>
      <c r="C29">
        <v>16847.114099999999</v>
      </c>
      <c r="D29">
        <v>377603.19209999999</v>
      </c>
    </row>
    <row r="30" spans="1:5">
      <c r="A30">
        <v>29</v>
      </c>
      <c r="B30">
        <v>156864.21969999999</v>
      </c>
      <c r="C30">
        <v>5385.4350000000004</v>
      </c>
      <c r="D30">
        <v>290638.15659999999</v>
      </c>
    </row>
    <row r="31" spans="1:5">
      <c r="A31">
        <v>30</v>
      </c>
      <c r="B31">
        <v>171399.8738</v>
      </c>
      <c r="C31">
        <v>18009.491300000002</v>
      </c>
      <c r="D31">
        <v>339035.09669999999</v>
      </c>
    </row>
    <row r="32" spans="1:5">
      <c r="A32">
        <v>31</v>
      </c>
      <c r="B32">
        <v>164030.60219999999</v>
      </c>
      <c r="C32">
        <v>7936.2933999999996</v>
      </c>
      <c r="D32">
        <v>339195.50449999998</v>
      </c>
    </row>
    <row r="33" spans="1:4">
      <c r="A33">
        <v>32</v>
      </c>
      <c r="B33">
        <v>161560.2052</v>
      </c>
      <c r="C33">
        <v>6200.9813000000004</v>
      </c>
      <c r="D33">
        <v>302809.30920000002</v>
      </c>
    </row>
    <row r="34" spans="1:4">
      <c r="A34">
        <v>33</v>
      </c>
      <c r="B34">
        <v>178691.986</v>
      </c>
      <c r="C34">
        <v>13960.0975</v>
      </c>
      <c r="D34">
        <v>361690.93890000001</v>
      </c>
    </row>
    <row r="35" spans="1:4">
      <c r="A35">
        <v>34</v>
      </c>
      <c r="B35">
        <v>152852.38250000001</v>
      </c>
      <c r="C35">
        <v>12984.0839</v>
      </c>
      <c r="D35">
        <v>292447.0465</v>
      </c>
    </row>
    <row r="36" spans="1:4">
      <c r="A36">
        <v>35</v>
      </c>
      <c r="B36">
        <v>158981.13579999999</v>
      </c>
      <c r="C36">
        <v>13066.3055</v>
      </c>
      <c r="D36">
        <v>284552.53450000001</v>
      </c>
    </row>
    <row r="37" spans="1:4">
      <c r="A37">
        <v>36</v>
      </c>
      <c r="B37">
        <v>163348.38680000001</v>
      </c>
      <c r="C37">
        <v>7702.6103000000003</v>
      </c>
      <c r="D37">
        <v>417279.57439999998</v>
      </c>
    </row>
    <row r="38" spans="1:4">
      <c r="A38">
        <v>37</v>
      </c>
      <c r="B38">
        <v>157000.12599999999</v>
      </c>
      <c r="C38">
        <v>10066.8027</v>
      </c>
      <c r="D38">
        <v>361686.995</v>
      </c>
    </row>
    <row r="39" spans="1:4">
      <c r="A39">
        <v>38</v>
      </c>
      <c r="B39">
        <v>151617.8161</v>
      </c>
      <c r="C39">
        <v>6627.1130999999996</v>
      </c>
      <c r="D39">
        <v>342408.71909999999</v>
      </c>
    </row>
    <row r="40" spans="1:4">
      <c r="A40">
        <v>39</v>
      </c>
      <c r="B40">
        <v>168760.88380000001</v>
      </c>
      <c r="C40">
        <v>9112.4721000000009</v>
      </c>
      <c r="D40">
        <v>254293.51699999999</v>
      </c>
    </row>
    <row r="41" spans="1:4">
      <c r="A41">
        <v>40</v>
      </c>
      <c r="B41">
        <v>165105.647</v>
      </c>
      <c r="C41">
        <v>11524.005300000001</v>
      </c>
      <c r="D41">
        <v>288004.45770000003</v>
      </c>
    </row>
    <row r="42" spans="1:4">
      <c r="A42">
        <v>41</v>
      </c>
      <c r="B42">
        <v>178726.155</v>
      </c>
      <c r="C42">
        <v>8903.1510999999991</v>
      </c>
      <c r="D42">
        <v>335801.42910000001</v>
      </c>
    </row>
    <row r="43" spans="1:4">
      <c r="A43">
        <v>42</v>
      </c>
      <c r="B43">
        <v>172402.13879999999</v>
      </c>
      <c r="C43">
        <v>9896.8716000000004</v>
      </c>
      <c r="D43">
        <v>311889.21360000002</v>
      </c>
    </row>
    <row r="44" spans="1:4">
      <c r="A44">
        <v>43</v>
      </c>
      <c r="B44">
        <v>175515.07579999999</v>
      </c>
      <c r="C44">
        <v>11958.666800000001</v>
      </c>
      <c r="D44">
        <v>368963.25809999998</v>
      </c>
    </row>
    <row r="45" spans="1:4">
      <c r="A45">
        <v>44</v>
      </c>
      <c r="B45">
        <v>160169.62899999999</v>
      </c>
      <c r="C45">
        <v>7015.0514999999996</v>
      </c>
      <c r="D45">
        <v>269405.90149999998</v>
      </c>
    </row>
    <row r="46" spans="1:4">
      <c r="A46">
        <v>45</v>
      </c>
      <c r="B46">
        <v>173043.53279999999</v>
      </c>
      <c r="C46">
        <v>14548.609399999999</v>
      </c>
      <c r="D46">
        <v>335464.027</v>
      </c>
    </row>
    <row r="47" spans="1:4">
      <c r="A47">
        <v>46</v>
      </c>
      <c r="B47">
        <v>181627.617</v>
      </c>
      <c r="C47">
        <v>12710.331700000001</v>
      </c>
      <c r="D47">
        <v>386396.55650000001</v>
      </c>
    </row>
    <row r="48" spans="1:4">
      <c r="A48">
        <v>47</v>
      </c>
      <c r="B48">
        <v>163529.08869999999</v>
      </c>
      <c r="C48">
        <v>8464.5689999999995</v>
      </c>
      <c r="D48">
        <v>298749.34740000003</v>
      </c>
    </row>
    <row r="49" spans="1:4">
      <c r="A49">
        <v>48</v>
      </c>
      <c r="B49">
        <v>159803.4485</v>
      </c>
      <c r="C49">
        <v>5477.3279000000002</v>
      </c>
      <c r="D49">
        <v>341276.98149999999</v>
      </c>
    </row>
    <row r="50" spans="1:4">
      <c r="A50">
        <v>49</v>
      </c>
      <c r="B50">
        <v>163809.79810000001</v>
      </c>
      <c r="C50">
        <v>9228.2548000000006</v>
      </c>
      <c r="D50">
        <v>297753.1422</v>
      </c>
    </row>
    <row r="51" spans="1:4">
      <c r="A51">
        <v>50</v>
      </c>
      <c r="B51">
        <v>166163.7139</v>
      </c>
      <c r="C51">
        <v>7846.4619000000002</v>
      </c>
      <c r="D51">
        <v>291729.89809999999</v>
      </c>
    </row>
    <row r="52" spans="1:4">
      <c r="A52">
        <v>51</v>
      </c>
      <c r="B52">
        <v>155452.6024</v>
      </c>
      <c r="C52">
        <v>14438.6299</v>
      </c>
      <c r="D52">
        <v>364546.50550000003</v>
      </c>
    </row>
    <row r="53" spans="1:4">
      <c r="A53">
        <v>52</v>
      </c>
      <c r="B53">
        <v>165077.08199999999</v>
      </c>
      <c r="C53">
        <v>7780.7578000000003</v>
      </c>
      <c r="D53">
        <v>248233.65239999999</v>
      </c>
    </row>
    <row r="54" spans="1:4">
      <c r="A54">
        <v>53</v>
      </c>
      <c r="B54">
        <v>160235.6833</v>
      </c>
      <c r="C54">
        <v>11847.5525</v>
      </c>
      <c r="D54">
        <v>298015.43709999998</v>
      </c>
    </row>
    <row r="55" spans="1:4">
      <c r="A55">
        <v>54</v>
      </c>
      <c r="B55">
        <v>180102.9325</v>
      </c>
      <c r="C55">
        <v>12855.5674</v>
      </c>
      <c r="D55">
        <v>401704.26270000002</v>
      </c>
    </row>
    <row r="56" spans="1:4">
      <c r="A56">
        <v>55</v>
      </c>
      <c r="B56">
        <v>171297.99679999999</v>
      </c>
      <c r="C56">
        <v>9824.4105999999992</v>
      </c>
      <c r="D56">
        <v>364827.29969999997</v>
      </c>
    </row>
    <row r="57" spans="1:4">
      <c r="A57">
        <v>56</v>
      </c>
      <c r="B57">
        <v>170358.98860000001</v>
      </c>
      <c r="C57">
        <v>17386.581099999999</v>
      </c>
      <c r="D57">
        <v>320429.11859999999</v>
      </c>
    </row>
    <row r="58" spans="1:4">
      <c r="A58">
        <v>57</v>
      </c>
      <c r="B58">
        <v>168344.87539999999</v>
      </c>
      <c r="C58">
        <v>5265.5725000000002</v>
      </c>
      <c r="D58">
        <v>312254.75020000001</v>
      </c>
    </row>
    <row r="59" spans="1:4">
      <c r="A59">
        <v>58</v>
      </c>
      <c r="B59">
        <v>174721.60750000001</v>
      </c>
      <c r="C59">
        <v>8082.4182000000001</v>
      </c>
      <c r="D59">
        <v>335965.74719999998</v>
      </c>
    </row>
    <row r="60" spans="1:4">
      <c r="A60">
        <v>59</v>
      </c>
      <c r="B60">
        <v>170984.02239999999</v>
      </c>
      <c r="C60">
        <v>7603.6373000000003</v>
      </c>
      <c r="D60">
        <v>329083.18910000002</v>
      </c>
    </row>
    <row r="61" spans="1:4">
      <c r="A61">
        <v>60</v>
      </c>
      <c r="B61">
        <v>171655.35569999999</v>
      </c>
      <c r="C61">
        <v>13812.356599999999</v>
      </c>
      <c r="D61">
        <v>429157.24160000001</v>
      </c>
    </row>
    <row r="62" spans="1:4">
      <c r="A62">
        <v>61</v>
      </c>
      <c r="B62">
        <v>174481.72200000001</v>
      </c>
      <c r="C62">
        <v>8695.3641000000007</v>
      </c>
      <c r="D62">
        <v>287266.48310000001</v>
      </c>
    </row>
    <row r="63" spans="1:4">
      <c r="A63">
        <v>62</v>
      </c>
      <c r="B63">
        <v>185244.52840000001</v>
      </c>
      <c r="C63">
        <v>6562.9269999999997</v>
      </c>
      <c r="D63">
        <v>321810.8027</v>
      </c>
    </row>
    <row r="64" spans="1:4">
      <c r="A64">
        <v>63</v>
      </c>
      <c r="B64">
        <v>156056.4063</v>
      </c>
      <c r="C64">
        <v>6033.8145999999997</v>
      </c>
      <c r="D64">
        <v>356619.6851</v>
      </c>
    </row>
    <row r="65" spans="1:4">
      <c r="A65">
        <v>64</v>
      </c>
      <c r="B65">
        <v>171405.788</v>
      </c>
      <c r="C65">
        <v>5858.3969999999999</v>
      </c>
      <c r="D65">
        <v>300378.0736</v>
      </c>
    </row>
    <row r="66" spans="1:4">
      <c r="A66">
        <v>65</v>
      </c>
      <c r="B66">
        <v>170538.3756</v>
      </c>
      <c r="C66">
        <v>6874.6882999999998</v>
      </c>
      <c r="D66">
        <v>353086.91580000002</v>
      </c>
    </row>
    <row r="67" spans="1:4">
      <c r="A67">
        <v>66</v>
      </c>
      <c r="B67">
        <v>166146.48749999999</v>
      </c>
      <c r="C67">
        <v>13890.5288</v>
      </c>
      <c r="D67">
        <v>372186.68949999998</v>
      </c>
    </row>
    <row r="68" spans="1:4">
      <c r="A68">
        <v>67</v>
      </c>
      <c r="B68">
        <v>167733.24189999999</v>
      </c>
      <c r="C68">
        <v>6685.9405999999999</v>
      </c>
      <c r="D68">
        <v>335454.92479999998</v>
      </c>
    </row>
    <row r="69" spans="1:4">
      <c r="A69">
        <v>68</v>
      </c>
      <c r="B69">
        <v>168685.5135</v>
      </c>
      <c r="C69">
        <v>5005.5690000000004</v>
      </c>
      <c r="D69">
        <v>305662.80650000001</v>
      </c>
    </row>
    <row r="70" spans="1:4">
      <c r="A70">
        <v>69</v>
      </c>
      <c r="B70">
        <v>163788.19380000001</v>
      </c>
      <c r="C70">
        <v>5472.1765999999998</v>
      </c>
      <c r="D70">
        <v>344320.71539999999</v>
      </c>
    </row>
    <row r="71" spans="1:4">
      <c r="A71">
        <v>70</v>
      </c>
      <c r="B71">
        <v>168550.82370000001</v>
      </c>
      <c r="C71">
        <v>7158.1256999999996</v>
      </c>
      <c r="D71">
        <v>370613.66519999999</v>
      </c>
    </row>
    <row r="72" spans="1:4">
      <c r="A72">
        <v>71</v>
      </c>
      <c r="B72">
        <v>171874.2395</v>
      </c>
      <c r="C72">
        <v>8588.2147999999997</v>
      </c>
      <c r="D72">
        <v>344312.53090000001</v>
      </c>
    </row>
    <row r="73" spans="1:4">
      <c r="A73">
        <v>72</v>
      </c>
      <c r="B73">
        <v>175317.7683</v>
      </c>
      <c r="C73">
        <v>11841.600200000001</v>
      </c>
      <c r="D73">
        <v>423645.21389999997</v>
      </c>
    </row>
    <row r="74" spans="1:4">
      <c r="A74">
        <v>73</v>
      </c>
      <c r="B74">
        <v>174366.06039999999</v>
      </c>
      <c r="C74">
        <v>9231.4493999999995</v>
      </c>
      <c r="D74">
        <v>378146.60489999998</v>
      </c>
    </row>
    <row r="75" spans="1:4">
      <c r="A75">
        <v>74</v>
      </c>
      <c r="B75">
        <v>167061.74410000001</v>
      </c>
      <c r="C75">
        <v>9812.4076999999997</v>
      </c>
      <c r="D75">
        <v>312026.35849999997</v>
      </c>
    </row>
    <row r="76" spans="1:4">
      <c r="A76">
        <v>75</v>
      </c>
      <c r="B76">
        <v>174877.77119999999</v>
      </c>
      <c r="C76">
        <v>9795.8130000000001</v>
      </c>
      <c r="D76">
        <v>329338.24200000003</v>
      </c>
    </row>
    <row r="77" spans="1:4">
      <c r="A77">
        <v>76</v>
      </c>
      <c r="B77">
        <v>170797.54670000001</v>
      </c>
      <c r="C77">
        <v>17842.296399999999</v>
      </c>
      <c r="D77">
        <v>388493.34940000001</v>
      </c>
    </row>
    <row r="78" spans="1:4">
      <c r="A78">
        <v>77</v>
      </c>
      <c r="B78">
        <v>164018.8492</v>
      </c>
      <c r="C78">
        <v>6434.4195</v>
      </c>
      <c r="D78">
        <v>268156.75939999998</v>
      </c>
    </row>
    <row r="79" spans="1:4">
      <c r="A79">
        <v>78</v>
      </c>
      <c r="B79">
        <v>167738.4871</v>
      </c>
      <c r="C79">
        <v>7768.2304000000004</v>
      </c>
      <c r="D79">
        <v>262118.5122</v>
      </c>
    </row>
    <row r="80" spans="1:4">
      <c r="A80">
        <v>79</v>
      </c>
      <c r="B80">
        <v>167920.7432</v>
      </c>
      <c r="C80">
        <v>10410.2358</v>
      </c>
      <c r="D80">
        <v>231206.7163</v>
      </c>
    </row>
    <row r="81" spans="1:4">
      <c r="A81">
        <v>80</v>
      </c>
      <c r="B81">
        <v>160543.86379999999</v>
      </c>
      <c r="C81">
        <v>8828.9333000000006</v>
      </c>
      <c r="D81">
        <v>414083.38199999998</v>
      </c>
    </row>
    <row r="82" spans="1:4">
      <c r="A82">
        <v>81</v>
      </c>
      <c r="B82">
        <v>175155.14629999999</v>
      </c>
      <c r="C82">
        <v>15490.114</v>
      </c>
      <c r="D82">
        <v>344821.01659999997</v>
      </c>
    </row>
    <row r="83" spans="1:4">
      <c r="A83">
        <v>82</v>
      </c>
      <c r="B83">
        <v>167480.38959999999</v>
      </c>
      <c r="C83">
        <v>7280.3606</v>
      </c>
      <c r="D83">
        <v>336558.84139999998</v>
      </c>
    </row>
    <row r="84" spans="1:4">
      <c r="A84">
        <v>83</v>
      </c>
      <c r="B84">
        <v>164839.50169999999</v>
      </c>
      <c r="C84">
        <v>6345.2183999999997</v>
      </c>
      <c r="D84">
        <v>307730.97519999999</v>
      </c>
    </row>
    <row r="85" spans="1:4">
      <c r="A85">
        <v>84</v>
      </c>
      <c r="B85">
        <v>174465.32139999999</v>
      </c>
      <c r="C85">
        <v>9277.7188999999998</v>
      </c>
      <c r="D85">
        <v>252895.34520000001</v>
      </c>
    </row>
    <row r="86" spans="1:4">
      <c r="A86">
        <v>85</v>
      </c>
      <c r="B86">
        <v>182604.62530000001</v>
      </c>
      <c r="C86">
        <v>20602.159899999999</v>
      </c>
      <c r="D86">
        <v>405016.3162</v>
      </c>
    </row>
    <row r="87" spans="1:4">
      <c r="A87">
        <v>86</v>
      </c>
      <c r="B87">
        <v>159369.57670000001</v>
      </c>
      <c r="C87">
        <v>15751.415999999999</v>
      </c>
      <c r="D87">
        <v>320729.58840000001</v>
      </c>
    </row>
    <row r="88" spans="1:4">
      <c r="A88">
        <v>87</v>
      </c>
      <c r="B88">
        <v>164814.04560000001</v>
      </c>
      <c r="C88">
        <v>5520.0731999999998</v>
      </c>
      <c r="D88">
        <v>298462.37209999998</v>
      </c>
    </row>
    <row r="89" spans="1:4">
      <c r="A89">
        <v>88</v>
      </c>
      <c r="B89">
        <v>177624.8168</v>
      </c>
      <c r="C89">
        <v>9430.8096000000005</v>
      </c>
      <c r="D89">
        <v>433529.1972</v>
      </c>
    </row>
    <row r="90" spans="1:4">
      <c r="A90">
        <v>89</v>
      </c>
      <c r="B90">
        <v>171111.0748</v>
      </c>
      <c r="C90">
        <v>13985.8089</v>
      </c>
      <c r="D90">
        <v>402997.31679999997</v>
      </c>
    </row>
    <row r="91" spans="1:4">
      <c r="A91">
        <v>90</v>
      </c>
      <c r="B91">
        <v>169345.34099999999</v>
      </c>
      <c r="C91">
        <v>7051.2551000000003</v>
      </c>
      <c r="D91">
        <v>306788.93180000002</v>
      </c>
    </row>
    <row r="92" spans="1:4">
      <c r="A92">
        <v>91</v>
      </c>
      <c r="B92">
        <v>153607.2935</v>
      </c>
      <c r="C92">
        <v>9882.1605999999992</v>
      </c>
      <c r="D92">
        <v>295601.72629999998</v>
      </c>
    </row>
    <row r="93" spans="1:4">
      <c r="A93">
        <v>92</v>
      </c>
      <c r="B93">
        <v>147776.9638</v>
      </c>
      <c r="C93">
        <v>5362.9431000000004</v>
      </c>
      <c r="D93">
        <v>227033.82139999999</v>
      </c>
    </row>
    <row r="94" spans="1:4">
      <c r="A94">
        <v>93</v>
      </c>
      <c r="B94">
        <v>171638.269</v>
      </c>
      <c r="C94">
        <v>8782.5396999999994</v>
      </c>
      <c r="D94">
        <v>410293.54310000001</v>
      </c>
    </row>
    <row r="95" spans="1:4">
      <c r="A95">
        <v>94</v>
      </c>
      <c r="B95">
        <v>161435.28969999999</v>
      </c>
      <c r="C95">
        <v>9010.5355</v>
      </c>
      <c r="D95">
        <v>285640.51630000002</v>
      </c>
    </row>
    <row r="96" spans="1:4">
      <c r="A96">
        <v>95</v>
      </c>
      <c r="B96">
        <v>170236.0528</v>
      </c>
      <c r="C96">
        <v>13281.5764</v>
      </c>
      <c r="D96">
        <v>453792.10550000001</v>
      </c>
    </row>
    <row r="97" spans="1:4">
      <c r="A97">
        <v>96</v>
      </c>
      <c r="B97">
        <v>153463.4682</v>
      </c>
      <c r="C97">
        <v>4722.2349000000004</v>
      </c>
      <c r="D97">
        <v>278418.05940000003</v>
      </c>
    </row>
    <row r="98" spans="1:4">
      <c r="A98">
        <v>97</v>
      </c>
      <c r="B98">
        <v>167519.6844</v>
      </c>
      <c r="C98">
        <v>8879.4184000000005</v>
      </c>
      <c r="D98">
        <v>309502.51579999999</v>
      </c>
    </row>
    <row r="99" spans="1:4">
      <c r="A99">
        <v>98</v>
      </c>
      <c r="B99">
        <v>169406.79010000001</v>
      </c>
      <c r="C99">
        <v>6093.2363999999998</v>
      </c>
      <c r="D99">
        <v>353389.67460000003</v>
      </c>
    </row>
    <row r="100" spans="1:4">
      <c r="A100">
        <v>99</v>
      </c>
      <c r="B100">
        <v>168508.91620000001</v>
      </c>
      <c r="C100">
        <v>9626.3814000000002</v>
      </c>
      <c r="D100">
        <v>304996.66190000001</v>
      </c>
    </row>
    <row r="101" spans="1:4">
      <c r="A101">
        <v>100</v>
      </c>
      <c r="B101">
        <v>165610.3812</v>
      </c>
      <c r="C101">
        <v>11134.315500000001</v>
      </c>
      <c r="D101">
        <v>328273.11249999999</v>
      </c>
    </row>
    <row r="102" spans="1:4">
      <c r="A102">
        <v>101</v>
      </c>
      <c r="B102">
        <v>166956.38279999999</v>
      </c>
      <c r="C102">
        <v>8992.3989999999994</v>
      </c>
      <c r="D102">
        <v>367413.21269999997</v>
      </c>
    </row>
    <row r="103" spans="1:4">
      <c r="A103">
        <v>102</v>
      </c>
      <c r="B103">
        <v>154272.71609999999</v>
      </c>
      <c r="C103">
        <v>7613.7145</v>
      </c>
      <c r="D103">
        <v>440429.88520000002</v>
      </c>
    </row>
    <row r="104" spans="1:4">
      <c r="A104">
        <v>103</v>
      </c>
      <c r="B104">
        <v>158671.86660000001</v>
      </c>
      <c r="C104">
        <v>7719.7583000000004</v>
      </c>
      <c r="D104">
        <v>368131.91279999999</v>
      </c>
    </row>
    <row r="105" spans="1:4">
      <c r="A105">
        <v>104</v>
      </c>
      <c r="B105">
        <v>181609.13990000001</v>
      </c>
      <c r="C105">
        <v>9592.9626000000007</v>
      </c>
      <c r="D105">
        <v>326622.13520000002</v>
      </c>
    </row>
    <row r="106" spans="1:4">
      <c r="A106">
        <v>105</v>
      </c>
      <c r="B106">
        <v>160026.13149999999</v>
      </c>
      <c r="C106">
        <v>6180.8418000000001</v>
      </c>
      <c r="D106">
        <v>252803.94500000001</v>
      </c>
    </row>
    <row r="107" spans="1:4">
      <c r="A107">
        <v>106</v>
      </c>
      <c r="B107">
        <v>175451.11240000001</v>
      </c>
      <c r="C107">
        <v>10498.895699999999</v>
      </c>
      <c r="D107">
        <v>340672.88299999997</v>
      </c>
    </row>
    <row r="108" spans="1:4">
      <c r="A108">
        <v>107</v>
      </c>
      <c r="B108">
        <v>156964.4987</v>
      </c>
      <c r="C108">
        <v>8525.8004000000001</v>
      </c>
      <c r="D108">
        <v>328645.17859999998</v>
      </c>
    </row>
    <row r="109" spans="1:4">
      <c r="A109">
        <v>108</v>
      </c>
      <c r="B109">
        <v>173497.94099999999</v>
      </c>
      <c r="C109">
        <v>4959.6799000000001</v>
      </c>
      <c r="D109">
        <v>263753.6409</v>
      </c>
    </row>
    <row r="110" spans="1:4">
      <c r="A110">
        <v>109</v>
      </c>
      <c r="B110">
        <v>170692.4656</v>
      </c>
      <c r="C110">
        <v>10492.470499999999</v>
      </c>
      <c r="D110">
        <v>352672.0845</v>
      </c>
    </row>
    <row r="111" spans="1:4">
      <c r="A111">
        <v>110</v>
      </c>
      <c r="B111">
        <v>159816.21969999999</v>
      </c>
      <c r="C111">
        <v>13435.768400000001</v>
      </c>
      <c r="D111">
        <v>375264.41230000003</v>
      </c>
    </row>
    <row r="112" spans="1:4">
      <c r="A112">
        <v>111</v>
      </c>
      <c r="B112">
        <v>166816.85550000001</v>
      </c>
      <c r="C112">
        <v>10230.4246</v>
      </c>
      <c r="D112">
        <v>375690.12040000001</v>
      </c>
    </row>
    <row r="113" spans="1:4">
      <c r="A113">
        <v>112</v>
      </c>
      <c r="B113">
        <v>176317.535</v>
      </c>
      <c r="C113">
        <v>10364.886699999999</v>
      </c>
      <c r="D113">
        <v>243767.57560000001</v>
      </c>
    </row>
    <row r="114" spans="1:4">
      <c r="A114">
        <v>113</v>
      </c>
      <c r="B114">
        <v>151694.16930000001</v>
      </c>
      <c r="C114">
        <v>11312.1515</v>
      </c>
      <c r="D114">
        <v>329536.33669999999</v>
      </c>
    </row>
    <row r="115" spans="1:4">
      <c r="A115">
        <v>114</v>
      </c>
      <c r="B115">
        <v>155270.37940000001</v>
      </c>
      <c r="C115">
        <v>8537.9298999999992</v>
      </c>
      <c r="D115">
        <v>308641.97730000003</v>
      </c>
    </row>
    <row r="116" spans="1:4">
      <c r="A116">
        <v>115</v>
      </c>
      <c r="B116">
        <v>158523.08840000001</v>
      </c>
      <c r="C116">
        <v>9913.3201000000008</v>
      </c>
      <c r="D116">
        <v>295948.84649999999</v>
      </c>
    </row>
    <row r="117" spans="1:4">
      <c r="A117">
        <v>116</v>
      </c>
      <c r="B117">
        <v>164918.288</v>
      </c>
      <c r="C117">
        <v>5933.7722000000003</v>
      </c>
      <c r="D117">
        <v>309367.18469999998</v>
      </c>
    </row>
    <row r="118" spans="1:4">
      <c r="A118">
        <v>117</v>
      </c>
      <c r="B118">
        <v>161730.24100000001</v>
      </c>
      <c r="C118">
        <v>10679.5429</v>
      </c>
      <c r="D118">
        <v>384839.44189999998</v>
      </c>
    </row>
    <row r="119" spans="1:4">
      <c r="A119">
        <v>118</v>
      </c>
      <c r="B119">
        <v>174161.50140000001</v>
      </c>
      <c r="C119">
        <v>6763.1926999999996</v>
      </c>
      <c r="D119">
        <v>333337.53739999997</v>
      </c>
    </row>
    <row r="120" spans="1:4">
      <c r="A120">
        <v>119</v>
      </c>
      <c r="B120">
        <v>196165.99679999999</v>
      </c>
      <c r="C120">
        <v>6061.9313000000002</v>
      </c>
      <c r="D120">
        <v>328571.65029999998</v>
      </c>
    </row>
    <row r="121" spans="1:4">
      <c r="A121">
        <v>120</v>
      </c>
      <c r="B121">
        <v>166251.48379999999</v>
      </c>
      <c r="C121">
        <v>11025.474899999999</v>
      </c>
      <c r="D121">
        <v>281991.6618</v>
      </c>
    </row>
    <row r="122" spans="1:4">
      <c r="A122">
        <v>121</v>
      </c>
      <c r="B122">
        <v>151599.9466</v>
      </c>
      <c r="C122">
        <v>4628.0045</v>
      </c>
      <c r="D122">
        <v>271107.64110000001</v>
      </c>
    </row>
    <row r="123" spans="1:4">
      <c r="A123">
        <v>122</v>
      </c>
      <c r="B123">
        <v>179931.54629999999</v>
      </c>
      <c r="C123">
        <v>5957.1075000000001</v>
      </c>
      <c r="D123">
        <v>281769.9278</v>
      </c>
    </row>
    <row r="124" spans="1:4">
      <c r="A124">
        <v>123</v>
      </c>
      <c r="B124">
        <v>160835.7898</v>
      </c>
      <c r="C124">
        <v>16066.605600000001</v>
      </c>
      <c r="D124">
        <v>321161.70260000002</v>
      </c>
    </row>
    <row r="125" spans="1:4">
      <c r="A125">
        <v>124</v>
      </c>
      <c r="B125">
        <v>156260.5955</v>
      </c>
      <c r="C125">
        <v>5534.1929</v>
      </c>
      <c r="D125">
        <v>248009.82610000001</v>
      </c>
    </row>
    <row r="126" spans="1:4">
      <c r="A126">
        <v>125</v>
      </c>
      <c r="B126">
        <v>155358.6073</v>
      </c>
      <c r="C126">
        <v>8139.7831999999999</v>
      </c>
      <c r="D126">
        <v>300204.11709999997</v>
      </c>
    </row>
    <row r="127" spans="1:4">
      <c r="A127">
        <v>126</v>
      </c>
      <c r="B127">
        <v>164521.19320000001</v>
      </c>
      <c r="C127">
        <v>7157.0770000000002</v>
      </c>
      <c r="D127">
        <v>340521.20789999998</v>
      </c>
    </row>
    <row r="128" spans="1:4">
      <c r="A128">
        <v>127</v>
      </c>
      <c r="B128">
        <v>152076.55679999999</v>
      </c>
      <c r="C128">
        <v>6740.5568000000003</v>
      </c>
      <c r="D128">
        <v>312502.04759999999</v>
      </c>
    </row>
    <row r="129" spans="1:4">
      <c r="A129">
        <v>128</v>
      </c>
      <c r="B129">
        <v>176530.85889999999</v>
      </c>
      <c r="C129">
        <v>10103.5862</v>
      </c>
      <c r="D129">
        <v>304796.56790000002</v>
      </c>
    </row>
    <row r="130" spans="1:4">
      <c r="A130">
        <v>129</v>
      </c>
      <c r="B130">
        <v>166692.36429999999</v>
      </c>
      <c r="C130">
        <v>13534.1985</v>
      </c>
      <c r="D130">
        <v>320769.01630000002</v>
      </c>
    </row>
    <row r="131" spans="1:4">
      <c r="A131">
        <v>130</v>
      </c>
      <c r="B131">
        <v>154733.01259999999</v>
      </c>
      <c r="C131">
        <v>5652.2066000000004</v>
      </c>
      <c r="D131">
        <v>308967.65830000001</v>
      </c>
    </row>
    <row r="132" spans="1:4">
      <c r="A132">
        <v>131</v>
      </c>
      <c r="B132">
        <v>161431.23300000001</v>
      </c>
      <c r="C132">
        <v>6524.7641999999996</v>
      </c>
      <c r="D132">
        <v>292200.37050000002</v>
      </c>
    </row>
    <row r="133" spans="1:4">
      <c r="A133">
        <v>132</v>
      </c>
      <c r="B133">
        <v>160587.4423</v>
      </c>
      <c r="C133">
        <v>8119.3540000000003</v>
      </c>
      <c r="D133">
        <v>292696.2366</v>
      </c>
    </row>
    <row r="134" spans="1:4">
      <c r="A134">
        <v>133</v>
      </c>
      <c r="B134">
        <v>160216.33540000001</v>
      </c>
      <c r="C134">
        <v>11105.611999999999</v>
      </c>
      <c r="D134">
        <v>294504.3885</v>
      </c>
    </row>
    <row r="135" spans="1:4">
      <c r="A135">
        <v>134</v>
      </c>
      <c r="B135">
        <v>166642.4711</v>
      </c>
      <c r="C135">
        <v>9111.3034000000007</v>
      </c>
      <c r="D135">
        <v>357638.86200000002</v>
      </c>
    </row>
    <row r="136" spans="1:4">
      <c r="A136">
        <v>135</v>
      </c>
      <c r="B136">
        <v>157701.03469999999</v>
      </c>
      <c r="C136">
        <v>20051.510600000001</v>
      </c>
      <c r="D136">
        <v>355935.06160000002</v>
      </c>
    </row>
    <row r="137" spans="1:4">
      <c r="A137">
        <v>136</v>
      </c>
      <c r="B137">
        <v>159765.79949999999</v>
      </c>
      <c r="C137">
        <v>7468.9619000000002</v>
      </c>
      <c r="D137">
        <v>341918.98830000003</v>
      </c>
    </row>
    <row r="138" spans="1:4">
      <c r="A138">
        <v>137</v>
      </c>
      <c r="B138">
        <v>156112.4265</v>
      </c>
      <c r="C138">
        <v>8916.9505000000008</v>
      </c>
      <c r="D138">
        <v>457224.28869999998</v>
      </c>
    </row>
    <row r="139" spans="1:4">
      <c r="A139">
        <v>138</v>
      </c>
      <c r="B139">
        <v>172250.6102</v>
      </c>
      <c r="C139">
        <v>7800.3253999999997</v>
      </c>
      <c r="D139">
        <v>377526.14</v>
      </c>
    </row>
    <row r="140" spans="1:4">
      <c r="A140">
        <v>139</v>
      </c>
      <c r="B140">
        <v>166716.8161</v>
      </c>
      <c r="C140">
        <v>5372.5155999999997</v>
      </c>
      <c r="D140">
        <v>242835.70680000001</v>
      </c>
    </row>
    <row r="141" spans="1:4">
      <c r="A141">
        <v>140</v>
      </c>
      <c r="B141">
        <v>178054.14780000001</v>
      </c>
      <c r="C141">
        <v>8400.8413</v>
      </c>
      <c r="D141">
        <v>384645.17239999998</v>
      </c>
    </row>
    <row r="142" spans="1:4">
      <c r="A142">
        <v>141</v>
      </c>
      <c r="B142">
        <v>156246.70730000001</v>
      </c>
      <c r="C142">
        <v>9442.8273000000008</v>
      </c>
      <c r="D142">
        <v>366227.826</v>
      </c>
    </row>
    <row r="143" spans="1:4">
      <c r="A143">
        <v>142</v>
      </c>
      <c r="B143">
        <v>159554.7115</v>
      </c>
      <c r="C143">
        <v>5778.1463999999996</v>
      </c>
      <c r="D143">
        <v>256399.41390000001</v>
      </c>
    </row>
    <row r="144" spans="1:4">
      <c r="A144">
        <v>143</v>
      </c>
      <c r="B144">
        <v>171244.02350000001</v>
      </c>
      <c r="C144">
        <v>7903.2730000000001</v>
      </c>
      <c r="D144">
        <v>255277.5717</v>
      </c>
    </row>
    <row r="145" spans="1:4">
      <c r="A145">
        <v>144</v>
      </c>
      <c r="B145">
        <v>144798.3719</v>
      </c>
      <c r="C145">
        <v>5483.2255999999998</v>
      </c>
      <c r="D145">
        <v>320831.1764</v>
      </c>
    </row>
    <row r="146" spans="1:4">
      <c r="A146">
        <v>145</v>
      </c>
      <c r="B146">
        <v>160506.02009999999</v>
      </c>
      <c r="C146">
        <v>6249.2192999999997</v>
      </c>
      <c r="D146">
        <v>394941.74800000002</v>
      </c>
    </row>
    <row r="147" spans="1:4">
      <c r="A147">
        <v>146</v>
      </c>
      <c r="B147">
        <v>179524.8455</v>
      </c>
      <c r="C147">
        <v>8535.5506000000005</v>
      </c>
      <c r="D147">
        <v>358439.77730000002</v>
      </c>
    </row>
    <row r="148" spans="1:4">
      <c r="A148">
        <v>147</v>
      </c>
      <c r="B148">
        <v>166530.30929999999</v>
      </c>
      <c r="C148">
        <v>10742.079900000001</v>
      </c>
      <c r="D148">
        <v>338298.56469999999</v>
      </c>
    </row>
    <row r="149" spans="1:4">
      <c r="A149">
        <v>148</v>
      </c>
      <c r="B149">
        <v>173373.98920000001</v>
      </c>
      <c r="C149">
        <v>10080.1288</v>
      </c>
      <c r="D149">
        <v>229577.63430000001</v>
      </c>
    </row>
    <row r="150" spans="1:4">
      <c r="A150">
        <v>149</v>
      </c>
      <c r="B150">
        <v>159993.84940000001</v>
      </c>
      <c r="C150">
        <v>11168.867899999999</v>
      </c>
      <c r="D150">
        <v>387566.6716</v>
      </c>
    </row>
    <row r="151" spans="1:4">
      <c r="A151">
        <v>150</v>
      </c>
      <c r="B151">
        <v>172654.3463</v>
      </c>
      <c r="C151">
        <v>15579.722900000001</v>
      </c>
      <c r="D151">
        <v>393377.55489999999</v>
      </c>
    </row>
    <row r="152" spans="1:4">
      <c r="A152">
        <v>151</v>
      </c>
      <c r="B152">
        <v>158856.1459</v>
      </c>
      <c r="C152">
        <v>7185.9879000000001</v>
      </c>
      <c r="D152">
        <v>267093.18660000002</v>
      </c>
    </row>
    <row r="153" spans="1:4">
      <c r="A153">
        <v>152</v>
      </c>
      <c r="B153">
        <v>162541.5612</v>
      </c>
      <c r="C153">
        <v>5863.4444000000003</v>
      </c>
      <c r="D153">
        <v>362498.59389999998</v>
      </c>
    </row>
    <row r="154" spans="1:4">
      <c r="A154">
        <v>153</v>
      </c>
      <c r="B154">
        <v>161214.16889999999</v>
      </c>
      <c r="C154">
        <v>7739.3948</v>
      </c>
      <c r="D154">
        <v>314666.15830000001</v>
      </c>
    </row>
    <row r="155" spans="1:4">
      <c r="A155">
        <v>154</v>
      </c>
      <c r="B155">
        <v>155917.69010000001</v>
      </c>
      <c r="C155">
        <v>5485.0612000000001</v>
      </c>
      <c r="D155">
        <v>369662.92139999999</v>
      </c>
    </row>
    <row r="156" spans="1:4">
      <c r="A156">
        <v>155</v>
      </c>
      <c r="B156">
        <v>152409.04889999999</v>
      </c>
      <c r="C156">
        <v>9782.4868000000006</v>
      </c>
      <c r="D156">
        <v>324643.22279999999</v>
      </c>
    </row>
    <row r="157" spans="1:4">
      <c r="A157">
        <v>156</v>
      </c>
      <c r="B157">
        <v>162425.2893</v>
      </c>
      <c r="C157">
        <v>9172.3382000000001</v>
      </c>
      <c r="D157">
        <v>317330.72600000002</v>
      </c>
    </row>
    <row r="158" spans="1:4">
      <c r="A158">
        <v>157</v>
      </c>
      <c r="B158">
        <v>177350.2825</v>
      </c>
      <c r="C158">
        <v>5317.7332999999999</v>
      </c>
      <c r="D158">
        <v>308128.84700000001</v>
      </c>
    </row>
    <row r="159" spans="1:4">
      <c r="A159">
        <v>158</v>
      </c>
      <c r="B159">
        <v>175521.7427</v>
      </c>
      <c r="C159">
        <v>5309.5123999999996</v>
      </c>
      <c r="D159">
        <v>332166.81189999997</v>
      </c>
    </row>
    <row r="160" spans="1:4">
      <c r="A160">
        <v>159</v>
      </c>
      <c r="B160">
        <v>150013.7432</v>
      </c>
      <c r="C160">
        <v>7172.6412</v>
      </c>
      <c r="D160">
        <v>313545.35769999999</v>
      </c>
    </row>
    <row r="161" spans="1:4">
      <c r="A161">
        <v>160</v>
      </c>
      <c r="B161">
        <v>157248.5765</v>
      </c>
      <c r="C161">
        <v>7549.5756000000001</v>
      </c>
      <c r="D161">
        <v>294469.75400000002</v>
      </c>
    </row>
    <row r="162" spans="1:4">
      <c r="A162">
        <v>161</v>
      </c>
      <c r="B162">
        <v>165446.48579999999</v>
      </c>
      <c r="C162">
        <v>10241.6549</v>
      </c>
      <c r="D162">
        <v>367714.45870000002</v>
      </c>
    </row>
    <row r="163" spans="1:4">
      <c r="A163">
        <v>162</v>
      </c>
      <c r="B163">
        <v>171887.23550000001</v>
      </c>
      <c r="C163">
        <v>13392.8521</v>
      </c>
      <c r="D163">
        <v>285287.44439999998</v>
      </c>
    </row>
    <row r="164" spans="1:4">
      <c r="A164">
        <v>163</v>
      </c>
      <c r="B164">
        <v>163709.959</v>
      </c>
      <c r="C164">
        <v>12739.9267</v>
      </c>
      <c r="D164">
        <v>386602.49339999998</v>
      </c>
    </row>
    <row r="165" spans="1:4">
      <c r="A165">
        <v>164</v>
      </c>
      <c r="B165">
        <v>146556.29810000001</v>
      </c>
      <c r="C165">
        <v>9153.1620999999996</v>
      </c>
      <c r="D165">
        <v>354245.67259999999</v>
      </c>
    </row>
    <row r="166" spans="1:4">
      <c r="A166">
        <v>165</v>
      </c>
      <c r="B166">
        <v>174614.26490000001</v>
      </c>
      <c r="C166">
        <v>6397.6706000000004</v>
      </c>
      <c r="D166">
        <v>390784.8101</v>
      </c>
    </row>
    <row r="167" spans="1:4">
      <c r="A167">
        <v>166</v>
      </c>
      <c r="B167">
        <v>161374.10860000001</v>
      </c>
      <c r="C167">
        <v>6537.6352999999999</v>
      </c>
      <c r="D167">
        <v>369086.34989999997</v>
      </c>
    </row>
    <row r="168" spans="1:4">
      <c r="A168">
        <v>167</v>
      </c>
      <c r="B168">
        <v>178867.6905</v>
      </c>
      <c r="C168">
        <v>8753.4153000000006</v>
      </c>
      <c r="D168">
        <v>310159.38170000003</v>
      </c>
    </row>
    <row r="169" spans="1:4">
      <c r="A169">
        <v>168</v>
      </c>
      <c r="B169">
        <v>156229.9498</v>
      </c>
      <c r="C169">
        <v>7200.8711999999996</v>
      </c>
      <c r="D169">
        <v>338590.18170000002</v>
      </c>
    </row>
    <row r="170" spans="1:4">
      <c r="A170">
        <v>169</v>
      </c>
      <c r="B170">
        <v>168806.60569999999</v>
      </c>
      <c r="C170">
        <v>15690.5519</v>
      </c>
      <c r="D170">
        <v>320098.11540000001</v>
      </c>
    </row>
    <row r="171" spans="1:4">
      <c r="A171">
        <v>170</v>
      </c>
      <c r="B171">
        <v>168348.27900000001</v>
      </c>
      <c r="C171">
        <v>10117.352699999999</v>
      </c>
      <c r="D171">
        <v>344848.65279999998</v>
      </c>
    </row>
    <row r="172" spans="1:4">
      <c r="A172">
        <v>171</v>
      </c>
      <c r="B172">
        <v>179606.4571</v>
      </c>
      <c r="C172">
        <v>10918.8362</v>
      </c>
      <c r="D172">
        <v>306077.87939999998</v>
      </c>
    </row>
    <row r="173" spans="1:4">
      <c r="A173">
        <v>172</v>
      </c>
      <c r="B173">
        <v>175536.43969999999</v>
      </c>
      <c r="C173">
        <v>14616.042799999999</v>
      </c>
      <c r="D173">
        <v>324182.65010000003</v>
      </c>
    </row>
    <row r="174" spans="1:4">
      <c r="A174">
        <v>173</v>
      </c>
      <c r="B174">
        <v>172560.67540000001</v>
      </c>
      <c r="C174">
        <v>10838.3614</v>
      </c>
      <c r="D174">
        <v>310466.66840000002</v>
      </c>
    </row>
    <row r="175" spans="1:4">
      <c r="A175">
        <v>174</v>
      </c>
      <c r="B175">
        <v>168726.92019999999</v>
      </c>
      <c r="C175">
        <v>7517.8806999999997</v>
      </c>
      <c r="D175">
        <v>462406.38740000001</v>
      </c>
    </row>
    <row r="176" spans="1:4">
      <c r="A176">
        <v>175</v>
      </c>
      <c r="B176">
        <v>155434.00349999999</v>
      </c>
      <c r="C176">
        <v>10445.8781</v>
      </c>
      <c r="D176">
        <v>287545.40830000001</v>
      </c>
    </row>
    <row r="177" spans="1:4">
      <c r="A177">
        <v>176</v>
      </c>
      <c r="B177">
        <v>173308.4742</v>
      </c>
      <c r="C177">
        <v>7389.0815000000002</v>
      </c>
      <c r="D177">
        <v>376638.76799999998</v>
      </c>
    </row>
    <row r="178" spans="1:4">
      <c r="A178">
        <v>177</v>
      </c>
      <c r="B178">
        <v>160196.19409999999</v>
      </c>
      <c r="C178">
        <v>9588.9889999999996</v>
      </c>
      <c r="D178">
        <v>316898.54889999999</v>
      </c>
    </row>
    <row r="179" spans="1:4">
      <c r="A179">
        <v>178</v>
      </c>
      <c r="B179">
        <v>161833.4564</v>
      </c>
      <c r="C179">
        <v>7341.3226000000004</v>
      </c>
      <c r="D179">
        <v>279471.41970000003</v>
      </c>
    </row>
    <row r="180" spans="1:4">
      <c r="A180">
        <v>179</v>
      </c>
      <c r="B180">
        <v>161895.92000000001</v>
      </c>
      <c r="C180">
        <v>11138.6458</v>
      </c>
      <c r="D180">
        <v>245516.91529999999</v>
      </c>
    </row>
    <row r="181" spans="1:4">
      <c r="A181">
        <v>180</v>
      </c>
      <c r="B181">
        <v>175606.7641</v>
      </c>
      <c r="C181">
        <v>10521.3601</v>
      </c>
      <c r="D181">
        <v>242564.1643</v>
      </c>
    </row>
    <row r="182" spans="1:4">
      <c r="A182">
        <v>181</v>
      </c>
      <c r="B182">
        <v>170515.76430000001</v>
      </c>
      <c r="C182">
        <v>7567.1646000000001</v>
      </c>
      <c r="D182">
        <v>358452.23050000001</v>
      </c>
    </row>
    <row r="183" spans="1:4">
      <c r="A183">
        <v>182</v>
      </c>
      <c r="B183">
        <v>163285.8597</v>
      </c>
      <c r="C183">
        <v>7290.9564</v>
      </c>
      <c r="D183">
        <v>373301.25819999998</v>
      </c>
    </row>
    <row r="184" spans="1:4">
      <c r="A184">
        <v>183</v>
      </c>
      <c r="B184">
        <v>172646.48130000001</v>
      </c>
      <c r="C184">
        <v>11296.841700000001</v>
      </c>
      <c r="D184">
        <v>465776.24959999998</v>
      </c>
    </row>
    <row r="185" spans="1:4">
      <c r="A185">
        <v>184</v>
      </c>
      <c r="B185">
        <v>176949.1496</v>
      </c>
      <c r="C185">
        <v>8258.6627000000008</v>
      </c>
      <c r="D185">
        <v>275241.7218</v>
      </c>
    </row>
    <row r="186" spans="1:4">
      <c r="A186">
        <v>185</v>
      </c>
      <c r="B186">
        <v>172393.82829999999</v>
      </c>
      <c r="C186">
        <v>7124.7449999999999</v>
      </c>
      <c r="D186">
        <v>291758.56650000002</v>
      </c>
    </row>
    <row r="187" spans="1:4">
      <c r="A187">
        <v>186</v>
      </c>
      <c r="B187">
        <v>161345.21419999999</v>
      </c>
      <c r="C187">
        <v>7494.3324000000002</v>
      </c>
      <c r="D187">
        <v>298796.76120000001</v>
      </c>
    </row>
    <row r="188" spans="1:4">
      <c r="A188">
        <v>187</v>
      </c>
      <c r="B188">
        <v>163926.80160000001</v>
      </c>
      <c r="C188">
        <v>7755.5146000000004</v>
      </c>
      <c r="D188">
        <v>370487.32069999998</v>
      </c>
    </row>
    <row r="189" spans="1:4">
      <c r="A189">
        <v>188</v>
      </c>
      <c r="B189">
        <v>163274.32389999999</v>
      </c>
      <c r="C189">
        <v>7895.8482000000004</v>
      </c>
      <c r="D189">
        <v>357241.15529999998</v>
      </c>
    </row>
    <row r="190" spans="1:4">
      <c r="A190">
        <v>189</v>
      </c>
      <c r="B190">
        <v>155431.92939999999</v>
      </c>
      <c r="C190">
        <v>7242.9807000000001</v>
      </c>
      <c r="D190">
        <v>398230.92670000001</v>
      </c>
    </row>
    <row r="191" spans="1:4">
      <c r="A191">
        <v>190</v>
      </c>
      <c r="B191">
        <v>159017.4037</v>
      </c>
      <c r="C191">
        <v>6188.9827999999998</v>
      </c>
      <c r="D191">
        <v>346277.3224</v>
      </c>
    </row>
    <row r="192" spans="1:4">
      <c r="A192">
        <v>191</v>
      </c>
      <c r="B192">
        <v>168615.3321</v>
      </c>
      <c r="C192">
        <v>9467.2324000000008</v>
      </c>
      <c r="D192">
        <v>276146.61</v>
      </c>
    </row>
    <row r="193" spans="1:4">
      <c r="A193">
        <v>192</v>
      </c>
      <c r="B193">
        <v>167630.47349999999</v>
      </c>
      <c r="C193">
        <v>8054.8383999999996</v>
      </c>
      <c r="D193">
        <v>295705.99859999999</v>
      </c>
    </row>
    <row r="194" spans="1:4">
      <c r="A194">
        <v>193</v>
      </c>
      <c r="B194">
        <v>170387.7788</v>
      </c>
      <c r="C194">
        <v>7172.3171000000002</v>
      </c>
      <c r="D194">
        <v>338548.9828</v>
      </c>
    </row>
    <row r="195" spans="1:4">
      <c r="A195">
        <v>194</v>
      </c>
      <c r="B195">
        <v>151475.0815</v>
      </c>
      <c r="C195">
        <v>7673.7209999999995</v>
      </c>
      <c r="D195">
        <v>259037.95800000001</v>
      </c>
    </row>
    <row r="196" spans="1:4">
      <c r="A196">
        <v>195</v>
      </c>
      <c r="B196">
        <v>165268.07550000001</v>
      </c>
      <c r="C196">
        <v>7993.2520999999997</v>
      </c>
      <c r="D196">
        <v>424450.22009999998</v>
      </c>
    </row>
    <row r="197" spans="1:4">
      <c r="A197">
        <v>196</v>
      </c>
      <c r="B197">
        <v>166970.8694</v>
      </c>
      <c r="C197">
        <v>9224.7844000000005</v>
      </c>
      <c r="D197">
        <v>376821.28840000002</v>
      </c>
    </row>
    <row r="198" spans="1:4">
      <c r="A198">
        <v>197</v>
      </c>
      <c r="B198">
        <v>171145.2543</v>
      </c>
      <c r="C198">
        <v>6824.0519999999997</v>
      </c>
      <c r="D198">
        <v>377692.93050000002</v>
      </c>
    </row>
    <row r="199" spans="1:4">
      <c r="A199">
        <v>198</v>
      </c>
      <c r="B199">
        <v>157968.8487</v>
      </c>
      <c r="C199">
        <v>12067.9195</v>
      </c>
      <c r="D199">
        <v>314730.39030000003</v>
      </c>
    </row>
    <row r="200" spans="1:4">
      <c r="A200">
        <v>199</v>
      </c>
      <c r="B200">
        <v>164235.549</v>
      </c>
      <c r="C200">
        <v>17412.267899999999</v>
      </c>
      <c r="D200">
        <v>336863.19469999999</v>
      </c>
    </row>
    <row r="201" spans="1:4">
      <c r="A201">
        <v>200</v>
      </c>
      <c r="B201">
        <v>161375.9535</v>
      </c>
      <c r="C201">
        <v>7343.4744000000001</v>
      </c>
      <c r="D201">
        <v>311518.63209999999</v>
      </c>
    </row>
    <row r="202" spans="1:4">
      <c r="A202">
        <v>201</v>
      </c>
      <c r="B202">
        <v>169885.15049999999</v>
      </c>
      <c r="C202">
        <v>4898.6940000000004</v>
      </c>
      <c r="D202">
        <v>327601.02789999999</v>
      </c>
    </row>
    <row r="203" spans="1:4">
      <c r="A203">
        <v>202</v>
      </c>
      <c r="B203">
        <v>163592.5931</v>
      </c>
      <c r="C203">
        <v>11410.227999999999</v>
      </c>
      <c r="D203">
        <v>422259.88870000001</v>
      </c>
    </row>
    <row r="204" spans="1:4">
      <c r="A204">
        <v>203</v>
      </c>
      <c r="B204">
        <v>176536.13430000001</v>
      </c>
      <c r="C204">
        <v>5100.3425999999999</v>
      </c>
      <c r="D204">
        <v>363976.66889999999</v>
      </c>
    </row>
    <row r="205" spans="1:4">
      <c r="A205">
        <v>204</v>
      </c>
      <c r="B205">
        <v>162886.8547</v>
      </c>
      <c r="C205">
        <v>6010.3489</v>
      </c>
      <c r="D205">
        <v>285891.6421</v>
      </c>
    </row>
    <row r="206" spans="1:4">
      <c r="A206">
        <v>205</v>
      </c>
      <c r="B206">
        <v>159030.64679999999</v>
      </c>
      <c r="C206">
        <v>9145.8796000000002</v>
      </c>
      <c r="D206">
        <v>369945.69880000001</v>
      </c>
    </row>
    <row r="207" spans="1:4">
      <c r="A207">
        <v>206</v>
      </c>
      <c r="B207">
        <v>162688.1986</v>
      </c>
      <c r="C207">
        <v>10269.917600000001</v>
      </c>
      <c r="D207">
        <v>433744.00040000002</v>
      </c>
    </row>
    <row r="208" spans="1:4">
      <c r="A208">
        <v>207</v>
      </c>
      <c r="B208">
        <v>183707.53580000001</v>
      </c>
      <c r="C208">
        <v>7925.0733</v>
      </c>
      <c r="D208">
        <v>310085.03210000001</v>
      </c>
    </row>
    <row r="209" spans="1:4">
      <c r="A209">
        <v>208</v>
      </c>
      <c r="B209">
        <v>164503.08720000001</v>
      </c>
      <c r="C209">
        <v>19057.743699999999</v>
      </c>
      <c r="D209">
        <v>361862.8383</v>
      </c>
    </row>
    <row r="210" spans="1:4">
      <c r="A210">
        <v>209</v>
      </c>
      <c r="B210">
        <v>162051.7261</v>
      </c>
      <c r="C210">
        <v>6206.1315999999997</v>
      </c>
      <c r="D210">
        <v>281321.41239999997</v>
      </c>
    </row>
    <row r="211" spans="1:4">
      <c r="A211">
        <v>210</v>
      </c>
      <c r="B211">
        <v>171181.6054</v>
      </c>
      <c r="C211">
        <v>8908.9912999999997</v>
      </c>
      <c r="D211">
        <v>335014.63589999999</v>
      </c>
    </row>
    <row r="212" spans="1:4">
      <c r="A212">
        <v>211</v>
      </c>
      <c r="B212">
        <v>163522.2279</v>
      </c>
      <c r="C212">
        <v>8250.7314000000006</v>
      </c>
      <c r="D212">
        <v>371785.8983</v>
      </c>
    </row>
    <row r="213" spans="1:4">
      <c r="A213">
        <v>212</v>
      </c>
      <c r="B213">
        <v>165608.0166</v>
      </c>
      <c r="C213">
        <v>9451.3417000000009</v>
      </c>
      <c r="D213">
        <v>338171.55709999998</v>
      </c>
    </row>
    <row r="214" spans="1:4">
      <c r="A214">
        <v>213</v>
      </c>
      <c r="B214">
        <v>161780.98379999999</v>
      </c>
      <c r="C214">
        <v>6348.6772000000001</v>
      </c>
      <c r="D214">
        <v>359106.60509999999</v>
      </c>
    </row>
    <row r="215" spans="1:4">
      <c r="A215">
        <v>214</v>
      </c>
      <c r="B215">
        <v>169447.00820000001</v>
      </c>
      <c r="C215">
        <v>7263.6518999999998</v>
      </c>
      <c r="D215">
        <v>336434.93109999999</v>
      </c>
    </row>
    <row r="216" spans="1:4">
      <c r="A216">
        <v>215</v>
      </c>
      <c r="B216">
        <v>157948.00539999999</v>
      </c>
      <c r="C216">
        <v>7912.2668000000003</v>
      </c>
      <c r="D216">
        <v>441842.94679999998</v>
      </c>
    </row>
    <row r="217" spans="1:4">
      <c r="A217">
        <v>216</v>
      </c>
      <c r="B217">
        <v>169872.1398</v>
      </c>
      <c r="C217">
        <v>6132.4449999999997</v>
      </c>
      <c r="D217">
        <v>352760.68890000001</v>
      </c>
    </row>
    <row r="218" spans="1:4">
      <c r="A218">
        <v>217</v>
      </c>
      <c r="B218">
        <v>181137.6471</v>
      </c>
      <c r="C218">
        <v>9713.8796000000002</v>
      </c>
      <c r="D218">
        <v>320557.41389999999</v>
      </c>
    </row>
    <row r="219" spans="1:4">
      <c r="A219">
        <v>218</v>
      </c>
      <c r="B219">
        <v>169711.4662</v>
      </c>
      <c r="C219">
        <v>10634.434999999999</v>
      </c>
      <c r="D219">
        <v>379989.01120000001</v>
      </c>
    </row>
    <row r="220" spans="1:4">
      <c r="A220">
        <v>219</v>
      </c>
      <c r="B220">
        <v>160098.4583</v>
      </c>
      <c r="C220">
        <v>3973.8815</v>
      </c>
      <c r="D220">
        <v>343473.45179999998</v>
      </c>
    </row>
    <row r="221" spans="1:4">
      <c r="A221">
        <v>220</v>
      </c>
      <c r="B221">
        <v>166767.35389999999</v>
      </c>
      <c r="C221">
        <v>13792.4234</v>
      </c>
      <c r="D221">
        <v>272150.63569999998</v>
      </c>
    </row>
    <row r="222" spans="1:4">
      <c r="A222">
        <v>221</v>
      </c>
      <c r="B222">
        <v>161811.6985</v>
      </c>
      <c r="C222">
        <v>11157.061</v>
      </c>
      <c r="D222">
        <v>367847.37660000002</v>
      </c>
    </row>
    <row r="223" spans="1:4">
      <c r="A223">
        <v>222</v>
      </c>
      <c r="B223">
        <v>156189.5503</v>
      </c>
      <c r="C223">
        <v>7180.4075000000003</v>
      </c>
      <c r="D223">
        <v>319957.13390000002</v>
      </c>
    </row>
    <row r="224" spans="1:4">
      <c r="A224">
        <v>223</v>
      </c>
      <c r="B224">
        <v>160240.7445</v>
      </c>
      <c r="C224">
        <v>11857.4287</v>
      </c>
      <c r="D224">
        <v>345225.2108</v>
      </c>
    </row>
    <row r="225" spans="1:4">
      <c r="A225">
        <v>224</v>
      </c>
      <c r="B225">
        <v>163194.52770000001</v>
      </c>
      <c r="C225">
        <v>10433.6405</v>
      </c>
      <c r="D225">
        <v>330329.60830000002</v>
      </c>
    </row>
    <row r="226" spans="1:4">
      <c r="A226">
        <v>225</v>
      </c>
      <c r="B226">
        <v>175171.82</v>
      </c>
      <c r="C226">
        <v>7974.5010000000002</v>
      </c>
      <c r="D226">
        <v>324894.68060000002</v>
      </c>
    </row>
    <row r="227" spans="1:4">
      <c r="A227">
        <v>226</v>
      </c>
      <c r="B227">
        <v>169450.35140000001</v>
      </c>
      <c r="C227">
        <v>11434.0353</v>
      </c>
      <c r="D227">
        <v>323015.7108</v>
      </c>
    </row>
    <row r="228" spans="1:4">
      <c r="A228">
        <v>227</v>
      </c>
      <c r="B228">
        <v>159276.24770000001</v>
      </c>
      <c r="C228">
        <v>6240.8231999999998</v>
      </c>
      <c r="D228">
        <v>354096.57610000001</v>
      </c>
    </row>
    <row r="229" spans="1:4">
      <c r="A229">
        <v>228</v>
      </c>
      <c r="B229">
        <v>161445.8285</v>
      </c>
      <c r="C229">
        <v>10786.9193</v>
      </c>
      <c r="D229">
        <v>332189.01530000003</v>
      </c>
    </row>
    <row r="230" spans="1:4">
      <c r="A230">
        <v>229</v>
      </c>
      <c r="B230">
        <v>177725.31649999999</v>
      </c>
      <c r="C230">
        <v>10673.318300000001</v>
      </c>
      <c r="D230">
        <v>399574.36739999999</v>
      </c>
    </row>
    <row r="231" spans="1:4">
      <c r="A231">
        <v>230</v>
      </c>
      <c r="B231">
        <v>165254.89439999999</v>
      </c>
      <c r="C231">
        <v>7327.2978000000003</v>
      </c>
      <c r="D231">
        <v>332337.78509999998</v>
      </c>
    </row>
    <row r="232" spans="1:4">
      <c r="A232">
        <v>231</v>
      </c>
      <c r="B232">
        <v>162897.51869999999</v>
      </c>
      <c r="C232">
        <v>8742.7535000000007</v>
      </c>
      <c r="D232">
        <v>232749.75820000001</v>
      </c>
    </row>
    <row r="233" spans="1:4">
      <c r="A233">
        <v>232</v>
      </c>
      <c r="B233">
        <v>173670.5387</v>
      </c>
      <c r="C233">
        <v>12388.415300000001</v>
      </c>
      <c r="D233">
        <v>340236.84899999999</v>
      </c>
    </row>
    <row r="234" spans="1:4">
      <c r="A234">
        <v>233</v>
      </c>
      <c r="B234">
        <v>171445.06</v>
      </c>
      <c r="C234">
        <v>4863.2708000000002</v>
      </c>
      <c r="D234">
        <v>277772.97480000003</v>
      </c>
    </row>
    <row r="235" spans="1:4">
      <c r="A235">
        <v>234</v>
      </c>
      <c r="B235">
        <v>160454.43849999999</v>
      </c>
      <c r="C235">
        <v>6794.2676000000001</v>
      </c>
      <c r="D235">
        <v>314104.2291</v>
      </c>
    </row>
    <row r="236" spans="1:4">
      <c r="A236">
        <v>235</v>
      </c>
      <c r="B236">
        <v>180604.9976</v>
      </c>
      <c r="C236">
        <v>13359.598599999999</v>
      </c>
      <c r="D236">
        <v>375900.50880000001</v>
      </c>
    </row>
    <row r="237" spans="1:4">
      <c r="A237">
        <v>236</v>
      </c>
      <c r="B237">
        <v>159060.58199999999</v>
      </c>
      <c r="C237">
        <v>9143.4624000000003</v>
      </c>
      <c r="D237">
        <v>278294.76770000003</v>
      </c>
    </row>
    <row r="238" spans="1:4">
      <c r="A238">
        <v>237</v>
      </c>
      <c r="B238">
        <v>158598.20250000001</v>
      </c>
      <c r="C238">
        <v>10819.641900000001</v>
      </c>
      <c r="D238">
        <v>296374.28739999997</v>
      </c>
    </row>
    <row r="239" spans="1:4">
      <c r="A239">
        <v>238</v>
      </c>
      <c r="B239">
        <v>160242.09589999999</v>
      </c>
      <c r="C239">
        <v>7333.4116999999997</v>
      </c>
      <c r="D239">
        <v>381425.42879999999</v>
      </c>
    </row>
    <row r="240" spans="1:4">
      <c r="A240">
        <v>239</v>
      </c>
      <c r="B240">
        <v>160733.7329</v>
      </c>
      <c r="C240">
        <v>12181.9254</v>
      </c>
      <c r="D240">
        <v>314243.95140000002</v>
      </c>
    </row>
    <row r="241" spans="1:4">
      <c r="A241">
        <v>240</v>
      </c>
      <c r="B241">
        <v>157324.89319999999</v>
      </c>
      <c r="C241">
        <v>12876.6625</v>
      </c>
      <c r="D241">
        <v>302549.73560000001</v>
      </c>
    </row>
    <row r="242" spans="1:4">
      <c r="A242">
        <v>241</v>
      </c>
      <c r="B242">
        <v>167800.36859999999</v>
      </c>
      <c r="C242">
        <v>7350.6061</v>
      </c>
      <c r="D242">
        <v>302639.98550000001</v>
      </c>
    </row>
    <row r="243" spans="1:4">
      <c r="A243">
        <v>242</v>
      </c>
      <c r="B243">
        <v>165328.93859999999</v>
      </c>
      <c r="C243">
        <v>10297.992200000001</v>
      </c>
      <c r="D243">
        <v>295373.90010000003</v>
      </c>
    </row>
    <row r="244" spans="1:4">
      <c r="A244">
        <v>243</v>
      </c>
      <c r="B244">
        <v>158355.4927</v>
      </c>
      <c r="C244">
        <v>9978.7420999999995</v>
      </c>
      <c r="D244">
        <v>276762.54239999998</v>
      </c>
    </row>
    <row r="245" spans="1:4">
      <c r="A245">
        <v>244</v>
      </c>
      <c r="B245">
        <v>182231.4564</v>
      </c>
      <c r="C245">
        <v>6855.6104999999998</v>
      </c>
      <c r="D245">
        <v>310182.64039999997</v>
      </c>
    </row>
    <row r="246" spans="1:4">
      <c r="A246">
        <v>245</v>
      </c>
      <c r="B246">
        <v>161908.76730000001</v>
      </c>
      <c r="C246">
        <v>11658.977199999999</v>
      </c>
      <c r="D246">
        <v>324477.09700000001</v>
      </c>
    </row>
    <row r="247" spans="1:4">
      <c r="A247">
        <v>246</v>
      </c>
      <c r="B247">
        <v>174845.10690000001</v>
      </c>
      <c r="C247">
        <v>8848.8528999999999</v>
      </c>
      <c r="D247">
        <v>321304.3566</v>
      </c>
    </row>
    <row r="248" spans="1:4">
      <c r="A248">
        <v>247</v>
      </c>
      <c r="B248">
        <v>177222.36600000001</v>
      </c>
      <c r="C248">
        <v>16456.7035</v>
      </c>
      <c r="D248">
        <v>297989.30239999999</v>
      </c>
    </row>
    <row r="249" spans="1:4">
      <c r="A249">
        <v>248</v>
      </c>
      <c r="B249">
        <v>166188.3651</v>
      </c>
      <c r="C249">
        <v>6198.3924999999999</v>
      </c>
      <c r="D249">
        <v>286188.95970000001</v>
      </c>
    </row>
    <row r="250" spans="1:4">
      <c r="A250">
        <v>249</v>
      </c>
      <c r="B250">
        <v>157788.37760000001</v>
      </c>
      <c r="C250">
        <v>12926.165499999999</v>
      </c>
      <c r="D250">
        <v>387519.62910000002</v>
      </c>
    </row>
    <row r="251" spans="1:4">
      <c r="A251">
        <v>250</v>
      </c>
      <c r="B251">
        <v>163274.5042</v>
      </c>
      <c r="C251">
        <v>5414.9495999999999</v>
      </c>
      <c r="D251">
        <v>308647.78029999998</v>
      </c>
    </row>
    <row r="252" spans="1:4">
      <c r="A252">
        <v>251</v>
      </c>
      <c r="B252">
        <v>158184.77480000001</v>
      </c>
      <c r="C252">
        <v>6050.3476000000001</v>
      </c>
      <c r="D252">
        <v>362097.31630000001</v>
      </c>
    </row>
    <row r="253" spans="1:4">
      <c r="A253">
        <v>252</v>
      </c>
      <c r="B253">
        <v>161584.2255</v>
      </c>
      <c r="C253">
        <v>16246.691699999999</v>
      </c>
      <c r="D253">
        <v>261763.3113</v>
      </c>
    </row>
    <row r="254" spans="1:4">
      <c r="A254">
        <v>253</v>
      </c>
      <c r="B254">
        <v>163358.5943</v>
      </c>
      <c r="C254">
        <v>11290.911599999999</v>
      </c>
      <c r="D254">
        <v>331536.08439999999</v>
      </c>
    </row>
    <row r="255" spans="1:4">
      <c r="A255">
        <v>254</v>
      </c>
      <c r="B255">
        <v>149483.7089</v>
      </c>
      <c r="C255">
        <v>10170.507</v>
      </c>
      <c r="D255">
        <v>271765.70919999998</v>
      </c>
    </row>
    <row r="256" spans="1:4">
      <c r="A256">
        <v>255</v>
      </c>
      <c r="B256">
        <v>157318.5361</v>
      </c>
      <c r="C256">
        <v>7164.3099000000002</v>
      </c>
      <c r="D256">
        <v>314517.79759999999</v>
      </c>
    </row>
    <row r="257" spans="1:4">
      <c r="A257">
        <v>256</v>
      </c>
      <c r="B257">
        <v>162999.15030000001</v>
      </c>
      <c r="C257">
        <v>10698.191000000001</v>
      </c>
      <c r="D257">
        <v>280222.64079999999</v>
      </c>
    </row>
    <row r="258" spans="1:4">
      <c r="A258">
        <v>257</v>
      </c>
      <c r="B258">
        <v>158133.05350000001</v>
      </c>
      <c r="C258">
        <v>9071.2044999999998</v>
      </c>
      <c r="D258">
        <v>328613.1422</v>
      </c>
    </row>
    <row r="259" spans="1:4">
      <c r="A259">
        <v>258</v>
      </c>
      <c r="B259">
        <v>168908.99280000001</v>
      </c>
      <c r="C259">
        <v>7486.9782999999998</v>
      </c>
      <c r="D259">
        <v>279362.80579999997</v>
      </c>
    </row>
    <row r="260" spans="1:4">
      <c r="A260">
        <v>259</v>
      </c>
      <c r="B260">
        <v>159749.23800000001</v>
      </c>
      <c r="C260">
        <v>11538.9388</v>
      </c>
      <c r="D260">
        <v>353797.4792</v>
      </c>
    </row>
    <row r="261" spans="1:4">
      <c r="A261">
        <v>260</v>
      </c>
      <c r="B261">
        <v>171553.16260000001</v>
      </c>
      <c r="C261">
        <v>7205.7578000000003</v>
      </c>
      <c r="D261">
        <v>278021.4523</v>
      </c>
    </row>
    <row r="262" spans="1:4">
      <c r="A262">
        <v>261</v>
      </c>
      <c r="B262">
        <v>168691.22829999999</v>
      </c>
      <c r="C262">
        <v>12331.066500000001</v>
      </c>
      <c r="D262">
        <v>309398.73550000001</v>
      </c>
    </row>
    <row r="263" spans="1:4">
      <c r="A263">
        <v>262</v>
      </c>
      <c r="B263">
        <v>155322.86900000001</v>
      </c>
      <c r="C263">
        <v>8540.0943000000007</v>
      </c>
      <c r="D263">
        <v>380934.17180000001</v>
      </c>
    </row>
    <row r="264" spans="1:4">
      <c r="A264">
        <v>263</v>
      </c>
      <c r="B264">
        <v>169679.48379999999</v>
      </c>
      <c r="C264">
        <v>4960.1225999999997</v>
      </c>
      <c r="D264">
        <v>322661.21990000003</v>
      </c>
    </row>
    <row r="265" spans="1:4">
      <c r="A265">
        <v>264</v>
      </c>
      <c r="B265">
        <v>157223.73850000001</v>
      </c>
      <c r="C265">
        <v>10240.061600000001</v>
      </c>
      <c r="D265">
        <v>282258.64510000002</v>
      </c>
    </row>
    <row r="266" spans="1:4">
      <c r="A266">
        <v>265</v>
      </c>
      <c r="B266">
        <v>164706.08540000001</v>
      </c>
      <c r="C266">
        <v>7048.6720999999998</v>
      </c>
      <c r="D266">
        <v>245984.06219999999</v>
      </c>
    </row>
    <row r="267" spans="1:4">
      <c r="A267">
        <v>266</v>
      </c>
      <c r="B267">
        <v>163650.595</v>
      </c>
      <c r="C267">
        <v>15197.731400000001</v>
      </c>
      <c r="D267">
        <v>436487.39909999998</v>
      </c>
    </row>
    <row r="268" spans="1:4">
      <c r="A268">
        <v>267</v>
      </c>
      <c r="B268">
        <v>174106.1263</v>
      </c>
      <c r="C268">
        <v>5060.6118999999999</v>
      </c>
      <c r="D268">
        <v>530388.33420000004</v>
      </c>
    </row>
    <row r="269" spans="1:4">
      <c r="A269">
        <v>268</v>
      </c>
      <c r="B269">
        <v>157034.76370000001</v>
      </c>
      <c r="C269">
        <v>7476.5541999999996</v>
      </c>
      <c r="D269">
        <v>266432.64769999997</v>
      </c>
    </row>
    <row r="270" spans="1:4">
      <c r="A270">
        <v>269</v>
      </c>
      <c r="B270">
        <v>169012.74460000001</v>
      </c>
      <c r="C270">
        <v>5664.0060999999996</v>
      </c>
      <c r="D270">
        <v>274771.77659999998</v>
      </c>
    </row>
    <row r="271" spans="1:4">
      <c r="A271">
        <v>270</v>
      </c>
      <c r="B271">
        <v>168139.19630000001</v>
      </c>
      <c r="C271">
        <v>9478.2155000000002</v>
      </c>
      <c r="D271">
        <v>341553.44079999998</v>
      </c>
    </row>
    <row r="272" spans="1:4">
      <c r="A272">
        <v>271</v>
      </c>
      <c r="B272">
        <v>161482.38949999999</v>
      </c>
      <c r="C272">
        <v>7546.2132000000001</v>
      </c>
      <c r="D272">
        <v>333504.01939999999</v>
      </c>
    </row>
    <row r="273" spans="1:4">
      <c r="A273">
        <v>272</v>
      </c>
      <c r="B273">
        <v>174714.25289999999</v>
      </c>
      <c r="C273">
        <v>5872.3860000000004</v>
      </c>
      <c r="D273">
        <v>324071.28120000003</v>
      </c>
    </row>
    <row r="274" spans="1:4">
      <c r="A274">
        <v>273</v>
      </c>
      <c r="B274">
        <v>161934.46780000001</v>
      </c>
      <c r="C274">
        <v>10076.685600000001</v>
      </c>
      <c r="D274">
        <v>310081.22139999998</v>
      </c>
    </row>
    <row r="275" spans="1:4">
      <c r="A275">
        <v>274</v>
      </c>
      <c r="B275">
        <v>158391.4583</v>
      </c>
      <c r="C275">
        <v>5954.3663999999999</v>
      </c>
      <c r="D275">
        <v>319100.42859999998</v>
      </c>
    </row>
    <row r="276" spans="1:4">
      <c r="A276">
        <v>275</v>
      </c>
      <c r="B276">
        <v>164077.6336</v>
      </c>
      <c r="C276">
        <v>6391.9247999999998</v>
      </c>
      <c r="D276">
        <v>352391.56189999997</v>
      </c>
    </row>
    <row r="277" spans="1:4">
      <c r="A277">
        <v>276</v>
      </c>
      <c r="B277">
        <v>153449.5999</v>
      </c>
      <c r="C277">
        <v>16964.428800000002</v>
      </c>
      <c r="D277">
        <v>448875.777</v>
      </c>
    </row>
    <row r="278" spans="1:4">
      <c r="A278">
        <v>277</v>
      </c>
      <c r="B278">
        <v>149523.701</v>
      </c>
      <c r="C278">
        <v>7117.0433000000003</v>
      </c>
      <c r="D278">
        <v>366188.16680000001</v>
      </c>
    </row>
    <row r="279" spans="1:4">
      <c r="A279">
        <v>278</v>
      </c>
      <c r="B279">
        <v>161476.45730000001</v>
      </c>
      <c r="C279">
        <v>9116.8569000000007</v>
      </c>
      <c r="D279">
        <v>312975.4964</v>
      </c>
    </row>
    <row r="280" spans="1:4">
      <c r="A280">
        <v>279</v>
      </c>
      <c r="B280">
        <v>170361.70449999999</v>
      </c>
      <c r="C280">
        <v>5906.616</v>
      </c>
      <c r="D280">
        <v>345512.51329999999</v>
      </c>
    </row>
    <row r="281" spans="1:4">
      <c r="A281">
        <v>280</v>
      </c>
      <c r="B281">
        <v>154766.9062</v>
      </c>
      <c r="C281">
        <v>6740.4768999999997</v>
      </c>
      <c r="D281">
        <v>334744.70640000002</v>
      </c>
    </row>
    <row r="282" spans="1:4">
      <c r="A282">
        <v>281</v>
      </c>
      <c r="B282">
        <v>161652.3468</v>
      </c>
      <c r="C282">
        <v>7548.625</v>
      </c>
      <c r="D282">
        <v>347995.02510000003</v>
      </c>
    </row>
    <row r="283" spans="1:4">
      <c r="A283">
        <v>282</v>
      </c>
      <c r="B283">
        <v>160918.0993</v>
      </c>
      <c r="C283">
        <v>5843.7691999999997</v>
      </c>
      <c r="D283">
        <v>368672.0527</v>
      </c>
    </row>
    <row r="284" spans="1:4">
      <c r="A284">
        <v>283</v>
      </c>
      <c r="B284">
        <v>163212.7469</v>
      </c>
      <c r="C284">
        <v>10564.030199999999</v>
      </c>
      <c r="D284">
        <v>387418.03049999999</v>
      </c>
    </row>
    <row r="285" spans="1:4">
      <c r="A285">
        <v>284</v>
      </c>
      <c r="B285">
        <v>182960.2732</v>
      </c>
      <c r="C285">
        <v>11198.4378</v>
      </c>
      <c r="D285">
        <v>364258.56890000001</v>
      </c>
    </row>
    <row r="286" spans="1:4">
      <c r="A286">
        <v>285</v>
      </c>
      <c r="B286">
        <v>164108.55009999999</v>
      </c>
      <c r="C286">
        <v>8812.1002000000008</v>
      </c>
      <c r="D286">
        <v>310787.17180000001</v>
      </c>
    </row>
    <row r="287" spans="1:4">
      <c r="A287">
        <v>286</v>
      </c>
      <c r="B287">
        <v>167651.59409999999</v>
      </c>
      <c r="C287">
        <v>5733.6138000000001</v>
      </c>
      <c r="D287">
        <v>274572.07980000001</v>
      </c>
    </row>
    <row r="288" spans="1:4">
      <c r="A288">
        <v>287</v>
      </c>
      <c r="B288">
        <v>171529.13620000001</v>
      </c>
      <c r="C288">
        <v>6662.8944000000001</v>
      </c>
      <c r="D288">
        <v>374280.80940000003</v>
      </c>
    </row>
    <row r="289" spans="1:4">
      <c r="A289">
        <v>288</v>
      </c>
      <c r="B289">
        <v>170775.87669999999</v>
      </c>
      <c r="C289">
        <v>10348.1757</v>
      </c>
      <c r="D289">
        <v>265287.38250000001</v>
      </c>
    </row>
    <row r="290" spans="1:4">
      <c r="A290">
        <v>289</v>
      </c>
      <c r="B290">
        <v>163778.9736</v>
      </c>
      <c r="C290">
        <v>9725.9338000000007</v>
      </c>
      <c r="D290">
        <v>256835.80290000001</v>
      </c>
    </row>
    <row r="291" spans="1:4">
      <c r="A291">
        <v>290</v>
      </c>
      <c r="B291">
        <v>171283.56510000001</v>
      </c>
      <c r="C291">
        <v>5680.6098000000002</v>
      </c>
      <c r="D291">
        <v>262475.92</v>
      </c>
    </row>
    <row r="292" spans="1:4">
      <c r="A292">
        <v>291</v>
      </c>
      <c r="B292">
        <v>154460.36350000001</v>
      </c>
      <c r="C292">
        <v>9690.4544999999998</v>
      </c>
      <c r="D292">
        <v>296765.65139999997</v>
      </c>
    </row>
    <row r="293" spans="1:4">
      <c r="A293">
        <v>292</v>
      </c>
      <c r="B293">
        <v>158633.8878</v>
      </c>
      <c r="C293">
        <v>6360.8914999999997</v>
      </c>
      <c r="D293">
        <v>260518.842</v>
      </c>
    </row>
    <row r="294" spans="1:4">
      <c r="A294">
        <v>293</v>
      </c>
      <c r="B294">
        <v>156445.5092</v>
      </c>
      <c r="C294">
        <v>11198.5987</v>
      </c>
      <c r="D294">
        <v>298501.6029</v>
      </c>
    </row>
    <row r="295" spans="1:4">
      <c r="A295">
        <v>294</v>
      </c>
      <c r="B295">
        <v>172160.97339999999</v>
      </c>
      <c r="C295">
        <v>5698.9920000000002</v>
      </c>
      <c r="D295">
        <v>327557.88650000002</v>
      </c>
    </row>
    <row r="296" spans="1:4">
      <c r="A296">
        <v>295</v>
      </c>
      <c r="B296">
        <v>183710.13080000001</v>
      </c>
      <c r="C296">
        <v>8759.2816999999995</v>
      </c>
      <c r="D296">
        <v>460513.57569999999</v>
      </c>
    </row>
    <row r="297" spans="1:4">
      <c r="A297">
        <v>296</v>
      </c>
      <c r="B297">
        <v>159189.88680000001</v>
      </c>
      <c r="C297">
        <v>5201.0738000000001</v>
      </c>
      <c r="D297">
        <v>282785.40100000001</v>
      </c>
    </row>
    <row r="298" spans="1:4">
      <c r="A298">
        <v>297</v>
      </c>
      <c r="B298">
        <v>165591.45209999999</v>
      </c>
      <c r="C298">
        <v>8169.1261999999997</v>
      </c>
      <c r="D298">
        <v>358705.91480000003</v>
      </c>
    </row>
    <row r="299" spans="1:4">
      <c r="A299">
        <v>298</v>
      </c>
      <c r="B299">
        <v>183287.6354</v>
      </c>
      <c r="C299">
        <v>9880.6883999999991</v>
      </c>
      <c r="D299">
        <v>303170.24949999998</v>
      </c>
    </row>
    <row r="300" spans="1:4">
      <c r="A300">
        <v>299</v>
      </c>
      <c r="B300">
        <v>172029.70069999999</v>
      </c>
      <c r="C300">
        <v>9106.9235000000008</v>
      </c>
      <c r="D300">
        <v>276034.87780000002</v>
      </c>
    </row>
    <row r="301" spans="1:4">
      <c r="A301">
        <v>300</v>
      </c>
      <c r="B301">
        <v>177021.22630000001</v>
      </c>
      <c r="C301">
        <v>7198.8499000000002</v>
      </c>
      <c r="D301">
        <v>450396.22749999998</v>
      </c>
    </row>
    <row r="302" spans="1:4">
      <c r="A302">
        <v>301</v>
      </c>
      <c r="B302">
        <v>170172.45379999999</v>
      </c>
      <c r="C302">
        <v>5447.7514000000001</v>
      </c>
      <c r="D302">
        <v>351525.34499999997</v>
      </c>
    </row>
    <row r="303" spans="1:4">
      <c r="A303">
        <v>302</v>
      </c>
      <c r="B303">
        <v>165929.16800000001</v>
      </c>
      <c r="C303">
        <v>5173.3589000000002</v>
      </c>
      <c r="D303">
        <v>312926.76409999997</v>
      </c>
    </row>
    <row r="304" spans="1:4">
      <c r="A304">
        <v>303</v>
      </c>
      <c r="B304">
        <v>166891.98879999999</v>
      </c>
      <c r="C304">
        <v>14073.2981</v>
      </c>
      <c r="D304">
        <v>322194.59269999998</v>
      </c>
    </row>
    <row r="305" spans="1:4">
      <c r="A305">
        <v>304</v>
      </c>
      <c r="B305">
        <v>172362.26939999999</v>
      </c>
      <c r="C305">
        <v>7285.5173999999997</v>
      </c>
      <c r="D305">
        <v>355389.0037</v>
      </c>
    </row>
    <row r="306" spans="1:4">
      <c r="A306">
        <v>305</v>
      </c>
      <c r="B306">
        <v>178543.17980000001</v>
      </c>
      <c r="C306">
        <v>9384.8952000000008</v>
      </c>
      <c r="D306">
        <v>249104.2274</v>
      </c>
    </row>
    <row r="307" spans="1:4">
      <c r="A307">
        <v>306</v>
      </c>
      <c r="B307">
        <v>177254.29199999999</v>
      </c>
      <c r="C307">
        <v>6987.5109000000002</v>
      </c>
      <c r="D307">
        <v>296577.09720000002</v>
      </c>
    </row>
    <row r="308" spans="1:4">
      <c r="A308">
        <v>307</v>
      </c>
      <c r="B308">
        <v>153079.7139</v>
      </c>
      <c r="C308">
        <v>16569.050800000001</v>
      </c>
      <c r="D308">
        <v>401761.29859999998</v>
      </c>
    </row>
    <row r="309" spans="1:4">
      <c r="A309">
        <v>308</v>
      </c>
      <c r="B309">
        <v>156446.79259999999</v>
      </c>
      <c r="C309">
        <v>7443.8645999999999</v>
      </c>
      <c r="D309">
        <v>297724.72779999999</v>
      </c>
    </row>
    <row r="310" spans="1:4">
      <c r="A310">
        <v>309</v>
      </c>
      <c r="B310">
        <v>165544.4577</v>
      </c>
      <c r="C310">
        <v>4664.9488000000001</v>
      </c>
      <c r="D310">
        <v>280412.35739999998</v>
      </c>
    </row>
    <row r="311" spans="1:4">
      <c r="A311">
        <v>310</v>
      </c>
      <c r="B311">
        <v>166361.03469999999</v>
      </c>
      <c r="C311">
        <v>13767.088900000001</v>
      </c>
      <c r="D311">
        <v>402404.17940000002</v>
      </c>
    </row>
    <row r="312" spans="1:4">
      <c r="A312">
        <v>311</v>
      </c>
      <c r="B312">
        <v>160937.4963</v>
      </c>
      <c r="C312">
        <v>12172.1504</v>
      </c>
      <c r="D312">
        <v>376432.36070000002</v>
      </c>
    </row>
    <row r="313" spans="1:4">
      <c r="A313">
        <v>312</v>
      </c>
      <c r="B313">
        <v>153698.6825</v>
      </c>
      <c r="C313">
        <v>9195.9825999999994</v>
      </c>
      <c r="D313">
        <v>301531.64150000003</v>
      </c>
    </row>
    <row r="314" spans="1:4">
      <c r="A314">
        <v>313</v>
      </c>
      <c r="B314">
        <v>159367.82070000001</v>
      </c>
      <c r="C314">
        <v>10654.1407</v>
      </c>
      <c r="D314">
        <v>424076.75770000002</v>
      </c>
    </row>
    <row r="315" spans="1:4">
      <c r="A315">
        <v>314</v>
      </c>
      <c r="B315">
        <v>169703.505</v>
      </c>
      <c r="C315">
        <v>7254.4201000000003</v>
      </c>
      <c r="D315">
        <v>260011.89980000001</v>
      </c>
    </row>
    <row r="316" spans="1:4">
      <c r="A316">
        <v>315</v>
      </c>
      <c r="B316">
        <v>174599.49249999999</v>
      </c>
      <c r="C316">
        <v>7249.9300999999996</v>
      </c>
      <c r="D316">
        <v>321694.8173</v>
      </c>
    </row>
    <row r="317" spans="1:4">
      <c r="A317">
        <v>316</v>
      </c>
      <c r="B317">
        <v>163086.90419999999</v>
      </c>
      <c r="C317">
        <v>14177.4553</v>
      </c>
      <c r="D317">
        <v>386866.94819999998</v>
      </c>
    </row>
    <row r="318" spans="1:4">
      <c r="A318">
        <v>317</v>
      </c>
      <c r="B318">
        <v>159631.92540000001</v>
      </c>
      <c r="C318">
        <v>12632.1522</v>
      </c>
      <c r="D318">
        <v>312235.73959999997</v>
      </c>
    </row>
    <row r="319" spans="1:4">
      <c r="A319">
        <v>318</v>
      </c>
      <c r="B319">
        <v>171794.69820000001</v>
      </c>
      <c r="C319">
        <v>7090.1455999999998</v>
      </c>
      <c r="D319">
        <v>349517.45429999998</v>
      </c>
    </row>
    <row r="320" spans="1:4">
      <c r="A320">
        <v>319</v>
      </c>
      <c r="B320">
        <v>172417.47029999999</v>
      </c>
      <c r="C320">
        <v>8099.3251</v>
      </c>
      <c r="D320">
        <v>388733.59460000001</v>
      </c>
    </row>
    <row r="321" spans="1:4">
      <c r="A321">
        <v>320</v>
      </c>
      <c r="B321">
        <v>154459.76639999999</v>
      </c>
      <c r="C321">
        <v>14654.187900000001</v>
      </c>
      <c r="D321">
        <v>384646.36749999999</v>
      </c>
    </row>
    <row r="322" spans="1:4">
      <c r="A322">
        <v>321</v>
      </c>
      <c r="B322">
        <v>161638.2537</v>
      </c>
      <c r="C322">
        <v>11223.0825</v>
      </c>
      <c r="D322">
        <v>419581.62910000002</v>
      </c>
    </row>
    <row r="323" spans="1:4">
      <c r="A323">
        <v>322</v>
      </c>
      <c r="B323">
        <v>162884.30360000001</v>
      </c>
      <c r="C323">
        <v>10508.502500000001</v>
      </c>
      <c r="D323">
        <v>392804.21250000002</v>
      </c>
    </row>
    <row r="324" spans="1:4">
      <c r="A324">
        <v>323</v>
      </c>
      <c r="B324">
        <v>169128.13589999999</v>
      </c>
      <c r="C324">
        <v>17443.286199999999</v>
      </c>
      <c r="D324">
        <v>327797.19500000001</v>
      </c>
    </row>
    <row r="325" spans="1:4">
      <c r="A325">
        <v>324</v>
      </c>
      <c r="B325">
        <v>168753.79699999999</v>
      </c>
      <c r="C325">
        <v>6911.9844999999996</v>
      </c>
      <c r="D325">
        <v>403518.80530000001</v>
      </c>
    </row>
    <row r="326" spans="1:4">
      <c r="A326">
        <v>325</v>
      </c>
      <c r="B326">
        <v>165477.7243</v>
      </c>
      <c r="C326">
        <v>10134.486199999999</v>
      </c>
      <c r="D326">
        <v>356550.12239999999</v>
      </c>
    </row>
    <row r="327" spans="1:4">
      <c r="A327">
        <v>326</v>
      </c>
      <c r="B327">
        <v>169947.26850000001</v>
      </c>
      <c r="C327">
        <v>5714.0497999999998</v>
      </c>
      <c r="D327">
        <v>289512.62209999998</v>
      </c>
    </row>
    <row r="328" spans="1:4">
      <c r="A328">
        <v>327</v>
      </c>
      <c r="B328">
        <v>155972.8314</v>
      </c>
      <c r="C328">
        <v>9784.7443999999996</v>
      </c>
      <c r="D328">
        <v>303707.6263</v>
      </c>
    </row>
    <row r="329" spans="1:4">
      <c r="A329">
        <v>328</v>
      </c>
      <c r="B329">
        <v>177240.3524</v>
      </c>
      <c r="C329">
        <v>6648.8590999999997</v>
      </c>
      <c r="D329">
        <v>290930.83600000001</v>
      </c>
    </row>
    <row r="330" spans="1:4">
      <c r="A330">
        <v>329</v>
      </c>
      <c r="B330">
        <v>158696.83059999999</v>
      </c>
      <c r="C330">
        <v>9525.5854999999992</v>
      </c>
      <c r="D330">
        <v>347198.38290000003</v>
      </c>
    </row>
    <row r="331" spans="1:4">
      <c r="A331">
        <v>330</v>
      </c>
      <c r="B331">
        <v>179803.03810000001</v>
      </c>
      <c r="C331">
        <v>8111.7033000000001</v>
      </c>
      <c r="D331">
        <v>256478.5423</v>
      </c>
    </row>
    <row r="332" spans="1:4">
      <c r="A332">
        <v>331</v>
      </c>
      <c r="B332">
        <v>163990.1053</v>
      </c>
      <c r="C332">
        <v>13076.6276</v>
      </c>
      <c r="D332">
        <v>305171.89270000003</v>
      </c>
    </row>
    <row r="333" spans="1:4">
      <c r="A333">
        <v>332</v>
      </c>
      <c r="B333">
        <v>169451.53200000001</v>
      </c>
      <c r="C333">
        <v>9898.3081000000002</v>
      </c>
      <c r="D333">
        <v>379841.72570000001</v>
      </c>
    </row>
    <row r="334" spans="1:4">
      <c r="A334">
        <v>333</v>
      </c>
      <c r="B334">
        <v>173709.20749999999</v>
      </c>
      <c r="C334">
        <v>7869.6230999999998</v>
      </c>
      <c r="D334">
        <v>339419.03379999998</v>
      </c>
    </row>
    <row r="335" spans="1:4">
      <c r="A335">
        <v>334</v>
      </c>
      <c r="B335">
        <v>154381.0503</v>
      </c>
      <c r="C335">
        <v>14540.5262</v>
      </c>
      <c r="D335">
        <v>438282.37459999998</v>
      </c>
    </row>
    <row r="336" spans="1:4">
      <c r="A336">
        <v>335</v>
      </c>
      <c r="B336">
        <v>179770.42939999999</v>
      </c>
      <c r="C336">
        <v>5885.5119000000004</v>
      </c>
      <c r="D336">
        <v>305460.5673</v>
      </c>
    </row>
    <row r="337" spans="1:4">
      <c r="A337">
        <v>336</v>
      </c>
      <c r="B337">
        <v>178341.63430000001</v>
      </c>
      <c r="C337">
        <v>9545.7518999999993</v>
      </c>
      <c r="D337">
        <v>397266.64429999999</v>
      </c>
    </row>
    <row r="338" spans="1:4">
      <c r="A338">
        <v>337</v>
      </c>
      <c r="B338">
        <v>170832.5796</v>
      </c>
      <c r="C338">
        <v>6670.0537000000004</v>
      </c>
      <c r="D338">
        <v>268801.98119999998</v>
      </c>
    </row>
    <row r="339" spans="1:4">
      <c r="A339">
        <v>338</v>
      </c>
      <c r="B339">
        <v>163472.65960000001</v>
      </c>
      <c r="C339">
        <v>7908.17</v>
      </c>
      <c r="D339">
        <v>284348.15889999998</v>
      </c>
    </row>
    <row r="340" spans="1:4">
      <c r="A340">
        <v>339</v>
      </c>
      <c r="B340">
        <v>167094.5387</v>
      </c>
      <c r="C340">
        <v>10393.5416</v>
      </c>
      <c r="D340">
        <v>300962.10639999999</v>
      </c>
    </row>
    <row r="341" spans="1:4">
      <c r="A341">
        <v>340</v>
      </c>
      <c r="B341">
        <v>171027.4883</v>
      </c>
      <c r="C341">
        <v>7788.4166999999998</v>
      </c>
      <c r="D341">
        <v>317044.3579</v>
      </c>
    </row>
    <row r="342" spans="1:4">
      <c r="A342">
        <v>341</v>
      </c>
      <c r="B342">
        <v>161500.8431</v>
      </c>
      <c r="C342">
        <v>14952.5666</v>
      </c>
      <c r="D342">
        <v>332750.28810000001</v>
      </c>
    </row>
    <row r="343" spans="1:4">
      <c r="A343">
        <v>342</v>
      </c>
      <c r="B343">
        <v>161083.9056</v>
      </c>
      <c r="C343">
        <v>9756.5076000000008</v>
      </c>
      <c r="D343">
        <v>288650.26980000001</v>
      </c>
    </row>
    <row r="344" spans="1:4">
      <c r="A344">
        <v>343</v>
      </c>
      <c r="B344">
        <v>159093.49900000001</v>
      </c>
      <c r="C344">
        <v>16529.132600000001</v>
      </c>
      <c r="D344">
        <v>476394.72590000002</v>
      </c>
    </row>
    <row r="345" spans="1:4">
      <c r="A345">
        <v>344</v>
      </c>
      <c r="B345">
        <v>168530.81479999999</v>
      </c>
      <c r="C345">
        <v>6795.1332000000002</v>
      </c>
      <c r="D345">
        <v>330248.88990000001</v>
      </c>
    </row>
    <row r="346" spans="1:4">
      <c r="A346">
        <v>345</v>
      </c>
      <c r="B346">
        <v>165912.98610000001</v>
      </c>
      <c r="C346">
        <v>10603.8287</v>
      </c>
      <c r="D346">
        <v>280523.78509999998</v>
      </c>
    </row>
    <row r="347" spans="1:4">
      <c r="A347">
        <v>346</v>
      </c>
      <c r="B347">
        <v>159977.11960000001</v>
      </c>
      <c r="C347">
        <v>15609.3007</v>
      </c>
      <c r="D347">
        <v>464415.14010000002</v>
      </c>
    </row>
    <row r="348" spans="1:4">
      <c r="A348">
        <v>347</v>
      </c>
      <c r="B348">
        <v>176058.9725</v>
      </c>
      <c r="C348">
        <v>12241.9553</v>
      </c>
      <c r="D348">
        <v>418816.13030000002</v>
      </c>
    </row>
    <row r="349" spans="1:4">
      <c r="A349">
        <v>348</v>
      </c>
      <c r="B349">
        <v>153996.9656</v>
      </c>
      <c r="C349">
        <v>7245.1516000000001</v>
      </c>
      <c r="D349">
        <v>404955.4877</v>
      </c>
    </row>
    <row r="350" spans="1:4">
      <c r="A350">
        <v>349</v>
      </c>
      <c r="B350">
        <v>163028.28709999999</v>
      </c>
      <c r="C350">
        <v>9848.4863999999998</v>
      </c>
      <c r="D350">
        <v>398294.96659999999</v>
      </c>
    </row>
    <row r="351" spans="1:4">
      <c r="A351">
        <v>350</v>
      </c>
      <c r="B351">
        <v>174946.0215</v>
      </c>
      <c r="C351">
        <v>6667.7784000000001</v>
      </c>
      <c r="D351">
        <v>254493.02110000001</v>
      </c>
    </row>
    <row r="352" spans="1:4">
      <c r="A352">
        <v>351</v>
      </c>
      <c r="B352">
        <v>163782.39660000001</v>
      </c>
      <c r="C352">
        <v>11699.879199999999</v>
      </c>
      <c r="D352">
        <v>390913.56160000002</v>
      </c>
    </row>
    <row r="353" spans="1:4">
      <c r="A353">
        <v>352</v>
      </c>
      <c r="B353">
        <v>170729.12479999999</v>
      </c>
      <c r="C353">
        <v>5416.0511999999999</v>
      </c>
      <c r="D353">
        <v>311443.63099999999</v>
      </c>
    </row>
    <row r="354" spans="1:4">
      <c r="A354">
        <v>353</v>
      </c>
      <c r="B354">
        <v>164183.93859999999</v>
      </c>
      <c r="C354">
        <v>7796.0517</v>
      </c>
      <c r="D354">
        <v>284306.05530000001</v>
      </c>
    </row>
    <row r="355" spans="1:4">
      <c r="A355">
        <v>354</v>
      </c>
      <c r="B355">
        <v>160118.46350000001</v>
      </c>
      <c r="C355">
        <v>9552.3760000000002</v>
      </c>
      <c r="D355">
        <v>334773.85320000001</v>
      </c>
    </row>
    <row r="356" spans="1:4">
      <c r="A356">
        <v>355</v>
      </c>
      <c r="B356">
        <v>167398.6936</v>
      </c>
      <c r="C356">
        <v>6919.4372000000003</v>
      </c>
      <c r="D356">
        <v>448871.19469999999</v>
      </c>
    </row>
    <row r="357" spans="1:4">
      <c r="A357">
        <v>356</v>
      </c>
      <c r="B357">
        <v>164030.6048</v>
      </c>
      <c r="C357">
        <v>11895.9524</v>
      </c>
      <c r="D357">
        <v>297100.30900000001</v>
      </c>
    </row>
    <row r="358" spans="1:4">
      <c r="A358">
        <v>357</v>
      </c>
      <c r="B358">
        <v>152033.73329999999</v>
      </c>
      <c r="C358">
        <v>5473.7732999999998</v>
      </c>
      <c r="D358">
        <v>288325.64569999999</v>
      </c>
    </row>
    <row r="359" spans="1:4">
      <c r="A359">
        <v>358</v>
      </c>
      <c r="B359">
        <v>178765.63310000001</v>
      </c>
      <c r="C359">
        <v>14924.9521</v>
      </c>
      <c r="D359">
        <v>293165.28759999998</v>
      </c>
    </row>
    <row r="360" spans="1:4">
      <c r="A360">
        <v>359</v>
      </c>
      <c r="B360">
        <v>168593.76569999999</v>
      </c>
      <c r="C360">
        <v>5356.9939999999997</v>
      </c>
      <c r="D360">
        <v>305477.28210000001</v>
      </c>
    </row>
    <row r="361" spans="1:4">
      <c r="A361">
        <v>360</v>
      </c>
      <c r="B361">
        <v>171435.96369999999</v>
      </c>
      <c r="C361">
        <v>10319.0445</v>
      </c>
      <c r="D361">
        <v>383501.51089999999</v>
      </c>
    </row>
    <row r="362" spans="1:4">
      <c r="A362">
        <v>361</v>
      </c>
      <c r="B362">
        <v>173621.83670000001</v>
      </c>
      <c r="C362">
        <v>11725.652599999999</v>
      </c>
      <c r="D362">
        <v>337385.7501</v>
      </c>
    </row>
    <row r="363" spans="1:4">
      <c r="A363">
        <v>362</v>
      </c>
      <c r="B363">
        <v>186744.7432</v>
      </c>
      <c r="C363">
        <v>8391.4879999999994</v>
      </c>
      <c r="D363">
        <v>445321.85369999998</v>
      </c>
    </row>
    <row r="364" spans="1:4">
      <c r="A364">
        <v>363</v>
      </c>
      <c r="B364">
        <v>156756.666</v>
      </c>
      <c r="C364">
        <v>7977.2563</v>
      </c>
      <c r="D364">
        <v>323845.37430000002</v>
      </c>
    </row>
    <row r="365" spans="1:4">
      <c r="A365">
        <v>364</v>
      </c>
      <c r="B365">
        <v>178765.47229999999</v>
      </c>
      <c r="C365">
        <v>11175.592699999999</v>
      </c>
      <c r="D365">
        <v>358543.63189999998</v>
      </c>
    </row>
    <row r="366" spans="1:4">
      <c r="A366">
        <v>365</v>
      </c>
      <c r="B366">
        <v>165178.53349999999</v>
      </c>
      <c r="C366">
        <v>11483.7264</v>
      </c>
      <c r="D366">
        <v>334423.10259999998</v>
      </c>
    </row>
    <row r="367" spans="1:4">
      <c r="A367">
        <v>366</v>
      </c>
      <c r="B367">
        <v>163072.31169999999</v>
      </c>
      <c r="C367">
        <v>5762.0299000000005</v>
      </c>
      <c r="D367">
        <v>425159.66090000002</v>
      </c>
    </row>
    <row r="368" spans="1:4">
      <c r="A368">
        <v>367</v>
      </c>
      <c r="B368">
        <v>169169.54380000001</v>
      </c>
      <c r="C368">
        <v>5657.6239999999998</v>
      </c>
      <c r="D368">
        <v>333855.2524</v>
      </c>
    </row>
    <row r="369" spans="1:4">
      <c r="A369">
        <v>368</v>
      </c>
      <c r="B369">
        <v>160628.4835</v>
      </c>
      <c r="C369">
        <v>4933.6682000000001</v>
      </c>
      <c r="D369">
        <v>330491.42859999998</v>
      </c>
    </row>
    <row r="370" spans="1:4">
      <c r="A370">
        <v>369</v>
      </c>
      <c r="B370">
        <v>159688.9768</v>
      </c>
      <c r="C370">
        <v>6418.5217000000002</v>
      </c>
      <c r="D370">
        <v>335992.9645</v>
      </c>
    </row>
    <row r="371" spans="1:4">
      <c r="A371">
        <v>370</v>
      </c>
      <c r="B371">
        <v>161734.0477</v>
      </c>
      <c r="C371">
        <v>11300.939700000001</v>
      </c>
      <c r="D371">
        <v>353177.48920000001</v>
      </c>
    </row>
    <row r="372" spans="1:4">
      <c r="A372">
        <v>371</v>
      </c>
      <c r="B372">
        <v>167673.49249999999</v>
      </c>
      <c r="C372">
        <v>6900.6617999999999</v>
      </c>
      <c r="D372">
        <v>331176.52840000001</v>
      </c>
    </row>
    <row r="373" spans="1:4">
      <c r="A373">
        <v>372</v>
      </c>
      <c r="B373">
        <v>163842.56899999999</v>
      </c>
      <c r="C373">
        <v>7839.9034000000001</v>
      </c>
      <c r="D373">
        <v>383005.01370000001</v>
      </c>
    </row>
    <row r="374" spans="1:4">
      <c r="A374">
        <v>373</v>
      </c>
      <c r="B374">
        <v>167929.36069999999</v>
      </c>
      <c r="C374">
        <v>8454.8371000000006</v>
      </c>
      <c r="D374">
        <v>324050.29670000001</v>
      </c>
    </row>
    <row r="375" spans="1:4">
      <c r="A375">
        <v>374</v>
      </c>
      <c r="B375">
        <v>164108.57930000001</v>
      </c>
      <c r="C375">
        <v>11125.647999999999</v>
      </c>
      <c r="D375">
        <v>315510.57410000003</v>
      </c>
    </row>
    <row r="376" spans="1:4">
      <c r="A376">
        <v>375</v>
      </c>
      <c r="B376">
        <v>164097.4172</v>
      </c>
      <c r="C376">
        <v>12342.7917</v>
      </c>
      <c r="D376">
        <v>385144.75809999998</v>
      </c>
    </row>
    <row r="377" spans="1:4">
      <c r="A377">
        <v>376</v>
      </c>
      <c r="B377">
        <v>166756.81909999999</v>
      </c>
      <c r="C377">
        <v>15257.1232</v>
      </c>
      <c r="D377">
        <v>371802.79249999998</v>
      </c>
    </row>
    <row r="378" spans="1:4">
      <c r="A378">
        <v>377</v>
      </c>
      <c r="B378">
        <v>153064.23240000001</v>
      </c>
      <c r="C378">
        <v>6142.2127</v>
      </c>
      <c r="D378">
        <v>333463.87109999999</v>
      </c>
    </row>
    <row r="379" spans="1:4">
      <c r="A379">
        <v>378</v>
      </c>
      <c r="B379">
        <v>163860.42129999999</v>
      </c>
      <c r="C379">
        <v>7617.0441000000001</v>
      </c>
      <c r="D379">
        <v>285916.44280000002</v>
      </c>
    </row>
    <row r="380" spans="1:4">
      <c r="A380">
        <v>379</v>
      </c>
      <c r="B380">
        <v>160831.34150000001</v>
      </c>
      <c r="C380">
        <v>13913.152700000001</v>
      </c>
      <c r="D380">
        <v>330065.73560000001</v>
      </c>
    </row>
    <row r="381" spans="1:4">
      <c r="A381">
        <v>380</v>
      </c>
      <c r="B381">
        <v>172025.10339999999</v>
      </c>
      <c r="C381">
        <v>7137.5330999999996</v>
      </c>
      <c r="D381">
        <v>319065.48570000002</v>
      </c>
    </row>
    <row r="382" spans="1:4">
      <c r="A382">
        <v>381</v>
      </c>
      <c r="B382">
        <v>169331.8463</v>
      </c>
      <c r="C382">
        <v>8568.6260999999995</v>
      </c>
      <c r="D382">
        <v>429338.31359999999</v>
      </c>
    </row>
    <row r="383" spans="1:4">
      <c r="A383">
        <v>382</v>
      </c>
      <c r="B383">
        <v>162874.50810000001</v>
      </c>
      <c r="C383">
        <v>6892.6876000000002</v>
      </c>
      <c r="D383">
        <v>319902.91350000002</v>
      </c>
    </row>
    <row r="384" spans="1:4">
      <c r="A384">
        <v>383</v>
      </c>
      <c r="B384">
        <v>173213.28829999999</v>
      </c>
      <c r="C384">
        <v>6391.7484999999997</v>
      </c>
      <c r="D384">
        <v>350000.63370000001</v>
      </c>
    </row>
    <row r="385" spans="1:4">
      <c r="A385">
        <v>384</v>
      </c>
      <c r="B385">
        <v>160983.86859999999</v>
      </c>
      <c r="C385">
        <v>17346.6852</v>
      </c>
      <c r="D385">
        <v>493185.87910000002</v>
      </c>
    </row>
    <row r="386" spans="1:4">
      <c r="A386">
        <v>385</v>
      </c>
      <c r="B386">
        <v>159961.99830000001</v>
      </c>
      <c r="C386">
        <v>5110.6746000000003</v>
      </c>
      <c r="D386">
        <v>374962.6447</v>
      </c>
    </row>
    <row r="387" spans="1:4">
      <c r="A387">
        <v>386</v>
      </c>
      <c r="B387">
        <v>161435.94339999999</v>
      </c>
      <c r="C387">
        <v>5318.6503000000002</v>
      </c>
      <c r="D387">
        <v>420434.21649999998</v>
      </c>
    </row>
    <row r="388" spans="1:4">
      <c r="A388">
        <v>387</v>
      </c>
      <c r="B388">
        <v>160493.50409999999</v>
      </c>
      <c r="C388">
        <v>10261.954599999999</v>
      </c>
      <c r="D388">
        <v>307186.11109999998</v>
      </c>
    </row>
    <row r="389" spans="1:4">
      <c r="A389">
        <v>388</v>
      </c>
      <c r="B389">
        <v>177644.86410000001</v>
      </c>
      <c r="C389">
        <v>13152.2601</v>
      </c>
      <c r="D389">
        <v>459111.46480000002</v>
      </c>
    </row>
    <row r="390" spans="1:4">
      <c r="A390">
        <v>389</v>
      </c>
      <c r="B390">
        <v>159133.10089999999</v>
      </c>
      <c r="C390">
        <v>10922.583199999999</v>
      </c>
      <c r="D390">
        <v>385254.62890000001</v>
      </c>
    </row>
    <row r="391" spans="1:4">
      <c r="A391">
        <v>390</v>
      </c>
      <c r="B391">
        <v>148052.65400000001</v>
      </c>
      <c r="C391">
        <v>11538.6592</v>
      </c>
      <c r="D391">
        <v>283329.00530000002</v>
      </c>
    </row>
    <row r="392" spans="1:4">
      <c r="A392">
        <v>391</v>
      </c>
      <c r="B392">
        <v>174696.86309999999</v>
      </c>
      <c r="C392">
        <v>9322.4657999999999</v>
      </c>
      <c r="D392">
        <v>243672.0067</v>
      </c>
    </row>
    <row r="393" spans="1:4">
      <c r="A393">
        <v>392</v>
      </c>
      <c r="B393">
        <v>153676.77230000001</v>
      </c>
      <c r="C393">
        <v>12207.215399999999</v>
      </c>
      <c r="D393">
        <v>350796.74410000001</v>
      </c>
    </row>
    <row r="394" spans="1:4">
      <c r="A394">
        <v>393</v>
      </c>
      <c r="B394">
        <v>165792.40349999999</v>
      </c>
      <c r="C394">
        <v>11955.4743</v>
      </c>
      <c r="D394">
        <v>430951.99939999997</v>
      </c>
    </row>
    <row r="395" spans="1:4">
      <c r="A395">
        <v>394</v>
      </c>
      <c r="B395">
        <v>172129.66560000001</v>
      </c>
      <c r="C395">
        <v>9116.3762000000006</v>
      </c>
      <c r="D395">
        <v>355572.88170000003</v>
      </c>
    </row>
    <row r="396" spans="1:4">
      <c r="A396">
        <v>395</v>
      </c>
      <c r="B396">
        <v>182280.44630000001</v>
      </c>
      <c r="C396">
        <v>9607.8729999999996</v>
      </c>
      <c r="D396">
        <v>272285.82250000001</v>
      </c>
    </row>
    <row r="397" spans="1:4">
      <c r="A397">
        <v>396</v>
      </c>
      <c r="B397">
        <v>170494.4945</v>
      </c>
      <c r="C397">
        <v>14925.934499999999</v>
      </c>
      <c r="D397">
        <v>314115.1654</v>
      </c>
    </row>
    <row r="398" spans="1:4">
      <c r="A398">
        <v>397</v>
      </c>
      <c r="B398">
        <v>154664.32560000001</v>
      </c>
      <c r="C398">
        <v>17837.067899999998</v>
      </c>
      <c r="D398">
        <v>383286.68459999998</v>
      </c>
    </row>
    <row r="399" spans="1:4">
      <c r="A399">
        <v>398</v>
      </c>
      <c r="B399">
        <v>183961.90340000001</v>
      </c>
      <c r="C399">
        <v>12214.5213</v>
      </c>
      <c r="D399">
        <v>351986.12959999999</v>
      </c>
    </row>
    <row r="400" spans="1:4">
      <c r="A400">
        <v>399</v>
      </c>
      <c r="B400">
        <v>167649.11170000001</v>
      </c>
      <c r="C400">
        <v>17304.9391</v>
      </c>
      <c r="D400">
        <v>405971.93540000002</v>
      </c>
    </row>
    <row r="401" spans="1:4">
      <c r="A401">
        <v>400</v>
      </c>
      <c r="B401">
        <v>162436.85769999999</v>
      </c>
      <c r="C401">
        <v>14370.546399999999</v>
      </c>
      <c r="D401">
        <v>287929.98369999998</v>
      </c>
    </row>
    <row r="402" spans="1:4">
      <c r="A402">
        <v>401</v>
      </c>
      <c r="B402">
        <v>160013.611</v>
      </c>
      <c r="C402">
        <v>8034.0159999999996</v>
      </c>
      <c r="D402">
        <v>257392.5778</v>
      </c>
    </row>
    <row r="403" spans="1:4">
      <c r="A403">
        <v>402</v>
      </c>
      <c r="B403">
        <v>176973.69070000001</v>
      </c>
      <c r="C403">
        <v>10068.835800000001</v>
      </c>
      <c r="D403">
        <v>328559.56640000001</v>
      </c>
    </row>
    <row r="404" spans="1:4">
      <c r="A404">
        <v>403</v>
      </c>
      <c r="B404">
        <v>160099.1599</v>
      </c>
      <c r="C404">
        <v>9383.5254999999997</v>
      </c>
      <c r="D404">
        <v>333999.53419999999</v>
      </c>
    </row>
    <row r="405" spans="1:4">
      <c r="A405">
        <v>404</v>
      </c>
      <c r="B405">
        <v>169012.9235</v>
      </c>
      <c r="C405">
        <v>11338.671200000001</v>
      </c>
      <c r="D405">
        <v>401813.61129999999</v>
      </c>
    </row>
    <row r="406" spans="1:4">
      <c r="A406">
        <v>405</v>
      </c>
      <c r="B406">
        <v>151014.57070000001</v>
      </c>
      <c r="C406">
        <v>9060.6542000000009</v>
      </c>
      <c r="D406">
        <v>268004.38760000002</v>
      </c>
    </row>
    <row r="407" spans="1:4">
      <c r="A407">
        <v>406</v>
      </c>
      <c r="B407">
        <v>179999.88759999999</v>
      </c>
      <c r="C407">
        <v>6897.9130999999998</v>
      </c>
      <c r="D407">
        <v>401795.52899999998</v>
      </c>
    </row>
    <row r="408" spans="1:4">
      <c r="A408">
        <v>407</v>
      </c>
      <c r="B408">
        <v>159375.75889999999</v>
      </c>
      <c r="C408">
        <v>7415.3158000000003</v>
      </c>
      <c r="D408">
        <v>332784.22940000001</v>
      </c>
    </row>
    <row r="409" spans="1:4">
      <c r="A409">
        <v>408</v>
      </c>
      <c r="B409">
        <v>166731.6194</v>
      </c>
      <c r="C409">
        <v>6913.9143000000004</v>
      </c>
      <c r="D409">
        <v>336972.40330000001</v>
      </c>
    </row>
    <row r="410" spans="1:4">
      <c r="A410">
        <v>409</v>
      </c>
      <c r="B410">
        <v>144778.16440000001</v>
      </c>
      <c r="C410">
        <v>7024.2209000000003</v>
      </c>
      <c r="D410">
        <v>300037.2696</v>
      </c>
    </row>
    <row r="411" spans="1:4">
      <c r="A411">
        <v>410</v>
      </c>
      <c r="B411">
        <v>178370.07149999999</v>
      </c>
      <c r="C411">
        <v>8422.2032999999992</v>
      </c>
      <c r="D411">
        <v>252289.12450000001</v>
      </c>
    </row>
    <row r="412" spans="1:4">
      <c r="A412">
        <v>411</v>
      </c>
      <c r="B412">
        <v>184739.25750000001</v>
      </c>
      <c r="C412">
        <v>8817.9737999999998</v>
      </c>
      <c r="D412">
        <v>343232.99109999998</v>
      </c>
    </row>
    <row r="413" spans="1:4">
      <c r="A413">
        <v>412</v>
      </c>
      <c r="B413">
        <v>165808.04250000001</v>
      </c>
      <c r="C413">
        <v>16455.9038</v>
      </c>
      <c r="D413">
        <v>309134.1949</v>
      </c>
    </row>
    <row r="414" spans="1:4">
      <c r="A414">
        <v>413</v>
      </c>
      <c r="B414">
        <v>177903.73149999999</v>
      </c>
      <c r="C414">
        <v>9455.8752999999997</v>
      </c>
      <c r="D414">
        <v>349375.9522</v>
      </c>
    </row>
    <row r="415" spans="1:4">
      <c r="A415">
        <v>414</v>
      </c>
      <c r="B415">
        <v>171459.24280000001</v>
      </c>
      <c r="C415">
        <v>5826.0798999999997</v>
      </c>
      <c r="D415">
        <v>324371.95049999998</v>
      </c>
    </row>
    <row r="416" spans="1:4">
      <c r="A416">
        <v>415</v>
      </c>
      <c r="B416">
        <v>164699.48389999999</v>
      </c>
      <c r="C416">
        <v>8652.1720999999998</v>
      </c>
      <c r="D416">
        <v>327791.326</v>
      </c>
    </row>
    <row r="417" spans="1:4">
      <c r="A417">
        <v>416</v>
      </c>
      <c r="B417">
        <v>153777.2916</v>
      </c>
      <c r="C417">
        <v>5318.4170000000004</v>
      </c>
      <c r="D417">
        <v>289051.33240000001</v>
      </c>
    </row>
    <row r="418" spans="1:4">
      <c r="A418">
        <v>417</v>
      </c>
      <c r="B418">
        <v>165561.3714</v>
      </c>
      <c r="C418">
        <v>9242.9267</v>
      </c>
      <c r="D418">
        <v>293922.66139999998</v>
      </c>
    </row>
    <row r="419" spans="1:4">
      <c r="A419">
        <v>418</v>
      </c>
      <c r="B419">
        <v>178637.74069999999</v>
      </c>
      <c r="C419">
        <v>8446.5586999999996</v>
      </c>
      <c r="D419">
        <v>360128.96059999999</v>
      </c>
    </row>
    <row r="420" spans="1:4">
      <c r="A420">
        <v>419</v>
      </c>
      <c r="B420">
        <v>173484.0907</v>
      </c>
      <c r="C420">
        <v>15121.491400000001</v>
      </c>
      <c r="D420">
        <v>368063.45569999999</v>
      </c>
    </row>
    <row r="421" spans="1:4">
      <c r="A421">
        <v>420</v>
      </c>
      <c r="B421">
        <v>171913.76930000001</v>
      </c>
      <c r="C421">
        <v>8723.9513999999999</v>
      </c>
      <c r="D421">
        <v>373834.38799999998</v>
      </c>
    </row>
    <row r="422" spans="1:4">
      <c r="A422">
        <v>421</v>
      </c>
      <c r="B422">
        <v>166363.41089999999</v>
      </c>
      <c r="C422">
        <v>9805.9285999999993</v>
      </c>
      <c r="D422">
        <v>239736.674</v>
      </c>
    </row>
    <row r="423" spans="1:4">
      <c r="A423">
        <v>422</v>
      </c>
      <c r="B423">
        <v>172702.2231</v>
      </c>
      <c r="C423">
        <v>6676.4141</v>
      </c>
      <c r="D423">
        <v>301512.9693</v>
      </c>
    </row>
    <row r="424" spans="1:4">
      <c r="A424">
        <v>423</v>
      </c>
      <c r="B424">
        <v>172922.4626</v>
      </c>
      <c r="C424">
        <v>11591.579</v>
      </c>
      <c r="D424">
        <v>294377.92249999999</v>
      </c>
    </row>
    <row r="425" spans="1:4">
      <c r="A425">
        <v>424</v>
      </c>
      <c r="B425">
        <v>163174.76740000001</v>
      </c>
      <c r="C425">
        <v>6120.8653000000004</v>
      </c>
      <c r="D425">
        <v>354474.30670000002</v>
      </c>
    </row>
    <row r="426" spans="1:4">
      <c r="A426">
        <v>425</v>
      </c>
      <c r="B426">
        <v>180992.27559999999</v>
      </c>
      <c r="C426">
        <v>8849.9560000000001</v>
      </c>
      <c r="D426">
        <v>447656.94420000003</v>
      </c>
    </row>
    <row r="427" spans="1:4">
      <c r="A427">
        <v>426</v>
      </c>
      <c r="B427">
        <v>160763.6882</v>
      </c>
      <c r="C427">
        <v>6877.7226000000001</v>
      </c>
      <c r="D427">
        <v>287182.2893</v>
      </c>
    </row>
    <row r="428" spans="1:4">
      <c r="A428">
        <v>427</v>
      </c>
      <c r="B428">
        <v>160494.84179999999</v>
      </c>
      <c r="C428">
        <v>8460.5935000000009</v>
      </c>
      <c r="D428">
        <v>364625.63059999997</v>
      </c>
    </row>
    <row r="429" spans="1:4">
      <c r="A429">
        <v>428</v>
      </c>
      <c r="B429">
        <v>155697.99290000001</v>
      </c>
      <c r="C429">
        <v>6771.6094999999996</v>
      </c>
      <c r="D429">
        <v>311245.9938</v>
      </c>
    </row>
    <row r="430" spans="1:4">
      <c r="A430">
        <v>429</v>
      </c>
      <c r="B430">
        <v>172826.9136</v>
      </c>
      <c r="C430">
        <v>7897.6749</v>
      </c>
      <c r="D430">
        <v>273526.15720000002</v>
      </c>
    </row>
    <row r="431" spans="1:4">
      <c r="A431">
        <v>430</v>
      </c>
      <c r="B431">
        <v>151911.4798</v>
      </c>
      <c r="C431">
        <v>11219.0208</v>
      </c>
      <c r="D431">
        <v>285264.20130000002</v>
      </c>
    </row>
    <row r="432" spans="1:4">
      <c r="A432">
        <v>431</v>
      </c>
      <c r="B432">
        <v>168537.27559999999</v>
      </c>
      <c r="C432">
        <v>9470.1921000000002</v>
      </c>
      <c r="D432">
        <v>283479.78629999998</v>
      </c>
    </row>
    <row r="433" spans="1:4">
      <c r="A433">
        <v>432</v>
      </c>
      <c r="B433">
        <v>168183.15229999999</v>
      </c>
      <c r="C433">
        <v>7109.5483000000004</v>
      </c>
      <c r="D433">
        <v>288254.60159999999</v>
      </c>
    </row>
    <row r="434" spans="1:4">
      <c r="A434">
        <v>433</v>
      </c>
      <c r="B434">
        <v>155977.9938</v>
      </c>
      <c r="C434">
        <v>14247.1513</v>
      </c>
      <c r="D434">
        <v>384306.89970000001</v>
      </c>
    </row>
    <row r="435" spans="1:4">
      <c r="A435">
        <v>434</v>
      </c>
      <c r="B435">
        <v>176633.98240000001</v>
      </c>
      <c r="C435">
        <v>7339.7263999999996</v>
      </c>
      <c r="D435">
        <v>281689.3028</v>
      </c>
    </row>
    <row r="436" spans="1:4">
      <c r="A436">
        <v>435</v>
      </c>
      <c r="B436">
        <v>160058.12830000001</v>
      </c>
      <c r="C436">
        <v>24601.6342</v>
      </c>
      <c r="D436">
        <v>405310.9767</v>
      </c>
    </row>
    <row r="437" spans="1:4">
      <c r="A437">
        <v>436</v>
      </c>
      <c r="B437">
        <v>162526.09959999999</v>
      </c>
      <c r="C437">
        <v>5248.357</v>
      </c>
      <c r="D437">
        <v>268353.93459999998</v>
      </c>
    </row>
    <row r="438" spans="1:4">
      <c r="A438">
        <v>437</v>
      </c>
      <c r="B438">
        <v>183383.5177</v>
      </c>
      <c r="C438">
        <v>6871.6072999999997</v>
      </c>
      <c r="D438">
        <v>313455.68900000001</v>
      </c>
    </row>
    <row r="439" spans="1:4">
      <c r="A439">
        <v>438</v>
      </c>
      <c r="B439">
        <v>166908.48790000001</v>
      </c>
      <c r="C439">
        <v>18514.7055</v>
      </c>
      <c r="D439">
        <v>339041.56199999998</v>
      </c>
    </row>
    <row r="440" spans="1:4">
      <c r="A440">
        <v>439</v>
      </c>
      <c r="B440">
        <v>164383.32509999999</v>
      </c>
      <c r="C440">
        <v>6848.7179999999998</v>
      </c>
      <c r="D440">
        <v>325776.33010000002</v>
      </c>
    </row>
    <row r="441" spans="1:4">
      <c r="A441">
        <v>440</v>
      </c>
      <c r="B441">
        <v>167404.75140000001</v>
      </c>
      <c r="C441">
        <v>11272.397199999999</v>
      </c>
      <c r="D441">
        <v>285042.99969999999</v>
      </c>
    </row>
    <row r="442" spans="1:4">
      <c r="A442">
        <v>441</v>
      </c>
      <c r="B442">
        <v>172977.58</v>
      </c>
      <c r="C442">
        <v>12281.963</v>
      </c>
      <c r="D442">
        <v>276196.52490000002</v>
      </c>
    </row>
    <row r="443" spans="1:4">
      <c r="A443">
        <v>442</v>
      </c>
      <c r="B443">
        <v>161620.00709999999</v>
      </c>
      <c r="C443">
        <v>13112.333500000001</v>
      </c>
      <c r="D443">
        <v>383795.1226</v>
      </c>
    </row>
    <row r="444" spans="1:4">
      <c r="A444">
        <v>443</v>
      </c>
      <c r="B444">
        <v>163600.37839999999</v>
      </c>
      <c r="C444">
        <v>10802.837600000001</v>
      </c>
      <c r="D444">
        <v>329490.06319999998</v>
      </c>
    </row>
    <row r="445" spans="1:4">
      <c r="A445">
        <v>444</v>
      </c>
      <c r="B445">
        <v>164870.62179999999</v>
      </c>
      <c r="C445">
        <v>5913.7749999999996</v>
      </c>
      <c r="D445">
        <v>427065.63909999997</v>
      </c>
    </row>
    <row r="446" spans="1:4">
      <c r="A446">
        <v>445</v>
      </c>
      <c r="B446">
        <v>165770.89079999999</v>
      </c>
      <c r="C446">
        <v>11074.579900000001</v>
      </c>
      <c r="D446">
        <v>241451.5632</v>
      </c>
    </row>
    <row r="447" spans="1:4">
      <c r="A447">
        <v>446</v>
      </c>
      <c r="B447">
        <v>164228.40719999999</v>
      </c>
      <c r="C447">
        <v>10666.668799999999</v>
      </c>
      <c r="D447">
        <v>395271.15769999998</v>
      </c>
    </row>
    <row r="448" spans="1:4">
      <c r="A448">
        <v>447</v>
      </c>
      <c r="B448">
        <v>163360.48970000001</v>
      </c>
      <c r="C448">
        <v>11285.290499999999</v>
      </c>
      <c r="D448">
        <v>412563.66159999999</v>
      </c>
    </row>
    <row r="449" spans="1:4">
      <c r="A449">
        <v>448</v>
      </c>
      <c r="B449">
        <v>175445.79079999999</v>
      </c>
      <c r="C449">
        <v>8986.9739000000009</v>
      </c>
      <c r="D449">
        <v>353204.13250000001</v>
      </c>
    </row>
    <row r="450" spans="1:4">
      <c r="A450">
        <v>449</v>
      </c>
      <c r="B450">
        <v>148884.5411</v>
      </c>
      <c r="C450">
        <v>7817.9357</v>
      </c>
      <c r="D450">
        <v>293527.74810000003</v>
      </c>
    </row>
    <row r="451" spans="1:4">
      <c r="A451">
        <v>450</v>
      </c>
      <c r="B451">
        <v>174683.93340000001</v>
      </c>
      <c r="C451">
        <v>5753.4377000000004</v>
      </c>
      <c r="D451">
        <v>264340.6079</v>
      </c>
    </row>
    <row r="452" spans="1:4">
      <c r="A452">
        <v>451</v>
      </c>
      <c r="B452">
        <v>160709.39430000001</v>
      </c>
      <c r="C452">
        <v>7034.6819999999998</v>
      </c>
      <c r="D452">
        <v>363682.91930000001</v>
      </c>
    </row>
    <row r="453" spans="1:4">
      <c r="A453">
        <v>452</v>
      </c>
      <c r="B453">
        <v>159411.30549999999</v>
      </c>
      <c r="C453">
        <v>9794.9395999999997</v>
      </c>
      <c r="D453">
        <v>353137.27309999999</v>
      </c>
    </row>
    <row r="454" spans="1:4">
      <c r="A454">
        <v>453</v>
      </c>
      <c r="B454">
        <v>162296.86720000001</v>
      </c>
      <c r="C454">
        <v>17763.398499999999</v>
      </c>
      <c r="D454">
        <v>420934.10600000003</v>
      </c>
    </row>
    <row r="455" spans="1:4">
      <c r="A455">
        <v>454</v>
      </c>
      <c r="B455">
        <v>156036.7335</v>
      </c>
      <c r="C455">
        <v>9874.0105999999996</v>
      </c>
      <c r="D455">
        <v>326737.5722</v>
      </c>
    </row>
    <row r="456" spans="1:4">
      <c r="A456">
        <v>455</v>
      </c>
      <c r="B456">
        <v>151904.7365</v>
      </c>
      <c r="C456">
        <v>12168.4187</v>
      </c>
      <c r="D456">
        <v>325681.48940000002</v>
      </c>
    </row>
    <row r="457" spans="1:4">
      <c r="A457">
        <v>456</v>
      </c>
      <c r="B457">
        <v>167264.10500000001</v>
      </c>
      <c r="C457">
        <v>11318.4467</v>
      </c>
      <c r="D457">
        <v>300804.86190000002</v>
      </c>
    </row>
    <row r="458" spans="1:4">
      <c r="A458">
        <v>457</v>
      </c>
      <c r="B458">
        <v>158103.08739999999</v>
      </c>
      <c r="C458">
        <v>6067.8275000000003</v>
      </c>
      <c r="D458">
        <v>249004.52489999999</v>
      </c>
    </row>
    <row r="459" spans="1:4">
      <c r="A459">
        <v>458</v>
      </c>
      <c r="B459">
        <v>189065.16940000001</v>
      </c>
      <c r="C459">
        <v>14588.9583</v>
      </c>
      <c r="D459">
        <v>354195.43790000002</v>
      </c>
    </row>
    <row r="460" spans="1:4">
      <c r="A460">
        <v>459</v>
      </c>
      <c r="B460">
        <v>172281.87899999999</v>
      </c>
      <c r="C460">
        <v>16904.600200000001</v>
      </c>
      <c r="D460">
        <v>350765.6643</v>
      </c>
    </row>
    <row r="461" spans="1:4">
      <c r="A461">
        <v>460</v>
      </c>
      <c r="B461">
        <v>164531.66870000001</v>
      </c>
      <c r="C461">
        <v>7928.5765000000001</v>
      </c>
      <c r="D461">
        <v>420998.30109999998</v>
      </c>
    </row>
    <row r="462" spans="1:4">
      <c r="A462">
        <v>461</v>
      </c>
      <c r="B462">
        <v>168067.67069999999</v>
      </c>
      <c r="C462">
        <v>14783.7317</v>
      </c>
      <c r="D462">
        <v>438846.99570000003</v>
      </c>
    </row>
    <row r="463" spans="1:4">
      <c r="A463">
        <v>462</v>
      </c>
      <c r="B463">
        <v>171596.2715</v>
      </c>
      <c r="C463">
        <v>11639.018599999999</v>
      </c>
      <c r="D463">
        <v>370676.90360000002</v>
      </c>
    </row>
    <row r="464" spans="1:4">
      <c r="A464">
        <v>463</v>
      </c>
      <c r="B464">
        <v>159904.18419999999</v>
      </c>
      <c r="C464">
        <v>7497.2416000000003</v>
      </c>
      <c r="D464">
        <v>306485.3946</v>
      </c>
    </row>
    <row r="465" spans="1:4">
      <c r="A465">
        <v>464</v>
      </c>
      <c r="B465">
        <v>170027.1972</v>
      </c>
      <c r="C465">
        <v>12657.4784</v>
      </c>
      <c r="D465">
        <v>398693.73239999998</v>
      </c>
    </row>
    <row r="466" spans="1:4">
      <c r="A466">
        <v>465</v>
      </c>
      <c r="B466">
        <v>170504.90950000001</v>
      </c>
      <c r="C466">
        <v>8669.0741999999991</v>
      </c>
      <c r="D466">
        <v>304764.88040000002</v>
      </c>
    </row>
    <row r="467" spans="1:4">
      <c r="A467">
        <v>466</v>
      </c>
      <c r="B467">
        <v>162784.3823</v>
      </c>
      <c r="C467">
        <v>6336.6850000000004</v>
      </c>
      <c r="D467">
        <v>331847.51870000002</v>
      </c>
    </row>
    <row r="468" spans="1:4">
      <c r="A468">
        <v>467</v>
      </c>
      <c r="B468">
        <v>164213.0674</v>
      </c>
      <c r="C468">
        <v>5188.2641000000003</v>
      </c>
      <c r="D468">
        <v>312702.054</v>
      </c>
    </row>
    <row r="469" spans="1:4">
      <c r="A469">
        <v>468</v>
      </c>
      <c r="B469">
        <v>165510.14689999999</v>
      </c>
      <c r="C469">
        <v>7956.8378000000002</v>
      </c>
      <c r="D469">
        <v>333379.4473</v>
      </c>
    </row>
    <row r="470" spans="1:4">
      <c r="A470">
        <v>469</v>
      </c>
      <c r="B470">
        <v>178255.1011</v>
      </c>
      <c r="C470">
        <v>6566.8761999999997</v>
      </c>
      <c r="D470">
        <v>322991.23560000001</v>
      </c>
    </row>
    <row r="471" spans="1:4">
      <c r="A471">
        <v>470</v>
      </c>
      <c r="B471">
        <v>175560.38029999999</v>
      </c>
      <c r="C471">
        <v>8516.2438999999995</v>
      </c>
      <c r="D471">
        <v>305337.65360000002</v>
      </c>
    </row>
    <row r="472" spans="1:4">
      <c r="A472">
        <v>471</v>
      </c>
      <c r="B472">
        <v>173520.38870000001</v>
      </c>
      <c r="C472">
        <v>6357.6247000000003</v>
      </c>
      <c r="D472">
        <v>361253.57059999998</v>
      </c>
    </row>
    <row r="473" spans="1:4">
      <c r="A473">
        <v>472</v>
      </c>
      <c r="B473">
        <v>167669.6698</v>
      </c>
      <c r="C473">
        <v>10847.5587</v>
      </c>
      <c r="D473">
        <v>353393.38439999998</v>
      </c>
    </row>
    <row r="474" spans="1:4">
      <c r="A474">
        <v>473</v>
      </c>
      <c r="B474">
        <v>159385.68659999999</v>
      </c>
      <c r="C474">
        <v>15466.4998</v>
      </c>
      <c r="D474">
        <v>420895.76799999998</v>
      </c>
    </row>
    <row r="475" spans="1:4">
      <c r="A475">
        <v>474</v>
      </c>
      <c r="B475">
        <v>167170.55420000001</v>
      </c>
      <c r="C475">
        <v>8010.4598999999998</v>
      </c>
      <c r="D475">
        <v>340356.91019999998</v>
      </c>
    </row>
    <row r="476" spans="1:4">
      <c r="A476">
        <v>475</v>
      </c>
      <c r="B476">
        <v>168059.71799999999</v>
      </c>
      <c r="C476">
        <v>11348.656499999999</v>
      </c>
      <c r="D476">
        <v>333535.77279999998</v>
      </c>
    </row>
    <row r="477" spans="1:4">
      <c r="A477">
        <v>476</v>
      </c>
      <c r="B477">
        <v>161078.8051</v>
      </c>
      <c r="C477">
        <v>12485.7832</v>
      </c>
      <c r="D477">
        <v>375572.35979999998</v>
      </c>
    </row>
    <row r="478" spans="1:4">
      <c r="A478">
        <v>477</v>
      </c>
      <c r="B478">
        <v>160653.93900000001</v>
      </c>
      <c r="C478">
        <v>5131.7218000000003</v>
      </c>
      <c r="D478">
        <v>273486.25069999998</v>
      </c>
    </row>
    <row r="479" spans="1:4">
      <c r="A479">
        <v>478</v>
      </c>
      <c r="B479">
        <v>159584.959</v>
      </c>
      <c r="C479">
        <v>9634.1216000000004</v>
      </c>
      <c r="D479">
        <v>356211.63890000002</v>
      </c>
    </row>
    <row r="480" spans="1:4">
      <c r="A480">
        <v>479</v>
      </c>
      <c r="B480">
        <v>168741.08660000001</v>
      </c>
      <c r="C480">
        <v>10351.3663</v>
      </c>
      <c r="D480">
        <v>344023.9816</v>
      </c>
    </row>
    <row r="481" spans="1:4">
      <c r="A481">
        <v>480</v>
      </c>
      <c r="B481">
        <v>165223.5589</v>
      </c>
      <c r="C481">
        <v>13446.4377</v>
      </c>
      <c r="D481">
        <v>478024.57270000002</v>
      </c>
    </row>
    <row r="482" spans="1:4">
      <c r="A482">
        <v>481</v>
      </c>
      <c r="B482">
        <v>160054.82260000001</v>
      </c>
      <c r="C482">
        <v>6567.0275000000001</v>
      </c>
      <c r="D482">
        <v>261496.5159</v>
      </c>
    </row>
    <row r="483" spans="1:4">
      <c r="A483">
        <v>482</v>
      </c>
      <c r="B483">
        <v>168064.6845</v>
      </c>
      <c r="C483">
        <v>10829.2909</v>
      </c>
      <c r="D483">
        <v>301076.84350000002</v>
      </c>
    </row>
    <row r="484" spans="1:4">
      <c r="A484">
        <v>483</v>
      </c>
      <c r="B484">
        <v>174381.32709999999</v>
      </c>
      <c r="C484">
        <v>14508.019399999999</v>
      </c>
      <c r="D484">
        <v>395597.17369999998</v>
      </c>
    </row>
    <row r="485" spans="1:4">
      <c r="A485">
        <v>484</v>
      </c>
      <c r="B485">
        <v>169936.1629</v>
      </c>
      <c r="C485">
        <v>11085.308199999999</v>
      </c>
      <c r="D485">
        <v>334330.05479999998</v>
      </c>
    </row>
    <row r="486" spans="1:4">
      <c r="A486">
        <v>485</v>
      </c>
      <c r="B486">
        <v>162690.35399999999</v>
      </c>
      <c r="C486">
        <v>6318.1818000000003</v>
      </c>
      <c r="D486">
        <v>340536.18670000002</v>
      </c>
    </row>
    <row r="487" spans="1:4">
      <c r="A487">
        <v>486</v>
      </c>
      <c r="B487">
        <v>156755.19440000001</v>
      </c>
      <c r="C487">
        <v>8014.8620000000001</v>
      </c>
      <c r="D487">
        <v>381465.67859999998</v>
      </c>
    </row>
    <row r="488" spans="1:4">
      <c r="A488">
        <v>487</v>
      </c>
      <c r="B488">
        <v>163560.16399999999</v>
      </c>
      <c r="C488">
        <v>9196.2836000000007</v>
      </c>
      <c r="D488">
        <v>332118.23060000001</v>
      </c>
    </row>
    <row r="489" spans="1:4">
      <c r="A489">
        <v>488</v>
      </c>
      <c r="B489">
        <v>160486.70540000001</v>
      </c>
      <c r="C489">
        <v>14297.37</v>
      </c>
      <c r="D489">
        <v>358969.40130000003</v>
      </c>
    </row>
    <row r="490" spans="1:4">
      <c r="A490">
        <v>489</v>
      </c>
      <c r="B490">
        <v>161864.1697</v>
      </c>
      <c r="C490">
        <v>7574.9675999999999</v>
      </c>
      <c r="D490">
        <v>340749.32610000001</v>
      </c>
    </row>
    <row r="491" spans="1:4">
      <c r="A491">
        <v>490</v>
      </c>
      <c r="B491">
        <v>164256.587</v>
      </c>
      <c r="C491">
        <v>8600.8652999999995</v>
      </c>
      <c r="D491">
        <v>307033.20899999997</v>
      </c>
    </row>
    <row r="492" spans="1:4">
      <c r="A492">
        <v>491</v>
      </c>
      <c r="B492">
        <v>181576.80720000001</v>
      </c>
      <c r="C492">
        <v>10945.096600000001</v>
      </c>
      <c r="D492">
        <v>423694.71769999998</v>
      </c>
    </row>
    <row r="493" spans="1:4">
      <c r="A493">
        <v>492</v>
      </c>
      <c r="B493">
        <v>167021.3707</v>
      </c>
      <c r="C493">
        <v>12031.9557</v>
      </c>
      <c r="D493">
        <v>343273.48739999998</v>
      </c>
    </row>
    <row r="494" spans="1:4">
      <c r="A494">
        <v>493</v>
      </c>
      <c r="B494">
        <v>155600.13080000001</v>
      </c>
      <c r="C494">
        <v>17205.063699999999</v>
      </c>
      <c r="D494">
        <v>457691.4486</v>
      </c>
    </row>
    <row r="495" spans="1:4">
      <c r="A495">
        <v>494</v>
      </c>
      <c r="B495">
        <v>165086.71340000001</v>
      </c>
      <c r="C495">
        <v>10033.2101</v>
      </c>
      <c r="D495">
        <v>259774.22820000001</v>
      </c>
    </row>
    <row r="496" spans="1:4">
      <c r="A496">
        <v>495</v>
      </c>
      <c r="B496">
        <v>169433.77900000001</v>
      </c>
      <c r="C496">
        <v>17852.8802</v>
      </c>
      <c r="D496">
        <v>366493.74209999997</v>
      </c>
    </row>
    <row r="497" spans="1:4">
      <c r="A497">
        <v>496</v>
      </c>
      <c r="B497">
        <v>165980.4099</v>
      </c>
      <c r="C497">
        <v>9314.1707000000006</v>
      </c>
      <c r="D497">
        <v>362087.64720000001</v>
      </c>
    </row>
    <row r="498" spans="1:4">
      <c r="A498">
        <v>497</v>
      </c>
      <c r="B498">
        <v>159137.4768</v>
      </c>
      <c r="C498">
        <v>10580.5126</v>
      </c>
      <c r="D498">
        <v>366519.71669999999</v>
      </c>
    </row>
    <row r="499" spans="1:4">
      <c r="A499">
        <v>498</v>
      </c>
      <c r="B499">
        <v>169023.86189999999</v>
      </c>
      <c r="C499">
        <v>10437.2106</v>
      </c>
      <c r="D499">
        <v>343562.34139999998</v>
      </c>
    </row>
    <row r="500" spans="1:4">
      <c r="A500">
        <v>499</v>
      </c>
      <c r="B500">
        <v>156836.6165</v>
      </c>
      <c r="C500">
        <v>7583.3321999999998</v>
      </c>
      <c r="D500">
        <v>344584.72509999998</v>
      </c>
    </row>
    <row r="501" spans="1:4">
      <c r="A501">
        <v>500</v>
      </c>
      <c r="B501">
        <v>165888.8058</v>
      </c>
      <c r="C501">
        <v>6525.2043999999996</v>
      </c>
      <c r="D501">
        <v>280839.89840000001</v>
      </c>
    </row>
    <row r="502" spans="1:4">
      <c r="A502">
        <v>501</v>
      </c>
      <c r="B502">
        <v>155512.13099999999</v>
      </c>
      <c r="C502">
        <v>6286.7609000000002</v>
      </c>
      <c r="D502">
        <v>410193.44319999998</v>
      </c>
    </row>
    <row r="503" spans="1:4">
      <c r="A503">
        <v>502</v>
      </c>
      <c r="B503">
        <v>167358.69089999999</v>
      </c>
      <c r="C503">
        <v>8659.1322999999993</v>
      </c>
      <c r="D503">
        <v>374305.0822</v>
      </c>
    </row>
    <row r="504" spans="1:4">
      <c r="A504">
        <v>503</v>
      </c>
      <c r="B504">
        <v>155911.2801</v>
      </c>
      <c r="C504">
        <v>6793.7241999999997</v>
      </c>
      <c r="D504">
        <v>359558.45289999997</v>
      </c>
    </row>
    <row r="505" spans="1:4">
      <c r="A505">
        <v>504</v>
      </c>
      <c r="B505">
        <v>176407.5048</v>
      </c>
      <c r="C505">
        <v>8643.8582999999999</v>
      </c>
      <c r="D505">
        <v>380911.6151</v>
      </c>
    </row>
    <row r="506" spans="1:4">
      <c r="A506">
        <v>505</v>
      </c>
      <c r="B506">
        <v>159020.2262</v>
      </c>
      <c r="C506">
        <v>10604.763499999999</v>
      </c>
      <c r="D506">
        <v>340338.65529999998</v>
      </c>
    </row>
    <row r="507" spans="1:4">
      <c r="A507">
        <v>506</v>
      </c>
      <c r="B507">
        <v>169148.56400000001</v>
      </c>
      <c r="C507">
        <v>5430.3657999999996</v>
      </c>
      <c r="D507">
        <v>338348.02679999999</v>
      </c>
    </row>
    <row r="508" spans="1:4">
      <c r="A508">
        <v>507</v>
      </c>
      <c r="B508">
        <v>163962.38939999999</v>
      </c>
      <c r="C508">
        <v>5939.2443000000003</v>
      </c>
      <c r="D508">
        <v>321773.71960000001</v>
      </c>
    </row>
    <row r="509" spans="1:4">
      <c r="A509">
        <v>508</v>
      </c>
      <c r="B509">
        <v>192983.22099999999</v>
      </c>
      <c r="C509">
        <v>6735.5626000000002</v>
      </c>
      <c r="D509">
        <v>355645.05249999999</v>
      </c>
    </row>
    <row r="510" spans="1:4">
      <c r="A510">
        <v>509</v>
      </c>
      <c r="B510">
        <v>185709.69459999999</v>
      </c>
      <c r="C510">
        <v>7353.1665000000003</v>
      </c>
      <c r="D510">
        <v>370568.85749999998</v>
      </c>
    </row>
    <row r="511" spans="1:4">
      <c r="A511">
        <v>510</v>
      </c>
      <c r="B511">
        <v>161015.277</v>
      </c>
      <c r="C511">
        <v>5659.5649999999996</v>
      </c>
      <c r="D511">
        <v>309983.86219999997</v>
      </c>
    </row>
    <row r="512" spans="1:4">
      <c r="A512">
        <v>511</v>
      </c>
      <c r="B512">
        <v>167069.1863</v>
      </c>
      <c r="C512">
        <v>6426.6835000000001</v>
      </c>
      <c r="D512">
        <v>277491.52970000001</v>
      </c>
    </row>
    <row r="513" spans="1:4">
      <c r="A513">
        <v>512</v>
      </c>
      <c r="B513">
        <v>169444.8278</v>
      </c>
      <c r="C513">
        <v>6136.3433000000005</v>
      </c>
      <c r="D513">
        <v>277665.86090000003</v>
      </c>
    </row>
    <row r="514" spans="1:4">
      <c r="A514">
        <v>513</v>
      </c>
      <c r="B514">
        <v>165363.33859999999</v>
      </c>
      <c r="C514">
        <v>6796.1023999999998</v>
      </c>
      <c r="D514">
        <v>305335.18560000003</v>
      </c>
    </row>
    <row r="515" spans="1:4">
      <c r="A515">
        <v>514</v>
      </c>
      <c r="B515">
        <v>160682.41260000001</v>
      </c>
      <c r="C515">
        <v>8066.0043999999998</v>
      </c>
      <c r="D515">
        <v>308167.08679999999</v>
      </c>
    </row>
    <row r="516" spans="1:4">
      <c r="A516">
        <v>515</v>
      </c>
      <c r="B516">
        <v>171886.27960000001</v>
      </c>
      <c r="C516">
        <v>17865.463100000001</v>
      </c>
      <c r="D516">
        <v>443518.7794</v>
      </c>
    </row>
    <row r="517" spans="1:4">
      <c r="A517">
        <v>516</v>
      </c>
      <c r="B517">
        <v>177863.39369999999</v>
      </c>
      <c r="C517">
        <v>5979.3288000000002</v>
      </c>
      <c r="D517">
        <v>331818.1398</v>
      </c>
    </row>
    <row r="518" spans="1:4">
      <c r="A518">
        <v>517</v>
      </c>
      <c r="B518">
        <v>159652.1955</v>
      </c>
      <c r="C518">
        <v>5236.7772999999997</v>
      </c>
      <c r="D518">
        <v>257156.834</v>
      </c>
    </row>
    <row r="519" spans="1:4">
      <c r="A519">
        <v>518</v>
      </c>
      <c r="B519">
        <v>173933.2838</v>
      </c>
      <c r="C519">
        <v>6284.9928</v>
      </c>
      <c r="D519">
        <v>312661.5012</v>
      </c>
    </row>
    <row r="520" spans="1:4">
      <c r="A520">
        <v>519</v>
      </c>
      <c r="B520">
        <v>180401.7139</v>
      </c>
      <c r="C520">
        <v>16932.715499999998</v>
      </c>
      <c r="D520">
        <v>408544.52970000001</v>
      </c>
    </row>
    <row r="521" spans="1:4">
      <c r="A521">
        <v>520</v>
      </c>
      <c r="B521">
        <v>159957.02609999999</v>
      </c>
      <c r="C521">
        <v>4794.1580999999996</v>
      </c>
      <c r="D521">
        <v>371969.78460000001</v>
      </c>
    </row>
    <row r="522" spans="1:4">
      <c r="A522">
        <v>521</v>
      </c>
      <c r="B522">
        <v>162716.58840000001</v>
      </c>
      <c r="C522">
        <v>8799.3737000000001</v>
      </c>
      <c r="D522">
        <v>280579.31290000002</v>
      </c>
    </row>
    <row r="523" spans="1:4">
      <c r="A523">
        <v>522</v>
      </c>
      <c r="B523">
        <v>175598.3817</v>
      </c>
      <c r="C523">
        <v>7047.6913999999997</v>
      </c>
      <c r="D523">
        <v>350620.17389999999</v>
      </c>
    </row>
    <row r="524" spans="1:4">
      <c r="A524">
        <v>523</v>
      </c>
      <c r="B524">
        <v>172558.16750000001</v>
      </c>
      <c r="C524">
        <v>7422.3172999999997</v>
      </c>
      <c r="D524">
        <v>348457.61379999999</v>
      </c>
    </row>
    <row r="525" spans="1:4">
      <c r="A525">
        <v>524</v>
      </c>
      <c r="B525">
        <v>173456.9719</v>
      </c>
      <c r="C525">
        <v>6734.0281999999997</v>
      </c>
      <c r="D525">
        <v>308566.78499999997</v>
      </c>
    </row>
    <row r="526" spans="1:4">
      <c r="A526">
        <v>525</v>
      </c>
      <c r="B526">
        <v>170665.6447</v>
      </c>
      <c r="C526">
        <v>10304.6145</v>
      </c>
      <c r="D526">
        <v>322749.1312</v>
      </c>
    </row>
    <row r="527" spans="1:4">
      <c r="A527">
        <v>526</v>
      </c>
      <c r="B527">
        <v>164612.1097</v>
      </c>
      <c r="C527">
        <v>6446.1183000000001</v>
      </c>
      <c r="D527">
        <v>369271.21289999998</v>
      </c>
    </row>
    <row r="528" spans="1:4">
      <c r="A528">
        <v>527</v>
      </c>
      <c r="B528">
        <v>172645.43659999999</v>
      </c>
      <c r="C528">
        <v>10868.6266</v>
      </c>
      <c r="D528">
        <v>406751.87880000001</v>
      </c>
    </row>
    <row r="529" spans="1:4">
      <c r="A529">
        <v>528</v>
      </c>
      <c r="B529">
        <v>172361.2145</v>
      </c>
      <c r="C529">
        <v>6823.5839999999998</v>
      </c>
      <c r="D529">
        <v>300166.46380000003</v>
      </c>
    </row>
    <row r="530" spans="1:4">
      <c r="A530">
        <v>529</v>
      </c>
      <c r="B530">
        <v>153036.51430000001</v>
      </c>
      <c r="C530">
        <v>12824.353800000001</v>
      </c>
      <c r="D530">
        <v>402847.29719999997</v>
      </c>
    </row>
    <row r="531" spans="1:4">
      <c r="A531">
        <v>530</v>
      </c>
      <c r="B531">
        <v>166116.1035</v>
      </c>
      <c r="C531">
        <v>7980.4202999999998</v>
      </c>
      <c r="D531">
        <v>318363.4129</v>
      </c>
    </row>
    <row r="532" spans="1:4">
      <c r="A532">
        <v>531</v>
      </c>
      <c r="B532">
        <v>167105.33100000001</v>
      </c>
      <c r="C532">
        <v>11623.147800000001</v>
      </c>
      <c r="D532">
        <v>327490.66389999999</v>
      </c>
    </row>
    <row r="533" spans="1:4">
      <c r="A533">
        <v>532</v>
      </c>
      <c r="B533">
        <v>169517.462</v>
      </c>
      <c r="C533">
        <v>15047.206700000001</v>
      </c>
      <c r="D533">
        <v>372612.3162</v>
      </c>
    </row>
    <row r="534" spans="1:4">
      <c r="A534">
        <v>533</v>
      </c>
      <c r="B534">
        <v>173883.21179999999</v>
      </c>
      <c r="C534">
        <v>9569.9591</v>
      </c>
      <c r="D534">
        <v>299750.67550000001</v>
      </c>
    </row>
    <row r="535" spans="1:4">
      <c r="A535">
        <v>534</v>
      </c>
      <c r="B535">
        <v>177046.802</v>
      </c>
      <c r="C535">
        <v>11422.137699999999</v>
      </c>
      <c r="D535">
        <v>332784.55249999999</v>
      </c>
    </row>
    <row r="536" spans="1:4">
      <c r="A536">
        <v>535</v>
      </c>
      <c r="B536">
        <v>175376.39920000001</v>
      </c>
      <c r="C536">
        <v>18200.408800000001</v>
      </c>
      <c r="D536">
        <v>356179.05969999998</v>
      </c>
    </row>
    <row r="537" spans="1:4">
      <c r="A537">
        <v>536</v>
      </c>
      <c r="B537">
        <v>158997.08730000001</v>
      </c>
      <c r="C537">
        <v>6458.1125000000002</v>
      </c>
      <c r="D537">
        <v>337427.40590000001</v>
      </c>
    </row>
    <row r="538" spans="1:4">
      <c r="A538">
        <v>537</v>
      </c>
      <c r="B538">
        <v>159903.2121</v>
      </c>
      <c r="C538">
        <v>9543.0388999999996</v>
      </c>
      <c r="D538">
        <v>327847.21500000003</v>
      </c>
    </row>
    <row r="539" spans="1:4">
      <c r="A539">
        <v>538</v>
      </c>
      <c r="B539">
        <v>168293.83350000001</v>
      </c>
      <c r="C539">
        <v>8289.5097000000005</v>
      </c>
      <c r="D539">
        <v>324743.4178</v>
      </c>
    </row>
    <row r="540" spans="1:4">
      <c r="A540">
        <v>539</v>
      </c>
      <c r="B540">
        <v>163908.8008</v>
      </c>
      <c r="C540">
        <v>5811.41</v>
      </c>
      <c r="D540">
        <v>344309.11210000003</v>
      </c>
    </row>
    <row r="541" spans="1:4">
      <c r="A541">
        <v>540</v>
      </c>
      <c r="B541">
        <v>160387.68410000001</v>
      </c>
      <c r="C541">
        <v>6562.5029999999997</v>
      </c>
      <c r="D541">
        <v>288539.71600000001</v>
      </c>
    </row>
    <row r="542" spans="1:4">
      <c r="A542">
        <v>541</v>
      </c>
      <c r="B542">
        <v>174694.09599999999</v>
      </c>
      <c r="C542">
        <v>7935.9907999999996</v>
      </c>
      <c r="D542">
        <v>358487.75270000001</v>
      </c>
    </row>
    <row r="543" spans="1:4">
      <c r="A543">
        <v>542</v>
      </c>
      <c r="B543">
        <v>159726.95019999999</v>
      </c>
      <c r="C543">
        <v>11881.3313</v>
      </c>
      <c r="D543">
        <v>275004.04029999999</v>
      </c>
    </row>
    <row r="544" spans="1:4">
      <c r="A544">
        <v>543</v>
      </c>
      <c r="B544">
        <v>168324.6575</v>
      </c>
      <c r="C544">
        <v>6321.0771999999997</v>
      </c>
      <c r="D544">
        <v>391337.06209999998</v>
      </c>
    </row>
    <row r="545" spans="1:4">
      <c r="A545">
        <v>544</v>
      </c>
      <c r="B545">
        <v>170414.23759999999</v>
      </c>
      <c r="C545">
        <v>7513.5922</v>
      </c>
      <c r="D545">
        <v>236361.6262</v>
      </c>
    </row>
    <row r="546" spans="1:4">
      <c r="A546">
        <v>545</v>
      </c>
      <c r="B546">
        <v>175620.0128</v>
      </c>
      <c r="C546">
        <v>10163.566699999999</v>
      </c>
      <c r="D546">
        <v>380703.70110000001</v>
      </c>
    </row>
    <row r="547" spans="1:4">
      <c r="A547">
        <v>546</v>
      </c>
      <c r="B547">
        <v>161268.51689999999</v>
      </c>
      <c r="C547">
        <v>6025.0891000000001</v>
      </c>
      <c r="D547">
        <v>321897.08889999997</v>
      </c>
    </row>
    <row r="548" spans="1:4">
      <c r="A548">
        <v>547</v>
      </c>
      <c r="B548">
        <v>166368.98819999999</v>
      </c>
      <c r="C548">
        <v>10016.633400000001</v>
      </c>
      <c r="D548">
        <v>339194.58189999999</v>
      </c>
    </row>
    <row r="549" spans="1:4">
      <c r="A549">
        <v>548</v>
      </c>
      <c r="B549">
        <v>163953.98560000001</v>
      </c>
      <c r="C549">
        <v>9877.8176999999996</v>
      </c>
      <c r="D549">
        <v>348214.6813</v>
      </c>
    </row>
    <row r="550" spans="1:4">
      <c r="A550">
        <v>549</v>
      </c>
      <c r="B550">
        <v>154426.72990000001</v>
      </c>
      <c r="C550">
        <v>10807.6999</v>
      </c>
      <c r="D550">
        <v>319508.17259999999</v>
      </c>
    </row>
    <row r="551" spans="1:4">
      <c r="A551">
        <v>550</v>
      </c>
      <c r="B551">
        <v>166893.77480000001</v>
      </c>
      <c r="C551">
        <v>6585.1163999999999</v>
      </c>
      <c r="D551">
        <v>287993.08889999997</v>
      </c>
    </row>
    <row r="552" spans="1:4">
      <c r="A552">
        <v>551</v>
      </c>
      <c r="B552">
        <v>165140.80869999999</v>
      </c>
      <c r="C552">
        <v>6266.3987999999999</v>
      </c>
      <c r="D552">
        <v>306449.85879999999</v>
      </c>
    </row>
    <row r="553" spans="1:4">
      <c r="A553">
        <v>552</v>
      </c>
      <c r="B553">
        <v>160512.83840000001</v>
      </c>
      <c r="C553">
        <v>7270.8761000000004</v>
      </c>
      <c r="D553">
        <v>275072.7316</v>
      </c>
    </row>
    <row r="554" spans="1:4">
      <c r="A554">
        <v>553</v>
      </c>
      <c r="B554">
        <v>168797.7548</v>
      </c>
      <c r="C554">
        <v>6725.5495000000001</v>
      </c>
      <c r="D554">
        <v>277455.03590000002</v>
      </c>
    </row>
    <row r="555" spans="1:4">
      <c r="A555">
        <v>554</v>
      </c>
      <c r="B555">
        <v>173302.26240000001</v>
      </c>
      <c r="C555">
        <v>8658.9691000000003</v>
      </c>
      <c r="D555">
        <v>381350.01490000001</v>
      </c>
    </row>
    <row r="556" spans="1:4">
      <c r="A556">
        <v>555</v>
      </c>
      <c r="B556">
        <v>157114.86749999999</v>
      </c>
      <c r="C556">
        <v>8987.9135999999999</v>
      </c>
      <c r="D556">
        <v>318638.80070000002</v>
      </c>
    </row>
    <row r="557" spans="1:4">
      <c r="A557">
        <v>556</v>
      </c>
      <c r="B557">
        <v>149556.52299999999</v>
      </c>
      <c r="C557">
        <v>9687.3549999999996</v>
      </c>
      <c r="D557">
        <v>265791.98790000001</v>
      </c>
    </row>
    <row r="558" spans="1:4">
      <c r="A558">
        <v>557</v>
      </c>
      <c r="B558">
        <v>174008.48670000001</v>
      </c>
      <c r="C558">
        <v>12176.8711</v>
      </c>
      <c r="D558">
        <v>351873.18729999999</v>
      </c>
    </row>
    <row r="559" spans="1:4">
      <c r="A559">
        <v>558</v>
      </c>
      <c r="B559">
        <v>174742.06450000001</v>
      </c>
      <c r="C559">
        <v>13931.710800000001</v>
      </c>
      <c r="D559">
        <v>365326.71730000002</v>
      </c>
    </row>
    <row r="560" spans="1:4">
      <c r="A560">
        <v>559</v>
      </c>
      <c r="B560">
        <v>172272.70740000001</v>
      </c>
      <c r="C560">
        <v>10161.856100000001</v>
      </c>
      <c r="D560">
        <v>307623.39150000003</v>
      </c>
    </row>
    <row r="561" spans="1:4">
      <c r="A561">
        <v>560</v>
      </c>
      <c r="B561">
        <v>165536.89120000001</v>
      </c>
      <c r="C561">
        <v>7083.6376</v>
      </c>
      <c r="D561">
        <v>403913.15830000001</v>
      </c>
    </row>
    <row r="562" spans="1:4">
      <c r="A562">
        <v>561</v>
      </c>
      <c r="B562">
        <v>171010.2199</v>
      </c>
      <c r="C562">
        <v>8649.8017</v>
      </c>
      <c r="D562">
        <v>341291.27639999997</v>
      </c>
    </row>
    <row r="563" spans="1:4">
      <c r="A563">
        <v>562</v>
      </c>
      <c r="B563">
        <v>165902.32120000001</v>
      </c>
      <c r="C563">
        <v>17769.068299999999</v>
      </c>
      <c r="D563">
        <v>359311.17430000001</v>
      </c>
    </row>
    <row r="564" spans="1:4">
      <c r="A564">
        <v>563</v>
      </c>
      <c r="B564">
        <v>177716.1409</v>
      </c>
      <c r="C564">
        <v>10449.2129</v>
      </c>
      <c r="D564">
        <v>368639.6422</v>
      </c>
    </row>
    <row r="565" spans="1:4">
      <c r="A565">
        <v>564</v>
      </c>
      <c r="B565">
        <v>179112.97839999999</v>
      </c>
      <c r="C565">
        <v>11256.2772</v>
      </c>
      <c r="D565">
        <v>378141.85720000003</v>
      </c>
    </row>
    <row r="566" spans="1:4">
      <c r="A566">
        <v>565</v>
      </c>
      <c r="B566">
        <v>171355.03520000001</v>
      </c>
      <c r="C566">
        <v>7767.9949999999999</v>
      </c>
      <c r="D566">
        <v>437236.08169999998</v>
      </c>
    </row>
    <row r="567" spans="1:4">
      <c r="A567">
        <v>566</v>
      </c>
      <c r="B567">
        <v>163077.36420000001</v>
      </c>
      <c r="C567">
        <v>7660.4840000000004</v>
      </c>
      <c r="D567">
        <v>344615.53820000001</v>
      </c>
    </row>
    <row r="568" spans="1:4">
      <c r="A568">
        <v>567</v>
      </c>
      <c r="B568">
        <v>171088.9485</v>
      </c>
      <c r="C568">
        <v>7174.4777999999997</v>
      </c>
      <c r="D568">
        <v>327594.07709999999</v>
      </c>
    </row>
    <row r="569" spans="1:4">
      <c r="A569">
        <v>568</v>
      </c>
      <c r="B569">
        <v>156573.18109999999</v>
      </c>
      <c r="C569">
        <v>9649.7757000000001</v>
      </c>
      <c r="D569">
        <v>255374.79269999999</v>
      </c>
    </row>
    <row r="570" spans="1:4">
      <c r="A570">
        <v>569</v>
      </c>
      <c r="B570">
        <v>182529.14019999999</v>
      </c>
      <c r="C570">
        <v>5422.6521000000002</v>
      </c>
      <c r="D570">
        <v>359531.35200000001</v>
      </c>
    </row>
    <row r="571" spans="1:4">
      <c r="A571">
        <v>570</v>
      </c>
      <c r="B571">
        <v>180472.8469</v>
      </c>
      <c r="C571">
        <v>9945.9760000000006</v>
      </c>
      <c r="D571">
        <v>295949.64079999999</v>
      </c>
    </row>
    <row r="572" spans="1:4">
      <c r="A572">
        <v>571</v>
      </c>
      <c r="B572">
        <v>174596.50520000001</v>
      </c>
      <c r="C572">
        <v>11070.574199999999</v>
      </c>
      <c r="D572">
        <v>398110.29940000002</v>
      </c>
    </row>
    <row r="573" spans="1:4">
      <c r="A573">
        <v>572</v>
      </c>
      <c r="B573">
        <v>165798.60709999999</v>
      </c>
      <c r="C573">
        <v>5924.2398999999996</v>
      </c>
      <c r="D573">
        <v>341465.80369999999</v>
      </c>
    </row>
    <row r="574" spans="1:4">
      <c r="A574">
        <v>573</v>
      </c>
      <c r="B574">
        <v>156080.47760000001</v>
      </c>
      <c r="C574">
        <v>4327.9017999999996</v>
      </c>
      <c r="D574">
        <v>294638.21639999998</v>
      </c>
    </row>
    <row r="575" spans="1:4">
      <c r="A575">
        <v>574</v>
      </c>
      <c r="B575">
        <v>170162.42</v>
      </c>
      <c r="C575">
        <v>9824.7433000000001</v>
      </c>
      <c r="D575">
        <v>316829.80839999998</v>
      </c>
    </row>
    <row r="576" spans="1:4">
      <c r="A576">
        <v>575</v>
      </c>
      <c r="B576">
        <v>163227.76370000001</v>
      </c>
      <c r="C576">
        <v>11561.0311</v>
      </c>
      <c r="D576">
        <v>302016.69939999998</v>
      </c>
    </row>
    <row r="577" spans="1:4">
      <c r="A577">
        <v>576</v>
      </c>
      <c r="B577">
        <v>182006.07800000001</v>
      </c>
      <c r="C577">
        <v>18548.5232</v>
      </c>
      <c r="D577">
        <v>527859.9155</v>
      </c>
    </row>
    <row r="578" spans="1:4">
      <c r="A578">
        <v>577</v>
      </c>
      <c r="B578">
        <v>174367.0753</v>
      </c>
      <c r="C578">
        <v>13107.4192</v>
      </c>
      <c r="D578">
        <v>323946.64779999998</v>
      </c>
    </row>
    <row r="579" spans="1:4">
      <c r="A579">
        <v>578</v>
      </c>
      <c r="B579">
        <v>160201.46609999999</v>
      </c>
      <c r="C579">
        <v>7006.3837000000003</v>
      </c>
      <c r="D579">
        <v>262096.0097</v>
      </c>
    </row>
    <row r="580" spans="1:4">
      <c r="A580">
        <v>579</v>
      </c>
      <c r="B580">
        <v>174224.2297</v>
      </c>
      <c r="C580">
        <v>8361.4336000000003</v>
      </c>
      <c r="D580">
        <v>399256.80680000002</v>
      </c>
    </row>
    <row r="581" spans="1:4">
      <c r="A581">
        <v>580</v>
      </c>
      <c r="B581">
        <v>157083.8867</v>
      </c>
      <c r="C581">
        <v>5492.9066000000003</v>
      </c>
      <c r="D581">
        <v>269490.68660000002</v>
      </c>
    </row>
    <row r="582" spans="1:4">
      <c r="A582">
        <v>581</v>
      </c>
      <c r="B582">
        <v>162950.92259999999</v>
      </c>
      <c r="C582">
        <v>8237.4109000000008</v>
      </c>
      <c r="D582">
        <v>514304.23550000001</v>
      </c>
    </row>
    <row r="583" spans="1:4">
      <c r="A583">
        <v>582</v>
      </c>
      <c r="B583">
        <v>172627.69810000001</v>
      </c>
      <c r="C583">
        <v>12966.8956</v>
      </c>
      <c r="D583">
        <v>376562.74229999998</v>
      </c>
    </row>
    <row r="584" spans="1:4">
      <c r="A584">
        <v>583</v>
      </c>
      <c r="B584">
        <v>168027.73060000001</v>
      </c>
      <c r="C584">
        <v>6529.5438999999997</v>
      </c>
      <c r="D584">
        <v>402526.24530000001</v>
      </c>
    </row>
    <row r="585" spans="1:4">
      <c r="A585">
        <v>584</v>
      </c>
      <c r="B585">
        <v>167921.1213</v>
      </c>
      <c r="C585">
        <v>6524.1450000000004</v>
      </c>
      <c r="D585">
        <v>315881.2856</v>
      </c>
    </row>
    <row r="586" spans="1:4">
      <c r="A586">
        <v>585</v>
      </c>
      <c r="B586">
        <v>164681.26879999999</v>
      </c>
      <c r="C586">
        <v>12629.2799</v>
      </c>
      <c r="D586">
        <v>332604.19020000001</v>
      </c>
    </row>
    <row r="587" spans="1:4">
      <c r="A587">
        <v>586</v>
      </c>
      <c r="B587">
        <v>160404.40330000001</v>
      </c>
      <c r="C587">
        <v>12686.866900000001</v>
      </c>
      <c r="D587">
        <v>360931.43729999999</v>
      </c>
    </row>
    <row r="588" spans="1:4">
      <c r="A588">
        <v>587</v>
      </c>
      <c r="B588">
        <v>163932.87530000001</v>
      </c>
      <c r="C588">
        <v>6608.1976000000004</v>
      </c>
      <c r="D588">
        <v>337509.52059999999</v>
      </c>
    </row>
    <row r="589" spans="1:4">
      <c r="A589">
        <v>588</v>
      </c>
      <c r="B589">
        <v>145634.7709</v>
      </c>
      <c r="C589">
        <v>4385.4111999999996</v>
      </c>
      <c r="D589">
        <v>235581.11379999999</v>
      </c>
    </row>
    <row r="590" spans="1:4">
      <c r="A590">
        <v>589</v>
      </c>
      <c r="B590">
        <v>157158.38639999999</v>
      </c>
      <c r="C590">
        <v>10976.722100000001</v>
      </c>
      <c r="D590">
        <v>341705.67019999999</v>
      </c>
    </row>
    <row r="591" spans="1:4">
      <c r="A591">
        <v>590</v>
      </c>
      <c r="B591">
        <v>153891.69769999999</v>
      </c>
      <c r="C591">
        <v>4197.6311999999998</v>
      </c>
      <c r="D591">
        <v>289117.78139999998</v>
      </c>
    </row>
    <row r="592" spans="1:4">
      <c r="A592">
        <v>591</v>
      </c>
      <c r="B592">
        <v>162987.80170000001</v>
      </c>
      <c r="C592">
        <v>7543.8852999999999</v>
      </c>
      <c r="D592">
        <v>272668.51069999998</v>
      </c>
    </row>
    <row r="593" spans="1:4">
      <c r="A593">
        <v>592</v>
      </c>
      <c r="B593">
        <v>153446.71040000001</v>
      </c>
      <c r="C593">
        <v>7178.1541999999999</v>
      </c>
      <c r="D593">
        <v>284735.337</v>
      </c>
    </row>
    <row r="594" spans="1:4">
      <c r="A594">
        <v>593</v>
      </c>
      <c r="B594">
        <v>177089.12049999999</v>
      </c>
      <c r="C594">
        <v>12444.3014</v>
      </c>
      <c r="D594">
        <v>274777.65110000002</v>
      </c>
    </row>
    <row r="595" spans="1:4">
      <c r="A595">
        <v>594</v>
      </c>
      <c r="B595">
        <v>158619.2536</v>
      </c>
      <c r="C595">
        <v>14346.440699999999</v>
      </c>
      <c r="D595">
        <v>399437.10720000003</v>
      </c>
    </row>
    <row r="596" spans="1:4">
      <c r="A596">
        <v>595</v>
      </c>
      <c r="B596">
        <v>166604.98929999999</v>
      </c>
      <c r="C596">
        <v>15529.6859</v>
      </c>
      <c r="D596">
        <v>313685.10070000001</v>
      </c>
    </row>
    <row r="597" spans="1:4">
      <c r="A597">
        <v>596</v>
      </c>
      <c r="B597">
        <v>165554.11900000001</v>
      </c>
      <c r="C597">
        <v>13326.4292</v>
      </c>
      <c r="D597">
        <v>387613.50459999999</v>
      </c>
    </row>
    <row r="598" spans="1:4">
      <c r="A598">
        <v>597</v>
      </c>
      <c r="B598">
        <v>174591.25330000001</v>
      </c>
      <c r="C598">
        <v>17100.508099999999</v>
      </c>
      <c r="D598">
        <v>367672.15279999998</v>
      </c>
    </row>
    <row r="599" spans="1:4">
      <c r="A599">
        <v>598</v>
      </c>
      <c r="B599">
        <v>173041.3756</v>
      </c>
      <c r="C599">
        <v>16813.654500000001</v>
      </c>
      <c r="D599">
        <v>320465.99739999999</v>
      </c>
    </row>
    <row r="600" spans="1:4">
      <c r="A600">
        <v>599</v>
      </c>
      <c r="B600">
        <v>174094.26629999999</v>
      </c>
      <c r="C600">
        <v>6530.1220000000003</v>
      </c>
      <c r="D600">
        <v>337505.76650000003</v>
      </c>
    </row>
    <row r="601" spans="1:4">
      <c r="A601">
        <v>600</v>
      </c>
      <c r="B601">
        <v>167971.12789999999</v>
      </c>
      <c r="C601">
        <v>9153.8312999999998</v>
      </c>
      <c r="D601">
        <v>406904.5392</v>
      </c>
    </row>
    <row r="602" spans="1:4">
      <c r="A602">
        <v>601</v>
      </c>
      <c r="B602">
        <v>155196.08900000001</v>
      </c>
      <c r="C602">
        <v>7962.5621000000001</v>
      </c>
      <c r="D602">
        <v>272879.93150000001</v>
      </c>
    </row>
    <row r="603" spans="1:4">
      <c r="A603">
        <v>602</v>
      </c>
      <c r="B603">
        <v>171395.12289999999</v>
      </c>
      <c r="C603">
        <v>6848.0658999999996</v>
      </c>
      <c r="D603">
        <v>350427.27490000002</v>
      </c>
    </row>
    <row r="604" spans="1:4">
      <c r="A604">
        <v>603</v>
      </c>
      <c r="B604">
        <v>160233.85819999999</v>
      </c>
      <c r="C604">
        <v>6110.3064999999997</v>
      </c>
      <c r="D604">
        <v>269616.19040000002</v>
      </c>
    </row>
    <row r="605" spans="1:4">
      <c r="A605">
        <v>604</v>
      </c>
      <c r="B605">
        <v>169527.56280000001</v>
      </c>
      <c r="C605">
        <v>12445.3338</v>
      </c>
      <c r="D605">
        <v>288539.84499999997</v>
      </c>
    </row>
    <row r="606" spans="1:4">
      <c r="A606">
        <v>605</v>
      </c>
      <c r="B606">
        <v>158102.14780000001</v>
      </c>
      <c r="C606">
        <v>5345.7969000000003</v>
      </c>
      <c r="D606">
        <v>360344.36300000001</v>
      </c>
    </row>
    <row r="607" spans="1:4">
      <c r="A607">
        <v>606</v>
      </c>
      <c r="B607">
        <v>170383.50380000001</v>
      </c>
      <c r="C607">
        <v>7813.0452999999998</v>
      </c>
      <c r="D607">
        <v>323554.66440000001</v>
      </c>
    </row>
    <row r="608" spans="1:4">
      <c r="A608">
        <v>607</v>
      </c>
      <c r="B608">
        <v>158380.78400000001</v>
      </c>
      <c r="C608">
        <v>4794.3459000000003</v>
      </c>
      <c r="D608">
        <v>321600.47940000001</v>
      </c>
    </row>
    <row r="609" spans="1:4">
      <c r="A609">
        <v>608</v>
      </c>
      <c r="B609">
        <v>161244.2843</v>
      </c>
      <c r="C609">
        <v>9170.8047999999999</v>
      </c>
      <c r="D609">
        <v>337030.03570000001</v>
      </c>
    </row>
    <row r="610" spans="1:4">
      <c r="A610">
        <v>609</v>
      </c>
      <c r="B610">
        <v>161329.53419999999</v>
      </c>
      <c r="C610">
        <v>10806.543299999999</v>
      </c>
      <c r="D610">
        <v>287048.32770000002</v>
      </c>
    </row>
    <row r="611" spans="1:4">
      <c r="A611">
        <v>610</v>
      </c>
      <c r="B611">
        <v>162525.58069999999</v>
      </c>
      <c r="C611">
        <v>8203.8948</v>
      </c>
      <c r="D611">
        <v>291274.63189999998</v>
      </c>
    </row>
    <row r="612" spans="1:4">
      <c r="A612">
        <v>611</v>
      </c>
      <c r="B612">
        <v>161540.41440000001</v>
      </c>
      <c r="C612">
        <v>5260.3656000000001</v>
      </c>
      <c r="D612">
        <v>318277.84139999998</v>
      </c>
    </row>
    <row r="613" spans="1:4">
      <c r="A613">
        <v>612</v>
      </c>
      <c r="B613">
        <v>159984.66630000001</v>
      </c>
      <c r="C613">
        <v>9557.9542999999994</v>
      </c>
      <c r="D613">
        <v>304463.10359999997</v>
      </c>
    </row>
    <row r="614" spans="1:4">
      <c r="A614">
        <v>613</v>
      </c>
      <c r="B614">
        <v>153761.4621</v>
      </c>
      <c r="C614">
        <v>4207.4189999999999</v>
      </c>
      <c r="D614">
        <v>289947.20549999998</v>
      </c>
    </row>
    <row r="615" spans="1:4">
      <c r="A615">
        <v>614</v>
      </c>
      <c r="B615">
        <v>171543.10190000001</v>
      </c>
      <c r="C615">
        <v>13224.3336</v>
      </c>
      <c r="D615">
        <v>454321.821</v>
      </c>
    </row>
    <row r="616" spans="1:4">
      <c r="A616">
        <v>615</v>
      </c>
      <c r="B616">
        <v>159729.55850000001</v>
      </c>
      <c r="C616">
        <v>8384.2656000000006</v>
      </c>
      <c r="D616">
        <v>424427.46029999998</v>
      </c>
    </row>
    <row r="617" spans="1:4">
      <c r="A617">
        <v>616</v>
      </c>
      <c r="B617">
        <v>161643.9473</v>
      </c>
      <c r="C617">
        <v>11160.168600000001</v>
      </c>
      <c r="D617">
        <v>285109.87709999998</v>
      </c>
    </row>
    <row r="618" spans="1:4">
      <c r="A618">
        <v>617</v>
      </c>
      <c r="B618">
        <v>171535.58900000001</v>
      </c>
      <c r="C618">
        <v>7927.6882999999998</v>
      </c>
      <c r="D618">
        <v>329129.18459999998</v>
      </c>
    </row>
    <row r="619" spans="1:4">
      <c r="A619">
        <v>618</v>
      </c>
      <c r="B619">
        <v>173024.4762</v>
      </c>
      <c r="C619">
        <v>6790.5051999999996</v>
      </c>
      <c r="D619">
        <v>361402.6519</v>
      </c>
    </row>
    <row r="620" spans="1:4">
      <c r="A620">
        <v>619</v>
      </c>
      <c r="B620">
        <v>172013.06340000001</v>
      </c>
      <c r="C620">
        <v>8288.7896999999994</v>
      </c>
      <c r="D620">
        <v>331508.4143</v>
      </c>
    </row>
    <row r="621" spans="1:4">
      <c r="A621">
        <v>620</v>
      </c>
      <c r="B621">
        <v>162867.361</v>
      </c>
      <c r="C621">
        <v>5510.8876</v>
      </c>
      <c r="D621">
        <v>275176.00290000002</v>
      </c>
    </row>
    <row r="622" spans="1:4">
      <c r="A622">
        <v>621</v>
      </c>
      <c r="B622">
        <v>190463.5914</v>
      </c>
      <c r="C622">
        <v>6869.5538999999999</v>
      </c>
      <c r="D622">
        <v>294721.46600000001</v>
      </c>
    </row>
    <row r="623" spans="1:4">
      <c r="A623">
        <v>622</v>
      </c>
      <c r="B623">
        <v>183751.26370000001</v>
      </c>
      <c r="C623">
        <v>8234.0544000000009</v>
      </c>
      <c r="D623">
        <v>304662.57079999999</v>
      </c>
    </row>
    <row r="624" spans="1:4">
      <c r="A624">
        <v>623</v>
      </c>
      <c r="B624">
        <v>154993.3512</v>
      </c>
      <c r="C624">
        <v>7143.9381999999996</v>
      </c>
      <c r="D624">
        <v>324993.79840000003</v>
      </c>
    </row>
    <row r="625" spans="1:4">
      <c r="A625">
        <v>624</v>
      </c>
      <c r="B625">
        <v>158967.1551</v>
      </c>
      <c r="C625">
        <v>9600.0288</v>
      </c>
      <c r="D625">
        <v>350982.40700000001</v>
      </c>
    </row>
    <row r="626" spans="1:4">
      <c r="A626">
        <v>625</v>
      </c>
      <c r="B626">
        <v>167679.44589999999</v>
      </c>
      <c r="C626">
        <v>9102.4020999999993</v>
      </c>
      <c r="D626">
        <v>332471.2573</v>
      </c>
    </row>
    <row r="627" spans="1:4">
      <c r="A627">
        <v>626</v>
      </c>
      <c r="B627">
        <v>162422.91990000001</v>
      </c>
      <c r="C627">
        <v>6833.4494999999997</v>
      </c>
      <c r="D627">
        <v>277038.94219999999</v>
      </c>
    </row>
    <row r="628" spans="1:4">
      <c r="A628">
        <v>627</v>
      </c>
      <c r="B628">
        <v>165751.65669999999</v>
      </c>
      <c r="C628">
        <v>12560.474099999999</v>
      </c>
      <c r="D628">
        <v>350306.36479999998</v>
      </c>
    </row>
    <row r="629" spans="1:4">
      <c r="A629">
        <v>628</v>
      </c>
      <c r="B629">
        <v>162845.47820000001</v>
      </c>
      <c r="C629">
        <v>8153.6135000000004</v>
      </c>
      <c r="D629">
        <v>362553.63089999999</v>
      </c>
    </row>
    <row r="630" spans="1:4">
      <c r="A630">
        <v>629</v>
      </c>
      <c r="B630">
        <v>163850.0802</v>
      </c>
      <c r="C630">
        <v>6678.0785999999998</v>
      </c>
      <c r="D630">
        <v>374649.05109999998</v>
      </c>
    </row>
    <row r="631" spans="1:4">
      <c r="A631">
        <v>630</v>
      </c>
      <c r="B631">
        <v>169324.61900000001</v>
      </c>
      <c r="C631">
        <v>9672.4892999999993</v>
      </c>
      <c r="D631">
        <v>390958.15549999999</v>
      </c>
    </row>
    <row r="632" spans="1:4">
      <c r="A632">
        <v>631</v>
      </c>
      <c r="B632">
        <v>164297.46969999999</v>
      </c>
      <c r="C632">
        <v>7874.2184999999999</v>
      </c>
      <c r="D632">
        <v>383800.01409999997</v>
      </c>
    </row>
    <row r="633" spans="1:4">
      <c r="A633">
        <v>632</v>
      </c>
      <c r="B633">
        <v>171874.0289</v>
      </c>
      <c r="C633">
        <v>10253.7374</v>
      </c>
      <c r="D633">
        <v>279749.2023</v>
      </c>
    </row>
    <row r="634" spans="1:4">
      <c r="A634">
        <v>633</v>
      </c>
      <c r="B634">
        <v>173375.01610000001</v>
      </c>
      <c r="C634">
        <v>8369.7952000000005</v>
      </c>
      <c r="D634">
        <v>363854.44040000002</v>
      </c>
    </row>
    <row r="635" spans="1:4">
      <c r="A635">
        <v>634</v>
      </c>
      <c r="B635">
        <v>162223.33970000001</v>
      </c>
      <c r="C635">
        <v>13544.033799999999</v>
      </c>
      <c r="D635">
        <v>305403.79960000003</v>
      </c>
    </row>
    <row r="636" spans="1:4">
      <c r="A636">
        <v>635</v>
      </c>
      <c r="B636">
        <v>166204.85449999999</v>
      </c>
      <c r="C636">
        <v>11580.527700000001</v>
      </c>
      <c r="D636">
        <v>272664.185</v>
      </c>
    </row>
    <row r="637" spans="1:4">
      <c r="A637">
        <v>636</v>
      </c>
      <c r="B637">
        <v>164048.8714</v>
      </c>
      <c r="C637">
        <v>9897.3371000000006</v>
      </c>
      <c r="D637">
        <v>339128.91769999999</v>
      </c>
    </row>
    <row r="638" spans="1:4">
      <c r="A638">
        <v>637</v>
      </c>
      <c r="B638">
        <v>165409.18229999999</v>
      </c>
      <c r="C638">
        <v>15025.6685</v>
      </c>
      <c r="D638">
        <v>389979.18050000002</v>
      </c>
    </row>
    <row r="639" spans="1:4">
      <c r="A639">
        <v>638</v>
      </c>
      <c r="B639">
        <v>165921.37719999999</v>
      </c>
      <c r="C639">
        <v>13543.022499999999</v>
      </c>
      <c r="D639">
        <v>374471.57280000002</v>
      </c>
    </row>
    <row r="640" spans="1:4">
      <c r="A640">
        <v>639</v>
      </c>
      <c r="B640">
        <v>160341.777</v>
      </c>
      <c r="C640">
        <v>12302.563200000001</v>
      </c>
      <c r="D640">
        <v>298279.0907</v>
      </c>
    </row>
    <row r="641" spans="1:4">
      <c r="A641">
        <v>640</v>
      </c>
      <c r="B641">
        <v>171119.21539999999</v>
      </c>
      <c r="C641">
        <v>18380.764999999999</v>
      </c>
      <c r="D641">
        <v>404765.51949999999</v>
      </c>
    </row>
    <row r="642" spans="1:4">
      <c r="A642">
        <v>641</v>
      </c>
      <c r="B642">
        <v>175817.40289999999</v>
      </c>
      <c r="C642">
        <v>12171.858200000001</v>
      </c>
      <c r="D642">
        <v>374580.43780000001</v>
      </c>
    </row>
    <row r="643" spans="1:4">
      <c r="A643">
        <v>642</v>
      </c>
      <c r="B643">
        <v>159582.58499999999</v>
      </c>
      <c r="C643">
        <v>14787.968500000001</v>
      </c>
      <c r="D643">
        <v>357705.19579999999</v>
      </c>
    </row>
    <row r="644" spans="1:4">
      <c r="A644">
        <v>643</v>
      </c>
      <c r="B644">
        <v>169303.1054</v>
      </c>
      <c r="C644">
        <v>7582.2442000000001</v>
      </c>
      <c r="D644">
        <v>269973.51929999999</v>
      </c>
    </row>
    <row r="645" spans="1:4">
      <c r="A645">
        <v>644</v>
      </c>
      <c r="B645">
        <v>163832.5099</v>
      </c>
      <c r="C645">
        <v>13931.1865</v>
      </c>
      <c r="D645">
        <v>357663.55200000003</v>
      </c>
    </row>
    <row r="646" spans="1:4">
      <c r="A646">
        <v>645</v>
      </c>
      <c r="B646">
        <v>159743.78339999999</v>
      </c>
      <c r="C646">
        <v>7579.9381999999996</v>
      </c>
      <c r="D646">
        <v>305716.82250000001</v>
      </c>
    </row>
    <row r="647" spans="1:4">
      <c r="A647">
        <v>646</v>
      </c>
      <c r="B647">
        <v>152253.53950000001</v>
      </c>
      <c r="C647">
        <v>8676.9272999999994</v>
      </c>
      <c r="D647">
        <v>346485.92879999999</v>
      </c>
    </row>
    <row r="648" spans="1:4">
      <c r="A648">
        <v>647</v>
      </c>
      <c r="B648">
        <v>175858.25080000001</v>
      </c>
      <c r="C648">
        <v>6459.9165000000003</v>
      </c>
      <c r="D648">
        <v>391248.35110000003</v>
      </c>
    </row>
    <row r="649" spans="1:4">
      <c r="A649">
        <v>648</v>
      </c>
      <c r="B649">
        <v>166030.3504</v>
      </c>
      <c r="C649">
        <v>10640.2526</v>
      </c>
      <c r="D649">
        <v>331281.39610000001</v>
      </c>
    </row>
    <row r="650" spans="1:4">
      <c r="A650">
        <v>649</v>
      </c>
      <c r="B650">
        <v>149338.24110000001</v>
      </c>
      <c r="C650">
        <v>12420.357599999999</v>
      </c>
      <c r="D650">
        <v>287989.3872</v>
      </c>
    </row>
    <row r="651" spans="1:4">
      <c r="A651">
        <v>650</v>
      </c>
      <c r="B651">
        <v>154075.29449999999</v>
      </c>
      <c r="C651">
        <v>5811.2479999999996</v>
      </c>
      <c r="D651">
        <v>352122.58679999999</v>
      </c>
    </row>
    <row r="652" spans="1:4">
      <c r="A652">
        <v>651</v>
      </c>
      <c r="B652">
        <v>156405.50409999999</v>
      </c>
      <c r="C652">
        <v>8523.8652999999995</v>
      </c>
      <c r="D652">
        <v>248712.67110000001</v>
      </c>
    </row>
    <row r="653" spans="1:4">
      <c r="A653">
        <v>652</v>
      </c>
      <c r="B653">
        <v>174416.9362</v>
      </c>
      <c r="C653">
        <v>9544.5815999999995</v>
      </c>
      <c r="D653">
        <v>363905.58899999998</v>
      </c>
    </row>
    <row r="654" spans="1:4">
      <c r="A654">
        <v>653</v>
      </c>
      <c r="B654">
        <v>157130.9172</v>
      </c>
      <c r="C654">
        <v>4217.3964999999998</v>
      </c>
      <c r="D654">
        <v>356739.43859999999</v>
      </c>
    </row>
    <row r="655" spans="1:4">
      <c r="A655">
        <v>654</v>
      </c>
      <c r="B655">
        <v>171142.86240000001</v>
      </c>
      <c r="C655">
        <v>12498.2706</v>
      </c>
      <c r="D655">
        <v>345274.79519999999</v>
      </c>
    </row>
    <row r="656" spans="1:4">
      <c r="A656">
        <v>655</v>
      </c>
      <c r="B656">
        <v>169913.8322</v>
      </c>
      <c r="C656">
        <v>10535.546899999999</v>
      </c>
      <c r="D656">
        <v>409219.43030000001</v>
      </c>
    </row>
    <row r="657" spans="1:4">
      <c r="A657">
        <v>656</v>
      </c>
      <c r="B657">
        <v>158881.49220000001</v>
      </c>
      <c r="C657">
        <v>8010.6614</v>
      </c>
      <c r="D657">
        <v>314334.37190000003</v>
      </c>
    </row>
    <row r="658" spans="1:4">
      <c r="A658">
        <v>657</v>
      </c>
      <c r="B658">
        <v>165123.56580000001</v>
      </c>
      <c r="C658">
        <v>11431.9889</v>
      </c>
      <c r="D658">
        <v>363661.24979999999</v>
      </c>
    </row>
    <row r="659" spans="1:4">
      <c r="A659">
        <v>658</v>
      </c>
      <c r="B659">
        <v>147990.8817</v>
      </c>
      <c r="C659">
        <v>6071.8834999999999</v>
      </c>
      <c r="D659">
        <v>313278.38890000002</v>
      </c>
    </row>
    <row r="660" spans="1:4">
      <c r="A660">
        <v>659</v>
      </c>
      <c r="B660">
        <v>166313.50539999999</v>
      </c>
      <c r="C660">
        <v>6607.8940000000002</v>
      </c>
      <c r="D660">
        <v>299824.31079999998</v>
      </c>
    </row>
    <row r="661" spans="1:4">
      <c r="A661">
        <v>660</v>
      </c>
      <c r="B661">
        <v>162720.92170000001</v>
      </c>
      <c r="C661">
        <v>10919.9576</v>
      </c>
      <c r="D661">
        <v>419398.93859999999</v>
      </c>
    </row>
    <row r="662" spans="1:4">
      <c r="A662">
        <v>661</v>
      </c>
      <c r="B662">
        <v>170312.18530000001</v>
      </c>
      <c r="C662">
        <v>12230.652700000001</v>
      </c>
      <c r="D662">
        <v>278508.04889999999</v>
      </c>
    </row>
    <row r="663" spans="1:4">
      <c r="A663">
        <v>662</v>
      </c>
      <c r="B663">
        <v>163875.17170000001</v>
      </c>
      <c r="C663">
        <v>9837.8651000000009</v>
      </c>
      <c r="D663">
        <v>273083.16210000002</v>
      </c>
    </row>
    <row r="664" spans="1:4">
      <c r="A664">
        <v>663</v>
      </c>
      <c r="B664">
        <v>166646.68770000001</v>
      </c>
      <c r="C664">
        <v>16111.77</v>
      </c>
      <c r="D664">
        <v>347147.94209999999</v>
      </c>
    </row>
    <row r="665" spans="1:4">
      <c r="A665">
        <v>664</v>
      </c>
      <c r="B665">
        <v>170669.89</v>
      </c>
      <c r="C665">
        <v>18256.4987</v>
      </c>
      <c r="D665">
        <v>438466.69679999998</v>
      </c>
    </row>
    <row r="666" spans="1:4">
      <c r="A666">
        <v>665</v>
      </c>
      <c r="B666">
        <v>165825.85560000001</v>
      </c>
      <c r="C666">
        <v>7062.4431000000004</v>
      </c>
      <c r="D666">
        <v>375090.18640000001</v>
      </c>
    </row>
    <row r="667" spans="1:4">
      <c r="A667">
        <v>666</v>
      </c>
      <c r="B667">
        <v>157218.6874</v>
      </c>
      <c r="C667">
        <v>4463.3989000000001</v>
      </c>
      <c r="D667">
        <v>291681.755</v>
      </c>
    </row>
    <row r="668" spans="1:4">
      <c r="A668">
        <v>667</v>
      </c>
      <c r="B668">
        <v>170161.60699999999</v>
      </c>
      <c r="C668">
        <v>7993.8154000000004</v>
      </c>
      <c r="D668">
        <v>365557.60639999999</v>
      </c>
    </row>
    <row r="669" spans="1:4">
      <c r="A669">
        <v>668</v>
      </c>
      <c r="B669">
        <v>169120.2659</v>
      </c>
      <c r="C669">
        <v>10616.7664</v>
      </c>
      <c r="D669">
        <v>295376.43859999999</v>
      </c>
    </row>
    <row r="670" spans="1:4">
      <c r="A670">
        <v>669</v>
      </c>
      <c r="B670">
        <v>160960.60800000001</v>
      </c>
      <c r="C670">
        <v>8176.1376</v>
      </c>
      <c r="D670">
        <v>312877.89840000001</v>
      </c>
    </row>
    <row r="671" spans="1:4">
      <c r="A671">
        <v>670</v>
      </c>
      <c r="B671">
        <v>155983.57130000001</v>
      </c>
      <c r="C671">
        <v>7175.1893</v>
      </c>
      <c r="D671">
        <v>342721.30739999999</v>
      </c>
    </row>
    <row r="672" spans="1:4">
      <c r="A672">
        <v>671</v>
      </c>
      <c r="B672">
        <v>166643.01500000001</v>
      </c>
      <c r="C672">
        <v>5822.3014999999996</v>
      </c>
      <c r="D672">
        <v>268157.17310000001</v>
      </c>
    </row>
    <row r="673" spans="1:4">
      <c r="A673">
        <v>672</v>
      </c>
      <c r="B673">
        <v>167545.43470000001</v>
      </c>
      <c r="C673">
        <v>10177.3197</v>
      </c>
      <c r="D673">
        <v>281911.18410000001</v>
      </c>
    </row>
    <row r="674" spans="1:4">
      <c r="A674">
        <v>673</v>
      </c>
      <c r="B674">
        <v>169438.85310000001</v>
      </c>
      <c r="C674">
        <v>5611.8302000000003</v>
      </c>
      <c r="D674">
        <v>369744.34350000002</v>
      </c>
    </row>
    <row r="675" spans="1:4">
      <c r="A675">
        <v>674</v>
      </c>
      <c r="B675">
        <v>156021.98130000001</v>
      </c>
      <c r="C675">
        <v>12495.1196</v>
      </c>
      <c r="D675">
        <v>403719.29210000002</v>
      </c>
    </row>
    <row r="676" spans="1:4">
      <c r="A676">
        <v>675</v>
      </c>
      <c r="B676">
        <v>185390.63630000001</v>
      </c>
      <c r="C676">
        <v>16856.742600000001</v>
      </c>
      <c r="D676">
        <v>339369.98540000001</v>
      </c>
    </row>
    <row r="677" spans="1:4">
      <c r="A677">
        <v>676</v>
      </c>
      <c r="B677">
        <v>158871.03140000001</v>
      </c>
      <c r="C677">
        <v>6749.8935000000001</v>
      </c>
      <c r="D677">
        <v>251688.00959999999</v>
      </c>
    </row>
    <row r="678" spans="1:4">
      <c r="A678">
        <v>677</v>
      </c>
      <c r="B678">
        <v>169524.33979999999</v>
      </c>
      <c r="C678">
        <v>6191.6625000000004</v>
      </c>
      <c r="D678">
        <v>407175.6029</v>
      </c>
    </row>
    <row r="679" spans="1:4">
      <c r="A679">
        <v>678</v>
      </c>
      <c r="B679">
        <v>151376.00589999999</v>
      </c>
      <c r="C679">
        <v>12223.0471</v>
      </c>
      <c r="D679">
        <v>401225.8174</v>
      </c>
    </row>
    <row r="680" spans="1:4">
      <c r="A680">
        <v>679</v>
      </c>
      <c r="B680">
        <v>168554.7248</v>
      </c>
      <c r="C680">
        <v>12143.0218</v>
      </c>
      <c r="D680">
        <v>316458.08250000002</v>
      </c>
    </row>
    <row r="681" spans="1:4">
      <c r="A681">
        <v>680</v>
      </c>
      <c r="B681">
        <v>181248.1955</v>
      </c>
      <c r="C681">
        <v>16120.003500000001</v>
      </c>
      <c r="D681">
        <v>436180.24070000002</v>
      </c>
    </row>
    <row r="682" spans="1:4">
      <c r="A682">
        <v>681</v>
      </c>
      <c r="B682">
        <v>156355.65830000001</v>
      </c>
      <c r="C682">
        <v>9481.9156999999996</v>
      </c>
      <c r="D682">
        <v>280356.85639999999</v>
      </c>
    </row>
    <row r="683" spans="1:4">
      <c r="A683">
        <v>682</v>
      </c>
      <c r="B683">
        <v>179240.2366</v>
      </c>
      <c r="C683">
        <v>12963.272499999999</v>
      </c>
      <c r="D683">
        <v>359150.40299999999</v>
      </c>
    </row>
    <row r="684" spans="1:4">
      <c r="A684">
        <v>683</v>
      </c>
      <c r="B684">
        <v>164150.77919999999</v>
      </c>
      <c r="C684">
        <v>5726.6054999999997</v>
      </c>
      <c r="D684">
        <v>297981.73940000002</v>
      </c>
    </row>
    <row r="685" spans="1:4">
      <c r="A685">
        <v>684</v>
      </c>
      <c r="B685">
        <v>168085.45319999999</v>
      </c>
      <c r="C685">
        <v>9124.9161000000004</v>
      </c>
      <c r="D685">
        <v>382634.1397</v>
      </c>
    </row>
    <row r="686" spans="1:4">
      <c r="A686">
        <v>685</v>
      </c>
      <c r="B686">
        <v>167343.63339999999</v>
      </c>
      <c r="C686">
        <v>12315.3127</v>
      </c>
      <c r="D686">
        <v>383280.24800000002</v>
      </c>
    </row>
    <row r="687" spans="1:4">
      <c r="A687">
        <v>686</v>
      </c>
      <c r="B687">
        <v>153746.1176</v>
      </c>
      <c r="C687">
        <v>7030.2816000000003</v>
      </c>
      <c r="D687">
        <v>241279.0472</v>
      </c>
    </row>
    <row r="688" spans="1:4">
      <c r="A688">
        <v>687</v>
      </c>
      <c r="B688">
        <v>165026.99040000001</v>
      </c>
      <c r="C688">
        <v>11711.855100000001</v>
      </c>
      <c r="D688">
        <v>348911.60560000001</v>
      </c>
    </row>
    <row r="689" spans="1:4">
      <c r="A689">
        <v>688</v>
      </c>
      <c r="B689">
        <v>168201.0993</v>
      </c>
      <c r="C689">
        <v>5114.9663</v>
      </c>
      <c r="D689">
        <v>368540.73220000003</v>
      </c>
    </row>
    <row r="690" spans="1:4">
      <c r="A690">
        <v>689</v>
      </c>
      <c r="B690">
        <v>155390.1158</v>
      </c>
      <c r="C690">
        <v>16026.704400000001</v>
      </c>
      <c r="D690">
        <v>352937.11060000001</v>
      </c>
    </row>
    <row r="691" spans="1:4">
      <c r="A691">
        <v>690</v>
      </c>
      <c r="B691">
        <v>156041.77069999999</v>
      </c>
      <c r="C691">
        <v>16150.325999999999</v>
      </c>
      <c r="D691">
        <v>331766.24410000001</v>
      </c>
    </row>
    <row r="692" spans="1:4">
      <c r="A692">
        <v>691</v>
      </c>
      <c r="B692">
        <v>160472.67000000001</v>
      </c>
      <c r="C692">
        <v>5429.6976000000004</v>
      </c>
      <c r="D692">
        <v>306049.16470000002</v>
      </c>
    </row>
    <row r="693" spans="1:4">
      <c r="A693">
        <v>692</v>
      </c>
      <c r="B693">
        <v>158650.00880000001</v>
      </c>
      <c r="C693">
        <v>7455.7412999999997</v>
      </c>
      <c r="D693">
        <v>387426.55560000002</v>
      </c>
    </row>
    <row r="694" spans="1:4">
      <c r="A694">
        <v>693</v>
      </c>
      <c r="B694">
        <v>156629.55309999999</v>
      </c>
      <c r="C694">
        <v>3788.2566999999999</v>
      </c>
      <c r="D694">
        <v>227450.6789</v>
      </c>
    </row>
    <row r="695" spans="1:4">
      <c r="A695">
        <v>694</v>
      </c>
      <c r="B695">
        <v>161032.4859</v>
      </c>
      <c r="C695">
        <v>12390.757900000001</v>
      </c>
      <c r="D695">
        <v>437477.6948</v>
      </c>
    </row>
    <row r="696" spans="1:4">
      <c r="A696">
        <v>695</v>
      </c>
      <c r="B696">
        <v>160110.18859999999</v>
      </c>
      <c r="C696">
        <v>4897.0261</v>
      </c>
      <c r="D696">
        <v>348466.87359999999</v>
      </c>
    </row>
    <row r="697" spans="1:4">
      <c r="A697">
        <v>696</v>
      </c>
      <c r="B697">
        <v>162089.00219999999</v>
      </c>
      <c r="C697">
        <v>11641.2266</v>
      </c>
      <c r="D697">
        <v>305705.28970000002</v>
      </c>
    </row>
    <row r="698" spans="1:4">
      <c r="A698">
        <v>697</v>
      </c>
      <c r="B698">
        <v>176616.0526</v>
      </c>
      <c r="C698">
        <v>5881.4074000000001</v>
      </c>
      <c r="D698">
        <v>293705.33630000002</v>
      </c>
    </row>
    <row r="699" spans="1:4">
      <c r="A699">
        <v>698</v>
      </c>
      <c r="B699">
        <v>180800.2352</v>
      </c>
      <c r="C699">
        <v>5275.7070999999996</v>
      </c>
      <c r="D699">
        <v>359191.7893</v>
      </c>
    </row>
    <row r="700" spans="1:4">
      <c r="A700">
        <v>699</v>
      </c>
      <c r="B700">
        <v>168329.36439999999</v>
      </c>
      <c r="C700">
        <v>10161.0039</v>
      </c>
      <c r="D700">
        <v>286698.64059999998</v>
      </c>
    </row>
    <row r="701" spans="1:4">
      <c r="A701">
        <v>700</v>
      </c>
      <c r="B701">
        <v>149603.01699999999</v>
      </c>
      <c r="C701">
        <v>6829.8607000000002</v>
      </c>
      <c r="D701">
        <v>295757.61570000002</v>
      </c>
    </row>
    <row r="702" spans="1:4">
      <c r="A702">
        <v>701</v>
      </c>
      <c r="B702">
        <v>172139.83240000001</v>
      </c>
      <c r="C702">
        <v>9490.6195000000007</v>
      </c>
      <c r="D702">
        <v>290111.28110000002</v>
      </c>
    </row>
    <row r="703" spans="1:4">
      <c r="A703">
        <v>702</v>
      </c>
      <c r="B703">
        <v>163659.5618</v>
      </c>
      <c r="C703">
        <v>6854.3190000000004</v>
      </c>
      <c r="D703">
        <v>259817.7838</v>
      </c>
    </row>
    <row r="704" spans="1:4">
      <c r="A704">
        <v>703</v>
      </c>
      <c r="B704">
        <v>158193.12839999999</v>
      </c>
      <c r="C704">
        <v>11325.1829</v>
      </c>
      <c r="D704">
        <v>337505.82169999997</v>
      </c>
    </row>
    <row r="705" spans="1:4">
      <c r="A705">
        <v>704</v>
      </c>
      <c r="B705">
        <v>167824.5871</v>
      </c>
      <c r="C705">
        <v>5999.4387999999999</v>
      </c>
      <c r="D705">
        <v>265179.4449</v>
      </c>
    </row>
    <row r="706" spans="1:4">
      <c r="A706">
        <v>705</v>
      </c>
      <c r="B706">
        <v>163672.3518</v>
      </c>
      <c r="C706">
        <v>7954.7233999999999</v>
      </c>
      <c r="D706">
        <v>350311.5575</v>
      </c>
    </row>
    <row r="707" spans="1:4">
      <c r="A707">
        <v>706</v>
      </c>
      <c r="B707">
        <v>167779.50889999999</v>
      </c>
      <c r="C707">
        <v>7565.6450999999997</v>
      </c>
      <c r="D707">
        <v>311903.0931</v>
      </c>
    </row>
    <row r="708" spans="1:4">
      <c r="A708">
        <v>707</v>
      </c>
      <c r="B708">
        <v>170198.21520000001</v>
      </c>
      <c r="C708">
        <v>10392.9519</v>
      </c>
      <c r="D708">
        <v>280767.09879999998</v>
      </c>
    </row>
    <row r="709" spans="1:4">
      <c r="A709">
        <v>708</v>
      </c>
      <c r="B709">
        <v>173978.2507</v>
      </c>
      <c r="C709">
        <v>14776.3292</v>
      </c>
      <c r="D709">
        <v>401586.40240000002</v>
      </c>
    </row>
    <row r="710" spans="1:4">
      <c r="A710">
        <v>709</v>
      </c>
      <c r="B710">
        <v>168273.2273</v>
      </c>
      <c r="C710">
        <v>5511.9031999999997</v>
      </c>
      <c r="D710">
        <v>318581.09759999998</v>
      </c>
    </row>
    <row r="711" spans="1:4">
      <c r="A711">
        <v>710</v>
      </c>
      <c r="B711">
        <v>164768.81659999999</v>
      </c>
      <c r="C711">
        <v>9704.7929000000004</v>
      </c>
      <c r="D711">
        <v>332549.45559999999</v>
      </c>
    </row>
    <row r="712" spans="1:4">
      <c r="A712">
        <v>711</v>
      </c>
      <c r="B712">
        <v>166143.88769999999</v>
      </c>
      <c r="C712">
        <v>5981.2883000000002</v>
      </c>
      <c r="D712">
        <v>390400.35639999999</v>
      </c>
    </row>
    <row r="713" spans="1:4">
      <c r="A713">
        <v>712</v>
      </c>
      <c r="B713">
        <v>160710.12760000001</v>
      </c>
      <c r="C713">
        <v>16107.673199999999</v>
      </c>
      <c r="D713">
        <v>289545.3959</v>
      </c>
    </row>
    <row r="714" spans="1:4">
      <c r="A714">
        <v>713</v>
      </c>
      <c r="B714">
        <v>161324.10889999999</v>
      </c>
      <c r="C714">
        <v>6495.8392999999996</v>
      </c>
      <c r="D714">
        <v>390811.78580000001</v>
      </c>
    </row>
    <row r="715" spans="1:4">
      <c r="A715">
        <v>714</v>
      </c>
      <c r="B715">
        <v>153761.14139999999</v>
      </c>
      <c r="C715">
        <v>13966.4782</v>
      </c>
      <c r="D715">
        <v>263240.80109999998</v>
      </c>
    </row>
    <row r="716" spans="1:4">
      <c r="A716">
        <v>715</v>
      </c>
      <c r="B716">
        <v>163756.30669999999</v>
      </c>
      <c r="C716">
        <v>4914.9237999999996</v>
      </c>
      <c r="D716">
        <v>206851.77600000001</v>
      </c>
    </row>
    <row r="717" spans="1:4">
      <c r="A717">
        <v>716</v>
      </c>
      <c r="B717">
        <v>155438.125</v>
      </c>
      <c r="C717">
        <v>12275.210499999999</v>
      </c>
      <c r="D717">
        <v>312615.45970000001</v>
      </c>
    </row>
    <row r="718" spans="1:4">
      <c r="A718">
        <v>717</v>
      </c>
      <c r="B718">
        <v>167112.6826</v>
      </c>
      <c r="C718">
        <v>9336.1605999999992</v>
      </c>
      <c r="D718">
        <v>387858.24129999999</v>
      </c>
    </row>
    <row r="719" spans="1:4">
      <c r="A719">
        <v>718</v>
      </c>
      <c r="B719">
        <v>156569.50469999999</v>
      </c>
      <c r="C719">
        <v>11598.368700000001</v>
      </c>
      <c r="D719">
        <v>293395.14079999999</v>
      </c>
    </row>
    <row r="720" spans="1:4">
      <c r="A720">
        <v>719</v>
      </c>
      <c r="B720">
        <v>161875.4486</v>
      </c>
      <c r="C720">
        <v>19624.449199999999</v>
      </c>
      <c r="D720">
        <v>357708.65789999999</v>
      </c>
    </row>
    <row r="721" spans="1:4">
      <c r="A721">
        <v>720</v>
      </c>
      <c r="B721">
        <v>159646.49650000001</v>
      </c>
      <c r="C721">
        <v>11679.175800000001</v>
      </c>
      <c r="D721">
        <v>318845.01510000002</v>
      </c>
    </row>
    <row r="722" spans="1:4">
      <c r="A722">
        <v>721</v>
      </c>
      <c r="B722">
        <v>170660.29870000001</v>
      </c>
      <c r="C722">
        <v>15941.2696</v>
      </c>
      <c r="D722">
        <v>355542.97080000001</v>
      </c>
    </row>
    <row r="723" spans="1:4">
      <c r="A723">
        <v>722</v>
      </c>
      <c r="B723">
        <v>166526.30420000001</v>
      </c>
      <c r="C723">
        <v>13768.305899999999</v>
      </c>
      <c r="D723">
        <v>402261.52799999999</v>
      </c>
    </row>
    <row r="724" spans="1:4">
      <c r="A724">
        <v>723</v>
      </c>
      <c r="B724">
        <v>156123.98240000001</v>
      </c>
      <c r="C724">
        <v>12161.5663</v>
      </c>
      <c r="D724">
        <v>332242.7022</v>
      </c>
    </row>
    <row r="725" spans="1:4">
      <c r="A725">
        <v>724</v>
      </c>
      <c r="B725">
        <v>162142.87239999999</v>
      </c>
      <c r="C725">
        <v>8376.4508000000005</v>
      </c>
      <c r="D725">
        <v>432653.24119999999</v>
      </c>
    </row>
    <row r="726" spans="1:4">
      <c r="A726">
        <v>725</v>
      </c>
      <c r="B726">
        <v>156466.4094</v>
      </c>
      <c r="C726">
        <v>10853.458000000001</v>
      </c>
      <c r="D726">
        <v>245559.91039999999</v>
      </c>
    </row>
    <row r="727" spans="1:4">
      <c r="A727">
        <v>726</v>
      </c>
      <c r="B727">
        <v>163750.40710000001</v>
      </c>
      <c r="C727">
        <v>13446.5218</v>
      </c>
      <c r="D727">
        <v>327574.86369999999</v>
      </c>
    </row>
    <row r="728" spans="1:4">
      <c r="A728">
        <v>727</v>
      </c>
      <c r="B728">
        <v>168844.5865</v>
      </c>
      <c r="C728">
        <v>11552.181</v>
      </c>
      <c r="D728">
        <v>313924.69510000001</v>
      </c>
    </row>
    <row r="729" spans="1:4">
      <c r="A729">
        <v>728</v>
      </c>
      <c r="B729">
        <v>152515.75399999999</v>
      </c>
      <c r="C729">
        <v>9090.9743999999992</v>
      </c>
      <c r="D729">
        <v>282531.33439999999</v>
      </c>
    </row>
    <row r="730" spans="1:4">
      <c r="A730">
        <v>729</v>
      </c>
      <c r="B730">
        <v>179901.67619999999</v>
      </c>
      <c r="C730">
        <v>13412.7541</v>
      </c>
      <c r="D730">
        <v>397793.34509999998</v>
      </c>
    </row>
    <row r="731" spans="1:4">
      <c r="A731">
        <v>730</v>
      </c>
      <c r="B731">
        <v>149917.24</v>
      </c>
      <c r="C731">
        <v>11092.8014</v>
      </c>
      <c r="D731">
        <v>349509.321</v>
      </c>
    </row>
    <row r="732" spans="1:4">
      <c r="A732">
        <v>731</v>
      </c>
      <c r="B732">
        <v>167422.97229999999</v>
      </c>
      <c r="C732">
        <v>6569.5321999999996</v>
      </c>
      <c r="D732">
        <v>310305.52789999999</v>
      </c>
    </row>
    <row r="733" spans="1:4">
      <c r="A733">
        <v>732</v>
      </c>
      <c r="B733">
        <v>181731.79209999999</v>
      </c>
      <c r="C733">
        <v>12374.230600000001</v>
      </c>
      <c r="D733">
        <v>384207.03210000001</v>
      </c>
    </row>
    <row r="734" spans="1:4">
      <c r="A734">
        <v>733</v>
      </c>
      <c r="B734">
        <v>171621.81289999999</v>
      </c>
      <c r="C734">
        <v>7180.4781999999996</v>
      </c>
      <c r="D734">
        <v>388854.92499999999</v>
      </c>
    </row>
    <row r="735" spans="1:4">
      <c r="A735">
        <v>734</v>
      </c>
      <c r="B735">
        <v>159913.62160000001</v>
      </c>
      <c r="C735">
        <v>6848.1567999999997</v>
      </c>
      <c r="D735">
        <v>249138.9314</v>
      </c>
    </row>
    <row r="736" spans="1:4">
      <c r="A736">
        <v>735</v>
      </c>
      <c r="B736">
        <v>170523.32190000001</v>
      </c>
      <c r="C736">
        <v>10973.070599999999</v>
      </c>
      <c r="D736">
        <v>322590.2254</v>
      </c>
    </row>
    <row r="737" spans="1:4">
      <c r="A737">
        <v>736</v>
      </c>
      <c r="B737">
        <v>162340.1207</v>
      </c>
      <c r="C737">
        <v>8512.4508000000005</v>
      </c>
      <c r="D737">
        <v>259641.0606</v>
      </c>
    </row>
    <row r="738" spans="1:4">
      <c r="A738">
        <v>737</v>
      </c>
      <c r="B738">
        <v>167968.33590000001</v>
      </c>
      <c r="C738">
        <v>11603.865</v>
      </c>
      <c r="D738">
        <v>346893.2059</v>
      </c>
    </row>
    <row r="739" spans="1:4">
      <c r="A739">
        <v>738</v>
      </c>
      <c r="B739">
        <v>165234.56890000001</v>
      </c>
      <c r="C739">
        <v>9402.9953000000005</v>
      </c>
      <c r="D739">
        <v>344276.77169999998</v>
      </c>
    </row>
    <row r="740" spans="1:4">
      <c r="A740">
        <v>739</v>
      </c>
      <c r="B740">
        <v>156418.40229999999</v>
      </c>
      <c r="C740">
        <v>7452.5987999999998</v>
      </c>
      <c r="D740">
        <v>305427.2145</v>
      </c>
    </row>
    <row r="741" spans="1:4">
      <c r="A741">
        <v>740</v>
      </c>
      <c r="B741">
        <v>167325.79810000001</v>
      </c>
      <c r="C741">
        <v>8700.7785000000003</v>
      </c>
      <c r="D741">
        <v>390561.43979999999</v>
      </c>
    </row>
    <row r="742" spans="1:4">
      <c r="A742">
        <v>741</v>
      </c>
      <c r="B742">
        <v>155371.41829999999</v>
      </c>
      <c r="C742">
        <v>11804.734200000001</v>
      </c>
      <c r="D742">
        <v>378140.1433</v>
      </c>
    </row>
    <row r="743" spans="1:4">
      <c r="A743">
        <v>742</v>
      </c>
      <c r="B743">
        <v>169709.12469999999</v>
      </c>
      <c r="C743">
        <v>12026.0834</v>
      </c>
      <c r="D743">
        <v>473614.57819999999</v>
      </c>
    </row>
    <row r="744" spans="1:4">
      <c r="A744">
        <v>743</v>
      </c>
      <c r="B744">
        <v>157487.3903</v>
      </c>
      <c r="C744">
        <v>12478.6754</v>
      </c>
      <c r="D744">
        <v>333320.29859999998</v>
      </c>
    </row>
    <row r="745" spans="1:4">
      <c r="A745">
        <v>744</v>
      </c>
      <c r="B745">
        <v>157187.10269999999</v>
      </c>
      <c r="C745">
        <v>5323.0535</v>
      </c>
      <c r="D745">
        <v>250960.18229999999</v>
      </c>
    </row>
    <row r="746" spans="1:4">
      <c r="A746">
        <v>745</v>
      </c>
      <c r="B746">
        <v>163732.19589999999</v>
      </c>
      <c r="C746">
        <v>6790.0652</v>
      </c>
      <c r="D746">
        <v>271416.86070000002</v>
      </c>
    </row>
    <row r="747" spans="1:4">
      <c r="A747">
        <v>746</v>
      </c>
      <c r="B747">
        <v>161233.90150000001</v>
      </c>
      <c r="C747">
        <v>11017.792100000001</v>
      </c>
      <c r="D747">
        <v>274004.36619999999</v>
      </c>
    </row>
    <row r="748" spans="1:4">
      <c r="A748">
        <v>747</v>
      </c>
      <c r="B748">
        <v>172359.87109999999</v>
      </c>
      <c r="C748">
        <v>7987.7721000000001</v>
      </c>
      <c r="D748">
        <v>360755.82410000003</v>
      </c>
    </row>
    <row r="749" spans="1:4">
      <c r="A749">
        <v>748</v>
      </c>
      <c r="B749">
        <v>171509.65650000001</v>
      </c>
      <c r="C749">
        <v>9485.4974000000002</v>
      </c>
      <c r="D749">
        <v>440647.95140000002</v>
      </c>
    </row>
    <row r="750" spans="1:4">
      <c r="A750">
        <v>749</v>
      </c>
      <c r="B750">
        <v>162103.78950000001</v>
      </c>
      <c r="C750">
        <v>14698.7736</v>
      </c>
      <c r="D750">
        <v>337901.27220000001</v>
      </c>
    </row>
    <row r="751" spans="1:4">
      <c r="A751">
        <v>750</v>
      </c>
      <c r="B751">
        <v>176410.8805</v>
      </c>
      <c r="C751">
        <v>17439.850399999999</v>
      </c>
      <c r="D751">
        <v>384528.23869999999</v>
      </c>
    </row>
    <row r="752" spans="1:4">
      <c r="A752">
        <v>751</v>
      </c>
      <c r="B752">
        <v>157750.38500000001</v>
      </c>
      <c r="C752">
        <v>8280.5079000000005</v>
      </c>
      <c r="D752">
        <v>275250.30989999999</v>
      </c>
    </row>
    <row r="753" spans="1:4">
      <c r="A753">
        <v>752</v>
      </c>
      <c r="B753">
        <v>160341.19190000001</v>
      </c>
      <c r="C753">
        <v>6161.4627</v>
      </c>
      <c r="D753">
        <v>263625.95669999998</v>
      </c>
    </row>
    <row r="754" spans="1:4">
      <c r="A754">
        <v>753</v>
      </c>
      <c r="B754">
        <v>161258.7015</v>
      </c>
      <c r="C754">
        <v>6976.4507000000003</v>
      </c>
      <c r="D754">
        <v>369085.77419999999</v>
      </c>
    </row>
    <row r="755" spans="1:4">
      <c r="A755">
        <v>754</v>
      </c>
      <c r="B755">
        <v>157672.69190000001</v>
      </c>
      <c r="C755">
        <v>6936.9408999999996</v>
      </c>
      <c r="D755">
        <v>386893.08669999999</v>
      </c>
    </row>
    <row r="756" spans="1:4">
      <c r="A756">
        <v>755</v>
      </c>
      <c r="B756">
        <v>171485.22159999999</v>
      </c>
      <c r="C756">
        <v>10500.163200000001</v>
      </c>
      <c r="D756">
        <v>337447.83319999999</v>
      </c>
    </row>
    <row r="757" spans="1:4">
      <c r="A757">
        <v>756</v>
      </c>
      <c r="B757">
        <v>171781.0551</v>
      </c>
      <c r="C757">
        <v>9338.2842000000001</v>
      </c>
      <c r="D757">
        <v>299541.81760000001</v>
      </c>
    </row>
    <row r="758" spans="1:4">
      <c r="A758">
        <v>757</v>
      </c>
      <c r="B758">
        <v>162002.37270000001</v>
      </c>
      <c r="C758">
        <v>8506.6332000000002</v>
      </c>
      <c r="D758">
        <v>373063.16019999998</v>
      </c>
    </row>
    <row r="759" spans="1:4">
      <c r="A759">
        <v>758</v>
      </c>
      <c r="B759">
        <v>152697.2121</v>
      </c>
      <c r="C759">
        <v>11559.0406</v>
      </c>
      <c r="D759">
        <v>286229.95679999999</v>
      </c>
    </row>
    <row r="760" spans="1:4">
      <c r="A760">
        <v>759</v>
      </c>
      <c r="B760">
        <v>161950.20319999999</v>
      </c>
      <c r="C760">
        <v>8589.0761999999995</v>
      </c>
      <c r="D760">
        <v>309634.20649999997</v>
      </c>
    </row>
    <row r="761" spans="1:4">
      <c r="A761">
        <v>760</v>
      </c>
      <c r="B761">
        <v>152896.82930000001</v>
      </c>
      <c r="C761">
        <v>5606.6025</v>
      </c>
      <c r="D761">
        <v>319468.25329999998</v>
      </c>
    </row>
    <row r="762" spans="1:4">
      <c r="A762">
        <v>761</v>
      </c>
      <c r="B762">
        <v>169436.74400000001</v>
      </c>
      <c r="C762">
        <v>6408.7043000000003</v>
      </c>
      <c r="D762">
        <v>323296.84250000003</v>
      </c>
    </row>
    <row r="763" spans="1:4">
      <c r="A763">
        <v>762</v>
      </c>
      <c r="B763">
        <v>159564.11790000001</v>
      </c>
      <c r="C763">
        <v>9818.7396000000008</v>
      </c>
      <c r="D763">
        <v>421344.10239999997</v>
      </c>
    </row>
    <row r="764" spans="1:4">
      <c r="A764">
        <v>763</v>
      </c>
      <c r="B764">
        <v>160730.36290000001</v>
      </c>
      <c r="C764">
        <v>4470.6646000000001</v>
      </c>
      <c r="D764">
        <v>358070.48300000001</v>
      </c>
    </row>
    <row r="765" spans="1:4">
      <c r="A765">
        <v>764</v>
      </c>
      <c r="B765">
        <v>172372.91699999999</v>
      </c>
      <c r="C765">
        <v>7099.085</v>
      </c>
      <c r="D765">
        <v>281284.03519999998</v>
      </c>
    </row>
    <row r="766" spans="1:4">
      <c r="A766">
        <v>765</v>
      </c>
      <c r="B766">
        <v>172752.98190000001</v>
      </c>
      <c r="C766">
        <v>7837.2668000000003</v>
      </c>
      <c r="D766">
        <v>328826.51530000003</v>
      </c>
    </row>
    <row r="767" spans="1:4">
      <c r="A767">
        <v>766</v>
      </c>
      <c r="B767">
        <v>158891.3585</v>
      </c>
      <c r="C767">
        <v>8178.8098</v>
      </c>
      <c r="D767">
        <v>390235.40120000002</v>
      </c>
    </row>
    <row r="768" spans="1:4">
      <c r="A768">
        <v>767</v>
      </c>
      <c r="B768">
        <v>160363.07370000001</v>
      </c>
      <c r="C768">
        <v>8314.8727999999992</v>
      </c>
      <c r="D768">
        <v>260046.6918</v>
      </c>
    </row>
    <row r="769" spans="1:4">
      <c r="A769">
        <v>768</v>
      </c>
      <c r="B769">
        <v>156375.13070000001</v>
      </c>
      <c r="C769">
        <v>7670.1188000000002</v>
      </c>
      <c r="D769">
        <v>329333.46539999999</v>
      </c>
    </row>
    <row r="770" spans="1:4">
      <c r="A770">
        <v>769</v>
      </c>
      <c r="B770">
        <v>161684.08540000001</v>
      </c>
      <c r="C770">
        <v>7590.6111000000001</v>
      </c>
      <c r="D770">
        <v>221145.48199999999</v>
      </c>
    </row>
    <row r="771" spans="1:4">
      <c r="A771">
        <v>770</v>
      </c>
      <c r="B771">
        <v>162069.2403</v>
      </c>
      <c r="C771">
        <v>9230.5071000000007</v>
      </c>
      <c r="D771">
        <v>346049.34490000003</v>
      </c>
    </row>
    <row r="772" spans="1:4">
      <c r="A772">
        <v>771</v>
      </c>
      <c r="B772">
        <v>159752.7015</v>
      </c>
      <c r="C772">
        <v>9026.3305</v>
      </c>
      <c r="D772">
        <v>319713.69949999999</v>
      </c>
    </row>
    <row r="773" spans="1:4">
      <c r="A773">
        <v>772</v>
      </c>
      <c r="B773">
        <v>167891.94099999999</v>
      </c>
      <c r="C773">
        <v>15328.340899999999</v>
      </c>
      <c r="D773">
        <v>345998.73590000003</v>
      </c>
    </row>
    <row r="774" spans="1:4">
      <c r="A774">
        <v>773</v>
      </c>
      <c r="B774">
        <v>169793.5992</v>
      </c>
      <c r="C774">
        <v>6310.7565999999997</v>
      </c>
      <c r="D774">
        <v>457577.60110000003</v>
      </c>
    </row>
    <row r="775" spans="1:4">
      <c r="A775">
        <v>774</v>
      </c>
      <c r="B775">
        <v>165462.7242</v>
      </c>
      <c r="C775">
        <v>6144.0447000000004</v>
      </c>
      <c r="D775">
        <v>441621.91879999998</v>
      </c>
    </row>
    <row r="776" spans="1:4">
      <c r="A776">
        <v>775</v>
      </c>
      <c r="B776">
        <v>174743.66080000001</v>
      </c>
      <c r="C776">
        <v>8764.9788000000008</v>
      </c>
      <c r="D776">
        <v>335373.45</v>
      </c>
    </row>
    <row r="777" spans="1:4">
      <c r="A777">
        <v>776</v>
      </c>
      <c r="B777">
        <v>166843.36859999999</v>
      </c>
      <c r="C777">
        <v>6920.8883999999998</v>
      </c>
      <c r="D777">
        <v>313764.39750000002</v>
      </c>
    </row>
    <row r="778" spans="1:4">
      <c r="A778">
        <v>777</v>
      </c>
      <c r="B778">
        <v>154429.30900000001</v>
      </c>
      <c r="C778">
        <v>9781.0530999999992</v>
      </c>
      <c r="D778">
        <v>313571.20620000002</v>
      </c>
    </row>
    <row r="779" spans="1:4">
      <c r="A779">
        <v>778</v>
      </c>
      <c r="B779">
        <v>167677.97140000001</v>
      </c>
      <c r="C779">
        <v>9360.1352000000006</v>
      </c>
      <c r="D779">
        <v>346601.50229999999</v>
      </c>
    </row>
    <row r="780" spans="1:4">
      <c r="A780">
        <v>779</v>
      </c>
      <c r="B780">
        <v>171914.93900000001</v>
      </c>
      <c r="C780">
        <v>10815.785599999999</v>
      </c>
      <c r="D780">
        <v>309289.16629999998</v>
      </c>
    </row>
    <row r="781" spans="1:4">
      <c r="A781">
        <v>780</v>
      </c>
      <c r="B781">
        <v>169398.7262</v>
      </c>
      <c r="C781">
        <v>7796.9694</v>
      </c>
      <c r="D781">
        <v>472441.99</v>
      </c>
    </row>
    <row r="782" spans="1:4">
      <c r="A782">
        <v>781</v>
      </c>
      <c r="B782">
        <v>159726.649</v>
      </c>
      <c r="C782">
        <v>9508.3001999999997</v>
      </c>
      <c r="D782">
        <v>285504.261</v>
      </c>
    </row>
    <row r="783" spans="1:4">
      <c r="A783">
        <v>782</v>
      </c>
      <c r="B783">
        <v>166846.22380000001</v>
      </c>
      <c r="C783">
        <v>9976.5213999999996</v>
      </c>
      <c r="D783">
        <v>479328.1643</v>
      </c>
    </row>
    <row r="784" spans="1:4">
      <c r="A784">
        <v>783</v>
      </c>
      <c r="B784">
        <v>164851.17939999999</v>
      </c>
      <c r="C784">
        <v>6554.7626</v>
      </c>
      <c r="D784">
        <v>282476.40379999997</v>
      </c>
    </row>
    <row r="785" spans="1:4">
      <c r="A785">
        <v>784</v>
      </c>
      <c r="B785">
        <v>168322.59789999999</v>
      </c>
      <c r="C785">
        <v>10542.197099999999</v>
      </c>
      <c r="D785">
        <v>391644.9363</v>
      </c>
    </row>
    <row r="786" spans="1:4">
      <c r="A786">
        <v>785</v>
      </c>
      <c r="B786">
        <v>168486.68770000001</v>
      </c>
      <c r="C786">
        <v>12717.9912</v>
      </c>
      <c r="D786">
        <v>306630.08260000002</v>
      </c>
    </row>
    <row r="787" spans="1:4">
      <c r="A787">
        <v>786</v>
      </c>
      <c r="B787">
        <v>167068.9952</v>
      </c>
      <c r="C787">
        <v>10316.8747</v>
      </c>
      <c r="D787">
        <v>291381.57270000002</v>
      </c>
    </row>
    <row r="788" spans="1:4">
      <c r="A788">
        <v>787</v>
      </c>
      <c r="B788">
        <v>163048.4742</v>
      </c>
      <c r="C788">
        <v>10242.537200000001</v>
      </c>
      <c r="D788">
        <v>316785.06780000002</v>
      </c>
    </row>
    <row r="789" spans="1:4">
      <c r="A789">
        <v>788</v>
      </c>
      <c r="B789">
        <v>168682.88560000001</v>
      </c>
      <c r="C789">
        <v>6093.7040999999999</v>
      </c>
      <c r="D789">
        <v>300758.74609999999</v>
      </c>
    </row>
    <row r="790" spans="1:4">
      <c r="A790">
        <v>789</v>
      </c>
      <c r="B790">
        <v>163822.8395</v>
      </c>
      <c r="C790">
        <v>5601.2866000000004</v>
      </c>
      <c r="D790">
        <v>259258.16769999999</v>
      </c>
    </row>
    <row r="791" spans="1:4">
      <c r="A791">
        <v>790</v>
      </c>
      <c r="B791">
        <v>164808.54</v>
      </c>
      <c r="C791">
        <v>8347.0586999999996</v>
      </c>
      <c r="D791">
        <v>316380.19160000002</v>
      </c>
    </row>
    <row r="792" spans="1:4">
      <c r="A792">
        <v>791</v>
      </c>
      <c r="B792">
        <v>148495.97690000001</v>
      </c>
      <c r="C792">
        <v>13937.525100000001</v>
      </c>
      <c r="D792">
        <v>315059.66700000002</v>
      </c>
    </row>
    <row r="793" spans="1:4">
      <c r="A793">
        <v>792</v>
      </c>
      <c r="B793">
        <v>158900.2046</v>
      </c>
      <c r="C793">
        <v>6631.0412999999999</v>
      </c>
      <c r="D793">
        <v>260314.19270000001</v>
      </c>
    </row>
    <row r="794" spans="1:4">
      <c r="A794">
        <v>793</v>
      </c>
      <c r="B794">
        <v>173349.86410000001</v>
      </c>
      <c r="C794">
        <v>10300.370699999999</v>
      </c>
      <c r="D794">
        <v>436957.04269999999</v>
      </c>
    </row>
    <row r="795" spans="1:4">
      <c r="A795">
        <v>794</v>
      </c>
      <c r="B795">
        <v>158202.61550000001</v>
      </c>
      <c r="C795">
        <v>6339.2271000000001</v>
      </c>
      <c r="D795">
        <v>345064.9339</v>
      </c>
    </row>
    <row r="796" spans="1:4">
      <c r="A796">
        <v>795</v>
      </c>
      <c r="B796">
        <v>173085.9712</v>
      </c>
      <c r="C796">
        <v>7218.5047000000004</v>
      </c>
      <c r="D796">
        <v>341809.15029999998</v>
      </c>
    </row>
    <row r="797" spans="1:4">
      <c r="A797">
        <v>796</v>
      </c>
      <c r="B797">
        <v>148642.42749999999</v>
      </c>
      <c r="C797">
        <v>8061.2815000000001</v>
      </c>
      <c r="D797">
        <v>291799.38770000002</v>
      </c>
    </row>
    <row r="798" spans="1:4">
      <c r="A798">
        <v>797</v>
      </c>
      <c r="B798">
        <v>164603.5937</v>
      </c>
      <c r="C798">
        <v>17263.0488</v>
      </c>
      <c r="D798">
        <v>384014.8075</v>
      </c>
    </row>
    <row r="799" spans="1:4">
      <c r="A799">
        <v>798</v>
      </c>
      <c r="B799">
        <v>167643.0765</v>
      </c>
      <c r="C799">
        <v>13126.6186</v>
      </c>
      <c r="D799">
        <v>347695.98550000001</v>
      </c>
    </row>
    <row r="800" spans="1:4">
      <c r="A800">
        <v>799</v>
      </c>
      <c r="B800">
        <v>165974.7409</v>
      </c>
      <c r="C800">
        <v>7643.2915999999996</v>
      </c>
      <c r="D800">
        <v>245126.60430000001</v>
      </c>
    </row>
    <row r="801" spans="1:4">
      <c r="A801">
        <v>800</v>
      </c>
      <c r="B801">
        <v>169504.61079999999</v>
      </c>
      <c r="C801">
        <v>8251.1069000000007</v>
      </c>
      <c r="D801">
        <v>468923.33549999999</v>
      </c>
    </row>
    <row r="802" spans="1:4">
      <c r="A802">
        <v>801</v>
      </c>
      <c r="B802">
        <v>165072.26689999999</v>
      </c>
      <c r="C802">
        <v>7749.7826999999997</v>
      </c>
      <c r="D802">
        <v>313741.57339999999</v>
      </c>
    </row>
    <row r="803" spans="1:4">
      <c r="A803">
        <v>802</v>
      </c>
      <c r="B803">
        <v>172854.51850000001</v>
      </c>
      <c r="C803">
        <v>14817.056</v>
      </c>
      <c r="D803">
        <v>313049.14140000002</v>
      </c>
    </row>
    <row r="804" spans="1:4">
      <c r="A804">
        <v>803</v>
      </c>
      <c r="B804">
        <v>171520.916</v>
      </c>
      <c r="C804">
        <v>8485.9195999999993</v>
      </c>
      <c r="D804">
        <v>292901.57449999999</v>
      </c>
    </row>
    <row r="805" spans="1:4">
      <c r="A805">
        <v>804</v>
      </c>
      <c r="B805">
        <v>173190.4571</v>
      </c>
      <c r="C805">
        <v>16805.981899999999</v>
      </c>
      <c r="D805">
        <v>348486.75170000002</v>
      </c>
    </row>
    <row r="806" spans="1:4">
      <c r="A806">
        <v>805</v>
      </c>
      <c r="B806">
        <v>155996.83309999999</v>
      </c>
      <c r="C806">
        <v>8727.5373999999993</v>
      </c>
      <c r="D806">
        <v>287320.29129999998</v>
      </c>
    </row>
    <row r="807" spans="1:4">
      <c r="A807">
        <v>806</v>
      </c>
      <c r="B807">
        <v>163712.4235</v>
      </c>
      <c r="C807">
        <v>8486.5622000000003</v>
      </c>
      <c r="D807">
        <v>334460.51640000002</v>
      </c>
    </row>
    <row r="808" spans="1:4">
      <c r="A808">
        <v>807</v>
      </c>
      <c r="B808">
        <v>165927.6287</v>
      </c>
      <c r="C808">
        <v>14513.3824</v>
      </c>
      <c r="D808">
        <v>345552.90230000002</v>
      </c>
    </row>
    <row r="809" spans="1:4">
      <c r="A809">
        <v>808</v>
      </c>
      <c r="B809">
        <v>162263.753</v>
      </c>
      <c r="C809">
        <v>17141.6198</v>
      </c>
      <c r="D809">
        <v>335235.22989999998</v>
      </c>
    </row>
    <row r="810" spans="1:4">
      <c r="A810">
        <v>809</v>
      </c>
      <c r="B810">
        <v>171522.03959999999</v>
      </c>
      <c r="C810">
        <v>8045.7214999999997</v>
      </c>
      <c r="D810">
        <v>289600.95649999997</v>
      </c>
    </row>
    <row r="811" spans="1:4">
      <c r="A811">
        <v>810</v>
      </c>
      <c r="B811">
        <v>170389.55809999999</v>
      </c>
      <c r="C811">
        <v>10454.884899999999</v>
      </c>
      <c r="D811">
        <v>326362.59769999998</v>
      </c>
    </row>
    <row r="812" spans="1:4">
      <c r="A812">
        <v>811</v>
      </c>
      <c r="B812">
        <v>160413.0202</v>
      </c>
      <c r="C812">
        <v>4155.1145999999999</v>
      </c>
      <c r="D812">
        <v>430651.88400000002</v>
      </c>
    </row>
    <row r="813" spans="1:4">
      <c r="A813">
        <v>812</v>
      </c>
      <c r="B813">
        <v>172195.03700000001</v>
      </c>
      <c r="C813">
        <v>9296.8714999999993</v>
      </c>
      <c r="D813">
        <v>301762.20539999998</v>
      </c>
    </row>
    <row r="814" spans="1:4">
      <c r="A814">
        <v>813</v>
      </c>
      <c r="B814">
        <v>159557.3143</v>
      </c>
      <c r="C814">
        <v>7238.6001999999999</v>
      </c>
      <c r="D814">
        <v>257528.28159999999</v>
      </c>
    </row>
    <row r="815" spans="1:4">
      <c r="A815">
        <v>814</v>
      </c>
      <c r="B815">
        <v>169170.29749999999</v>
      </c>
      <c r="C815">
        <v>7962.6351999999997</v>
      </c>
      <c r="D815">
        <v>284166.54060000001</v>
      </c>
    </row>
    <row r="816" spans="1:4">
      <c r="A816">
        <v>815</v>
      </c>
      <c r="B816">
        <v>178021.61470000001</v>
      </c>
      <c r="C816">
        <v>8302.2366000000002</v>
      </c>
      <c r="D816">
        <v>278464.24550000002</v>
      </c>
    </row>
    <row r="817" spans="1:4">
      <c r="A817">
        <v>816</v>
      </c>
      <c r="B817">
        <v>167185.26579999999</v>
      </c>
      <c r="C817">
        <v>4076.7651000000001</v>
      </c>
      <c r="D817">
        <v>268883.77789999999</v>
      </c>
    </row>
    <row r="818" spans="1:4">
      <c r="A818">
        <v>817</v>
      </c>
      <c r="B818">
        <v>182766.0912</v>
      </c>
      <c r="C818">
        <v>15191.3851</v>
      </c>
      <c r="D818">
        <v>348002.07789999997</v>
      </c>
    </row>
    <row r="819" spans="1:4">
      <c r="A819">
        <v>818</v>
      </c>
      <c r="B819">
        <v>166476.522</v>
      </c>
      <c r="C819">
        <v>11319.1461</v>
      </c>
      <c r="D819">
        <v>230703.54810000001</v>
      </c>
    </row>
    <row r="820" spans="1:4">
      <c r="A820">
        <v>819</v>
      </c>
      <c r="B820">
        <v>164482.321</v>
      </c>
      <c r="C820">
        <v>12956.367899999999</v>
      </c>
      <c r="D820">
        <v>413346.95770000003</v>
      </c>
    </row>
    <row r="821" spans="1:4">
      <c r="A821">
        <v>820</v>
      </c>
      <c r="B821">
        <v>174208.3671</v>
      </c>
      <c r="C821">
        <v>8231.5953000000009</v>
      </c>
      <c r="D821">
        <v>397826.40370000002</v>
      </c>
    </row>
    <row r="822" spans="1:4">
      <c r="A822">
        <v>821</v>
      </c>
      <c r="B822">
        <v>170689.55499999999</v>
      </c>
      <c r="C822">
        <v>17841.8933</v>
      </c>
      <c r="D822">
        <v>377711.27990000002</v>
      </c>
    </row>
    <row r="823" spans="1:4">
      <c r="A823">
        <v>822</v>
      </c>
      <c r="B823">
        <v>160257.56849999999</v>
      </c>
      <c r="C823">
        <v>6709.6118999999999</v>
      </c>
      <c r="D823">
        <v>275209.92310000001</v>
      </c>
    </row>
    <row r="824" spans="1:4">
      <c r="A824">
        <v>823</v>
      </c>
      <c r="B824">
        <v>175255.5189</v>
      </c>
      <c r="C824">
        <v>9996.9210999999996</v>
      </c>
      <c r="D824">
        <v>320926.54940000002</v>
      </c>
    </row>
    <row r="825" spans="1:4">
      <c r="A825">
        <v>824</v>
      </c>
      <c r="B825">
        <v>161978.8046</v>
      </c>
      <c r="C825">
        <v>9060.3546000000006</v>
      </c>
      <c r="D825">
        <v>406229.20779999997</v>
      </c>
    </row>
    <row r="826" spans="1:4">
      <c r="A826">
        <v>825</v>
      </c>
      <c r="B826">
        <v>161143.75330000001</v>
      </c>
      <c r="C826">
        <v>15270.4614</v>
      </c>
      <c r="D826">
        <v>379293.56109999999</v>
      </c>
    </row>
    <row r="827" spans="1:4">
      <c r="A827">
        <v>826</v>
      </c>
      <c r="B827">
        <v>175681.34650000001</v>
      </c>
      <c r="C827">
        <v>19429.898399999998</v>
      </c>
      <c r="D827">
        <v>393456.46309999999</v>
      </c>
    </row>
    <row r="828" spans="1:4">
      <c r="A828">
        <v>827</v>
      </c>
      <c r="B828">
        <v>175883.2904</v>
      </c>
      <c r="C828">
        <v>11086.096</v>
      </c>
      <c r="D828">
        <v>374973.19540000003</v>
      </c>
    </row>
    <row r="829" spans="1:4">
      <c r="A829">
        <v>828</v>
      </c>
      <c r="B829">
        <v>157636.67540000001</v>
      </c>
      <c r="C829">
        <v>7116.8541999999998</v>
      </c>
      <c r="D829">
        <v>279400.5711</v>
      </c>
    </row>
    <row r="830" spans="1:4">
      <c r="A830">
        <v>829</v>
      </c>
      <c r="B830">
        <v>171785.87119999999</v>
      </c>
      <c r="C830">
        <v>6562.4256999999998</v>
      </c>
      <c r="D830">
        <v>345964.0661</v>
      </c>
    </row>
    <row r="831" spans="1:4">
      <c r="A831">
        <v>830</v>
      </c>
      <c r="B831">
        <v>161294.92790000001</v>
      </c>
      <c r="C831">
        <v>7307.625</v>
      </c>
      <c r="D831">
        <v>325525.22629999998</v>
      </c>
    </row>
    <row r="832" spans="1:4">
      <c r="A832">
        <v>831</v>
      </c>
      <c r="B832">
        <v>168513.06950000001</v>
      </c>
      <c r="C832">
        <v>6006.4285</v>
      </c>
      <c r="D832">
        <v>324290.56780000002</v>
      </c>
    </row>
    <row r="833" spans="1:4">
      <c r="A833">
        <v>832</v>
      </c>
      <c r="B833">
        <v>164180.0674</v>
      </c>
      <c r="C833">
        <v>19101.679800000002</v>
      </c>
      <c r="D833">
        <v>353292.41960000002</v>
      </c>
    </row>
    <row r="834" spans="1:4">
      <c r="A834">
        <v>833</v>
      </c>
      <c r="B834">
        <v>165538.60949999999</v>
      </c>
      <c r="C834">
        <v>11834.7467</v>
      </c>
      <c r="D834">
        <v>323050.7991</v>
      </c>
    </row>
    <row r="835" spans="1:4">
      <c r="A835">
        <v>834</v>
      </c>
      <c r="B835">
        <v>158811.46669999999</v>
      </c>
      <c r="C835">
        <v>8087.2002000000002</v>
      </c>
      <c r="D835">
        <v>300973.19130000001</v>
      </c>
    </row>
    <row r="836" spans="1:4">
      <c r="A836">
        <v>835</v>
      </c>
      <c r="B836">
        <v>165778.15580000001</v>
      </c>
      <c r="C836">
        <v>6990.5132999999996</v>
      </c>
      <c r="D836">
        <v>288185.58130000002</v>
      </c>
    </row>
    <row r="837" spans="1:4">
      <c r="A837">
        <v>836</v>
      </c>
      <c r="B837">
        <v>160866.49859999999</v>
      </c>
      <c r="C837">
        <v>12429.9766</v>
      </c>
      <c r="D837">
        <v>364430.1519</v>
      </c>
    </row>
    <row r="838" spans="1:4">
      <c r="A838">
        <v>837</v>
      </c>
      <c r="B838">
        <v>165338.6672</v>
      </c>
      <c r="C838">
        <v>13491.797</v>
      </c>
      <c r="D838">
        <v>318646.15669999999</v>
      </c>
    </row>
    <row r="839" spans="1:4">
      <c r="A839">
        <v>838</v>
      </c>
      <c r="B839">
        <v>170990.2268</v>
      </c>
      <c r="C839">
        <v>9072.1913999999997</v>
      </c>
      <c r="D839">
        <v>260957.7893</v>
      </c>
    </row>
    <row r="840" spans="1:4">
      <c r="A840">
        <v>839</v>
      </c>
      <c r="B840">
        <v>157877.24359999999</v>
      </c>
      <c r="C840">
        <v>15899.6023</v>
      </c>
      <c r="D840">
        <v>366643.76890000002</v>
      </c>
    </row>
    <row r="841" spans="1:4">
      <c r="A841">
        <v>840</v>
      </c>
      <c r="B841">
        <v>182495.42259999999</v>
      </c>
      <c r="C841">
        <v>9433.5702000000001</v>
      </c>
      <c r="D841">
        <v>309246.7107</v>
      </c>
    </row>
    <row r="842" spans="1:4">
      <c r="A842">
        <v>841</v>
      </c>
      <c r="B842">
        <v>159385.5442</v>
      </c>
      <c r="C842">
        <v>11694.232</v>
      </c>
      <c r="D842">
        <v>303092.89559999999</v>
      </c>
    </row>
    <row r="843" spans="1:4">
      <c r="A843">
        <v>842</v>
      </c>
      <c r="B843">
        <v>157913.0264</v>
      </c>
      <c r="C843">
        <v>11793.847100000001</v>
      </c>
      <c r="D843">
        <v>280608.51850000001</v>
      </c>
    </row>
    <row r="844" spans="1:4">
      <c r="A844">
        <v>843</v>
      </c>
      <c r="B844">
        <v>161601.63020000001</v>
      </c>
      <c r="C844">
        <v>10799.543799999999</v>
      </c>
      <c r="D844">
        <v>343086.86070000002</v>
      </c>
    </row>
    <row r="845" spans="1:4">
      <c r="A845">
        <v>844</v>
      </c>
      <c r="B845">
        <v>171260.22020000001</v>
      </c>
      <c r="C845">
        <v>7279.9736000000003</v>
      </c>
      <c r="D845">
        <v>256465.09580000001</v>
      </c>
    </row>
    <row r="846" spans="1:4">
      <c r="A846">
        <v>845</v>
      </c>
      <c r="B846">
        <v>176740.72229999999</v>
      </c>
      <c r="C846">
        <v>10631.052900000001</v>
      </c>
      <c r="D846">
        <v>362430.56780000002</v>
      </c>
    </row>
    <row r="847" spans="1:4">
      <c r="A847">
        <v>846</v>
      </c>
      <c r="B847">
        <v>159597.6017</v>
      </c>
      <c r="C847">
        <v>7573.1007</v>
      </c>
      <c r="D847">
        <v>270286.63410000002</v>
      </c>
    </row>
    <row r="848" spans="1:4">
      <c r="A848">
        <v>847</v>
      </c>
      <c r="B848">
        <v>175548.34820000001</v>
      </c>
      <c r="C848">
        <v>17223.6649</v>
      </c>
      <c r="D848">
        <v>456367.78629999998</v>
      </c>
    </row>
    <row r="849" spans="1:4">
      <c r="A849">
        <v>848</v>
      </c>
      <c r="B849">
        <v>175611.93719999999</v>
      </c>
      <c r="C849">
        <v>12985.4264</v>
      </c>
      <c r="D849">
        <v>329380.94270000001</v>
      </c>
    </row>
    <row r="850" spans="1:4">
      <c r="A850">
        <v>849</v>
      </c>
      <c r="B850">
        <v>163567.28969999999</v>
      </c>
      <c r="C850">
        <v>7206.9049000000005</v>
      </c>
      <c r="D850">
        <v>270692.3775</v>
      </c>
    </row>
    <row r="851" spans="1:4">
      <c r="A851">
        <v>850</v>
      </c>
      <c r="B851">
        <v>163240.4914</v>
      </c>
      <c r="C851">
        <v>11916.683000000001</v>
      </c>
      <c r="D851">
        <v>370411.46139999997</v>
      </c>
    </row>
    <row r="852" spans="1:4">
      <c r="A852">
        <v>851</v>
      </c>
      <c r="B852">
        <v>168612.26319999999</v>
      </c>
      <c r="C852">
        <v>6847.1674999999996</v>
      </c>
      <c r="D852">
        <v>333768.32909999997</v>
      </c>
    </row>
    <row r="853" spans="1:4">
      <c r="A853">
        <v>852</v>
      </c>
      <c r="B853">
        <v>167912.58300000001</v>
      </c>
      <c r="C853">
        <v>15416.5375</v>
      </c>
      <c r="D853">
        <v>316792.43939999997</v>
      </c>
    </row>
    <row r="854" spans="1:4">
      <c r="A854">
        <v>853</v>
      </c>
      <c r="B854">
        <v>168835.33119999999</v>
      </c>
      <c r="C854">
        <v>13433.3356</v>
      </c>
      <c r="D854">
        <v>323734.10600000003</v>
      </c>
    </row>
    <row r="855" spans="1:4">
      <c r="A855">
        <v>854</v>
      </c>
      <c r="B855">
        <v>163105.51490000001</v>
      </c>
      <c r="C855">
        <v>16620.170300000002</v>
      </c>
      <c r="D855">
        <v>329408.31839999999</v>
      </c>
    </row>
    <row r="856" spans="1:4">
      <c r="A856">
        <v>855</v>
      </c>
      <c r="B856">
        <v>169623.53349999999</v>
      </c>
      <c r="C856">
        <v>11394.8208</v>
      </c>
      <c r="D856">
        <v>301669.7377</v>
      </c>
    </row>
    <row r="857" spans="1:4">
      <c r="A857">
        <v>856</v>
      </c>
      <c r="B857">
        <v>159095.53349999999</v>
      </c>
      <c r="C857">
        <v>7744.7866999999997</v>
      </c>
      <c r="D857">
        <v>339575.42680000002</v>
      </c>
    </row>
    <row r="858" spans="1:4">
      <c r="A858">
        <v>857</v>
      </c>
      <c r="B858">
        <v>159239.5025</v>
      </c>
      <c r="C858">
        <v>8033.8060999999998</v>
      </c>
      <c r="D858">
        <v>327756.33760000003</v>
      </c>
    </row>
    <row r="859" spans="1:4">
      <c r="A859">
        <v>858</v>
      </c>
      <c r="B859">
        <v>162049.25219999999</v>
      </c>
      <c r="C859">
        <v>7935.2569999999996</v>
      </c>
      <c r="D859">
        <v>406187.9057</v>
      </c>
    </row>
    <row r="860" spans="1:4">
      <c r="A860">
        <v>859</v>
      </c>
      <c r="B860">
        <v>168103.29689999999</v>
      </c>
      <c r="C860">
        <v>7453.5487999999996</v>
      </c>
      <c r="D860">
        <v>330215.4339</v>
      </c>
    </row>
    <row r="861" spans="1:4">
      <c r="A861">
        <v>860</v>
      </c>
      <c r="B861">
        <v>166738.2211</v>
      </c>
      <c r="C861">
        <v>6852.5841</v>
      </c>
      <c r="D861">
        <v>344338.70110000001</v>
      </c>
    </row>
    <row r="862" spans="1:4">
      <c r="A862">
        <v>861</v>
      </c>
      <c r="B862">
        <v>164647.01449999999</v>
      </c>
      <c r="C862">
        <v>8096.7658000000001</v>
      </c>
      <c r="D862">
        <v>342677.2806</v>
      </c>
    </row>
    <row r="863" spans="1:4">
      <c r="A863">
        <v>862</v>
      </c>
      <c r="B863">
        <v>165280.95860000001</v>
      </c>
      <c r="C863">
        <v>8764.8808000000008</v>
      </c>
      <c r="D863">
        <v>330517.15749999997</v>
      </c>
    </row>
    <row r="864" spans="1:4">
      <c r="A864">
        <v>863</v>
      </c>
      <c r="B864">
        <v>169727.38440000001</v>
      </c>
      <c r="C864">
        <v>15578.2394</v>
      </c>
      <c r="D864">
        <v>327860.76569999999</v>
      </c>
    </row>
    <row r="865" spans="1:4">
      <c r="A865">
        <v>864</v>
      </c>
      <c r="B865">
        <v>168694.34169999999</v>
      </c>
      <c r="C865">
        <v>8930.9333999999999</v>
      </c>
      <c r="D865">
        <v>360187.12410000002</v>
      </c>
    </row>
    <row r="866" spans="1:4">
      <c r="A866">
        <v>865</v>
      </c>
      <c r="B866">
        <v>168406.30480000001</v>
      </c>
      <c r="C866">
        <v>10979.1837</v>
      </c>
      <c r="D866">
        <v>216571.99249999999</v>
      </c>
    </row>
    <row r="867" spans="1:4">
      <c r="A867">
        <v>866</v>
      </c>
      <c r="B867">
        <v>174002.20009999999</v>
      </c>
      <c r="C867">
        <v>6165.2515000000003</v>
      </c>
      <c r="D867">
        <v>241888.77549999999</v>
      </c>
    </row>
    <row r="868" spans="1:4">
      <c r="A868">
        <v>867</v>
      </c>
      <c r="B868">
        <v>179602.39790000001</v>
      </c>
      <c r="C868">
        <v>12410.201499999999</v>
      </c>
      <c r="D868">
        <v>386801.4179</v>
      </c>
    </row>
    <row r="869" spans="1:4">
      <c r="A869">
        <v>868</v>
      </c>
      <c r="B869">
        <v>166728.01079999999</v>
      </c>
      <c r="C869">
        <v>6118.3002999999999</v>
      </c>
      <c r="D869">
        <v>262758.1274</v>
      </c>
    </row>
    <row r="870" spans="1:4">
      <c r="A870">
        <v>869</v>
      </c>
      <c r="B870">
        <v>171842.64809999999</v>
      </c>
      <c r="C870">
        <v>10623.061</v>
      </c>
      <c r="D870">
        <v>273061.83919999999</v>
      </c>
    </row>
    <row r="871" spans="1:4">
      <c r="A871">
        <v>870</v>
      </c>
      <c r="B871">
        <v>160078.29509999999</v>
      </c>
      <c r="C871">
        <v>10562.053599999999</v>
      </c>
      <c r="D871">
        <v>383380.57329999999</v>
      </c>
    </row>
    <row r="872" spans="1:4">
      <c r="A872">
        <v>871</v>
      </c>
      <c r="B872">
        <v>176117.57430000001</v>
      </c>
      <c r="C872">
        <v>8959.1142999999993</v>
      </c>
      <c r="D872">
        <v>440884.09700000001</v>
      </c>
    </row>
    <row r="873" spans="1:4">
      <c r="A873">
        <v>872</v>
      </c>
      <c r="B873">
        <v>162550.3456</v>
      </c>
      <c r="C873">
        <v>8946.9423999999999</v>
      </c>
      <c r="D873">
        <v>430007.11170000001</v>
      </c>
    </row>
    <row r="874" spans="1:4">
      <c r="A874">
        <v>873</v>
      </c>
      <c r="B874">
        <v>168717.3236</v>
      </c>
      <c r="C874">
        <v>8688.8194000000003</v>
      </c>
      <c r="D874">
        <v>303919.4693</v>
      </c>
    </row>
    <row r="875" spans="1:4">
      <c r="A875">
        <v>874</v>
      </c>
      <c r="B875">
        <v>167221.92319999999</v>
      </c>
      <c r="C875">
        <v>9901.7754000000004</v>
      </c>
      <c r="D875">
        <v>336517.76730000001</v>
      </c>
    </row>
    <row r="876" spans="1:4">
      <c r="A876">
        <v>875</v>
      </c>
      <c r="B876">
        <v>164787.8933</v>
      </c>
      <c r="C876">
        <v>4844.1544000000004</v>
      </c>
      <c r="D876">
        <v>317246.53289999999</v>
      </c>
    </row>
    <row r="877" spans="1:4">
      <c r="A877">
        <v>876</v>
      </c>
      <c r="B877">
        <v>162334.10320000001</v>
      </c>
      <c r="C877">
        <v>13103.150100000001</v>
      </c>
      <c r="D877">
        <v>278754.26329999999</v>
      </c>
    </row>
    <row r="878" spans="1:4">
      <c r="A878">
        <v>877</v>
      </c>
      <c r="B878">
        <v>153091.97330000001</v>
      </c>
      <c r="C878">
        <v>12602.993200000001</v>
      </c>
      <c r="D878">
        <v>352312.66820000001</v>
      </c>
    </row>
    <row r="879" spans="1:4">
      <c r="A879">
        <v>878</v>
      </c>
      <c r="B879">
        <v>173002.2181</v>
      </c>
      <c r="C879">
        <v>7497.3410999999996</v>
      </c>
      <c r="D879">
        <v>278020.58590000001</v>
      </c>
    </row>
    <row r="880" spans="1:4">
      <c r="A880">
        <v>879</v>
      </c>
      <c r="B880">
        <v>166902.8095</v>
      </c>
      <c r="C880">
        <v>6308.2137000000002</v>
      </c>
      <c r="D880">
        <v>339570.49910000002</v>
      </c>
    </row>
    <row r="881" spans="1:4">
      <c r="A881">
        <v>880</v>
      </c>
      <c r="B881">
        <v>171814.61309999999</v>
      </c>
      <c r="C881">
        <v>8218.2036000000007</v>
      </c>
      <c r="D881">
        <v>371858.57390000002</v>
      </c>
    </row>
    <row r="882" spans="1:4">
      <c r="A882">
        <v>881</v>
      </c>
      <c r="B882">
        <v>164426.1202</v>
      </c>
      <c r="C882">
        <v>4653.6054999999997</v>
      </c>
      <c r="D882">
        <v>308045.57890000002</v>
      </c>
    </row>
    <row r="883" spans="1:4">
      <c r="A883">
        <v>882</v>
      </c>
      <c r="B883">
        <v>167040.7003</v>
      </c>
      <c r="C883">
        <v>13431.1294</v>
      </c>
      <c r="D883">
        <v>267520.19929999998</v>
      </c>
    </row>
    <row r="884" spans="1:4">
      <c r="A884">
        <v>883</v>
      </c>
      <c r="B884">
        <v>169122.25039999999</v>
      </c>
      <c r="C884">
        <v>11103.1873</v>
      </c>
      <c r="D884">
        <v>356365.78450000001</v>
      </c>
    </row>
    <row r="885" spans="1:4">
      <c r="A885">
        <v>884</v>
      </c>
      <c r="B885">
        <v>174654.2634</v>
      </c>
      <c r="C885">
        <v>7114.6382000000003</v>
      </c>
      <c r="D885">
        <v>298856.38829999999</v>
      </c>
    </row>
    <row r="886" spans="1:4">
      <c r="A886">
        <v>885</v>
      </c>
      <c r="B886">
        <v>162990.10209999999</v>
      </c>
      <c r="C886">
        <v>5581.9157999999998</v>
      </c>
      <c r="D886">
        <v>299871.96850000002</v>
      </c>
    </row>
    <row r="887" spans="1:4">
      <c r="A887">
        <v>886</v>
      </c>
      <c r="B887">
        <v>164697.30429999999</v>
      </c>
      <c r="C887">
        <v>9511.0730999999996</v>
      </c>
      <c r="D887">
        <v>246722.41310000001</v>
      </c>
    </row>
    <row r="888" spans="1:4">
      <c r="A888">
        <v>887</v>
      </c>
      <c r="B888">
        <v>166718.02439999999</v>
      </c>
      <c r="C888">
        <v>6189.1268</v>
      </c>
      <c r="D888">
        <v>315512.72129999998</v>
      </c>
    </row>
    <row r="889" spans="1:4">
      <c r="A889">
        <v>888</v>
      </c>
      <c r="B889">
        <v>162795.59539999999</v>
      </c>
      <c r="C889">
        <v>9385.0079000000005</v>
      </c>
      <c r="D889">
        <v>307030.82980000001</v>
      </c>
    </row>
    <row r="890" spans="1:4">
      <c r="A890">
        <v>889</v>
      </c>
      <c r="B890">
        <v>169047.92559999999</v>
      </c>
      <c r="C890">
        <v>11160.9058</v>
      </c>
      <c r="D890">
        <v>266249.90110000002</v>
      </c>
    </row>
    <row r="891" spans="1:4">
      <c r="A891">
        <v>890</v>
      </c>
      <c r="B891">
        <v>170862.6643</v>
      </c>
      <c r="C891">
        <v>15875.4931</v>
      </c>
      <c r="D891">
        <v>406395.50410000002</v>
      </c>
    </row>
    <row r="892" spans="1:4">
      <c r="A892">
        <v>891</v>
      </c>
      <c r="B892">
        <v>166583.01639999999</v>
      </c>
      <c r="C892">
        <v>6727.3969999999999</v>
      </c>
      <c r="D892">
        <v>243304.13099999999</v>
      </c>
    </row>
    <row r="893" spans="1:4">
      <c r="A893">
        <v>892</v>
      </c>
      <c r="B893">
        <v>167154.18650000001</v>
      </c>
      <c r="C893">
        <v>12199.933000000001</v>
      </c>
      <c r="D893">
        <v>413532.06310000003</v>
      </c>
    </row>
    <row r="894" spans="1:4">
      <c r="A894">
        <v>893</v>
      </c>
      <c r="B894">
        <v>173476.18059999999</v>
      </c>
      <c r="C894">
        <v>10723.291999999999</v>
      </c>
      <c r="D894">
        <v>330888.70039999997</v>
      </c>
    </row>
    <row r="895" spans="1:4">
      <c r="A895">
        <v>894</v>
      </c>
      <c r="B895">
        <v>166740.92490000001</v>
      </c>
      <c r="C895">
        <v>8759.8485999999994</v>
      </c>
      <c r="D895">
        <v>351782.16249999998</v>
      </c>
    </row>
    <row r="896" spans="1:4">
      <c r="A896">
        <v>895</v>
      </c>
      <c r="B896">
        <v>156384.10209999999</v>
      </c>
      <c r="C896">
        <v>7228.1261000000004</v>
      </c>
      <c r="D896">
        <v>367285.0502</v>
      </c>
    </row>
    <row r="897" spans="1:4">
      <c r="A897">
        <v>896</v>
      </c>
      <c r="B897">
        <v>172840.15719999999</v>
      </c>
      <c r="C897">
        <v>9436.7456999999995</v>
      </c>
      <c r="D897">
        <v>379315.15299999999</v>
      </c>
    </row>
    <row r="898" spans="1:4">
      <c r="A898">
        <v>897</v>
      </c>
      <c r="B898">
        <v>158251.11139999999</v>
      </c>
      <c r="C898">
        <v>14856.880499999999</v>
      </c>
      <c r="D898">
        <v>313141.11420000001</v>
      </c>
    </row>
    <row r="899" spans="1:4">
      <c r="A899">
        <v>898</v>
      </c>
      <c r="B899">
        <v>165025.97570000001</v>
      </c>
      <c r="C899">
        <v>8136.1872999999996</v>
      </c>
      <c r="D899">
        <v>364575.23869999999</v>
      </c>
    </row>
    <row r="900" spans="1:4">
      <c r="A900">
        <v>899</v>
      </c>
      <c r="B900">
        <v>165618.4</v>
      </c>
      <c r="C900">
        <v>11162.5803</v>
      </c>
      <c r="D900">
        <v>397348.13760000002</v>
      </c>
    </row>
    <row r="901" spans="1:4">
      <c r="A901">
        <v>900</v>
      </c>
      <c r="B901">
        <v>173818.0257</v>
      </c>
      <c r="C901">
        <v>6784.7960999999996</v>
      </c>
      <c r="D901">
        <v>391572.98</v>
      </c>
    </row>
    <row r="902" spans="1:4">
      <c r="A902">
        <v>901</v>
      </c>
      <c r="B902">
        <v>180324.56450000001</v>
      </c>
      <c r="C902">
        <v>11590.7372</v>
      </c>
      <c r="D902">
        <v>460077.50420000002</v>
      </c>
    </row>
    <row r="903" spans="1:4">
      <c r="A903">
        <v>902</v>
      </c>
      <c r="B903">
        <v>172507.6637</v>
      </c>
      <c r="C903">
        <v>8547.7453000000005</v>
      </c>
      <c r="D903">
        <v>440339.65279999998</v>
      </c>
    </row>
    <row r="904" spans="1:4">
      <c r="A904">
        <v>903</v>
      </c>
      <c r="B904">
        <v>155164.29999999999</v>
      </c>
      <c r="C904">
        <v>6400.5626000000002</v>
      </c>
      <c r="D904">
        <v>295043.40840000001</v>
      </c>
    </row>
    <row r="905" spans="1:4">
      <c r="A905">
        <v>904</v>
      </c>
      <c r="B905">
        <v>171657.6066</v>
      </c>
      <c r="C905">
        <v>14519.700800000001</v>
      </c>
      <c r="D905">
        <v>247541.85769999999</v>
      </c>
    </row>
    <row r="906" spans="1:4">
      <c r="A906">
        <v>905</v>
      </c>
      <c r="B906">
        <v>164968.0558</v>
      </c>
      <c r="C906">
        <v>4534.6981999999998</v>
      </c>
      <c r="D906">
        <v>336134.4903</v>
      </c>
    </row>
    <row r="907" spans="1:4">
      <c r="A907">
        <v>906</v>
      </c>
      <c r="B907">
        <v>170272.14809999999</v>
      </c>
      <c r="C907">
        <v>5648.6760999999997</v>
      </c>
      <c r="D907">
        <v>333416.46340000001</v>
      </c>
    </row>
    <row r="908" spans="1:4">
      <c r="A908">
        <v>907</v>
      </c>
      <c r="B908">
        <v>167080.76370000001</v>
      </c>
      <c r="C908">
        <v>8715.9330000000009</v>
      </c>
      <c r="D908">
        <v>354506.33720000001</v>
      </c>
    </row>
    <row r="909" spans="1:4">
      <c r="A909">
        <v>908</v>
      </c>
      <c r="B909">
        <v>171098.30239999999</v>
      </c>
      <c r="C909">
        <v>11172.3298</v>
      </c>
      <c r="D909">
        <v>350228.45400000003</v>
      </c>
    </row>
    <row r="910" spans="1:4">
      <c r="A910">
        <v>909</v>
      </c>
      <c r="B910">
        <v>172660.9093</v>
      </c>
      <c r="C910">
        <v>5633.7763999999997</v>
      </c>
      <c r="D910">
        <v>298855.87959999999</v>
      </c>
    </row>
    <row r="911" spans="1:4">
      <c r="A911">
        <v>910</v>
      </c>
      <c r="B911">
        <v>158766.9577</v>
      </c>
      <c r="C911">
        <v>9181.9475000000002</v>
      </c>
      <c r="D911">
        <v>275874.74839999998</v>
      </c>
    </row>
    <row r="912" spans="1:4">
      <c r="A912">
        <v>911</v>
      </c>
      <c r="B912">
        <v>171473.30979999999</v>
      </c>
      <c r="C912">
        <v>8215.5470000000005</v>
      </c>
      <c r="D912">
        <v>288977.70510000002</v>
      </c>
    </row>
    <row r="913" spans="1:4">
      <c r="A913">
        <v>912</v>
      </c>
      <c r="B913">
        <v>157710.06539999999</v>
      </c>
      <c r="C913">
        <v>5011.2375000000002</v>
      </c>
      <c r="D913">
        <v>384612.34129999997</v>
      </c>
    </row>
    <row r="914" spans="1:4">
      <c r="A914">
        <v>913</v>
      </c>
      <c r="B914">
        <v>164569.84950000001</v>
      </c>
      <c r="C914">
        <v>10823.494699999999</v>
      </c>
      <c r="D914">
        <v>345981.38010000001</v>
      </c>
    </row>
    <row r="915" spans="1:4">
      <c r="A915">
        <v>914</v>
      </c>
      <c r="B915">
        <v>162806.47200000001</v>
      </c>
      <c r="C915">
        <v>6449.2057000000004</v>
      </c>
      <c r="D915">
        <v>344426.28320000001</v>
      </c>
    </row>
    <row r="916" spans="1:4">
      <c r="A916">
        <v>915</v>
      </c>
      <c r="B916">
        <v>174411.75459999999</v>
      </c>
      <c r="C916">
        <v>6843.7398999999996</v>
      </c>
      <c r="D916">
        <v>373819.37280000001</v>
      </c>
    </row>
    <row r="917" spans="1:4">
      <c r="A917">
        <v>916</v>
      </c>
      <c r="B917">
        <v>163151.0313</v>
      </c>
      <c r="C917">
        <v>7618.2992999999997</v>
      </c>
      <c r="D917">
        <v>336686.70559999999</v>
      </c>
    </row>
    <row r="918" spans="1:4">
      <c r="A918">
        <v>917</v>
      </c>
      <c r="B918">
        <v>161747.5422</v>
      </c>
      <c r="C918">
        <v>10706.5717</v>
      </c>
      <c r="D918">
        <v>331855.52590000001</v>
      </c>
    </row>
    <row r="919" spans="1:4">
      <c r="A919">
        <v>918</v>
      </c>
      <c r="B919">
        <v>162488.92550000001</v>
      </c>
      <c r="C919">
        <v>8848.7698999999993</v>
      </c>
      <c r="D919">
        <v>297171.71870000003</v>
      </c>
    </row>
    <row r="920" spans="1:4">
      <c r="A920">
        <v>919</v>
      </c>
      <c r="B920">
        <v>168178.83869999999</v>
      </c>
      <c r="C920">
        <v>7761.2380999999996</v>
      </c>
      <c r="D920">
        <v>399290.75199999998</v>
      </c>
    </row>
    <row r="921" spans="1:4">
      <c r="A921">
        <v>920</v>
      </c>
      <c r="B921">
        <v>157232.45009999999</v>
      </c>
      <c r="C921">
        <v>13356.733700000001</v>
      </c>
      <c r="D921">
        <v>341689.48220000003</v>
      </c>
    </row>
    <row r="922" spans="1:4">
      <c r="A922">
        <v>921</v>
      </c>
      <c r="B922">
        <v>164386.30369999999</v>
      </c>
      <c r="C922">
        <v>11372.6687</v>
      </c>
      <c r="D922">
        <v>343655.76789999998</v>
      </c>
    </row>
    <row r="923" spans="1:4">
      <c r="A923">
        <v>922</v>
      </c>
      <c r="B923">
        <v>167694.62669999999</v>
      </c>
      <c r="C923">
        <v>12564.3611</v>
      </c>
      <c r="D923">
        <v>344315.90419999999</v>
      </c>
    </row>
    <row r="924" spans="1:4">
      <c r="A924">
        <v>923</v>
      </c>
      <c r="B924">
        <v>168055.98699999999</v>
      </c>
      <c r="C924">
        <v>6425.3513999999996</v>
      </c>
      <c r="D924">
        <v>267167.86709999997</v>
      </c>
    </row>
    <row r="925" spans="1:4">
      <c r="A925">
        <v>924</v>
      </c>
      <c r="B925">
        <v>170392.70989999999</v>
      </c>
      <c r="C925">
        <v>6084.6713</v>
      </c>
      <c r="D925">
        <v>253299.696</v>
      </c>
    </row>
    <row r="926" spans="1:4">
      <c r="A926">
        <v>925</v>
      </c>
      <c r="B926">
        <v>170968.231</v>
      </c>
      <c r="C926">
        <v>11149.5425</v>
      </c>
      <c r="D926">
        <v>383408.81760000001</v>
      </c>
    </row>
    <row r="927" spans="1:4">
      <c r="A927">
        <v>926</v>
      </c>
      <c r="B927">
        <v>185932.50949999999</v>
      </c>
      <c r="C927">
        <v>6292.8521000000001</v>
      </c>
      <c r="D927">
        <v>273222.50329999998</v>
      </c>
    </row>
    <row r="928" spans="1:4">
      <c r="A928">
        <v>927</v>
      </c>
      <c r="B928">
        <v>170830.26620000001</v>
      </c>
      <c r="C928">
        <v>8343.5669999999991</v>
      </c>
      <c r="D928">
        <v>327131.57919999998</v>
      </c>
    </row>
    <row r="929" spans="1:4">
      <c r="A929">
        <v>928</v>
      </c>
      <c r="B929">
        <v>156920.28820000001</v>
      </c>
      <c r="C929">
        <v>6660.4256999999998</v>
      </c>
      <c r="D929">
        <v>318851.4388</v>
      </c>
    </row>
    <row r="930" spans="1:4">
      <c r="A930">
        <v>929</v>
      </c>
      <c r="B930">
        <v>158032.49609999999</v>
      </c>
      <c r="C930">
        <v>7377.7053999999998</v>
      </c>
      <c r="D930">
        <v>281150.91850000003</v>
      </c>
    </row>
    <row r="931" spans="1:4">
      <c r="A931">
        <v>930</v>
      </c>
      <c r="B931">
        <v>160865.5454</v>
      </c>
      <c r="C931">
        <v>6900.2428</v>
      </c>
      <c r="D931">
        <v>315089.62089999998</v>
      </c>
    </row>
    <row r="932" spans="1:4">
      <c r="A932">
        <v>931</v>
      </c>
      <c r="B932">
        <v>177878.52970000001</v>
      </c>
      <c r="C932">
        <v>8206.625</v>
      </c>
      <c r="D932">
        <v>303755.1802</v>
      </c>
    </row>
    <row r="933" spans="1:4">
      <c r="A933">
        <v>932</v>
      </c>
      <c r="B933">
        <v>166683.31520000001</v>
      </c>
      <c r="C933">
        <v>7885.4498000000003</v>
      </c>
      <c r="D933">
        <v>404918.54320000001</v>
      </c>
    </row>
    <row r="934" spans="1:4">
      <c r="A934">
        <v>933</v>
      </c>
      <c r="B934">
        <v>162033.6102</v>
      </c>
      <c r="C934">
        <v>10239.220499999999</v>
      </c>
      <c r="D934">
        <v>263185.33760000003</v>
      </c>
    </row>
    <row r="935" spans="1:4">
      <c r="A935">
        <v>934</v>
      </c>
      <c r="B935">
        <v>167857.5111</v>
      </c>
      <c r="C935">
        <v>10413.145200000001</v>
      </c>
      <c r="D935">
        <v>300536.10680000001</v>
      </c>
    </row>
    <row r="936" spans="1:4">
      <c r="A936">
        <v>935</v>
      </c>
      <c r="B936">
        <v>164950.14079999999</v>
      </c>
      <c r="C936">
        <v>9864.0936999999994</v>
      </c>
      <c r="D936">
        <v>359889.62030000001</v>
      </c>
    </row>
    <row r="937" spans="1:4">
      <c r="A937">
        <v>936</v>
      </c>
      <c r="B937">
        <v>168007.3223</v>
      </c>
      <c r="C937">
        <v>6381.3230000000003</v>
      </c>
      <c r="D937">
        <v>328154.04560000001</v>
      </c>
    </row>
    <row r="938" spans="1:4">
      <c r="A938">
        <v>937</v>
      </c>
      <c r="B938">
        <v>173043.7647</v>
      </c>
      <c r="C938">
        <v>13770.8418</v>
      </c>
      <c r="D938">
        <v>394209.14799999999</v>
      </c>
    </row>
    <row r="939" spans="1:4">
      <c r="A939">
        <v>938</v>
      </c>
      <c r="B939">
        <v>170684.93239999999</v>
      </c>
      <c r="C939">
        <v>14672.0867</v>
      </c>
      <c r="D939">
        <v>345766.1347</v>
      </c>
    </row>
    <row r="940" spans="1:4">
      <c r="A940">
        <v>939</v>
      </c>
      <c r="B940">
        <v>166409.99170000001</v>
      </c>
      <c r="C940">
        <v>17961.8498</v>
      </c>
      <c r="D940">
        <v>345693.39429999999</v>
      </c>
    </row>
    <row r="941" spans="1:4">
      <c r="A941">
        <v>940</v>
      </c>
      <c r="B941">
        <v>156125.2058</v>
      </c>
      <c r="C941">
        <v>5606.2528000000002</v>
      </c>
      <c r="D941">
        <v>330148.42940000002</v>
      </c>
    </row>
    <row r="942" spans="1:4">
      <c r="A942">
        <v>941</v>
      </c>
      <c r="B942">
        <v>153153.36790000001</v>
      </c>
      <c r="C942">
        <v>8676.3932999999997</v>
      </c>
      <c r="D942">
        <v>326987.63880000002</v>
      </c>
    </row>
    <row r="943" spans="1:4">
      <c r="A943">
        <v>942</v>
      </c>
      <c r="B943">
        <v>162313.20629999999</v>
      </c>
      <c r="C943">
        <v>5570.0590000000002</v>
      </c>
      <c r="D943">
        <v>274046.37319999997</v>
      </c>
    </row>
    <row r="944" spans="1:4">
      <c r="A944">
        <v>943</v>
      </c>
      <c r="B944">
        <v>162936.9376</v>
      </c>
      <c r="C944">
        <v>7241.3266999999996</v>
      </c>
      <c r="D944">
        <v>335379.98420000001</v>
      </c>
    </row>
    <row r="945" spans="1:4">
      <c r="A945">
        <v>944</v>
      </c>
      <c r="B945">
        <v>167186.58859999999</v>
      </c>
      <c r="C945">
        <v>16242.485699999999</v>
      </c>
      <c r="D945">
        <v>280965.62270000001</v>
      </c>
    </row>
    <row r="946" spans="1:4">
      <c r="A946">
        <v>945</v>
      </c>
      <c r="B946">
        <v>146561.00330000001</v>
      </c>
      <c r="C946">
        <v>7524.0877</v>
      </c>
      <c r="D946">
        <v>310342.37089999998</v>
      </c>
    </row>
    <row r="947" spans="1:4">
      <c r="A947">
        <v>946</v>
      </c>
      <c r="B947">
        <v>159076.9014</v>
      </c>
      <c r="C947">
        <v>5160.4767000000002</v>
      </c>
      <c r="D947">
        <v>254052.8333</v>
      </c>
    </row>
    <row r="948" spans="1:4">
      <c r="A948">
        <v>947</v>
      </c>
      <c r="B948">
        <v>164938.4123</v>
      </c>
      <c r="C948">
        <v>9505.9287999999997</v>
      </c>
      <c r="D948">
        <v>285021.87829999998</v>
      </c>
    </row>
    <row r="949" spans="1:4">
      <c r="A949">
        <v>948</v>
      </c>
      <c r="B949">
        <v>172830.7714</v>
      </c>
      <c r="C949">
        <v>7214.9606000000003</v>
      </c>
      <c r="D949">
        <v>328804.22720000002</v>
      </c>
    </row>
    <row r="950" spans="1:4">
      <c r="A950">
        <v>949</v>
      </c>
      <c r="B950">
        <v>168302.5913</v>
      </c>
      <c r="C950">
        <v>8816.4123</v>
      </c>
      <c r="D950">
        <v>319532.09590000001</v>
      </c>
    </row>
    <row r="951" spans="1:4">
      <c r="A951">
        <v>950</v>
      </c>
      <c r="B951">
        <v>160080.40890000001</v>
      </c>
      <c r="C951">
        <v>6335.6616999999997</v>
      </c>
      <c r="D951">
        <v>279741.5393</v>
      </c>
    </row>
    <row r="952" spans="1:4">
      <c r="A952">
        <v>951</v>
      </c>
      <c r="B952">
        <v>154001.13819999999</v>
      </c>
      <c r="C952">
        <v>9500.9264999999996</v>
      </c>
      <c r="D952">
        <v>330052.95480000001</v>
      </c>
    </row>
    <row r="953" spans="1:4">
      <c r="A953">
        <v>952</v>
      </c>
      <c r="B953">
        <v>170619.95</v>
      </c>
      <c r="C953">
        <v>11704.2305</v>
      </c>
      <c r="D953">
        <v>370371.13030000002</v>
      </c>
    </row>
    <row r="954" spans="1:4">
      <c r="A954">
        <v>953</v>
      </c>
      <c r="B954">
        <v>170716.16399999999</v>
      </c>
      <c r="C954">
        <v>5803.5346</v>
      </c>
      <c r="D954">
        <v>277428.46470000001</v>
      </c>
    </row>
    <row r="955" spans="1:4">
      <c r="A955">
        <v>954</v>
      </c>
      <c r="B955">
        <v>174465.65830000001</v>
      </c>
      <c r="C955">
        <v>7660.8546999999999</v>
      </c>
      <c r="D955">
        <v>396877.19780000002</v>
      </c>
    </row>
    <row r="956" spans="1:4">
      <c r="A956">
        <v>955</v>
      </c>
      <c r="B956">
        <v>173016.94620000001</v>
      </c>
      <c r="C956">
        <v>9442.7906999999996</v>
      </c>
      <c r="D956">
        <v>372247.45169999998</v>
      </c>
    </row>
    <row r="957" spans="1:4">
      <c r="A957">
        <v>956</v>
      </c>
      <c r="B957">
        <v>160144.92069999999</v>
      </c>
      <c r="C957">
        <v>11816.523300000001</v>
      </c>
      <c r="D957">
        <v>316178.53869999998</v>
      </c>
    </row>
    <row r="958" spans="1:4">
      <c r="A958">
        <v>957</v>
      </c>
      <c r="B958">
        <v>180282.2463</v>
      </c>
      <c r="C958">
        <v>11934.228300000001</v>
      </c>
      <c r="D958">
        <v>342502.109</v>
      </c>
    </row>
    <row r="959" spans="1:4">
      <c r="A959">
        <v>958</v>
      </c>
      <c r="B959">
        <v>168065.8738</v>
      </c>
      <c r="C959">
        <v>14574.4383</v>
      </c>
      <c r="D959">
        <v>305537.84499999997</v>
      </c>
    </row>
    <row r="960" spans="1:4">
      <c r="A960">
        <v>959</v>
      </c>
      <c r="B960">
        <v>160122.86869999999</v>
      </c>
      <c r="C960">
        <v>14040.852199999999</v>
      </c>
      <c r="D960">
        <v>480613.84769999998</v>
      </c>
    </row>
    <row r="961" spans="1:4">
      <c r="A961">
        <v>960</v>
      </c>
      <c r="B961">
        <v>167408.9099</v>
      </c>
      <c r="C961">
        <v>9158.5321000000004</v>
      </c>
      <c r="D961">
        <v>294535.66629999998</v>
      </c>
    </row>
    <row r="962" spans="1:4">
      <c r="A962">
        <v>961</v>
      </c>
      <c r="B962">
        <v>148873.56359999999</v>
      </c>
      <c r="C962">
        <v>7182.7388000000001</v>
      </c>
      <c r="D962">
        <v>452837.67239999998</v>
      </c>
    </row>
    <row r="963" spans="1:4">
      <c r="A963">
        <v>962</v>
      </c>
      <c r="B963">
        <v>171063.97529999999</v>
      </c>
      <c r="C963">
        <v>9629.5563000000002</v>
      </c>
      <c r="D963">
        <v>328008.12400000001</v>
      </c>
    </row>
    <row r="964" spans="1:4">
      <c r="A964">
        <v>963</v>
      </c>
      <c r="B964">
        <v>164889.79240000001</v>
      </c>
      <c r="C964">
        <v>9757.7590999999993</v>
      </c>
      <c r="D964">
        <v>410141.21549999999</v>
      </c>
    </row>
    <row r="965" spans="1:4">
      <c r="A965">
        <v>964</v>
      </c>
      <c r="B965">
        <v>172173.24619999999</v>
      </c>
      <c r="C965">
        <v>6738.2619000000004</v>
      </c>
      <c r="D965">
        <v>350350.83980000002</v>
      </c>
    </row>
    <row r="966" spans="1:4">
      <c r="A966">
        <v>965</v>
      </c>
      <c r="B966">
        <v>161208.51920000001</v>
      </c>
      <c r="C966">
        <v>9064.4583000000002</v>
      </c>
      <c r="D966">
        <v>388972.75790000003</v>
      </c>
    </row>
    <row r="967" spans="1:4">
      <c r="A967">
        <v>966</v>
      </c>
      <c r="B967">
        <v>160134.41</v>
      </c>
      <c r="C967">
        <v>8464.5498000000007</v>
      </c>
      <c r="D967">
        <v>351310.38549999997</v>
      </c>
    </row>
    <row r="968" spans="1:4">
      <c r="A968">
        <v>967</v>
      </c>
      <c r="B968">
        <v>167182.11869999999</v>
      </c>
      <c r="C968">
        <v>6642.4373999999998</v>
      </c>
      <c r="D968">
        <v>306637.1874</v>
      </c>
    </row>
    <row r="969" spans="1:4">
      <c r="A969">
        <v>968</v>
      </c>
      <c r="B969">
        <v>173419.28820000001</v>
      </c>
      <c r="C969">
        <v>11455.880300000001</v>
      </c>
      <c r="D969">
        <v>425610.48979999998</v>
      </c>
    </row>
    <row r="970" spans="1:4">
      <c r="A970">
        <v>969</v>
      </c>
      <c r="B970">
        <v>155911.4148</v>
      </c>
      <c r="C970">
        <v>16570.4094</v>
      </c>
      <c r="D970">
        <v>375567.65399999998</v>
      </c>
    </row>
    <row r="971" spans="1:4">
      <c r="A971">
        <v>970</v>
      </c>
      <c r="B971">
        <v>189968.43489999999</v>
      </c>
      <c r="C971">
        <v>9857.8474999999999</v>
      </c>
      <c r="D971">
        <v>302161.9903</v>
      </c>
    </row>
    <row r="972" spans="1:4">
      <c r="A972">
        <v>971</v>
      </c>
      <c r="B972">
        <v>160453.54790000001</v>
      </c>
      <c r="C972">
        <v>7789.8725999999997</v>
      </c>
      <c r="D972">
        <v>305706.1311</v>
      </c>
    </row>
    <row r="973" spans="1:4">
      <c r="A973">
        <v>972</v>
      </c>
      <c r="B973">
        <v>163765.6299</v>
      </c>
      <c r="C973">
        <v>8576.0151000000005</v>
      </c>
      <c r="D973">
        <v>399876.20110000001</v>
      </c>
    </row>
    <row r="974" spans="1:4">
      <c r="A974">
        <v>973</v>
      </c>
      <c r="B974">
        <v>162288.42170000001</v>
      </c>
      <c r="C974">
        <v>6406.4498000000003</v>
      </c>
      <c r="D974">
        <v>248763.6997</v>
      </c>
    </row>
    <row r="975" spans="1:4">
      <c r="A975">
        <v>974</v>
      </c>
      <c r="B975">
        <v>171219.91320000001</v>
      </c>
      <c r="C975">
        <v>13319.4761</v>
      </c>
      <c r="D975">
        <v>370712.20679999999</v>
      </c>
    </row>
    <row r="976" spans="1:4">
      <c r="A976">
        <v>975</v>
      </c>
      <c r="B976">
        <v>165470.70180000001</v>
      </c>
      <c r="C976">
        <v>6469.5870999999997</v>
      </c>
      <c r="D976">
        <v>300216.48749999999</v>
      </c>
    </row>
    <row r="977" spans="1:4">
      <c r="A977">
        <v>976</v>
      </c>
      <c r="B977">
        <v>164378.5012</v>
      </c>
      <c r="C977">
        <v>5106.5433999999996</v>
      </c>
      <c r="D977">
        <v>291961.23930000002</v>
      </c>
    </row>
    <row r="978" spans="1:4">
      <c r="A978">
        <v>977</v>
      </c>
      <c r="B978">
        <v>180932.13620000001</v>
      </c>
      <c r="C978">
        <v>13591.1399</v>
      </c>
      <c r="D978">
        <v>418785.70319999999</v>
      </c>
    </row>
    <row r="979" spans="1:4">
      <c r="A979">
        <v>978</v>
      </c>
      <c r="B979">
        <v>153808.6441</v>
      </c>
      <c r="C979">
        <v>6841.7650999999996</v>
      </c>
      <c r="D979">
        <v>280118.80420000001</v>
      </c>
    </row>
    <row r="980" spans="1:4">
      <c r="A980">
        <v>979</v>
      </c>
      <c r="B980">
        <v>180921.212</v>
      </c>
      <c r="C980">
        <v>8906.9326000000001</v>
      </c>
      <c r="D980">
        <v>330108.66389999999</v>
      </c>
    </row>
    <row r="981" spans="1:4">
      <c r="A981">
        <v>980</v>
      </c>
      <c r="B981">
        <v>170210.99359999999</v>
      </c>
      <c r="C981">
        <v>11205.393</v>
      </c>
      <c r="D981">
        <v>387933.46120000002</v>
      </c>
    </row>
    <row r="982" spans="1:4">
      <c r="A982">
        <v>981</v>
      </c>
      <c r="B982">
        <v>154223.2752</v>
      </c>
      <c r="C982">
        <v>4791.7143999999998</v>
      </c>
      <c r="D982">
        <v>335837.91720000003</v>
      </c>
    </row>
    <row r="983" spans="1:4">
      <c r="A983">
        <v>982</v>
      </c>
      <c r="B983">
        <v>165361.3702</v>
      </c>
      <c r="C983">
        <v>7083.6544000000004</v>
      </c>
      <c r="D983">
        <v>266945.54359999998</v>
      </c>
    </row>
    <row r="984" spans="1:4">
      <c r="A984">
        <v>983</v>
      </c>
      <c r="B984">
        <v>163204.72560000001</v>
      </c>
      <c r="C984">
        <v>6111.0297</v>
      </c>
      <c r="D984">
        <v>297377.9289</v>
      </c>
    </row>
    <row r="985" spans="1:4">
      <c r="A985">
        <v>984</v>
      </c>
      <c r="B985">
        <v>166273.91399999999</v>
      </c>
      <c r="C985">
        <v>7233.1664000000001</v>
      </c>
      <c r="D985">
        <v>388375.745</v>
      </c>
    </row>
    <row r="986" spans="1:4">
      <c r="A986">
        <v>985</v>
      </c>
      <c r="B986">
        <v>162295.46780000001</v>
      </c>
      <c r="C986">
        <v>9573.6957999999995</v>
      </c>
      <c r="D986">
        <v>337642.36670000001</v>
      </c>
    </row>
    <row r="987" spans="1:4">
      <c r="A987">
        <v>986</v>
      </c>
      <c r="B987">
        <v>159266.87239999999</v>
      </c>
      <c r="C987">
        <v>8375.0815000000002</v>
      </c>
      <c r="D987">
        <v>368130.69630000001</v>
      </c>
    </row>
    <row r="988" spans="1:4">
      <c r="A988">
        <v>987</v>
      </c>
      <c r="B988">
        <v>161424.70929999999</v>
      </c>
      <c r="C988">
        <v>6692.3854000000001</v>
      </c>
      <c r="D988">
        <v>302694.16279999999</v>
      </c>
    </row>
    <row r="989" spans="1:4">
      <c r="A989">
        <v>988</v>
      </c>
      <c r="B989">
        <v>168257.50709999999</v>
      </c>
      <c r="C989">
        <v>4355.7816000000003</v>
      </c>
      <c r="D989">
        <v>345034.0294</v>
      </c>
    </row>
    <row r="990" spans="1:4">
      <c r="A990">
        <v>989</v>
      </c>
      <c r="B990">
        <v>159894.3946</v>
      </c>
      <c r="C990">
        <v>12550.7287</v>
      </c>
      <c r="D990">
        <v>360117.0747</v>
      </c>
    </row>
    <row r="991" spans="1:4">
      <c r="A991">
        <v>990</v>
      </c>
      <c r="B991">
        <v>160776.4608</v>
      </c>
      <c r="C991">
        <v>13762.2371</v>
      </c>
      <c r="D991">
        <v>377817.2084</v>
      </c>
    </row>
    <row r="992" spans="1:4">
      <c r="A992">
        <v>991</v>
      </c>
      <c r="B992">
        <v>171875.82620000001</v>
      </c>
      <c r="C992">
        <v>9783.4331000000002</v>
      </c>
      <c r="D992">
        <v>439323.70890000003</v>
      </c>
    </row>
    <row r="993" spans="1:4">
      <c r="A993">
        <v>992</v>
      </c>
      <c r="B993">
        <v>166452.7004</v>
      </c>
      <c r="C993">
        <v>12995.954900000001</v>
      </c>
      <c r="D993">
        <v>386879.99200000003</v>
      </c>
    </row>
    <row r="994" spans="1:4">
      <c r="A994">
        <v>993</v>
      </c>
      <c r="B994">
        <v>154645.8138</v>
      </c>
      <c r="C994">
        <v>9893.9487000000008</v>
      </c>
      <c r="D994">
        <v>353289.45909999998</v>
      </c>
    </row>
    <row r="995" spans="1:4">
      <c r="A995">
        <v>994</v>
      </c>
      <c r="B995">
        <v>179471.4442</v>
      </c>
      <c r="C995">
        <v>9580.7523999999994</v>
      </c>
      <c r="D995">
        <v>289497.27110000001</v>
      </c>
    </row>
    <row r="996" spans="1:4">
      <c r="A996">
        <v>995</v>
      </c>
      <c r="B996">
        <v>155466.90539999999</v>
      </c>
      <c r="C996">
        <v>8205.6478000000006</v>
      </c>
      <c r="D996">
        <v>282804.78120000003</v>
      </c>
    </row>
    <row r="997" spans="1:4">
      <c r="A997">
        <v>996</v>
      </c>
      <c r="B997">
        <v>164752.98759999999</v>
      </c>
      <c r="C997">
        <v>13483.813099999999</v>
      </c>
      <c r="D997">
        <v>327413.48249999998</v>
      </c>
    </row>
    <row r="998" spans="1:4">
      <c r="A998">
        <v>997</v>
      </c>
      <c r="B998">
        <v>178110.3052</v>
      </c>
      <c r="C998">
        <v>8236.1003999999994</v>
      </c>
      <c r="D998">
        <v>307108.12359999999</v>
      </c>
    </row>
    <row r="999" spans="1:4">
      <c r="A999">
        <v>998</v>
      </c>
      <c r="B999">
        <v>179474.47700000001</v>
      </c>
      <c r="C999">
        <v>12625.226699999999</v>
      </c>
      <c r="D999">
        <v>367216.23859999998</v>
      </c>
    </row>
    <row r="1000" spans="1:4">
      <c r="A1000">
        <v>999</v>
      </c>
      <c r="B1000">
        <v>182585.08970000001</v>
      </c>
      <c r="C1000">
        <v>9842.2024000000001</v>
      </c>
      <c r="D1000">
        <v>349722.7795</v>
      </c>
    </row>
    <row r="1001" spans="1:4">
      <c r="A1001">
        <v>1000</v>
      </c>
      <c r="B1001">
        <v>164729.51449999999</v>
      </c>
      <c r="C1001">
        <v>14310.1975</v>
      </c>
      <c r="D1001">
        <v>412282.00469999999</v>
      </c>
    </row>
    <row r="1005" spans="1:4">
      <c r="A1005" s="39"/>
    </row>
  </sheetData>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1"/>
  <dimension ref="A1:Q55"/>
  <sheetViews>
    <sheetView workbookViewId="0">
      <selection activeCell="N46" sqref="N46"/>
    </sheetView>
  </sheetViews>
  <sheetFormatPr defaultColWidth="9" defaultRowHeight="13.9"/>
  <cols>
    <col min="1" max="1" width="15.3984375" style="1" customWidth="1"/>
    <col min="2" max="2" width="18.1328125" style="1" customWidth="1"/>
    <col min="3" max="3" width="16.3984375" style="1" customWidth="1"/>
    <col min="4" max="4" width="17" style="1" customWidth="1"/>
    <col min="5" max="5" width="17.3984375" style="1" customWidth="1"/>
    <col min="6" max="6" width="15.3984375" style="1" customWidth="1"/>
    <col min="7" max="8" width="18.3984375" style="1" customWidth="1"/>
    <col min="9" max="9" width="14.1328125" style="1" customWidth="1"/>
    <col min="10" max="10" width="11.1328125" style="1" customWidth="1"/>
    <col min="11" max="11" width="12.3984375" style="1" customWidth="1"/>
    <col min="12" max="12" width="16.73046875" style="1" customWidth="1"/>
    <col min="13" max="14" width="20.59765625" style="1" customWidth="1"/>
    <col min="15" max="15" width="16.1328125" style="1" customWidth="1"/>
    <col min="16" max="16" width="11.3984375" style="1" customWidth="1"/>
    <col min="17" max="17" width="14.1328125" style="1" customWidth="1"/>
    <col min="18" max="16384" width="9" style="1"/>
  </cols>
  <sheetData>
    <row r="1" spans="1:17" ht="55.9" thickBot="1">
      <c r="A1" s="1" t="s">
        <v>91</v>
      </c>
      <c r="B1" s="3" t="s">
        <v>92</v>
      </c>
      <c r="C1" s="3" t="s">
        <v>93</v>
      </c>
      <c r="D1" s="3" t="s">
        <v>94</v>
      </c>
      <c r="E1" s="3" t="s">
        <v>95</v>
      </c>
      <c r="F1" s="3" t="s">
        <v>263</v>
      </c>
      <c r="G1" s="3" t="s">
        <v>264</v>
      </c>
      <c r="H1" s="87" t="s">
        <v>98</v>
      </c>
      <c r="I1" s="88" t="s">
        <v>99</v>
      </c>
      <c r="J1" s="88" t="s">
        <v>100</v>
      </c>
      <c r="K1" s="88" t="s">
        <v>101</v>
      </c>
      <c r="L1" s="3" t="s">
        <v>102</v>
      </c>
      <c r="M1" s="3" t="s">
        <v>103</v>
      </c>
      <c r="N1" s="89" t="s">
        <v>265</v>
      </c>
      <c r="O1" s="3" t="s">
        <v>105</v>
      </c>
      <c r="P1" s="1" t="s">
        <v>106</v>
      </c>
      <c r="Q1" s="3" t="s">
        <v>266</v>
      </c>
    </row>
    <row r="2" spans="1:17">
      <c r="A2" s="1" cm="1">
        <f t="array" ref="A2:A55">_xlfn.SEQUENCE(54,1,30,1)</f>
        <v>30</v>
      </c>
      <c r="B2" s="6">
        <v>3.5000000000000003E-2</v>
      </c>
      <c r="C2" s="23">
        <f>VLOOKUP(salaryGrowth!B2,salaryGrowth!B:B,1,FALSE)</f>
        <v>70000</v>
      </c>
      <c r="D2" s="23" cm="1">
        <f t="array" ref="D2">_xlfn.LET(
  _xlpm.taxable, C2,
  _xlpm.kiwisaver,C2*0.03,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C2 * 0.0167,
  _xlpm.taxable - _xlpm.incomeTax - _xlpm.acc - _xlpm.kiwisaver
)</f>
        <v>53510.5</v>
      </c>
      <c r="E2" s="23">
        <f>6%*C2</f>
        <v>4200</v>
      </c>
      <c r="F2" s="23" cm="1">
        <f t="array" ref="F2" xml:space="preserve"> C2 * 3% * _xlfn.IFS(
   C2 + C2 * 3% &lt;= 18720, 10.5%,
   C2 + C2 * 3% &lt;= 64200, 17.5%,
   C2 + C2 * 3% &lt;= 93720, 30%,
   C2 + C2 * 3% &lt;= 216000, 33%,
   C2 + C2 * 3% &gt; 216000, 39%
)</f>
        <v>630</v>
      </c>
      <c r="G2" s="23">
        <f>E2-F2+521.43</f>
        <v>4091.43</v>
      </c>
      <c r="H2" s="23" t="s">
        <v>27</v>
      </c>
      <c r="I2" s="1" cm="1">
        <f t="array" aca="1" ref="I2" ca="1">_xlfn.LET(
  _xlpm.ε, (_xlfn.BETA.INV(RAND(), 5, 5) - 0.5) * 2,
  _xlpm.Scenario,H2,
  _xlpm.μ, _xlfn.XLOOKUP("HarbourSafe", fundGrowth!$A$2:$A$4, INDEX(fundGrowth!$B$2:$J$4,0, MATCH(_xlpm.Scenario &amp; " μ", fundGrowth!$B$1:$J$1, 0))),
  _xlpm.σ, _xlfn.XLOOKUP("HarbourSafe", fundGrowth!$A$2:$A$4, INDEX(fundGrowth!$B$2:$J$4,0, MATCH(_xlpm.Scenario &amp; " σ", fundGrowth!$B$1:$J$1, 0))),
  _xlpm.μ + _xlpm.σ * _xlpm.ε
)</f>
        <v>6.0494047159786922E-2</v>
      </c>
      <c r="J2" s="1" cm="1">
        <f t="array" aca="1" ref="J2" ca="1">_xlfn.LET(
  _xlpm.ε, (_xlfn.BETA.INV(RAND(), 5, 5) - 0.5) * 2,
  _xlpm.Scenario,H2,
  _xlpm.μ, _xlfn.XLOOKUP("Horizon", fundGrowth!$A$2:$A$4, INDEX(fundGrowth!$B$2:$J$4,0, MATCH(_xlpm.Scenario &amp; " μ", fundGrowth!$B$1:$J$1, 0))),
  _xlpm.σ, _xlfn.XLOOKUP("Horizon", fundGrowth!$A$2:$A$4, INDEX(fundGrowth!$B$2:$J$4,0, MATCH(_xlpm.Scenario &amp; " σ", fundGrowth!$B$1:$J$1, 0))),
  _xlpm.μ + _xlpm.σ * _xlpm.ε
)</f>
        <v>6.4914233802994464E-2</v>
      </c>
      <c r="K2" s="1" cm="1">
        <f t="array" aca="1" ref="K2" ca="1">_xlfn.LET(
  _xlpm.ε, (_xlfn.BETA.INV(RAND(), 5, 5) - 0.5) * 2,
  _xlpm.Scenario,H2,
  _xlpm.μ, _xlfn.XLOOKUP("SkyHigh", fundGrowth!$A$2:$A$4, INDEX(fundGrowth!$B$2:$J$4,0, MATCH(_xlpm.Scenario &amp; " μ", fundGrowth!$B$1:$J$1, 0))),
  _xlpm.σ, _xlfn.XLOOKUP("SkyHigh", fundGrowth!$A$2:$A$4, INDEX(fundGrowth!$B$2:$J$4,0, MATCH(_xlpm.Scenario &amp; " σ", fundGrowth!$B$1:$J$1, 0))),
  _xlpm.μ + _xlpm.σ * _xlpm.ε
)</f>
        <v>8.997010213315916E-2</v>
      </c>
      <c r="L2" s="1">
        <f ca="1">0.4*I2+0.3*J2+0.3*K2</f>
        <v>7.066291964476086E-2</v>
      </c>
      <c r="M2" s="23">
        <f ca="1">G2*(1+L2)*(1-28%)</f>
        <v>3153.9905203119574</v>
      </c>
      <c r="N2" s="23">
        <f ca="1">M2*Q2</f>
        <v>3047.9919004171766</v>
      </c>
      <c r="O2" s="23">
        <f ca="1">N2+D2*Q2</f>
        <v>54760.122782516766</v>
      </c>
      <c r="P2" s="1">
        <f ca="1">_xlfn.LET(
   _xlpm.μ, IF(RAND() &lt; 0.001,
        6% + 1.5% * _xlfn.NORM.S.INV(RAND()),
        _xlfn.BETA.INV(RAND(), 1.19, 1.22, 0.003, 0.04)
     ),
  _xlpm.ρ, _xlfn.BETA.INV(RAND(), 2, 2, 0.34,0.6),
  _xlpm.ε, MAX(0,_xlfn.NORM.S.INV(RAND())),
  _xlpm.μ + _xlpm.ρ * (_xlpm.μ - _xlpm.μ) + 1% * _xlpm.ε + MAX(0,_xlfn.IFS(A2=49,-_xlfn.NORM.INV(RAND(), 0.01, 0.005), A2=57,ABS(_xlfn.NORM.INV(RAND(), 0.02, 0.01)),TRUE,0))
)</f>
        <v>3.4776542509930147E-2</v>
      </c>
      <c r="Q2" s="1">
        <f ca="1">1/(1+P2)</f>
        <v>0.96639221988394031</v>
      </c>
    </row>
    <row r="3" spans="1:17">
      <c r="A3" s="1">
        <v>31</v>
      </c>
      <c r="B3" s="6">
        <f ca="1">VLOOKUP(salaryGrowth!I3,salaryGrowth!I:I,1,FALSE)</f>
        <v>3.1853037071112388E-2</v>
      </c>
      <c r="C3" s="23">
        <f ca="1">VLOOKUP(salaryGrowth!B3,salaryGrowth!B:B,1,FALSE)</f>
        <v>72293.525462282676</v>
      </c>
      <c r="D3" s="23" cm="1">
        <f t="array" aca="1" ref="D3" ca="1">_xlfn.LET(
  _xlpm.taxable, C3,
  _xlpm.kiwisaver,C3*0.03,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C3 * 0.0167,
  _xlpm.taxable - _xlpm.incomeTax - _xlpm.acc - _xlpm.kiwisaver
)</f>
        <v>55008.860184509263</v>
      </c>
      <c r="E3" s="23">
        <f t="shared" ref="E3:E36" ca="1" si="0">6%*C3</f>
        <v>4337.6115277369609</v>
      </c>
      <c r="F3" s="23" cm="1">
        <f t="array" aca="1" ref="F3" ca="1" xml:space="preserve"> C3 * 3% * _xlfn.IFS(
   C3 + C3 * 3% &lt;= 18720, 10.5%,
   C3 + C3 * 3% &lt;= 64200, 17.5%,
   C3 + C3 * 3% &lt;= 93720, 30%,
   C3 + C3 * 3% &lt;= 216000, 33%,
   C3 + C3 * 3% &gt; 216000, 39%
)</f>
        <v>650.64172916054406</v>
      </c>
      <c r="G3" s="23">
        <f t="shared" ref="G3:G36" ca="1" si="1">E3-F3+521.43</f>
        <v>4208.3997985764172</v>
      </c>
      <c r="H3" s="23" t="str" cm="1">
        <f t="array" aca="1" ref="H3" ca="1">_xlfn.IFS(
  H2="Boom", CHOOSE(MATCH(RAND(), {0,0.67,1}, 1), "Normal", "Recession"),
  H2="Normal", CHOOSE(MATCH(RAND(), {0,0.18,0.82,1}, 1), "Boom", "Normal", "Recession"),
  H2="Recession", CHOOSE(MATCH(RAND(), {0,0.17,0.34,1}, 1), "Boom", "Normal", "Recession")
)</f>
        <v>Recession</v>
      </c>
      <c r="I3" s="1" cm="1">
        <f t="array" aca="1" ref="I3" ca="1">_xlfn.LET(
  _xlpm.ε, (_xlfn.BETA.INV(RAND(), 5, 5) - 0.5) * 2,
  _xlpm.Scenario,H3,
  _xlpm.pre_scenario,H2,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_xlpm.ρ*(I2-_xlpm.μ_prev) + _xlpm.σ * _xlpm.ε
)</f>
        <v>3.7806390152833685E-2</v>
      </c>
      <c r="J3" s="1" cm="1">
        <f t="array" aca="1" ref="J3" ca="1">_xlfn.LET(
  _xlpm.ε, (_xlfn.BETA.INV(RAND(), 5, 5) - 0.5) * 2,
  _xlpm.Scenario,H3,
  _xlpm.pre_scenario,H2,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_xlpm.ρ*(MAX(J2, -0.05)-_xlpm.μ_prev) + _xlpm.σ * _xlpm.ε
)</f>
        <v>-8.9595509498128813E-3</v>
      </c>
      <c r="K3" s="1" cm="1">
        <f t="array" aca="1" ref="K3" ca="1">_xlfn.LET(
  _xlpm.ε, (_xlfn.BETA.INV(RAND(), 5, 5) - 0.5) * 2,
  _xlpm.Scenario,H3,
  _xlpm.pre_scenario,H2,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_xlpm.ρ*(MAX(K2, -0.07)-_xlpm.μ_prev) + _xlpm.σ * _xlpm.ε
)</f>
        <v>-3.065765638610107E-2</v>
      </c>
      <c r="L3" s="1">
        <f t="shared" ref="L3:L36" ca="1" si="2">0.4*I3+0.3*J3+0.3*K3</f>
        <v>3.2373938603592906E-3</v>
      </c>
      <c r="M3" s="23">
        <f ca="1">(M2+G3)*(1+L3)*(1-28%)</f>
        <v>5318.0821987951049</v>
      </c>
      <c r="N3" s="23">
        <f t="shared" ref="N3:N36" ca="1" si="3">M3*Q3</f>
        <v>5030.5787247472445</v>
      </c>
      <c r="O3" s="23">
        <f t="shared" ref="O3:O35" ca="1" si="4">N3+D3*Q3</f>
        <v>57065.577691007078</v>
      </c>
      <c r="P3" s="1" cm="1">
        <f t="array" aca="1" ref="P3" ca="1">_xlfn.LET(
  _xlpm.state, H3,
  _xlpm.last, P2,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MAX(0,_xlfn.IFS(A2=49,-_xlfn.NORM.INV(RAND(), 0.01, 0.005), A2=57,ABS(_xlfn.NORM.INV(RAND(), 0.02, 0.01)),TRUE,0))
)</f>
        <v>2.1622668647748568E-2</v>
      </c>
      <c r="Q3" s="1">
        <f ca="1">Q2/(1+P3)</f>
        <v>0.94593850502856114</v>
      </c>
    </row>
    <row r="4" spans="1:17">
      <c r="A4" s="1">
        <v>32</v>
      </c>
      <c r="B4" s="6">
        <f ca="1">VLOOKUP(salaryGrowth!I4,salaryGrowth!I:I,1,FALSE)</f>
        <v>3.2516910664589636E-2</v>
      </c>
      <c r="C4" s="23">
        <f ca="1">VLOOKUP(salaryGrowth!B4,salaryGrowth!B:B,1,FALSE)</f>
        <v>74738.935916858667</v>
      </c>
      <c r="D4" s="23" cm="1">
        <f t="array" aca="1" ref="D4" ca="1">_xlfn.LET(
  _xlpm.taxable, C4,
  _xlpm.kiwisaver,C4*0.03,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C4 * 0.0167,
  _xlpm.taxable - _xlpm.incomeTax - _xlpm.acc - _xlpm.kiwisaver
)</f>
        <v>56606.446834483766</v>
      </c>
      <c r="E4" s="23">
        <f t="shared" ca="1" si="0"/>
        <v>4484.3361550115196</v>
      </c>
      <c r="F4" s="23" cm="1">
        <f t="array" aca="1" ref="F4" ca="1" xml:space="preserve"> C4 * 3% * _xlfn.IFS(
   C4 + C4 * 3% &lt;= 18720, 10.5%,
   C4 + C4 * 3% &lt;= 64200, 17.5%,
   C4 + C4 * 3% &lt;= 93720, 30%,
   C4 + C4 * 3% &lt;= 216000, 33%,
   C4 + C4 * 3% &gt; 216000, 39%
)</f>
        <v>672.65042325172794</v>
      </c>
      <c r="G4" s="23">
        <f t="shared" ca="1" si="1"/>
        <v>4333.1157317597917</v>
      </c>
      <c r="H4" s="23" t="str" cm="1">
        <f t="array" aca="1" ref="H4" ca="1">_xlfn.IFS(
  H3="Boom", CHOOSE(MATCH(RAND(), {0,0.67,1}, 1), "Normal", "Recession"),
  H3="Normal", CHOOSE(MATCH(RAND(), {0,0.18,0.82,1}, 1), "Boom", "Normal", "Recession"),
  H3="Recession", CHOOSE(MATCH(RAND(), {0,0.17,0.34,1}, 1), "Boom", "Normal", "Recession")
)</f>
        <v>Boom</v>
      </c>
      <c r="I4" s="1" cm="1">
        <f t="array" aca="1" ref="I4" ca="1">_xlfn.LET(
  _xlpm.ε, (_xlfn.BETA.INV(RAND(), 5, 5) - 0.5) * 2,
  _xlpm.Scenario,H4,
  _xlpm.pre_scenario,H3,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_xlpm.ρ*(I3-_xlpm.μ_prev) + _xlpm.σ * _xlpm.ε
)</f>
        <v>2.9763718095146469E-2</v>
      </c>
      <c r="J4" s="1" cm="1">
        <f t="array" aca="1" ref="J4" ca="1">_xlfn.LET(
  _xlpm.ε, (_xlfn.BETA.INV(RAND(), 5, 5) - 0.5) * 2,
  _xlpm.Scenario,H4,
  _xlpm.pre_scenario,H3,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_xlpm.ρ*(MAX(J3, -0.05)-_xlpm.μ_prev) + _xlpm.σ * _xlpm.ε
)</f>
        <v>-0.5544528142120515</v>
      </c>
      <c r="K4" s="1" cm="1">
        <f t="array" aca="1" ref="K4" ca="1">_xlfn.LET(
  _xlpm.ε, (_xlfn.BETA.INV(RAND(), 5, 5) - 0.5) * 2,
  _xlpm.Scenario,H4,
  _xlpm.pre_scenario,H3,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_xlpm.ρ*(MAX(K3, -0.07)-_xlpm.μ_prev) + _xlpm.σ * _xlpm.ε
)</f>
        <v>0.2448597593520192</v>
      </c>
      <c r="L4" s="1">
        <f t="shared" ca="1" si="2"/>
        <v>-8.0972429219951098E-2</v>
      </c>
      <c r="M4" s="23">
        <f t="shared" ref="M4:M36" ca="1" si="5">(M3+G4)*(1+L4)*(1-28%)</f>
        <v>6386.1962322494164</v>
      </c>
      <c r="N4" s="23">
        <f t="shared" ca="1" si="3"/>
        <v>5920.8514918223773</v>
      </c>
      <c r="O4" s="23">
        <f t="shared" ca="1" si="4"/>
        <v>58402.540590916047</v>
      </c>
      <c r="P4" s="1" cm="1">
        <f t="array" aca="1" ref="P4" ca="1">_xlfn.LET(
  _xlpm.state, H4,
  _xlpm.last, P3,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MAX(0,_xlfn.IFS(A3=49,-_xlfn.NORM.INV(RAND(), 0.01, 0.005), A3=57,ABS(_xlfn.NORM.INV(RAND(), 0.02, 0.01)),TRUE,0))
)</f>
        <v>2.0283809701449013E-2</v>
      </c>
      <c r="Q4" s="1">
        <f t="shared" ref="Q4:Q55" ca="1" si="6">Q3/(1+P4)</f>
        <v>0.92713272134089586</v>
      </c>
    </row>
    <row r="5" spans="1:17">
      <c r="A5" s="1">
        <v>33</v>
      </c>
      <c r="B5" s="6">
        <f ca="1">VLOOKUP(salaryGrowth!I5,salaryGrowth!I:I,1,FALSE)</f>
        <v>2.4158361653164061E-2</v>
      </c>
      <c r="C5" s="23">
        <f ca="1">VLOOKUP(salaryGrowth!B5,salaryGrowth!B:B,1,FALSE)</f>
        <v>76851.126329680526</v>
      </c>
      <c r="D5" s="23" cm="1">
        <f t="array" aca="1" ref="D5" ca="1">_xlfn.LET(
  _xlpm.taxable, C5,
  _xlpm.kiwisaver,C5*0.03,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C5 * 0.0167,
  _xlpm.taxable - _xlpm.incomeTax - _xlpm.acc - _xlpm.kiwisaver
)</f>
        <v>57986.340831180285</v>
      </c>
      <c r="E5" s="23">
        <f t="shared" ca="1" si="0"/>
        <v>4611.0675797808317</v>
      </c>
      <c r="F5" s="23" cm="1">
        <f t="array" aca="1" ref="F5" ca="1" xml:space="preserve"> C5 * 3% * _xlfn.IFS(
   C5 + C5 * 3% &lt;= 18720, 10.5%,
   C5 + C5 * 3% &lt;= 64200, 17.5%,
   C5 + C5 * 3% &lt;= 93720, 30%,
   C5 + C5 * 3% &lt;= 216000, 33%,
   C5 + C5 * 3% &gt; 216000, 39%
)</f>
        <v>691.66013696712469</v>
      </c>
      <c r="G5" s="23">
        <f t="shared" ca="1" si="1"/>
        <v>4440.8374428137067</v>
      </c>
      <c r="H5" s="23" t="str" cm="1">
        <f t="array" aca="1" ref="H5" ca="1">_xlfn.IFS(
  H4="Boom", CHOOSE(MATCH(RAND(), {0,0.67,1}, 1), "Normal", "Recession"),
  H4="Normal", CHOOSE(MATCH(RAND(), {0,0.18,0.82,1}, 1), "Boom", "Normal", "Recession"),
  H4="Recession", CHOOSE(MATCH(RAND(), {0,0.17,0.34,1}, 1), "Boom", "Normal", "Recession")
)</f>
        <v>Normal</v>
      </c>
      <c r="I5" s="1" cm="1">
        <f t="array" aca="1" ref="I5" ca="1">_xlfn.LET(
  _xlpm.ε, (_xlfn.BETA.INV(RAND(), 5, 5) - 0.5) * 2,
  _xlpm.Scenario,H5,
  _xlpm.pre_scenario,H4,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_xlpm.ρ*(I4-_xlpm.μ_prev) + _xlpm.σ * _xlpm.ε
)</f>
        <v>5.5880811852776123E-2</v>
      </c>
      <c r="J5" s="1" cm="1">
        <f t="array" aca="1" ref="J5" ca="1">_xlfn.LET(
  _xlpm.ε, (_xlfn.BETA.INV(RAND(), 5, 5) - 0.5) * 2,
  _xlpm.Scenario,H5,
  _xlpm.pre_scenario,H4,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_xlpm.ρ*(MAX(J4, -0.05)-_xlpm.μ_prev) + _xlpm.σ * _xlpm.ε
)</f>
        <v>7.2445767447975873E-2</v>
      </c>
      <c r="K5" s="1" cm="1">
        <f t="array" aca="1" ref="K5" ca="1">_xlfn.LET(
  _xlpm.ε, (_xlfn.BETA.INV(RAND(), 5, 5) - 0.5) * 2,
  _xlpm.Scenario,H5,
  _xlpm.pre_scenario,H4,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_xlpm.ρ*(MAX(K4, -0.07)-_xlpm.μ_prev) + _xlpm.σ * _xlpm.ε
)</f>
        <v>7.3636624080093943E-2</v>
      </c>
      <c r="L5" s="1">
        <f t="shared" ca="1" si="2"/>
        <v>6.6177042199531397E-2</v>
      </c>
      <c r="M5" s="23">
        <f t="shared" ca="1" si="5"/>
        <v>8311.3450124209357</v>
      </c>
      <c r="N5" s="23">
        <f t="shared" ca="1" si="3"/>
        <v>7551.9118820032536</v>
      </c>
      <c r="O5" s="23">
        <f t="shared" ca="1" si="4"/>
        <v>60239.86258823036</v>
      </c>
      <c r="P5" s="1" cm="1">
        <f t="array" aca="1" ref="P5" ca="1">_xlfn.LET(
  _xlpm.state, H5,
  _xlpm.last, P4,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MAX(0,_xlfn.IFS(A4=49,-_xlfn.NORM.INV(RAND(), 0.01, 0.005), A4=57,ABS(_xlfn.NORM.INV(RAND(), 0.02, 0.01)),TRUE,0))
)</f>
        <v>2.0366768014360159E-2</v>
      </c>
      <c r="Q5" s="1">
        <f t="shared" ca="1" si="6"/>
        <v>0.90862692749696428</v>
      </c>
    </row>
    <row r="6" spans="1:17">
      <c r="A6" s="1">
        <v>34</v>
      </c>
      <c r="B6" s="6">
        <f ca="1">VLOOKUP(salaryGrowth!I6,salaryGrowth!I:I,1,FALSE)</f>
        <v>4.376847435417084E-2</v>
      </c>
      <c r="C6" s="23">
        <f ca="1">VLOOKUP(salaryGrowth!B6,salaryGrowth!B:B,1,FALSE)</f>
        <v>80034.958706195859</v>
      </c>
      <c r="D6" s="23" cm="1">
        <f t="array" aca="1" ref="D6" ca="1">_xlfn.LET(
  _xlpm.taxable, C6,
  _xlpm.kiwisaver,C6*0.03,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C6 * 0.0167,
  _xlpm.taxable - _xlpm.incomeTax - _xlpm.acc - _xlpm.kiwisaver
)</f>
        <v>60008.289761571876</v>
      </c>
      <c r="E6" s="23">
        <f t="shared" ca="1" si="0"/>
        <v>4802.0975223717514</v>
      </c>
      <c r="F6" s="23" cm="1">
        <f t="array" aca="1" ref="F6" ca="1" xml:space="preserve"> C6 * 3% * _xlfn.IFS(
   C6 + C6 * 3% &lt;= 18720, 10.5%,
   C6 + C6 * 3% &lt;= 64200, 17.5%,
   C6 + C6 * 3% &lt;= 93720, 30%,
   C6 + C6 * 3% &lt;= 216000, 33%,
   C6 + C6 * 3% &gt; 216000, 39%
)</f>
        <v>720.31462835576269</v>
      </c>
      <c r="G6" s="23">
        <f t="shared" ca="1" si="1"/>
        <v>4603.2128940159891</v>
      </c>
      <c r="H6" s="23" t="str" cm="1">
        <f t="array" aca="1" ref="H6" ca="1">_xlfn.IFS(
  H5="Boom", CHOOSE(MATCH(RAND(), {0,0.67,1}, 1), "Normal", "Recession"),
  H5="Normal", CHOOSE(MATCH(RAND(), {0,0.18,0.82,1}, 1), "Boom", "Normal", "Recession"),
  H5="Recession", CHOOSE(MATCH(RAND(), {0,0.17,0.34,1}, 1), "Boom", "Normal", "Recession")
)</f>
        <v>Normal</v>
      </c>
      <c r="I6" s="1" cm="1">
        <f t="array" aca="1" ref="I6" ca="1">_xlfn.LET(
  _xlpm.ε, (_xlfn.BETA.INV(RAND(), 5, 5) - 0.5) * 2,
  _xlpm.Scenario,H6,
  _xlpm.pre_scenario,H5,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_xlpm.ρ*(I5-_xlpm.μ_prev) + _xlpm.σ * _xlpm.ε
)</f>
        <v>4.143099885426537E-2</v>
      </c>
      <c r="J6" s="1" cm="1">
        <f t="array" aca="1" ref="J6" ca="1">_xlfn.LET(
  _xlpm.ε, (_xlfn.BETA.INV(RAND(), 5, 5) - 0.5) * 2,
  _xlpm.Scenario,H6,
  _xlpm.pre_scenario,H5,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_xlpm.ρ*(MAX(J5, -0.05)-_xlpm.μ_prev) + _xlpm.σ * _xlpm.ε
)</f>
        <v>9.1758637991875003E-2</v>
      </c>
      <c r="K6" s="1" cm="1">
        <f t="array" aca="1" ref="K6" ca="1">_xlfn.LET(
  _xlpm.ε, (_xlfn.BETA.INV(RAND(), 5, 5) - 0.5) * 2,
  _xlpm.Scenario,H6,
  _xlpm.pre_scenario,H5,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_xlpm.ρ*(MAX(K5, -0.07)-_xlpm.μ_prev) + _xlpm.σ * _xlpm.ε
)</f>
        <v>0.12289920384915022</v>
      </c>
      <c r="L6" s="1">
        <f t="shared" ca="1" si="2"/>
        <v>8.0969752094013719E-2</v>
      </c>
      <c r="M6" s="23">
        <f t="shared" ca="1" si="5"/>
        <v>10051.377450137934</v>
      </c>
      <c r="N6" s="23">
        <f t="shared" ca="1" si="3"/>
        <v>9002.8467722302739</v>
      </c>
      <c r="O6" s="23">
        <f t="shared" ca="1" si="4"/>
        <v>62751.244986010679</v>
      </c>
      <c r="P6" s="1" cm="1">
        <f t="array" aca="1" ref="P6" ca="1">_xlfn.LET(
  _xlpm.state, H6,
  _xlpm.last, P5,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MAX(0,_xlfn.IFS(A5=49,-_xlfn.NORM.INV(RAND(), 0.01, 0.005), A5=57,ABS(_xlfn.NORM.INV(RAND(), 0.02, 0.01)),TRUE,0))
)</f>
        <v>1.4451588557759763E-2</v>
      </c>
      <c r="Q6" s="1">
        <f t="shared" ca="1" si="6"/>
        <v>0.89568288693672815</v>
      </c>
    </row>
    <row r="7" spans="1:17">
      <c r="A7" s="1">
        <v>35</v>
      </c>
      <c r="B7" s="6">
        <f ca="1">VLOOKUP(salaryGrowth!I7,salaryGrowth!I:I,1,FALSE)</f>
        <v>3.4803170559251598E-2</v>
      </c>
      <c r="C7" s="23">
        <f ca="1">VLOOKUP(salaryGrowth!B7,salaryGrowth!B:B,1,FALSE)</f>
        <v>83295.403096973387</v>
      </c>
      <c r="D7" s="23" cm="1">
        <f t="array" aca="1" ref="D7" ca="1">_xlfn.LET(
  _xlpm.taxable, C7,
  _xlpm.kiwisaver,C7*0.03,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C7 * 0.0167,
  _xlpm.taxable - _xlpm.incomeTax - _xlpm.acc - _xlpm.kiwisaver
)</f>
        <v>62040.524750343524</v>
      </c>
      <c r="E7" s="23">
        <f t="shared" ca="1" si="0"/>
        <v>4997.7241858184034</v>
      </c>
      <c r="F7" s="23" cm="1">
        <f t="array" aca="1" ref="F7" ca="1" xml:space="preserve"> C7 * 3% * _xlfn.IFS(
   C7 + C7 * 3% &lt;= 18720, 10.5%,
   C7 + C7 * 3% &lt;= 64200, 17.5%,
   C7 + C7 * 3% &lt;= 93720, 30%,
   C7 + C7 * 3% &lt;= 216000, 33%,
   C7 + C7 * 3% &gt; 216000, 39%
)</f>
        <v>749.65862787276046</v>
      </c>
      <c r="G7" s="23">
        <f t="shared" ca="1" si="1"/>
        <v>4769.4955579456437</v>
      </c>
      <c r="H7" s="23" t="str" cm="1">
        <f t="array" aca="1" ref="H7" ca="1">_xlfn.IFS(
  H6="Boom", CHOOSE(MATCH(RAND(), {0,0.67,1}, 1), "Normal", "Recession"),
  H6="Normal", CHOOSE(MATCH(RAND(), {0,0.18,0.82,1}, 1), "Boom", "Normal", "Recession"),
  H6="Recession", CHOOSE(MATCH(RAND(), {0,0.17,0.34,1}, 1), "Boom", "Normal", "Recession")
)</f>
        <v>Normal</v>
      </c>
      <c r="I7" s="1" cm="1">
        <f t="array" aca="1" ref="I7" ca="1">_xlfn.LET(
  _xlpm.ε, (_xlfn.BETA.INV(RAND(), 5, 5) - 0.5) * 2,
  _xlpm.Scenario,H7,
  _xlpm.pre_scenario,H6,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_xlpm.ρ*(I6-_xlpm.μ_prev) + _xlpm.σ * _xlpm.ε
)</f>
        <v>6.5882426753458748E-2</v>
      </c>
      <c r="J7" s="1" cm="1">
        <f t="array" aca="1" ref="J7" ca="1">_xlfn.LET(
  _xlpm.ε, (_xlfn.BETA.INV(RAND(), 5, 5) - 0.5) * 2,
  _xlpm.Scenario,H7,
  _xlpm.pre_scenario,H6,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_xlpm.ρ*(MAX(J6, -0.05)-_xlpm.μ_prev) + _xlpm.σ * _xlpm.ε
)</f>
        <v>0.10789475319017654</v>
      </c>
      <c r="K7" s="1" cm="1">
        <f t="array" aca="1" ref="K7" ca="1">_xlfn.LET(
  _xlpm.ε, (_xlfn.BETA.INV(RAND(), 5, 5) - 0.5) * 2,
  _xlpm.Scenario,H7,
  _xlpm.pre_scenario,H6,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_xlpm.ρ*(MAX(K6, -0.07)-_xlpm.μ_prev) + _xlpm.σ * _xlpm.ε
)</f>
        <v>0.12418957642125496</v>
      </c>
      <c r="L7" s="1">
        <f t="shared" ca="1" si="2"/>
        <v>9.5978269584812939E-2</v>
      </c>
      <c r="M7" s="23">
        <f t="shared" ca="1" si="5"/>
        <v>11695.215422257705</v>
      </c>
      <c r="N7" s="23">
        <f t="shared" ca="1" si="3"/>
        <v>10351.200104563572</v>
      </c>
      <c r="O7" s="23">
        <f t="shared" ca="1" si="4"/>
        <v>65262.021589796408</v>
      </c>
      <c r="P7" s="1" cm="1">
        <f t="array" aca="1" ref="P7" ca="1">_xlfn.LET(
  _xlpm.state, H7,
  _xlpm.last, P6,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MAX(0,_xlfn.IFS(A6=49,-_xlfn.NORM.INV(RAND(), 0.01, 0.005), A6=57,ABS(_xlfn.NORM.INV(RAND(), 0.02, 0.01)),TRUE,0))
)</f>
        <v>1.1979693845980566E-2</v>
      </c>
      <c r="Q7" s="1">
        <f t="shared" ca="1" si="6"/>
        <v>0.88507990069714537</v>
      </c>
    </row>
    <row r="8" spans="1:17">
      <c r="A8" s="1">
        <v>36</v>
      </c>
      <c r="B8" s="6">
        <f ca="1">VLOOKUP(salaryGrowth!I8,salaryGrowth!I:I,1,FALSE)</f>
        <v>3.2708133892375889E-2</v>
      </c>
      <c r="C8" s="23">
        <f ca="1">VLOOKUP(salaryGrowth!B8,salaryGrowth!B:B,1,FALSE)</f>
        <v>85755.642546739517</v>
      </c>
      <c r="D8" s="23" cm="1">
        <f t="array" aca="1" ref="D8" ca="1">_xlfn.LET(
  _xlpm.taxable, C8,
  _xlpm.kiwisaver,C8*0.03,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C8 * 0.0167,
  _xlpm.taxable - _xlpm.incomeTax - _xlpm.acc - _xlpm.kiwisaver
)</f>
        <v>63573.991999382735</v>
      </c>
      <c r="E8" s="23">
        <f t="shared" ca="1" si="0"/>
        <v>5145.3385528043709</v>
      </c>
      <c r="F8" s="23" cm="1">
        <f t="array" aca="1" ref="F8" ca="1" xml:space="preserve"> C8 * 3% * _xlfn.IFS(
   C8 + C8 * 3% &lt;= 18720, 10.5%,
   C8 + C8 * 3% &lt;= 64200, 17.5%,
   C8 + C8 * 3% &lt;= 93720, 30%,
   C8 + C8 * 3% &lt;= 216000, 33%,
   C8 + C8 * 3% &gt; 216000, 39%
)</f>
        <v>771.80078292065559</v>
      </c>
      <c r="G8" s="23">
        <f t="shared" ca="1" si="1"/>
        <v>4894.9677698837158</v>
      </c>
      <c r="H8" s="23" t="str" cm="1">
        <f t="array" aca="1" ref="H8" ca="1">_xlfn.IFS(
  H7="Boom", CHOOSE(MATCH(RAND(), {0,0.67,1}, 1), "Normal", "Recession"),
  H7="Normal", CHOOSE(MATCH(RAND(), {0,0.18,0.82,1}, 1), "Boom", "Normal", "Recession"),
  H7="Recession", CHOOSE(MATCH(RAND(), {0,0.17,0.34,1}, 1), "Boom", "Normal", "Recession")
)</f>
        <v>Normal</v>
      </c>
      <c r="I8" s="1" cm="1">
        <f t="array" aca="1" ref="I8" ca="1">_xlfn.LET(
  _xlpm.ε, (_xlfn.BETA.INV(RAND(), 5, 5) - 0.5) * 2,
  _xlpm.Scenario,H8,
  _xlpm.pre_scenario,H7,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_xlpm.ρ*(I7-_xlpm.μ_prev) + _xlpm.σ * _xlpm.ε
)</f>
        <v>5.1266781810438401E-2</v>
      </c>
      <c r="J8" s="1" cm="1">
        <f t="array" aca="1" ref="J8" ca="1">_xlfn.LET(
  _xlpm.ε, (_xlfn.BETA.INV(RAND(), 5, 5) - 0.5) * 2,
  _xlpm.Scenario,H8,
  _xlpm.pre_scenario,H7,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_xlpm.ρ*(MAX(J7, -0.05)-_xlpm.μ_prev) + _xlpm.σ * _xlpm.ε
)</f>
        <v>0.13061509117530232</v>
      </c>
      <c r="K8" s="1" cm="1">
        <f t="array" aca="1" ref="K8" ca="1">_xlfn.LET(
  _xlpm.ε, (_xlfn.BETA.INV(RAND(), 5, 5) - 0.5) * 2,
  _xlpm.Scenario,H8,
  _xlpm.pre_scenario,H7,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_xlpm.ρ*(MAX(K7, -0.07)-_xlpm.μ_prev) + _xlpm.σ * _xlpm.ε
)</f>
        <v>6.8790554456293257E-2</v>
      </c>
      <c r="L8" s="1">
        <f t="shared" ca="1" si="2"/>
        <v>8.0328406413654033E-2</v>
      </c>
      <c r="M8" s="23">
        <f t="shared" ca="1" si="5"/>
        <v>12904.449242455243</v>
      </c>
      <c r="N8" s="23">
        <f t="shared" ca="1" si="3"/>
        <v>11129.5691282676</v>
      </c>
      <c r="O8" s="23">
        <f t="shared" ca="1" si="4"/>
        <v>65959.583600271566</v>
      </c>
      <c r="P8" s="1" cm="1">
        <f t="array" aca="1" ref="P8" ca="1">_xlfn.LET(
  _xlpm.state, H8,
  _xlpm.last, P7,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MAX(0,_xlfn.IFS(A7=49,-_xlfn.NORM.INV(RAND(), 0.01, 0.005), A7=57,ABS(_xlfn.NORM.INV(RAND(), 0.02, 0.01)),TRUE,0))
)</f>
        <v>2.622738781995184E-2</v>
      </c>
      <c r="Q8" s="1">
        <f t="shared" ca="1" si="6"/>
        <v>0.8624598321989333</v>
      </c>
    </row>
    <row r="9" spans="1:17">
      <c r="A9" s="1">
        <v>37</v>
      </c>
      <c r="B9" s="6">
        <f ca="1">VLOOKUP(salaryGrowth!I9,salaryGrowth!I:I,1,FALSE)</f>
        <v>2.8266492536989037E-2</v>
      </c>
      <c r="C9" s="23">
        <f ca="1">VLOOKUP(salaryGrowth!B9,salaryGrowth!B:B,1,FALSE)</f>
        <v>88156.798328468736</v>
      </c>
      <c r="D9" s="23" cm="1">
        <f t="array" aca="1" ref="D9" ca="1">_xlfn.LET(
  _xlpm.taxable, C9,
  _xlpm.kiwisaver,C9*0.03,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C9 * 0.0167,
  _xlpm.taxable - _xlpm.incomeTax - _xlpm.acc - _xlpm.kiwisaver
)</f>
        <v>65070.632398134556</v>
      </c>
      <c r="E9" s="23">
        <f t="shared" ca="1" si="0"/>
        <v>5289.4078997081242</v>
      </c>
      <c r="F9" s="23" cm="1">
        <f t="array" aca="1" ref="F9" ca="1" xml:space="preserve"> C9 * 3% * _xlfn.IFS(
   C9 + C9 * 3% &lt;= 18720, 10.5%,
   C9 + C9 * 3% &lt;= 64200, 17.5%,
   C9 + C9 * 3% &lt;= 93720, 30%,
   C9 + C9 * 3% &lt;= 216000, 33%,
   C9 + C9 * 3% &gt; 216000, 39%
)</f>
        <v>793.41118495621856</v>
      </c>
      <c r="G9" s="23">
        <f t="shared" ca="1" si="1"/>
        <v>5017.4267147519058</v>
      </c>
      <c r="H9" s="23" t="str" cm="1">
        <f t="array" aca="1" ref="H9" ca="1">_xlfn.IFS(
  H8="Boom", CHOOSE(MATCH(RAND(), {0,0.67,1}, 1), "Normal", "Recession"),
  H8="Normal", CHOOSE(MATCH(RAND(), {0,0.18,0.82,1}, 1), "Boom", "Normal", "Recession"),
  H8="Recession", CHOOSE(MATCH(RAND(), {0,0.17,0.34,1}, 1), "Boom", "Normal", "Recession")
)</f>
        <v>Normal</v>
      </c>
      <c r="I9" s="1" cm="1">
        <f t="array" aca="1" ref="I9" ca="1">_xlfn.LET(
  _xlpm.ε, (_xlfn.BETA.INV(RAND(), 5, 5) - 0.5) * 2,
  _xlpm.Scenario,H9,
  _xlpm.pre_scenario,H8,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_xlpm.ρ*(I8-_xlpm.μ_prev) + _xlpm.σ * _xlpm.ε
)</f>
        <v>2.4186298170868141E-2</v>
      </c>
      <c r="J9" s="1" cm="1">
        <f t="array" aca="1" ref="J9" ca="1">_xlfn.LET(
  _xlpm.ε, (_xlfn.BETA.INV(RAND(), 5, 5) - 0.5) * 2,
  _xlpm.Scenario,H9,
  _xlpm.pre_scenario,H8,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_xlpm.ρ*(MAX(J8, -0.05)-_xlpm.μ_prev) + _xlpm.σ * _xlpm.ε
)</f>
        <v>8.7544740855971553E-2</v>
      </c>
      <c r="K9" s="1" cm="1">
        <f t="array" aca="1" ref="K9" ca="1">_xlfn.LET(
  _xlpm.ε, (_xlfn.BETA.INV(RAND(), 5, 5) - 0.5) * 2,
  _xlpm.Scenario,H9,
  _xlpm.pre_scenario,H8,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_xlpm.ρ*(MAX(K8, -0.07)-_xlpm.μ_prev) + _xlpm.σ * _xlpm.ε
)</f>
        <v>-1.3407206537390748E-2</v>
      </c>
      <c r="L9" s="1">
        <f t="shared" ca="1" si="2"/>
        <v>3.1915779563921498E-2</v>
      </c>
      <c r="M9" s="23">
        <f t="shared" ca="1" si="5"/>
        <v>13315.58395173311</v>
      </c>
      <c r="N9" s="23">
        <f t="shared" ca="1" si="3"/>
        <v>11196.432634081179</v>
      </c>
      <c r="O9" s="23">
        <f t="shared" ca="1" si="4"/>
        <v>65911.190525562692</v>
      </c>
      <c r="P9" s="1" cm="1">
        <f t="array" aca="1" ref="P9" ca="1">_xlfn.LET(
  _xlpm.state, H9,
  _xlpm.last, P8,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MAX(0,_xlfn.IFS(A8=49,-_xlfn.NORM.INV(RAND(), 0.01, 0.005), A8=57,ABS(_xlfn.NORM.INV(RAND(), 0.02, 0.01)),TRUE,0))
)</f>
        <v>2.5697798215259776E-2</v>
      </c>
      <c r="Q9" s="1">
        <f t="shared" ca="1" si="6"/>
        <v>0.84085179250617026</v>
      </c>
    </row>
    <row r="10" spans="1:17">
      <c r="A10" s="1">
        <v>38</v>
      </c>
      <c r="B10" s="6">
        <f ca="1">VLOOKUP(salaryGrowth!I10,salaryGrowth!I:I,1,FALSE)</f>
        <v>2.2369289056522898E-2</v>
      </c>
      <c r="C10" s="23">
        <f ca="1">VLOOKUP(salaryGrowth!B10,salaryGrowth!B:B,1,FALSE)</f>
        <v>90625.186410218215</v>
      </c>
      <c r="D10" s="23" cm="1">
        <f t="array" aca="1" ref="D10" ca="1">_xlfn.LET(
  _xlpm.taxable, C10,
  _xlpm.kiwisaver,C10*0.03,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C10 * 0.0167,
  _xlpm.taxable - _xlpm.incomeTax - _xlpm.acc - _xlpm.kiwisaver
)</f>
        <v>66609.17868948901</v>
      </c>
      <c r="E10" s="23">
        <f t="shared" ca="1" si="0"/>
        <v>5437.5111846130931</v>
      </c>
      <c r="F10" s="23" cm="1">
        <f t="array" aca="1" ref="F10" ca="1" xml:space="preserve"> C10 * 3% * _xlfn.IFS(
   C10 + C10 * 3% &lt;= 18720, 10.5%,
   C10 + C10 * 3% &lt;= 64200, 17.5%,
   C10 + C10 * 3% &lt;= 93720, 30%,
   C10 + C10 * 3% &lt;= 216000, 33%,
   C10 + C10 * 3% &gt; 216000, 39%
)</f>
        <v>815.62667769196389</v>
      </c>
      <c r="G10" s="23">
        <f t="shared" ca="1" si="1"/>
        <v>5143.3145069211296</v>
      </c>
      <c r="H10" s="23" t="str" cm="1">
        <f t="array" aca="1" ref="H10" ca="1">_xlfn.IFS(
  H9="Boom", CHOOSE(MATCH(RAND(), {0,0.67,1}, 1), "Normal", "Recession"),
  H9="Normal", CHOOSE(MATCH(RAND(), {0,0.18,0.82,1}, 1), "Boom", "Normal", "Recession"),
  H9="Recession", CHOOSE(MATCH(RAND(), {0,0.17,0.34,1}, 1), "Boom", "Normal", "Recession")
)</f>
        <v>Boom</v>
      </c>
      <c r="I10" s="1" cm="1">
        <f t="array" aca="1" ref="I10" ca="1">_xlfn.LET(
  _xlpm.ε, (_xlfn.BETA.INV(RAND(), 5, 5) - 0.5) * 2,
  _xlpm.Scenario,H10,
  _xlpm.pre_scenario,H9,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_xlpm.ρ*(I9-_xlpm.μ_prev) + _xlpm.σ * _xlpm.ε
)</f>
        <v>3.7231586103440802E-2</v>
      </c>
      <c r="J10" s="1" cm="1">
        <f t="array" aca="1" ref="J10" ca="1">_xlfn.LET(
  _xlpm.ε, (_xlfn.BETA.INV(RAND(), 5, 5) - 0.5) * 2,
  _xlpm.Scenario,H10,
  _xlpm.pre_scenario,H9,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_xlpm.ρ*(MAX(J9, -0.05)-_xlpm.μ_prev) + _xlpm.σ * _xlpm.ε
)</f>
        <v>-4.3627983219590272E-2</v>
      </c>
      <c r="K10" s="1" cm="1">
        <f t="array" aca="1" ref="K10" ca="1">_xlfn.LET(
  _xlpm.ε, (_xlfn.BETA.INV(RAND(), 5, 5) - 0.5) * 2,
  _xlpm.Scenario,H10,
  _xlpm.pre_scenario,H9,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_xlpm.ρ*(MAX(K9, -0.07)-_xlpm.μ_prev) + _xlpm.σ * _xlpm.ε
)</f>
        <v>0.20714424299385442</v>
      </c>
      <c r="L10" s="1">
        <f t="shared" ca="1" si="2"/>
        <v>6.3947512373655563E-2</v>
      </c>
      <c r="M10" s="23">
        <f t="shared" ca="1" si="5"/>
        <v>14140.295349295018</v>
      </c>
      <c r="N10" s="23">
        <f t="shared" ca="1" si="3"/>
        <v>11604.642197985671</v>
      </c>
      <c r="O10" s="23">
        <f t="shared" ca="1" si="4"/>
        <v>66269.390472267623</v>
      </c>
      <c r="P10" s="1" cm="1">
        <f t="array" aca="1" ref="P10" ca="1">_xlfn.LET(
  _xlpm.state, H10,
  _xlpm.last, P9,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MAX(0,_xlfn.IFS(A9=49,-_xlfn.NORM.INV(RAND(), 0.01, 0.005), A9=57,ABS(_xlfn.NORM.INV(RAND(), 0.02, 0.01)),TRUE,0))
)</f>
        <v>2.4580722797745719E-2</v>
      </c>
      <c r="Q10" s="1">
        <f t="shared" ca="1" si="6"/>
        <v>0.82067891167239548</v>
      </c>
    </row>
    <row r="11" spans="1:17">
      <c r="A11" s="1">
        <v>39</v>
      </c>
      <c r="B11" s="6">
        <f ca="1">VLOOKUP(salaryGrowth!I11,salaryGrowth!I:I,1,FALSE)</f>
        <v>2.7992231397693364E-2</v>
      </c>
      <c r="C11" s="23">
        <f ca="1">VLOOKUP(salaryGrowth!B11,salaryGrowth!B:B,1,FALSE)</f>
        <v>93324.626867918705</v>
      </c>
      <c r="D11" s="23" cm="1">
        <f t="array" aca="1" ref="D11" ca="1">_xlfn.LET(
  _xlpm.taxable, C11,
  _xlpm.kiwisaver,C11*0.03,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C11 * 0.0167,
  _xlpm.taxable - _xlpm.incomeTax - _xlpm.acc - _xlpm.kiwisaver
)</f>
        <v>68291.739926773735</v>
      </c>
      <c r="E11" s="23">
        <f t="shared" ca="1" si="0"/>
        <v>5599.4776120751221</v>
      </c>
      <c r="F11" s="23" cm="1">
        <f t="array" aca="1" ref="F11" ca="1" xml:space="preserve"> C11 * 3% * _xlfn.IFS(
   C11 + C11 * 3% &lt;= 18720, 10.5%,
   C11 + C11 * 3% &lt;= 64200, 17.5%,
   C11 + C11 * 3% &lt;= 93720, 30%,
   C11 + C11 * 3% &lt;= 216000, 33%,
   C11 + C11 * 3% &gt; 216000, 39%
)</f>
        <v>923.91380599239517</v>
      </c>
      <c r="G11" s="23">
        <f t="shared" ca="1" si="1"/>
        <v>5196.9938060827271</v>
      </c>
      <c r="H11" s="23" t="str" cm="1">
        <f t="array" aca="1" ref="H11" ca="1">_xlfn.IFS(
  H10="Boom", CHOOSE(MATCH(RAND(), {0,0.67,1}, 1), "Normal", "Recession"),
  H10="Normal", CHOOSE(MATCH(RAND(), {0,0.18,0.82,1}, 1), "Boom", "Normal", "Recession"),
  H10="Recession", CHOOSE(MATCH(RAND(), {0,0.17,0.34,1}, 1), "Boom", "Normal", "Recession")
)</f>
        <v>Normal</v>
      </c>
      <c r="I11" s="1" cm="1">
        <f t="array" aca="1" ref="I11" ca="1">_xlfn.LET(
  _xlpm.ε, (_xlfn.BETA.INV(RAND(), 5, 5) - 0.5) * 2,
  _xlpm.Scenario,H11,
  _xlpm.pre_scenario,H10,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_xlpm.ρ*(I10-_xlpm.μ_prev) + _xlpm.σ * _xlpm.ε
)</f>
        <v>2.5044662853143121E-2</v>
      </c>
      <c r="J11" s="1" cm="1">
        <f t="array" aca="1" ref="J11" ca="1">_xlfn.LET(
  _xlpm.ε, (_xlfn.BETA.INV(RAND(), 5, 5) - 0.5) * 2,
  _xlpm.Scenario,H11,
  _xlpm.pre_scenario,H10,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_xlpm.ρ*(MAX(J10, -0.05)-_xlpm.μ_prev) + _xlpm.σ * _xlpm.ε
)</f>
        <v>4.0548342144873718E-2</v>
      </c>
      <c r="K11" s="1" cm="1">
        <f t="array" aca="1" ref="K11" ca="1">_xlfn.LET(
  _xlpm.ε, (_xlfn.BETA.INV(RAND(), 5, 5) - 0.5) * 2,
  _xlpm.Scenario,H11,
  _xlpm.pre_scenario,H10,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_xlpm.ρ*(MAX(K10, -0.07)-_xlpm.μ_prev) + _xlpm.σ * _xlpm.ε
)</f>
        <v>8.8840632767739056E-2</v>
      </c>
      <c r="L11" s="1">
        <f t="shared" ca="1" si="2"/>
        <v>4.8834557615041088E-2</v>
      </c>
      <c r="M11" s="23">
        <f t="shared" ca="1" si="5"/>
        <v>14602.764324063417</v>
      </c>
      <c r="N11" s="23">
        <f t="shared" ca="1" si="3"/>
        <v>11681.737335883105</v>
      </c>
      <c r="O11" s="23">
        <f t="shared" ca="1" si="4"/>
        <v>66312.911977276104</v>
      </c>
      <c r="P11" s="1" cm="1">
        <f t="array" aca="1" ref="P11" ca="1">_xlfn.LET(
  _xlpm.state, H11,
  _xlpm.last, P10,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MAX(0,_xlfn.IFS(A10=49,-_xlfn.NORM.INV(RAND(), 0.01, 0.005), A10=57,ABS(_xlfn.NORM.INV(RAND(), 0.02, 0.01)),TRUE,0))
)</f>
        <v>2.589027541894132E-2</v>
      </c>
      <c r="Q11" s="1">
        <f t="shared" ca="1" si="6"/>
        <v>0.7999675319441506</v>
      </c>
    </row>
    <row r="12" spans="1:17">
      <c r="A12" s="1">
        <v>40</v>
      </c>
      <c r="B12" s="6">
        <f ca="1">VLOOKUP(salaryGrowth!I12,salaryGrowth!I:I,1,FALSE)</f>
        <v>3.6851991908910739E-2</v>
      </c>
      <c r="C12" s="23">
        <f ca="1">VLOOKUP(salaryGrowth!B12,salaryGrowth!B:B,1,FALSE)</f>
        <v>97190.932838161039</v>
      </c>
      <c r="D12" s="23" cm="1">
        <f t="array" aca="1" ref="D12" ca="1">_xlfn.LET(
  _xlpm.taxable, C12,
  _xlpm.kiwisaver,C12*0.03,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C12 * 0.0167,
  _xlpm.taxable - _xlpm.incomeTax - _xlpm.acc - _xlpm.kiwisaver
)</f>
        <v>70701.608438025782</v>
      </c>
      <c r="E12" s="23">
        <f t="shared" ca="1" si="0"/>
        <v>5831.4559702896622</v>
      </c>
      <c r="F12" s="23" cm="1">
        <f t="array" aca="1" ref="F12" ca="1" xml:space="preserve"> C12 * 3% * _xlfn.IFS(
   C12 + C12 * 3% &lt;= 18720, 10.5%,
   C12 + C12 * 3% &lt;= 64200, 17.5%,
   C12 + C12 * 3% &lt;= 93720, 30%,
   C12 + C12 * 3% &lt;= 216000, 33%,
   C12 + C12 * 3% &gt; 216000, 39%
)</f>
        <v>962.19023509779436</v>
      </c>
      <c r="G12" s="23">
        <f t="shared" ca="1" si="1"/>
        <v>5390.6957351918682</v>
      </c>
      <c r="H12" s="23" t="str" cm="1">
        <f t="array" aca="1" ref="H12" ca="1">_xlfn.IFS(
  H11="Boom", CHOOSE(MATCH(RAND(), {0,0.67,1}, 1), "Normal", "Recession"),
  H11="Normal", CHOOSE(MATCH(RAND(), {0,0.18,0.82,1}, 1), "Boom", "Normal", "Recession"),
  H11="Recession", CHOOSE(MATCH(RAND(), {0,0.17,0.34,1}, 1), "Boom", "Normal", "Recession")
)</f>
        <v>Normal</v>
      </c>
      <c r="I12" s="1" cm="1">
        <f t="array" aca="1" ref="I12" ca="1">_xlfn.LET(
  _xlpm.ε, (_xlfn.BETA.INV(RAND(), 5, 5) - 0.5) * 2,
  _xlpm.Scenario,H12,
  _xlpm.pre_scenario,H11,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_xlpm.ρ*(I11-_xlpm.μ_prev) + _xlpm.σ * _xlpm.ε
)</f>
        <v>2.383124060338971E-2</v>
      </c>
      <c r="J12" s="1" cm="1">
        <f t="array" aca="1" ref="J12" ca="1">_xlfn.LET(
  _xlpm.ε, (_xlfn.BETA.INV(RAND(), 5, 5) - 0.5) * 2,
  _xlpm.Scenario,H12,
  _xlpm.pre_scenario,H11,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_xlpm.ρ*(MAX(J11, -0.05)-_xlpm.μ_prev) + _xlpm.σ * _xlpm.ε
)</f>
        <v>0.11251283717176989</v>
      </c>
      <c r="K12" s="1" cm="1">
        <f t="array" aca="1" ref="K12" ca="1">_xlfn.LET(
  _xlpm.ε, (_xlfn.BETA.INV(RAND(), 5, 5) - 0.5) * 2,
  _xlpm.Scenario,H12,
  _xlpm.pre_scenario,H11,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_xlpm.ρ*(MAX(K11, -0.07)-_xlpm.μ_prev) + _xlpm.σ * _xlpm.ε
)</f>
        <v>4.8717788319775496E-2</v>
      </c>
      <c r="L12" s="1">
        <f t="shared" ca="1" si="2"/>
        <v>5.79016838888195E-2</v>
      </c>
      <c r="M12" s="23">
        <f t="shared" ca="1" si="5"/>
        <v>15228.802845684017</v>
      </c>
      <c r="N12" s="23">
        <f t="shared" ca="1" si="3"/>
        <v>11857.852713976388</v>
      </c>
      <c r="O12" s="23">
        <f t="shared" ca="1" si="4"/>
        <v>66909.406535683491</v>
      </c>
      <c r="P12" s="1" cm="1">
        <f t="array" aca="1" ref="P12" ca="1">_xlfn.LET(
  _xlpm.state, H12,
  _xlpm.last, P11,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MAX(0,_xlfn.IFS(A11=49,-_xlfn.NORM.INV(RAND(), 0.01, 0.005), A11=57,ABS(_xlfn.NORM.INV(RAND(), 0.02, 0.01)),TRUE,0))
)</f>
        <v>2.7382285881052165E-2</v>
      </c>
      <c r="Q12" s="1">
        <f t="shared" ca="1" si="6"/>
        <v>0.77864641325611572</v>
      </c>
    </row>
    <row r="13" spans="1:17">
      <c r="A13" s="1">
        <v>41</v>
      </c>
      <c r="B13" s="6">
        <f ca="1">VLOOKUP(salaryGrowth!I13,salaryGrowth!I:I,1,FALSE)</f>
        <v>3.6532908110500063E-2</v>
      </c>
      <c r="C13" s="23">
        <f ca="1">VLOOKUP(salaryGrowth!B13,salaryGrowth!B:B,1,FALSE)</f>
        <v>101288.76074685687</v>
      </c>
      <c r="D13" s="23" cm="1">
        <f t="array" aca="1" ref="D13" ca="1">_xlfn.LET(
  _xlpm.taxable, C13,
  _xlpm.kiwisaver,C13*0.03,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C13 * 0.0167,
  _xlpm.taxable - _xlpm.incomeTax - _xlpm.acc - _xlpm.kiwisaver
)</f>
        <v>73255.784573515892</v>
      </c>
      <c r="E13" s="23">
        <f t="shared" ca="1" si="0"/>
        <v>6077.3256448114125</v>
      </c>
      <c r="F13" s="23" cm="1">
        <f t="array" aca="1" ref="F13" ca="1" xml:space="preserve"> C13 * 3% * _xlfn.IFS(
   C13 + C13 * 3% &lt;= 18720, 10.5%,
   C13 + C13 * 3% &lt;= 64200, 17.5%,
   C13 + C13 * 3% &lt;= 93720, 30%,
   C13 + C13 * 3% &lt;= 216000, 33%,
   C13 + C13 * 3% &gt; 216000, 39%
)</f>
        <v>1002.7587313938831</v>
      </c>
      <c r="G13" s="23">
        <f t="shared" ca="1" si="1"/>
        <v>5595.9969134175299</v>
      </c>
      <c r="H13" s="23" t="str" cm="1">
        <f t="array" aca="1" ref="H13" ca="1">_xlfn.IFS(
  H12="Boom", CHOOSE(MATCH(RAND(), {0,0.67,1}, 1), "Normal", "Recession"),
  H12="Normal", CHOOSE(MATCH(RAND(), {0,0.18,0.82,1}, 1), "Boom", "Normal", "Recession"),
  H12="Recession", CHOOSE(MATCH(RAND(), {0,0.17,0.34,1}, 1), "Boom", "Normal", "Recession")
)</f>
        <v>Normal</v>
      </c>
      <c r="I13" s="1" cm="1">
        <f t="array" aca="1" ref="I13" ca="1">_xlfn.LET(
  _xlpm.ε, (_xlfn.BETA.INV(RAND(), 5, 5) - 0.5) * 2,
  _xlpm.Scenario,H13,
  _xlpm.pre_scenario,H12,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_xlpm.ρ*(I12-_xlpm.μ_prev) + _xlpm.σ * _xlpm.ε
)</f>
        <v>3.4049279130841242E-2</v>
      </c>
      <c r="J13" s="1" cm="1">
        <f t="array" aca="1" ref="J13" ca="1">_xlfn.LET(
  _xlpm.ε, (_xlfn.BETA.INV(RAND(), 5, 5) - 0.5) * 2,
  _xlpm.Scenario,H13,
  _xlpm.pre_scenario,H12,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_xlpm.ρ*(MAX(J12, -0.05)-_xlpm.μ_prev) + _xlpm.σ * _xlpm.ε
)</f>
        <v>8.8702266463529911E-2</v>
      </c>
      <c r="K13" s="1" cm="1">
        <f t="array" aca="1" ref="K13" ca="1">_xlfn.LET(
  _xlpm.ε, (_xlfn.BETA.INV(RAND(), 5, 5) - 0.5) * 2,
  _xlpm.Scenario,H13,
  _xlpm.pre_scenario,H12,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_xlpm.ρ*(MAX(K12, -0.07)-_xlpm.μ_prev) + _xlpm.σ * _xlpm.ε
)</f>
        <v>0.17190207890567485</v>
      </c>
      <c r="L13" s="1">
        <f t="shared" ca="1" si="2"/>
        <v>9.1801015263097918E-2</v>
      </c>
      <c r="M13" s="23">
        <f t="shared" ca="1" si="5"/>
        <v>16370.307014139204</v>
      </c>
      <c r="N13" s="23">
        <f t="shared" ca="1" si="3"/>
        <v>12525.534950131794</v>
      </c>
      <c r="O13" s="23">
        <f t="shared" ca="1" si="4"/>
        <v>68576.279092094803</v>
      </c>
      <c r="P13" s="1" cm="1">
        <f t="array" aca="1" ref="P13" ca="1">_xlfn.LET(
  _xlpm.state, H13,
  _xlpm.last, P12,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MAX(0,_xlfn.IFS(A12=49,-_xlfn.NORM.INV(RAND(), 0.01, 0.005), A12=57,ABS(_xlfn.NORM.INV(RAND(), 0.02, 0.01)),TRUE,0))
)</f>
        <v>1.7655604428040875E-2</v>
      </c>
      <c r="Q13" s="1">
        <f t="shared" ca="1" si="6"/>
        <v>0.76513744912134884</v>
      </c>
    </row>
    <row r="14" spans="1:17">
      <c r="A14" s="1">
        <v>42</v>
      </c>
      <c r="B14" s="6">
        <f ca="1">VLOOKUP(salaryGrowth!I14,salaryGrowth!I:I,1,FALSE)</f>
        <v>4.1969112209628741E-2</v>
      </c>
      <c r="C14" s="23">
        <f ca="1">VLOOKUP(salaryGrowth!B14,salaryGrowth!B:B,1,FALSE)</f>
        <v>106102.22352416583</v>
      </c>
      <c r="D14" s="23" cm="1">
        <f t="array" aca="1" ref="D14" ca="1">_xlfn.LET(
  _xlpm.taxable, C14,
  _xlpm.kiwisaver,C14*0.03,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C14 * 0.0167,
  _xlpm.taxable - _xlpm.incomeTax - _xlpm.acc - _xlpm.kiwisaver
)</f>
        <v>76256.015922612554</v>
      </c>
      <c r="E14" s="23">
        <f t="shared" ca="1" si="0"/>
        <v>6366.1334114499496</v>
      </c>
      <c r="F14" s="23" cm="1">
        <f t="array" aca="1" ref="F14" ca="1" xml:space="preserve"> C14 * 3% * _xlfn.IFS(
   C14 + C14 * 3% &lt;= 18720, 10.5%,
   C14 + C14 * 3% &lt;= 64200, 17.5%,
   C14 + C14 * 3% &lt;= 93720, 30%,
   C14 + C14 * 3% &lt;= 216000, 33%,
   C14 + C14 * 3% &gt; 216000, 39%
)</f>
        <v>1050.4120128892416</v>
      </c>
      <c r="G14" s="23">
        <f t="shared" ca="1" si="1"/>
        <v>5837.151398560708</v>
      </c>
      <c r="H14" s="23" t="str" cm="1">
        <f t="array" aca="1" ref="H14" ca="1">_xlfn.IFS(
  H13="Boom", CHOOSE(MATCH(RAND(), {0,0.67,1}, 1), "Normal", "Recession"),
  H13="Normal", CHOOSE(MATCH(RAND(), {0,0.18,0.82,1}, 1), "Boom", "Normal", "Recession"),
  H13="Recession", CHOOSE(MATCH(RAND(), {0,0.17,0.34,1}, 1), "Boom", "Normal", "Recession")
)</f>
        <v>Normal</v>
      </c>
      <c r="I14" s="1" cm="1">
        <f t="array" aca="1" ref="I14" ca="1">_xlfn.LET(
  _xlpm.ε, (_xlfn.BETA.INV(RAND(), 5, 5) - 0.5) * 2,
  _xlpm.Scenario,H14,
  _xlpm.pre_scenario,H13,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_xlpm.ρ*(I13-_xlpm.μ_prev) + _xlpm.σ * _xlpm.ε
)</f>
        <v>7.9118798772932659E-3</v>
      </c>
      <c r="J14" s="1" cm="1">
        <f t="array" aca="1" ref="J14" ca="1">_xlfn.LET(
  _xlpm.ε, (_xlfn.BETA.INV(RAND(), 5, 5) - 0.5) * 2,
  _xlpm.Scenario,H14,
  _xlpm.pre_scenario,H13,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_xlpm.ρ*(MAX(J13, -0.05)-_xlpm.μ_prev) + _xlpm.σ * _xlpm.ε
)</f>
        <v>7.934733830795436E-2</v>
      </c>
      <c r="K14" s="1" cm="1">
        <f t="array" aca="1" ref="K14" ca="1">_xlfn.LET(
  _xlpm.ε, (_xlfn.BETA.INV(RAND(), 5, 5) - 0.5) * 2,
  _xlpm.Scenario,H14,
  _xlpm.pre_scenario,H13,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_xlpm.ρ*(MAX(K13, -0.07)-_xlpm.μ_prev) + _xlpm.σ * _xlpm.ε
)</f>
        <v>0.24164472614135268</v>
      </c>
      <c r="L14" s="1">
        <f t="shared" ca="1" si="2"/>
        <v>9.9462371285709422E-2</v>
      </c>
      <c r="M14" s="23">
        <f t="shared" ca="1" si="5"/>
        <v>17579.710718392191</v>
      </c>
      <c r="N14" s="23">
        <f t="shared" ca="1" si="3"/>
        <v>13210.075981888958</v>
      </c>
      <c r="O14" s="23">
        <f t="shared" ca="1" si="4"/>
        <v>70511.801849308482</v>
      </c>
      <c r="P14" s="1" cm="1">
        <f t="array" aca="1" ref="P14" ca="1">_xlfn.LET(
  _xlpm.state, H14,
  _xlpm.last, P13,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MAX(0,_xlfn.IFS(A13=49,-_xlfn.NORM.INV(RAND(), 0.01, 0.005), A13=57,ABS(_xlfn.NORM.INV(RAND(), 0.02, 0.01)),TRUE,0))
)</f>
        <v>1.8229950668189911E-2</v>
      </c>
      <c r="Q14" s="1">
        <f t="shared" ca="1" si="6"/>
        <v>0.75143875763941625</v>
      </c>
    </row>
    <row r="15" spans="1:17">
      <c r="A15" s="1">
        <v>43</v>
      </c>
      <c r="B15" s="6">
        <f ca="1">VLOOKUP(salaryGrowth!I15,salaryGrowth!I:I,1,FALSE)</f>
        <v>3.3289655240598168E-2</v>
      </c>
      <c r="C15" s="23">
        <f ca="1">VLOOKUP(salaryGrowth!B15,salaryGrowth!B:B,1,FALSE)</f>
        <v>109944.85491394368</v>
      </c>
      <c r="D15" s="23" cm="1">
        <f t="array" aca="1" ref="D15" ca="1">_xlfn.LET(
  _xlpm.taxable, C15,
  _xlpm.kiwisaver,C15*0.03,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C15 * 0.0167,
  _xlpm.taxable - _xlpm.incomeTax - _xlpm.acc - _xlpm.kiwisaver
)</f>
        <v>78651.128067861093</v>
      </c>
      <c r="E15" s="23">
        <f t="shared" ca="1" si="0"/>
        <v>6596.6912948366207</v>
      </c>
      <c r="F15" s="23" cm="1">
        <f t="array" aca="1" ref="F15" ca="1" xml:space="preserve"> C15 * 3% * _xlfn.IFS(
   C15 + C15 * 3% &lt;= 18720, 10.5%,
   C15 + C15 * 3% &lt;= 64200, 17.5%,
   C15 + C15 * 3% &lt;= 93720, 30%,
   C15 + C15 * 3% &lt;= 216000, 33%,
   C15 + C15 * 3% &gt; 216000, 39%
)</f>
        <v>1088.4540636480424</v>
      </c>
      <c r="G15" s="23">
        <f t="shared" ca="1" si="1"/>
        <v>6029.6672311885786</v>
      </c>
      <c r="H15" s="23" t="str" cm="1">
        <f t="array" aca="1" ref="H15" ca="1">_xlfn.IFS(
  H14="Boom", CHOOSE(MATCH(RAND(), {0,0.67,1}, 1), "Normal", "Recession"),
  H14="Normal", CHOOSE(MATCH(RAND(), {0,0.18,0.82,1}, 1), "Boom", "Normal", "Recession"),
  H14="Recession", CHOOSE(MATCH(RAND(), {0,0.17,0.34,1}, 1), "Boom", "Normal", "Recession")
)</f>
        <v>Normal</v>
      </c>
      <c r="I15" s="1" cm="1">
        <f t="array" aca="1" ref="I15" ca="1">_xlfn.LET(
  _xlpm.ε, (_xlfn.BETA.INV(RAND(), 5, 5) - 0.5) * 2,
  _xlpm.Scenario,H15,
  _xlpm.pre_scenario,H14,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_xlpm.ρ*(I14-_xlpm.μ_prev) + _xlpm.σ * _xlpm.ε
)</f>
        <v>1.7932005059698088E-2</v>
      </c>
      <c r="J15" s="1" cm="1">
        <f t="array" aca="1" ref="J15" ca="1">_xlfn.LET(
  _xlpm.ε, (_xlfn.BETA.INV(RAND(), 5, 5) - 0.5) * 2,
  _xlpm.Scenario,H15,
  _xlpm.pre_scenario,H14,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_xlpm.ρ*(MAX(J14, -0.05)-_xlpm.μ_prev) + _xlpm.σ * _xlpm.ε
)</f>
        <v>3.7143785000436136E-2</v>
      </c>
      <c r="K15" s="1" cm="1">
        <f t="array" aca="1" ref="K15" ca="1">_xlfn.LET(
  _xlpm.ε, (_xlfn.BETA.INV(RAND(), 5, 5) - 0.5) * 2,
  _xlpm.Scenario,H15,
  _xlpm.pre_scenario,H14,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_xlpm.ρ*(MAX(K14, -0.07)-_xlpm.μ_prev) + _xlpm.σ * _xlpm.ε
)</f>
        <v>0.19271519037790924</v>
      </c>
      <c r="L15" s="1">
        <f t="shared" ca="1" si="2"/>
        <v>7.6130494637382848E-2</v>
      </c>
      <c r="M15" s="23">
        <f t="shared" ca="1" si="5"/>
        <v>18292.875531093556</v>
      </c>
      <c r="N15" s="23">
        <f t="shared" ca="1" si="3"/>
        <v>13577.433816380193</v>
      </c>
      <c r="O15" s="23">
        <f t="shared" ca="1" si="4"/>
        <v>71954.285728474744</v>
      </c>
      <c r="P15" s="1" cm="1">
        <f t="array" aca="1" ref="P15" ca="1">_xlfn.LET(
  _xlpm.state, H15,
  _xlpm.last, P14,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MAX(0,_xlfn.IFS(A14=49,-_xlfn.NORM.INV(RAND(), 0.01, 0.005), A14=57,ABS(_xlfn.NORM.INV(RAND(), 0.02, 0.01)),TRUE,0))
)</f>
        <v>1.2413380071416175E-2</v>
      </c>
      <c r="Q15" s="1">
        <f t="shared" ca="1" si="6"/>
        <v>0.74222523371471982</v>
      </c>
    </row>
    <row r="16" spans="1:17">
      <c r="A16" s="1">
        <v>44</v>
      </c>
      <c r="B16" s="6">
        <f ca="1">VLOOKUP(salaryGrowth!I16,salaryGrowth!I:I,1,FALSE)</f>
        <v>3.2549705885431018E-2</v>
      </c>
      <c r="C16" s="23">
        <f ca="1">VLOOKUP(salaryGrowth!B16,salaryGrowth!B:B,1,FALSE)</f>
        <v>113879.64166091326</v>
      </c>
      <c r="D16" s="23" cm="1">
        <f t="array" aca="1" ref="D16" ca="1">_xlfn.LET(
  _xlpm.taxable, C16,
  _xlpm.kiwisaver,C16*0.03,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C16 * 0.0167,
  _xlpm.taxable - _xlpm.incomeTax - _xlpm.acc - _xlpm.kiwisaver
)</f>
        <v>81103.680647247238</v>
      </c>
      <c r="E16" s="23">
        <f t="shared" ca="1" si="0"/>
        <v>6832.7784996547953</v>
      </c>
      <c r="F16" s="23" cm="1">
        <f t="array" aca="1" ref="F16" ca="1" xml:space="preserve"> C16 * 3% * _xlfn.IFS(
   C16 + C16 * 3% &lt;= 18720, 10.5%,
   C16 + C16 * 3% &lt;= 64200, 17.5%,
   C16 + C16 * 3% &lt;= 93720, 30%,
   C16 + C16 * 3% &lt;= 216000, 33%,
   C16 + C16 * 3% &gt; 216000, 39%
)</f>
        <v>1127.4084524430414</v>
      </c>
      <c r="G16" s="23">
        <f t="shared" ca="1" si="1"/>
        <v>6226.8000472117546</v>
      </c>
      <c r="H16" s="23" t="str" cm="1">
        <f t="array" aca="1" ref="H16" ca="1">_xlfn.IFS(
  H15="Boom", CHOOSE(MATCH(RAND(), {0,0.67,1}, 1), "Normal", "Recession"),
  H15="Normal", CHOOSE(MATCH(RAND(), {0,0.18,0.82,1}, 1), "Boom", "Normal", "Recession"),
  H15="Recession", CHOOSE(MATCH(RAND(), {0,0.17,0.34,1}, 1), "Boom", "Normal", "Recession")
)</f>
        <v>Normal</v>
      </c>
      <c r="I16" s="1" cm="1">
        <f t="array" aca="1" ref="I16" ca="1">_xlfn.LET(
  _xlpm.ε, (_xlfn.BETA.INV(RAND(), 5, 5) - 0.5) * 2,
  _xlpm.Scenario,H16,
  _xlpm.pre_scenario,H15,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_xlpm.ρ*(I15-_xlpm.μ_prev) + _xlpm.σ * _xlpm.ε
)</f>
        <v>4.4237149861709568E-2</v>
      </c>
      <c r="J16" s="1" cm="1">
        <f t="array" aca="1" ref="J16" ca="1">_xlfn.LET(
  _xlpm.ε, (_xlfn.BETA.INV(RAND(), 5, 5) - 0.5) * 2,
  _xlpm.Scenario,H16,
  _xlpm.pre_scenario,H15,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_xlpm.ρ*(MAX(J15, -0.05)-_xlpm.μ_prev) + _xlpm.σ * _xlpm.ε
)</f>
        <v>5.6624429031819926E-2</v>
      </c>
      <c r="K16" s="1" cm="1">
        <f t="array" aca="1" ref="K16" ca="1">_xlfn.LET(
  _xlpm.ε, (_xlfn.BETA.INV(RAND(), 5, 5) - 0.5) * 2,
  _xlpm.Scenario,H16,
  _xlpm.pre_scenario,H15,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_xlpm.ρ*(MAX(K15, -0.07)-_xlpm.μ_prev) + _xlpm.σ * _xlpm.ε
)</f>
        <v>0.13506123078463589</v>
      </c>
      <c r="L16" s="1">
        <f t="shared" ca="1" si="2"/>
        <v>7.5200557889620573E-2</v>
      </c>
      <c r="M16" s="23">
        <f t="shared" ca="1" si="5"/>
        <v>18981.769579967789</v>
      </c>
      <c r="N16" s="23">
        <f t="shared" ca="1" si="3"/>
        <v>13934.583974720259</v>
      </c>
      <c r="O16" s="23">
        <f t="shared" ca="1" si="4"/>
        <v>73473.081893831491</v>
      </c>
      <c r="P16" s="1" cm="1">
        <f t="array" aca="1" ref="P16" ca="1">_xlfn.LET(
  _xlpm.state, H16,
  _xlpm.last, P15,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MAX(0,_xlfn.IFS(A15=49,-_xlfn.NORM.INV(RAND(), 0.01, 0.005), A15=57,ABS(_xlfn.NORM.INV(RAND(), 0.02, 0.01)),TRUE,0))
)</f>
        <v>1.1063436724768594E-2</v>
      </c>
      <c r="Q16" s="1">
        <f t="shared" ca="1" si="6"/>
        <v>0.73410352580751881</v>
      </c>
    </row>
    <row r="17" spans="1:17">
      <c r="A17" s="1">
        <v>45</v>
      </c>
      <c r="B17" s="6">
        <f ca="1">VLOOKUP(salaryGrowth!I17,salaryGrowth!I:I,1,FALSE)</f>
        <v>3.217852044313279E-2</v>
      </c>
      <c r="C17" s="23">
        <f ca="1">VLOOKUP(salaryGrowth!B17,salaryGrowth!B:B,1,FALSE)</f>
        <v>117751.6823366757</v>
      </c>
      <c r="D17" s="23" cm="1">
        <f t="array" aca="1" ref="D17" ca="1">_xlfn.LET(
  _xlpm.taxable, C17,
  _xlpm.kiwisaver,C17*0.03,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C17 * 0.0167,
  _xlpm.taxable - _xlpm.incomeTax - _xlpm.acc - _xlpm.kiwisaver
)</f>
        <v>83517.123600449966</v>
      </c>
      <c r="E17" s="23">
        <f t="shared" ca="1" si="0"/>
        <v>7065.100940200542</v>
      </c>
      <c r="F17" s="23" cm="1">
        <f t="array" aca="1" ref="F17" ca="1" xml:space="preserve"> C17 * 3% * _xlfn.IFS(
   C17 + C17 * 3% &lt;= 18720, 10.5%,
   C17 + C17 * 3% &lt;= 64200, 17.5%,
   C17 + C17 * 3% &lt;= 93720, 30%,
   C17 + C17 * 3% &lt;= 216000, 33%,
   C17 + C17 * 3% &gt; 216000, 39%
)</f>
        <v>1165.7416551330896</v>
      </c>
      <c r="G17" s="23">
        <f t="shared" ca="1" si="1"/>
        <v>6420.7892850674525</v>
      </c>
      <c r="H17" s="23" t="str" cm="1">
        <f t="array" aca="1" ref="H17" ca="1">_xlfn.IFS(
  H16="Boom", CHOOSE(MATCH(RAND(), {0,0.67,1}, 1), "Normal", "Recession"),
  H16="Normal", CHOOSE(MATCH(RAND(), {0,0.18,0.82,1}, 1), "Boom", "Normal", "Recession"),
  H16="Recession", CHOOSE(MATCH(RAND(), {0,0.17,0.34,1}, 1), "Boom", "Normal", "Recession")
)</f>
        <v>Normal</v>
      </c>
      <c r="I17" s="1" cm="1">
        <f t="array" aca="1" ref="I17" ca="1">_xlfn.LET(
  _xlpm.ε, (_xlfn.BETA.INV(RAND(), 5, 5) - 0.5) * 2,
  _xlpm.Scenario,H17,
  _xlpm.pre_scenario,H16,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_xlpm.ρ*(I16-_xlpm.μ_prev) + _xlpm.σ * _xlpm.ε
)</f>
        <v>3.6713766814279847E-2</v>
      </c>
      <c r="J17" s="1" cm="1">
        <f t="array" aca="1" ref="J17" ca="1">_xlfn.LET(
  _xlpm.ε, (_xlfn.BETA.INV(RAND(), 5, 5) - 0.5) * 2,
  _xlpm.Scenario,H17,
  _xlpm.pre_scenario,H16,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_xlpm.ρ*(MAX(J16, -0.05)-_xlpm.μ_prev) + _xlpm.σ * _xlpm.ε
)</f>
        <v>9.0866882393150133E-2</v>
      </c>
      <c r="K17" s="1" cm="1">
        <f t="array" aca="1" ref="K17" ca="1">_xlfn.LET(
  _xlpm.ε, (_xlfn.BETA.INV(RAND(), 5, 5) - 0.5) * 2,
  _xlpm.Scenario,H17,
  _xlpm.pre_scenario,H16,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_xlpm.ρ*(MAX(K16, -0.07)-_xlpm.μ_prev) + _xlpm.σ * _xlpm.ε
)</f>
        <v>0.19699542896844241</v>
      </c>
      <c r="L17" s="1">
        <f t="shared" ca="1" si="2"/>
        <v>0.1010442001341897</v>
      </c>
      <c r="M17" s="23">
        <f t="shared" ca="1" si="5"/>
        <v>20137.92487697837</v>
      </c>
      <c r="N17" s="23">
        <f t="shared" ca="1" si="3"/>
        <v>14521.02583321109</v>
      </c>
      <c r="O17" s="23">
        <f t="shared" ca="1" si="4"/>
        <v>74743.432894826226</v>
      </c>
      <c r="P17" s="1" cm="1">
        <f t="array" aca="1" ref="P17" ca="1">_xlfn.LET(
  _xlpm.state, H17,
  _xlpm.last, P16,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MAX(0,_xlfn.IFS(A16=49,-_xlfn.NORM.INV(RAND(), 0.01, 0.005), A16=57,ABS(_xlfn.NORM.INV(RAND(), 0.02, 0.01)),TRUE,0))
)</f>
        <v>1.8063174354099636E-2</v>
      </c>
      <c r="Q17" s="1">
        <f t="shared" ca="1" si="6"/>
        <v>0.72107855808974108</v>
      </c>
    </row>
    <row r="18" spans="1:17">
      <c r="A18" s="1">
        <v>46</v>
      </c>
      <c r="B18" s="6">
        <f ca="1">VLOOKUP(salaryGrowth!I18,salaryGrowth!I:I,1,FALSE)</f>
        <v>1.3073939752174774E-2</v>
      </c>
      <c r="C18" s="23">
        <f ca="1">VLOOKUP(salaryGrowth!B18,salaryGrowth!B:B,1,FALSE)</f>
        <v>119291.16073726263</v>
      </c>
      <c r="D18" s="23" cm="1">
        <f t="array" aca="1" ref="D18" ca="1">_xlfn.LET(
  _xlpm.taxable, C18,
  _xlpm.kiwisaver,C18*0.03,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C18 * 0.0167,
  _xlpm.taxable - _xlpm.incomeTax - _xlpm.acc - _xlpm.kiwisaver
)</f>
        <v>84476.680487535792</v>
      </c>
      <c r="E18" s="23">
        <f t="shared" ca="1" si="0"/>
        <v>7157.4696442357572</v>
      </c>
      <c r="F18" s="23" cm="1">
        <f t="array" aca="1" ref="F18" ca="1" xml:space="preserve"> C18 * 3% * _xlfn.IFS(
   C18 + C18 * 3% &lt;= 18720, 10.5%,
   C18 + C18 * 3% &lt;= 64200, 17.5%,
   C18 + C18 * 3% &lt;= 93720, 30%,
   C18 + C18 * 3% &lt;= 216000, 33%,
   C18 + C18 * 3% &gt; 216000, 39%
)</f>
        <v>1180.9824912989</v>
      </c>
      <c r="G18" s="23">
        <f t="shared" ca="1" si="1"/>
        <v>6497.9171529368577</v>
      </c>
      <c r="H18" s="23" t="str" cm="1">
        <f t="array" aca="1" ref="H18" ca="1">_xlfn.IFS(
  H17="Boom", CHOOSE(MATCH(RAND(), {0,0.67,1}, 1), "Normal", "Recession"),
  H17="Normal", CHOOSE(MATCH(RAND(), {0,0.18,0.82,1}, 1), "Boom", "Normal", "Recession"),
  H17="Recession", CHOOSE(MATCH(RAND(), {0,0.17,0.34,1}, 1), "Boom", "Normal", "Recession")
)</f>
        <v>Boom</v>
      </c>
      <c r="I18" s="1" cm="1">
        <f t="array" aca="1" ref="I18" ca="1">_xlfn.LET(
  _xlpm.ε, (_xlfn.BETA.INV(RAND(), 5, 5) - 0.5) * 2,
  _xlpm.Scenario,H18,
  _xlpm.pre_scenario,H17,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_xlpm.ρ*(I17-_xlpm.μ_prev) + _xlpm.σ * _xlpm.ε
)</f>
        <v>2.5498998689662211E-2</v>
      </c>
      <c r="J18" s="1" cm="1">
        <f t="array" aca="1" ref="J18" ca="1">_xlfn.LET(
  _xlpm.ε, (_xlfn.BETA.INV(RAND(), 5, 5) - 0.5) * 2,
  _xlpm.Scenario,H18,
  _xlpm.pre_scenario,H17,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_xlpm.ρ*(MAX(J17, -0.05)-_xlpm.μ_prev) + _xlpm.σ * _xlpm.ε
)</f>
        <v>0.27394591237740451</v>
      </c>
      <c r="K18" s="1" cm="1">
        <f t="array" aca="1" ref="K18" ca="1">_xlfn.LET(
  _xlpm.ε, (_xlfn.BETA.INV(RAND(), 5, 5) - 0.5) * 2,
  _xlpm.Scenario,H18,
  _xlpm.pre_scenario,H17,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_xlpm.ρ*(MAX(K17, -0.07)-_xlpm.μ_prev) + _xlpm.σ * _xlpm.ε
)</f>
        <v>0.19044911380729324</v>
      </c>
      <c r="L18" s="1">
        <f t="shared" ca="1" si="2"/>
        <v>0.14951810733127421</v>
      </c>
      <c r="M18" s="23">
        <f t="shared" ca="1" si="5"/>
        <v>22045.235556530126</v>
      </c>
      <c r="N18" s="23">
        <f t="shared" ca="1" si="3"/>
        <v>15527.66076473164</v>
      </c>
      <c r="O18" s="23">
        <f t="shared" ca="1" si="4"/>
        <v>75029.190416227138</v>
      </c>
      <c r="P18" s="1" cm="1">
        <f t="array" aca="1" ref="P18" ca="1">_xlfn.LET(
  _xlpm.state, H18,
  _xlpm.last, P17,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MAX(0,_xlfn.IFS(A17=49,-_xlfn.NORM.INV(RAND(), 0.01, 0.005), A17=57,ABS(_xlfn.NORM.INV(RAND(), 0.02, 0.01)),TRUE,0))
)</f>
        <v>2.3743814905925822E-2</v>
      </c>
      <c r="Q18" s="1">
        <f t="shared" ca="1" si="6"/>
        <v>0.70435449532459704</v>
      </c>
    </row>
    <row r="19" spans="1:17">
      <c r="A19" s="1">
        <v>47</v>
      </c>
      <c r="B19" s="6">
        <f ca="1">VLOOKUP(salaryGrowth!I19,salaryGrowth!I:I,1,FALSE)</f>
        <v>8.0000012083125058E-3</v>
      </c>
      <c r="C19" s="23">
        <f ca="1">VLOOKUP(salaryGrowth!B19,salaryGrowth!B:B,1,FALSE)</f>
        <v>120245.49016730174</v>
      </c>
      <c r="D19" s="23" cm="1">
        <f t="array" aca="1" ref="D19" ca="1">_xlfn.LET(
  _xlpm.taxable, C19,
  _xlpm.kiwisaver,C19*0.03,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C19 * 0.0167,
  _xlpm.taxable - _xlpm.incomeTax - _xlpm.acc - _xlpm.kiwisaver
)</f>
        <v>85071.514021279174</v>
      </c>
      <c r="E19" s="23">
        <f t="shared" ca="1" si="0"/>
        <v>7214.7294100381041</v>
      </c>
      <c r="F19" s="23" cm="1">
        <f t="array" aca="1" ref="F19" ca="1" xml:space="preserve"> C19 * 3% * _xlfn.IFS(
   C19 + C19 * 3% &lt;= 18720, 10.5%,
   C19 + C19 * 3% &lt;= 64200, 17.5%,
   C19 + C19 * 3% &lt;= 93720, 30%,
   C19 + C19 * 3% &lt;= 216000, 33%,
   C19 + C19 * 3% &gt; 216000, 39%
)</f>
        <v>1190.4303526562871</v>
      </c>
      <c r="G19" s="23">
        <f t="shared" ca="1" si="1"/>
        <v>6545.7290573818173</v>
      </c>
      <c r="H19" s="23" t="str" cm="1">
        <f t="array" aca="1" ref="H19" ca="1">_xlfn.IFS(
  H18="Boom", CHOOSE(MATCH(RAND(), {0,0.67,1}, 1), "Normal", "Recession"),
  H18="Normal", CHOOSE(MATCH(RAND(), {0,0.18,0.82,1}, 1), "Boom", "Normal", "Recession"),
  H18="Recession", CHOOSE(MATCH(RAND(), {0,0.17,0.34,1}, 1), "Boom", "Normal", "Recession")
)</f>
        <v>Normal</v>
      </c>
      <c r="I19" s="1" cm="1">
        <f t="array" aca="1" ref="I19" ca="1">_xlfn.LET(
  _xlpm.ε, (_xlfn.BETA.INV(RAND(), 5, 5) - 0.5) * 2,
  _xlpm.Scenario,H19,
  _xlpm.pre_scenario,H18,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_xlpm.ρ*(I18-_xlpm.μ_prev) + _xlpm.σ * _xlpm.ε
)</f>
        <v>4.2882429396833753E-2</v>
      </c>
      <c r="J19" s="1" cm="1">
        <f t="array" aca="1" ref="J19" ca="1">_xlfn.LET(
  _xlpm.ε, (_xlfn.BETA.INV(RAND(), 5, 5) - 0.5) * 2,
  _xlpm.Scenario,H19,
  _xlpm.pre_scenario,H18,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_xlpm.ρ*(MAX(J18, -0.05)-_xlpm.μ_prev) + _xlpm.σ * _xlpm.ε
)</f>
        <v>0.19537683545413931</v>
      </c>
      <c r="K19" s="1" cm="1">
        <f t="array" aca="1" ref="K19" ca="1">_xlfn.LET(
  _xlpm.ε, (_xlfn.BETA.INV(RAND(), 5, 5) - 0.5) * 2,
  _xlpm.Scenario,H19,
  _xlpm.pre_scenario,H18,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_xlpm.ρ*(MAX(K18, -0.07)-_xlpm.μ_prev) + _xlpm.σ * _xlpm.ε
)</f>
        <v>0.20096320223973443</v>
      </c>
      <c r="L19" s="1">
        <f t="shared" ca="1" si="2"/>
        <v>0.13605498306689562</v>
      </c>
      <c r="M19" s="23">
        <f t="shared" ca="1" si="5"/>
        <v>23386.25363063324</v>
      </c>
      <c r="N19" s="23">
        <f t="shared" ca="1" si="3"/>
        <v>16147.781136326856</v>
      </c>
      <c r="O19" s="23">
        <f t="shared" ca="1" si="4"/>
        <v>74888.108298098959</v>
      </c>
      <c r="P19" s="1" cm="1">
        <f t="array" aca="1" ref="P19" ca="1">_xlfn.LET(
  _xlpm.state, H19,
  _xlpm.last, P18,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MAX(0,_xlfn.IFS(A18=49,-_xlfn.NORM.INV(RAND(), 0.01, 0.005), A18=57,ABS(_xlfn.NORM.INV(RAND(), 0.02, 0.01)),TRUE,0))
)</f>
        <v>2.0091412836961805E-2</v>
      </c>
      <c r="Q19" s="1">
        <f t="shared" ca="1" si="6"/>
        <v>0.69048174159777187</v>
      </c>
    </row>
    <row r="20" spans="1:17">
      <c r="A20" s="1">
        <v>48</v>
      </c>
      <c r="B20" s="6">
        <f ca="1">VLOOKUP(salaryGrowth!I20,salaryGrowth!I:I,1,FALSE)</f>
        <v>1.4473306509230134E-2</v>
      </c>
      <c r="C20" s="23">
        <f ca="1">VLOOKUP(salaryGrowth!B20,salaryGrowth!B:B,1,FALSE)</f>
        <v>121985.84000284573</v>
      </c>
      <c r="D20" s="23" cm="1">
        <f t="array" aca="1" ref="D20" ca="1">_xlfn.LET(
  _xlpm.taxable, C20,
  _xlpm.kiwisaver,C20*0.03,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C20 * 0.0167,
  _xlpm.taxable - _xlpm.incomeTax - _xlpm.acc - _xlpm.kiwisaver
)</f>
        <v>86156.274073773748</v>
      </c>
      <c r="E20" s="23">
        <f t="shared" ca="1" si="0"/>
        <v>7319.1504001707435</v>
      </c>
      <c r="F20" s="23" cm="1">
        <f t="array" aca="1" ref="F20" ca="1" xml:space="preserve"> C20 * 3% * _xlfn.IFS(
   C20 + C20 * 3% &lt;= 18720, 10.5%,
   C20 + C20 * 3% &lt;= 64200, 17.5%,
   C20 + C20 * 3% &lt;= 93720, 30%,
   C20 + C20 * 3% &lt;= 216000, 33%,
   C20 + C20 * 3% &gt; 216000, 39%
)</f>
        <v>1207.6598160281728</v>
      </c>
      <c r="G20" s="23">
        <f t="shared" ca="1" si="1"/>
        <v>6632.920584142571</v>
      </c>
      <c r="H20" s="23" t="str" cm="1">
        <f t="array" aca="1" ref="H20" ca="1">_xlfn.IFS(
  H19="Boom", CHOOSE(MATCH(RAND(), {0,0.67,1}, 1), "Normal", "Recession"),
  H19="Normal", CHOOSE(MATCH(RAND(), {0,0.18,0.82,1}, 1), "Boom", "Normal", "Recession"),
  H19="Recession", CHOOSE(MATCH(RAND(), {0,0.17,0.34,1}, 1), "Boom", "Normal", "Recession")
)</f>
        <v>Normal</v>
      </c>
      <c r="I20" s="1" cm="1">
        <f t="array" aca="1" ref="I20" ca="1">_xlfn.LET(
  _xlpm.ε, (_xlfn.BETA.INV(RAND(), 5, 5) - 0.5) * 2,
  _xlpm.Scenario,H20,
  _xlpm.pre_scenario,H19,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_xlpm.ρ*(I19-_xlpm.μ_prev) + _xlpm.σ * _xlpm.ε
)</f>
        <v>4.6148870000614545E-2</v>
      </c>
      <c r="J20" s="1" cm="1">
        <f t="array" aca="1" ref="J20" ca="1">_xlfn.LET(
  _xlpm.ε, (_xlfn.BETA.INV(RAND(), 5, 5) - 0.5) * 2,
  _xlpm.Scenario,H20,
  _xlpm.pre_scenario,H19,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_xlpm.ρ*(MAX(J19, -0.05)-_xlpm.μ_prev) + _xlpm.σ * _xlpm.ε
)</f>
        <v>6.8216475263575313E-2</v>
      </c>
      <c r="K20" s="1" cm="1">
        <f t="array" aca="1" ref="K20" ca="1">_xlfn.LET(
  _xlpm.ε, (_xlfn.BETA.INV(RAND(), 5, 5) - 0.5) * 2,
  _xlpm.Scenario,H20,
  _xlpm.pre_scenario,H19,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_xlpm.ρ*(MAX(K19, -0.07)-_xlpm.μ_prev) + _xlpm.σ * _xlpm.ε
)</f>
        <v>0.26573650568375418</v>
      </c>
      <c r="L20" s="1">
        <f t="shared" ca="1" si="2"/>
        <v>0.11864544228444465</v>
      </c>
      <c r="M20" s="23">
        <f t="shared" ca="1" si="5"/>
        <v>24178.184939881212</v>
      </c>
      <c r="N20" s="23">
        <f t="shared" ca="1" si="3"/>
        <v>16360.017438968689</v>
      </c>
      <c r="O20" s="23">
        <f t="shared" ca="1" si="4"/>
        <v>74657.12079177436</v>
      </c>
      <c r="P20" s="1" cm="1">
        <f t="array" aca="1" ref="P20" ca="1">_xlfn.LET(
  _xlpm.state, H20,
  _xlpm.last, P19,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MAX(0,_xlfn.IFS(A19=49,-_xlfn.NORM.INV(RAND(), 0.01, 0.005), A19=57,ABS(_xlfn.NORM.INV(RAND(), 0.02, 0.01)),TRUE,0))
)</f>
        <v>2.0450944397929733E-2</v>
      </c>
      <c r="Q20" s="1">
        <f t="shared" ca="1" si="6"/>
        <v>0.6766437381320265</v>
      </c>
    </row>
    <row r="21" spans="1:17">
      <c r="A21" s="1">
        <v>49</v>
      </c>
      <c r="B21" s="6">
        <f ca="1">VLOOKUP(salaryGrowth!I21,salaryGrowth!I:I,1,FALSE)</f>
        <v>1.9469543077485992E-2</v>
      </c>
      <c r="C21" s="23">
        <f ca="1">VLOOKUP(salaryGrowth!B21,salaryGrowth!B:B,1,FALSE)</f>
        <v>124360.84856962445</v>
      </c>
      <c r="D21" s="23" cm="1">
        <f t="array" aca="1" ref="D21" ca="1">_xlfn.LET(
  _xlpm.taxable, C21,
  _xlpm.kiwisaver,C21*0.03,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C21 * 0.0167,
  _xlpm.taxable - _xlpm.incomeTax - _xlpm.acc - _xlpm.kiwisaver
)</f>
        <v>87636.616913446909</v>
      </c>
      <c r="E21" s="23">
        <f t="shared" ca="1" si="0"/>
        <v>7461.6509141774668</v>
      </c>
      <c r="F21" s="23" cm="1">
        <f t="array" aca="1" ref="F21" ca="1" xml:space="preserve"> C21 * 3% * _xlfn.IFS(
   C21 + C21 * 3% &lt;= 18720, 10.5%,
   C21 + C21 * 3% &lt;= 64200, 17.5%,
   C21 + C21 * 3% &lt;= 93720, 30%,
   C21 + C21 * 3% &lt;= 216000, 33%,
   C21 + C21 * 3% &gt; 216000, 39%
)</f>
        <v>1231.1724008392821</v>
      </c>
      <c r="G21" s="23">
        <f t="shared" ca="1" si="1"/>
        <v>6751.908513338185</v>
      </c>
      <c r="H21" s="23" t="str" cm="1">
        <f t="array" aca="1" ref="H21" ca="1">_xlfn.IFS(
  H20="Boom", CHOOSE(MATCH(RAND(), {0,0.67,1}, 1), "Normal", "Recession"),
  H20="Normal", CHOOSE(MATCH(RAND(), {0,0.18,0.82,1}, 1), "Boom", "Normal", "Recession"),
  H20="Recession", CHOOSE(MATCH(RAND(), {0,0.17,0.34,1}, 1), "Boom", "Normal", "Recession")
)</f>
        <v>Normal</v>
      </c>
      <c r="I21" s="1" cm="1">
        <f t="array" aca="1" ref="I21" ca="1">_xlfn.LET(
  _xlpm.ε, (_xlfn.BETA.INV(RAND(), 5, 5) - 0.5) * 2,
  _xlpm.Scenario,H21,
  _xlpm.pre_scenario,H20,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_xlpm.ρ*(I20-_xlpm.μ_prev) + _xlpm.σ * _xlpm.ε
)</f>
        <v>2.5982699269382778E-2</v>
      </c>
      <c r="J21" s="1" cm="1">
        <f t="array" aca="1" ref="J21" ca="1">_xlfn.LET(
  _xlpm.ε, (_xlfn.BETA.INV(RAND(), 5, 5) - 0.5) * 2,
  _xlpm.Scenario,H21,
  _xlpm.pre_scenario,H20,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_xlpm.ρ*(MAX(J20, -0.05)-_xlpm.μ_prev) + _xlpm.σ * _xlpm.ε
)</f>
        <v>4.6354713056862562E-2</v>
      </c>
      <c r="K21" s="1" cm="1">
        <f t="array" aca="1" ref="K21" ca="1">_xlfn.LET(
  _xlpm.ε, (_xlfn.BETA.INV(RAND(), 5, 5) - 0.5) * 2,
  _xlpm.Scenario,H21,
  _xlpm.pre_scenario,H20,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_xlpm.ρ*(MAX(K20, -0.07)-_xlpm.μ_prev) + _xlpm.σ * _xlpm.ε
)</f>
        <v>0.235402403690332</v>
      </c>
      <c r="L21" s="1">
        <f t="shared" ca="1" si="2"/>
        <v>9.4920214731911479E-2</v>
      </c>
      <c r="M21" s="23">
        <f t="shared" ca="1" si="5"/>
        <v>24383.508887143489</v>
      </c>
      <c r="N21" s="23">
        <f t="shared" ca="1" si="3"/>
        <v>16051.143460372265</v>
      </c>
      <c r="O21" s="23">
        <f t="shared" ca="1" si="4"/>
        <v>73740.457864219454</v>
      </c>
      <c r="P21" s="1" cm="1">
        <f t="array" aca="1" ref="P21" ca="1">_xlfn.LET(
  _xlpm.state, H21,
  _xlpm.last, P20,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MAX(0,_xlfn.IFS(A20=49,-_xlfn.NORM.INV(RAND(), 0.01, 0.005), A20=57,ABS(_xlfn.NORM.INV(RAND(), 0.02, 0.01)),TRUE,0))
)</f>
        <v>2.7898644286966555E-2</v>
      </c>
      <c r="Q21" s="1">
        <f t="shared" ca="1" si="6"/>
        <v>0.65827865606477298</v>
      </c>
    </row>
    <row r="22" spans="1:17">
      <c r="A22" s="1">
        <v>50</v>
      </c>
      <c r="B22" s="6">
        <f ca="1">VLOOKUP(salaryGrowth!I22,salaryGrowth!I:I,1,FALSE)</f>
        <v>1.8609343951656657E-2</v>
      </c>
      <c r="C22" s="23">
        <f ca="1">VLOOKUP(salaryGrowth!B22,salaryGrowth!B:B,1,FALSE)</f>
        <v>126675.12237477647</v>
      </c>
      <c r="D22" s="23" cm="1">
        <f t="array" aca="1" ref="D22" ca="1">_xlfn.LET(
  _xlpm.taxable, C22,
  _xlpm.kiwisaver,C22*0.03,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C22 * 0.0167,
  _xlpm.taxable - _xlpm.incomeTax - _xlpm.acc - _xlpm.kiwisaver
)</f>
        <v>89079.103776198172</v>
      </c>
      <c r="E22" s="23">
        <f t="shared" ca="1" si="0"/>
        <v>7600.5073424865877</v>
      </c>
      <c r="F22" s="23" cm="1">
        <f t="array" aca="1" ref="F22" ca="1" xml:space="preserve"> C22 * 3% * _xlfn.IFS(
   C22 + C22 * 3% &lt;= 18720, 10.5%,
   C22 + C22 * 3% &lt;= 64200, 17.5%,
   C22 + C22 * 3% &lt;= 93720, 30%,
   C22 + C22 * 3% &lt;= 216000, 33%,
   C22 + C22 * 3% &gt; 216000, 39%
)</f>
        <v>1254.083711510287</v>
      </c>
      <c r="G22" s="23">
        <f t="shared" ca="1" si="1"/>
        <v>6867.8536309763012</v>
      </c>
      <c r="H22" s="23" t="str" cm="1">
        <f t="array" aca="1" ref="H22" ca="1">_xlfn.IFS(
  H21="Boom", CHOOSE(MATCH(RAND(), {0,0.67,1}, 1), "Normal", "Recession"),
  H21="Normal", CHOOSE(MATCH(RAND(), {0,0.18,0.82,1}, 1), "Boom", "Normal", "Recession"),
  H21="Recession", CHOOSE(MATCH(RAND(), {0,0.17,0.34,1}, 1), "Boom", "Normal", "Recession")
)</f>
        <v>Normal</v>
      </c>
      <c r="I22" s="1" cm="1">
        <f t="array" aca="1" ref="I22" ca="1">_xlfn.LET(
  _xlpm.ε, (_xlfn.BETA.INV(RAND(), 5, 5) - 0.5) * 2,
  _xlpm.Scenario,H22,
  _xlpm.pre_scenario,H21,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_xlpm.ρ*(I21-_xlpm.μ_prev) + _xlpm.σ * _xlpm.ε
)</f>
        <v>4.2955671443115052E-2</v>
      </c>
      <c r="J22" s="1" cm="1">
        <f t="array" aca="1" ref="J22" ca="1">_xlfn.LET(
  _xlpm.ε, (_xlfn.BETA.INV(RAND(), 5, 5) - 0.5) * 2,
  _xlpm.Scenario,H22,
  _xlpm.pre_scenario,H21,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_xlpm.ρ*(MAX(J21, -0.05)-_xlpm.μ_prev) + _xlpm.σ * _xlpm.ε
)</f>
        <v>9.1453410380838096E-2</v>
      </c>
      <c r="K22" s="1" cm="1">
        <f t="array" aca="1" ref="K22" ca="1">_xlfn.LET(
  _xlpm.ε, (_xlfn.BETA.INV(RAND(), 5, 5) - 0.5) * 2,
  _xlpm.Scenario,H22,
  _xlpm.pre_scenario,H21,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_xlpm.ρ*(MAX(K21, -0.07)-_xlpm.μ_prev) + _xlpm.σ * _xlpm.ε
)</f>
        <v>0.30732134494657498</v>
      </c>
      <c r="L22" s="1">
        <f t="shared" ca="1" si="2"/>
        <v>0.13681469517546996</v>
      </c>
      <c r="M22" s="23">
        <f t="shared" ca="1" si="5"/>
        <v>25579.445871495205</v>
      </c>
      <c r="N22" s="23">
        <f t="shared" ca="1" si="3"/>
        <v>16463.795400610354</v>
      </c>
      <c r="O22" s="23">
        <f t="shared" ca="1" si="4"/>
        <v>73798.115557849058</v>
      </c>
      <c r="P22" s="1" cm="1">
        <f t="array" aca="1" ref="P22" ca="1">_xlfn.LET(
  _xlpm.state, H22,
  _xlpm.last, P21,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MAX(0,_xlfn.IFS(A21=49,-_xlfn.NORM.INV(RAND(), 0.01, 0.005), A21=57,ABS(_xlfn.NORM.INV(RAND(), 0.02, 0.01)),TRUE,0))
)</f>
        <v>2.2753432088036429E-2</v>
      </c>
      <c r="Q22" s="1">
        <f t="shared" ca="1" si="6"/>
        <v>0.64363377859396875</v>
      </c>
    </row>
    <row r="23" spans="1:17">
      <c r="A23" s="1">
        <v>51</v>
      </c>
      <c r="B23" s="6">
        <f ca="1">VLOOKUP(salaryGrowth!I23,salaryGrowth!I:I,1,FALSE)</f>
        <v>2.1611236521314761E-2</v>
      </c>
      <c r="C23" s="23">
        <f ca="1">VLOOKUP(salaryGrowth!B23,salaryGrowth!B:B,1,FALSE)</f>
        <v>129412.72840578426</v>
      </c>
      <c r="D23" s="23" cm="1">
        <f t="array" aca="1" ref="D23" ca="1">_xlfn.LET(
  _xlpm.taxable, C23,
  _xlpm.kiwisaver,C23*0.03,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C23 * 0.0167,
  _xlpm.taxable - _xlpm.incomeTax - _xlpm.acc - _xlpm.kiwisaver
)</f>
        <v>90785.453615325328</v>
      </c>
      <c r="E23" s="23">
        <f t="shared" ca="1" si="0"/>
        <v>7764.7637043470559</v>
      </c>
      <c r="F23" s="23" cm="1">
        <f t="array" aca="1" ref="F23" ca="1" xml:space="preserve"> C23 * 3% * _xlfn.IFS(
   C23 + C23 * 3% &lt;= 18720, 10.5%,
   C23 + C23 * 3% &lt;= 64200, 17.5%,
   C23 + C23 * 3% &lt;= 93720, 30%,
   C23 + C23 * 3% &lt;= 216000, 33%,
   C23 + C23 * 3% &gt; 216000, 39%
)</f>
        <v>1281.1860112172642</v>
      </c>
      <c r="G23" s="23">
        <f t="shared" ca="1" si="1"/>
        <v>7005.0076931297917</v>
      </c>
      <c r="H23" s="23" t="str" cm="1">
        <f t="array" aca="1" ref="H23" ca="1">_xlfn.IFS(
  H22="Boom", CHOOSE(MATCH(RAND(), {0,0.67,1}, 1), "Normal", "Recession"),
  H22="Normal", CHOOSE(MATCH(RAND(), {0,0.18,0.82,1}, 1), "Boom", "Normal", "Recession"),
  H22="Recession", CHOOSE(MATCH(RAND(), {0,0.17,0.34,1}, 1), "Boom", "Normal", "Recession")
)</f>
        <v>Normal</v>
      </c>
      <c r="I23" s="1" cm="1">
        <f t="array" aca="1" ref="I23" ca="1">_xlfn.LET(
  _xlpm.ε, (_xlfn.BETA.INV(RAND(), 5, 5) - 0.5) * 2,
  _xlpm.Scenario,H23,
  _xlpm.pre_scenario,H22,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_xlpm.ρ*(I22-_xlpm.μ_prev) + _xlpm.σ * _xlpm.ε
)</f>
        <v>4.5405839788990862E-2</v>
      </c>
      <c r="J23" s="1" cm="1">
        <f t="array" aca="1" ref="J23" ca="1">_xlfn.LET(
  _xlpm.ε, (_xlfn.BETA.INV(RAND(), 5, 5) - 0.5) * 2,
  _xlpm.Scenario,H23,
  _xlpm.pre_scenario,H22,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_xlpm.ρ*(MAX(J22, -0.05)-_xlpm.μ_prev) + _xlpm.σ * _xlpm.ε
)</f>
        <v>0.11332484746248703</v>
      </c>
      <c r="K23" s="1" cm="1">
        <f t="array" aca="1" ref="K23" ca="1">_xlfn.LET(
  _xlpm.ε, (_xlfn.BETA.INV(RAND(), 5, 5) - 0.5) * 2,
  _xlpm.Scenario,H23,
  _xlpm.pre_scenario,H22,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_xlpm.ρ*(MAX(K22, -0.07)-_xlpm.μ_prev) + _xlpm.σ * _xlpm.ε
)</f>
        <v>0.2510066808034358</v>
      </c>
      <c r="L23" s="1">
        <f t="shared" ca="1" si="2"/>
        <v>0.1274617943953732</v>
      </c>
      <c r="M23" s="23">
        <f t="shared" ca="1" si="5"/>
        <v>26451.163069462666</v>
      </c>
      <c r="N23" s="23">
        <f t="shared" ca="1" si="3"/>
        <v>16747.944945607556</v>
      </c>
      <c r="O23" s="23">
        <f t="shared" ca="1" si="4"/>
        <v>74230.097054330094</v>
      </c>
      <c r="P23" s="1" cm="1">
        <f t="array" aca="1" ref="P23" ca="1">_xlfn.LET(
  _xlpm.state, H23,
  _xlpm.last, P22,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MAX(0,_xlfn.IFS(A22=49,-_xlfn.NORM.INV(RAND(), 0.01, 0.005), A22=57,ABS(_xlfn.NORM.INV(RAND(), 0.02, 0.01)),TRUE,0))
)</f>
        <v>1.6534392123647917E-2</v>
      </c>
      <c r="Q23" s="1">
        <f t="shared" ca="1" si="6"/>
        <v>0.63316478378006447</v>
      </c>
    </row>
    <row r="24" spans="1:17">
      <c r="A24" s="1">
        <v>52</v>
      </c>
      <c r="B24" s="6">
        <f ca="1">VLOOKUP(salaryGrowth!I24,salaryGrowth!I:I,1,FALSE)</f>
        <v>2.5341642860649497E-2</v>
      </c>
      <c r="C24" s="23">
        <f ca="1">VLOOKUP(salaryGrowth!B24,salaryGrowth!B:B,1,FALSE)</f>
        <v>132692.25955066588</v>
      </c>
      <c r="D24" s="23" cm="1">
        <f t="array" aca="1" ref="D24" ca="1">_xlfn.LET(
  _xlpm.taxable, C24,
  _xlpm.kiwisaver,C24*0.03,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C24 * 0.0167,
  _xlpm.taxable - _xlpm.incomeTax - _xlpm.acc - _xlpm.kiwisaver
)</f>
        <v>92829.585377930038</v>
      </c>
      <c r="E24" s="23">
        <f t="shared" ca="1" si="0"/>
        <v>7961.5355730399524</v>
      </c>
      <c r="F24" s="23" cm="1">
        <f t="array" aca="1" ref="F24" ca="1" xml:space="preserve"> C24 * 3% * _xlfn.IFS(
   C24 + C24 * 3% &lt;= 18720, 10.5%,
   C24 + C24 * 3% &lt;= 64200, 17.5%,
   C24 + C24 * 3% &lt;= 93720, 30%,
   C24 + C24 * 3% &lt;= 216000, 33%,
   C24 + C24 * 3% &gt; 216000, 39%
)</f>
        <v>1313.6533695515923</v>
      </c>
      <c r="G24" s="23">
        <f t="shared" ca="1" si="1"/>
        <v>7169.31220348836</v>
      </c>
      <c r="H24" s="23" t="str" cm="1">
        <f t="array" aca="1" ref="H24" ca="1">_xlfn.IFS(
  H23="Boom", CHOOSE(MATCH(RAND(), {0,0.67,1}, 1), "Normal", "Recession"),
  H23="Normal", CHOOSE(MATCH(RAND(), {0,0.18,0.82,1}, 1), "Boom", "Normal", "Recession"),
  H23="Recession", CHOOSE(MATCH(RAND(), {0,0.17,0.34,1}, 1), "Boom", "Normal", "Recession")
)</f>
        <v>Recession</v>
      </c>
      <c r="I24" s="1" cm="1">
        <f t="array" aca="1" ref="I24" ca="1">_xlfn.LET(
  _xlpm.ε, (_xlfn.BETA.INV(RAND(), 5, 5) - 0.5) * 2,
  _xlpm.Scenario,H24,
  _xlpm.pre_scenario,H23,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_xlpm.ρ*(I23-_xlpm.μ_prev) + _xlpm.σ * _xlpm.ε
)</f>
        <v>3.874191080641827E-2</v>
      </c>
      <c r="J24" s="1" cm="1">
        <f t="array" aca="1" ref="J24" ca="1">_xlfn.LET(
  _xlpm.ε, (_xlfn.BETA.INV(RAND(), 5, 5) - 0.5) * 2,
  _xlpm.Scenario,H24,
  _xlpm.pre_scenario,H23,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_xlpm.ρ*(MAX(J23, -0.05)-_xlpm.μ_prev) + _xlpm.σ * _xlpm.ε
)</f>
        <v>4.1331899167034475E-2</v>
      </c>
      <c r="K24" s="1" cm="1">
        <f t="array" aca="1" ref="K24" ca="1">_xlfn.LET(
  _xlpm.ε, (_xlfn.BETA.INV(RAND(), 5, 5) - 0.5) * 2,
  _xlpm.Scenario,H24,
  _xlpm.pre_scenario,H23,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_xlpm.ρ*(MAX(K23, -0.07)-_xlpm.μ_prev) + _xlpm.σ * _xlpm.ε
)</f>
        <v>7.5587135252692478E-2</v>
      </c>
      <c r="L24" s="1">
        <f t="shared" ca="1" si="2"/>
        <v>5.0572474648485397E-2</v>
      </c>
      <c r="M24" s="23">
        <f t="shared" ca="1" si="5"/>
        <v>25430.937052580903</v>
      </c>
      <c r="N24" s="23">
        <f t="shared" ca="1" si="3"/>
        <v>15912.490790249858</v>
      </c>
      <c r="O24" s="23">
        <f t="shared" ca="1" si="4"/>
        <v>73997.252642904961</v>
      </c>
      <c r="P24" s="1" cm="1">
        <f t="array" aca="1" ref="P24" ca="1">_xlfn.LET(
  _xlpm.state, H24,
  _xlpm.last, P23,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MAX(0,_xlfn.IFS(A23=49,-_xlfn.NORM.INV(RAND(), 0.01, 0.005), A23=57,ABS(_xlfn.NORM.INV(RAND(), 0.02, 0.01)),TRUE,0))
)</f>
        <v>1.1907813331654044E-2</v>
      </c>
      <c r="Q24" s="1">
        <f t="shared" ca="1" si="6"/>
        <v>0.6257138994661996</v>
      </c>
    </row>
    <row r="25" spans="1:17">
      <c r="A25" s="1">
        <v>53</v>
      </c>
      <c r="B25" s="6">
        <f ca="1">VLOOKUP(salaryGrowth!I25,salaryGrowth!I:I,1,FALSE)</f>
        <v>2.1504864125620683E-2</v>
      </c>
      <c r="C25" s="23">
        <f ca="1">VLOOKUP(salaryGrowth!B25,salaryGrowth!B:B,1,FALSE)</f>
        <v>135545.78856282454</v>
      </c>
      <c r="D25" s="23" cm="1">
        <f t="array" aca="1" ref="D25" ca="1">_xlfn.LET(
  _xlpm.taxable, C25,
  _xlpm.kiwisaver,C25*0.03,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C25 * 0.0167,
  _xlpm.taxable - _xlpm.incomeTax - _xlpm.acc - _xlpm.kiwisaver
)</f>
        <v>94608.190011208528</v>
      </c>
      <c r="E25" s="23">
        <f t="shared" ca="1" si="0"/>
        <v>8132.7473137694724</v>
      </c>
      <c r="F25" s="23" cm="1">
        <f t="array" aca="1" ref="F25" ca="1" xml:space="preserve"> C25 * 3% * _xlfn.IFS(
   C25 + C25 * 3% &lt;= 18720, 10.5%,
   C25 + C25 * 3% &lt;= 64200, 17.5%,
   C25 + C25 * 3% &lt;= 93720, 30%,
   C25 + C25 * 3% &lt;= 216000, 33%,
   C25 + C25 * 3% &gt; 216000, 39%
)</f>
        <v>1341.9033067719631</v>
      </c>
      <c r="G25" s="23">
        <f t="shared" ca="1" si="1"/>
        <v>7312.2740069975098</v>
      </c>
      <c r="H25" s="23" t="str" cm="1">
        <f t="array" aca="1" ref="H25" ca="1">_xlfn.IFS(
  H24="Boom", CHOOSE(MATCH(RAND(), {0,0.67,1}, 1), "Normal", "Recession"),
  H24="Normal", CHOOSE(MATCH(RAND(), {0,0.18,0.82,1}, 1), "Boom", "Normal", "Recession"),
  H24="Recession", CHOOSE(MATCH(RAND(), {0,0.17,0.34,1}, 1), "Boom", "Normal", "Recession")
)</f>
        <v>Recession</v>
      </c>
      <c r="I25" s="1" cm="1">
        <f t="array" aca="1" ref="I25" ca="1">_xlfn.LET(
  _xlpm.ε, (_xlfn.BETA.INV(RAND(), 5, 5) - 0.5) * 2,
  _xlpm.Scenario,H25,
  _xlpm.pre_scenario,H24,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_xlpm.ρ*(I24-_xlpm.μ_prev) + _xlpm.σ * _xlpm.ε
)</f>
        <v>3.0387787821749109E-2</v>
      </c>
      <c r="J25" s="1" cm="1">
        <f t="array" aca="1" ref="J25" ca="1">_xlfn.LET(
  _xlpm.ε, (_xlfn.BETA.INV(RAND(), 5, 5) - 0.5) * 2,
  _xlpm.Scenario,H25,
  _xlpm.pre_scenario,H24,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_xlpm.ρ*(MAX(J24, -0.05)-_xlpm.μ_prev) + _xlpm.σ * _xlpm.ε
)</f>
        <v>1.8042274544155031E-2</v>
      </c>
      <c r="K25" s="1" cm="1">
        <f t="array" aca="1" ref="K25" ca="1">_xlfn.LET(
  _xlpm.ε, (_xlfn.BETA.INV(RAND(), 5, 5) - 0.5) * 2,
  _xlpm.Scenario,H25,
  _xlpm.pre_scenario,H24,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_xlpm.ρ*(MAX(K24, -0.07)-_xlpm.μ_prev) + _xlpm.σ * _xlpm.ε
)</f>
        <v>-6.2413241385898821E-4</v>
      </c>
      <c r="L25" s="1">
        <f t="shared" ca="1" si="2"/>
        <v>1.7380557767788456E-2</v>
      </c>
      <c r="M25" s="23">
        <f t="shared" ca="1" si="5"/>
        <v>23984.860558249653</v>
      </c>
      <c r="N25" s="23">
        <f t="shared" ca="1" si="3"/>
        <v>14643.259864485955</v>
      </c>
      <c r="O25" s="23">
        <f t="shared" ca="1" si="4"/>
        <v>72403.541950690909</v>
      </c>
      <c r="P25" s="1" cm="1">
        <f t="array" aca="1" ref="P25" ca="1">_xlfn.LET(
  _xlpm.state, H25,
  _xlpm.last, P24,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MAX(0,_xlfn.IFS(A24=49,-_xlfn.NORM.INV(RAND(), 0.01, 0.005), A24=57,ABS(_xlfn.NORM.INV(RAND(), 0.02, 0.01)),TRUE,0))
)</f>
        <v>2.4885221387981896E-2</v>
      </c>
      <c r="Q25" s="1">
        <f t="shared" ca="1" si="6"/>
        <v>0.61052095045219557</v>
      </c>
    </row>
    <row r="26" spans="1:17">
      <c r="A26" s="1">
        <v>54</v>
      </c>
      <c r="B26" s="6">
        <f ca="1">VLOOKUP(salaryGrowth!I26,salaryGrowth!I:I,1,FALSE)</f>
        <v>1.9416110973547202E-2</v>
      </c>
      <c r="C26" s="23">
        <f ca="1">VLOOKUP(salaryGrowth!B26,salaryGrowth!B:B,1,FALSE)</f>
        <v>138177.56063555731</v>
      </c>
      <c r="D26" s="23" cm="1">
        <f t="array" aca="1" ref="D26" ca="1">_xlfn.LET(
  _xlpm.taxable, C26,
  _xlpm.kiwisaver,C26*0.03,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C26 * 0.0167,
  _xlpm.taxable - _xlpm.incomeTax - _xlpm.acc - _xlpm.kiwisaver
)</f>
        <v>96248.573544142884</v>
      </c>
      <c r="E26" s="23">
        <f t="shared" ca="1" si="0"/>
        <v>8290.653638133439</v>
      </c>
      <c r="F26" s="23" cm="1">
        <f t="array" aca="1" ref="F26" ca="1" xml:space="preserve"> C26 * 3% * _xlfn.IFS(
   C26 + C26 * 3% &lt;= 18720, 10.5%,
   C26 + C26 * 3% &lt;= 64200, 17.5%,
   C26 + C26 * 3% &lt;= 93720, 30%,
   C26 + C26 * 3% &lt;= 216000, 33%,
   C26 + C26 * 3% &gt; 216000, 39%
)</f>
        <v>1367.9578502920176</v>
      </c>
      <c r="G26" s="23">
        <f t="shared" ca="1" si="1"/>
        <v>7444.1257878414217</v>
      </c>
      <c r="H26" s="23" t="str" cm="1">
        <f t="array" aca="1" ref="H26" ca="1">_xlfn.IFS(
  H25="Boom", CHOOSE(MATCH(RAND(), {0,0.67,1}, 1), "Normal", "Recession"),
  H25="Normal", CHOOSE(MATCH(RAND(), {0,0.18,0.82,1}, 1), "Boom", "Normal", "Recession"),
  H25="Recession", CHOOSE(MATCH(RAND(), {0,0.17,0.34,1}, 1), "Boom", "Normal", "Recession")
)</f>
        <v>Recession</v>
      </c>
      <c r="I26" s="1" cm="1">
        <f t="array" aca="1" ref="I26" ca="1">_xlfn.LET(
  _xlpm.ε, (_xlfn.BETA.INV(RAND(), 5, 5) - 0.5) * 2,
  _xlpm.Scenario,H26,
  _xlpm.pre_scenario,H25,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_xlpm.ρ*(I25-_xlpm.μ_prev) + _xlpm.σ * _xlpm.ε
)</f>
        <v>3.0801979309506265E-2</v>
      </c>
      <c r="J26" s="1" cm="1">
        <f t="array" aca="1" ref="J26" ca="1">_xlfn.LET(
  _xlpm.ε, (_xlfn.BETA.INV(RAND(), 5, 5) - 0.5) * 2,
  _xlpm.Scenario,H26,
  _xlpm.pre_scenario,H25,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_xlpm.ρ*(MAX(J25, -0.05)-_xlpm.μ_prev) + _xlpm.σ * _xlpm.ε
)</f>
        <v>1.0438523772401655E-2</v>
      </c>
      <c r="K26" s="1" cm="1">
        <f t="array" aca="1" ref="K26" ca="1">_xlfn.LET(
  _xlpm.ε, (_xlfn.BETA.INV(RAND(), 5, 5) - 0.5) * 2,
  _xlpm.Scenario,H26,
  _xlpm.pre_scenario,H25,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_xlpm.ρ*(MAX(K25, -0.07)-_xlpm.μ_prev) + _xlpm.σ * _xlpm.ε
)</f>
        <v>-5.6316372751688557E-3</v>
      </c>
      <c r="L26" s="1">
        <f t="shared" ca="1" si="2"/>
        <v>1.3762857672972346E-2</v>
      </c>
      <c r="M26" s="23">
        <f t="shared" ca="1" si="5"/>
        <v>22940.308088624242</v>
      </c>
      <c r="N26" s="23">
        <f t="shared" ca="1" si="3"/>
        <v>13658.685245117178</v>
      </c>
      <c r="O26" s="23">
        <f t="shared" ca="1" si="4"/>
        <v>70965.194218414923</v>
      </c>
      <c r="P26" s="1" cm="1">
        <f t="array" aca="1" ref="P26" ca="1">_xlfn.LET(
  _xlpm.state, H26,
  _xlpm.last, P25,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MAX(0,_xlfn.IFS(A25=49,-_xlfn.NORM.INV(RAND(), 0.01, 0.005), A25=57,ABS(_xlfn.NORM.INV(RAND(), 0.02, 0.01)),TRUE,0))
)</f>
        <v>2.5394351402883476E-2</v>
      </c>
      <c r="Q26" s="1">
        <f t="shared" ca="1" si="6"/>
        <v>0.59540112505683029</v>
      </c>
    </row>
    <row r="27" spans="1:17">
      <c r="A27" s="1">
        <v>55</v>
      </c>
      <c r="B27" s="6">
        <f ca="1">VLOOKUP(salaryGrowth!I27,salaryGrowth!I:I,1,FALSE)</f>
        <v>1.4133933707951039E-2</v>
      </c>
      <c r="C27" s="23">
        <f ca="1">VLOOKUP(salaryGrowth!B27,salaryGrowth!B:B,1,FALSE)</f>
        <v>140130.55311750667</v>
      </c>
      <c r="D27" s="23" cm="1">
        <f t="array" aca="1" ref="D27" ca="1">_xlfn.LET(
  _xlpm.taxable, C27,
  _xlpm.kiwisaver,C27*0.03,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C27 * 0.0167,
  _xlpm.taxable - _xlpm.incomeTax - _xlpm.acc - _xlpm.kiwisaver
)</f>
        <v>97465.873758141912</v>
      </c>
      <c r="E27" s="23">
        <f t="shared" ca="1" si="0"/>
        <v>8407.8331870504007</v>
      </c>
      <c r="F27" s="23" cm="1">
        <f t="array" aca="1" ref="F27" ca="1" xml:space="preserve"> C27 * 3% * _xlfn.IFS(
   C27 + C27 * 3% &lt;= 18720, 10.5%,
   C27 + C27 * 3% &lt;= 64200, 17.5%,
   C27 + C27 * 3% &lt;= 93720, 30%,
   C27 + C27 * 3% &lt;= 216000, 33%,
   C27 + C27 * 3% &gt; 216000, 39%
)</f>
        <v>1387.2924758633162</v>
      </c>
      <c r="G27" s="23">
        <f t="shared" ca="1" si="1"/>
        <v>7541.9707111870848</v>
      </c>
      <c r="H27" s="23" t="str" cm="1">
        <f t="array" aca="1" ref="H27" ca="1">_xlfn.IFS(
  H26="Boom", CHOOSE(MATCH(RAND(), {0,0.67,1}, 1), "Normal", "Recession"),
  H26="Normal", CHOOSE(MATCH(RAND(), {0,0.18,0.82,1}, 1), "Boom", "Normal", "Recession"),
  H26="Recession", CHOOSE(MATCH(RAND(), {0,0.17,0.34,1}, 1), "Boom", "Normal", "Recession")
)</f>
        <v>Recession</v>
      </c>
      <c r="I27" s="1" cm="1">
        <f t="array" aca="1" ref="I27" ca="1">_xlfn.LET(
  _xlpm.ε, (_xlfn.BETA.INV(RAND(), 5, 5) - 0.5) * 2,
  _xlpm.Scenario,H27,
  _xlpm.pre_scenario,H26,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_xlpm.ρ*(I26-_xlpm.μ_prev) + _xlpm.σ * _xlpm.ε
)</f>
        <v>3.2643583657352364E-2</v>
      </c>
      <c r="J27" s="1" cm="1">
        <f t="array" aca="1" ref="J27" ca="1">_xlfn.LET(
  _xlpm.ε, (_xlfn.BETA.INV(RAND(), 5, 5) - 0.5) * 2,
  _xlpm.Scenario,H27,
  _xlpm.pre_scenario,H26,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_xlpm.ρ*(MAX(J26, -0.05)-_xlpm.μ_prev) + _xlpm.σ * _xlpm.ε
)</f>
        <v>3.0555378963844953E-2</v>
      </c>
      <c r="K27" s="1" cm="1">
        <f t="array" aca="1" ref="K27" ca="1">_xlfn.LET(
  _xlpm.ε, (_xlfn.BETA.INV(RAND(), 5, 5) - 0.5) * 2,
  _xlpm.Scenario,H27,
  _xlpm.pre_scenario,H26,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_xlpm.ρ*(MAX(K26, -0.07)-_xlpm.μ_prev) + _xlpm.σ * _xlpm.ε
)</f>
        <v>-8.6610354201375039E-3</v>
      </c>
      <c r="L27" s="1">
        <f t="shared" ca="1" si="2"/>
        <v>1.9625736526053181E-2</v>
      </c>
      <c r="M27" s="23">
        <f t="shared" ca="1" si="5"/>
        <v>22377.971500020089</v>
      </c>
      <c r="N27" s="23">
        <f t="shared" ca="1" si="3"/>
        <v>12960.81987109486</v>
      </c>
      <c r="O27" s="23">
        <f t="shared" ca="1" si="4"/>
        <v>69410.870911557344</v>
      </c>
      <c r="P27" s="1" cm="1">
        <f t="array" aca="1" ref="P27" ca="1">_xlfn.LET(
  _xlpm.state, H27,
  _xlpm.last, P26,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MAX(0,_xlfn.IFS(A26=49,-_xlfn.NORM.INV(RAND(), 0.01, 0.005), A26=57,ABS(_xlfn.NORM.INV(RAND(), 0.02, 0.01)),TRUE,0))
)</f>
        <v>2.8011309478689329E-2</v>
      </c>
      <c r="Q27" s="1">
        <f t="shared" ca="1" si="6"/>
        <v>0.57917760200397184</v>
      </c>
    </row>
    <row r="28" spans="1:17">
      <c r="A28" s="1">
        <v>56</v>
      </c>
      <c r="B28" s="6">
        <f ca="1">VLOOKUP(salaryGrowth!I28,salaryGrowth!I:I,1,FALSE)</f>
        <v>1.4370587717133064E-2</v>
      </c>
      <c r="C28" s="23">
        <f ca="1">VLOOKUP(salaryGrowth!B28,salaryGrowth!B:B,1,FALSE)</f>
        <v>142144.31152293217</v>
      </c>
      <c r="D28" s="23" cm="1">
        <f t="array" aca="1" ref="D28" ca="1">_xlfn.LET(
  _xlpm.taxable, C28,
  _xlpm.kiwisaver,C28*0.03,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C28 * 0.0167,
  _xlpm.taxable - _xlpm.incomeTax - _xlpm.acc - _xlpm.kiwisaver
)</f>
        <v>98721.049372243637</v>
      </c>
      <c r="E28" s="23">
        <f t="shared" ca="1" si="0"/>
        <v>8528.6586913759293</v>
      </c>
      <c r="F28" s="23" cm="1">
        <f t="array" aca="1" ref="F28" ca="1" xml:space="preserve"> C28 * 3% * _xlfn.IFS(
   C28 + C28 * 3% &lt;= 18720, 10.5%,
   C28 + C28 * 3% &lt;= 64200, 17.5%,
   C28 + C28 * 3% &lt;= 93720, 30%,
   C28 + C28 * 3% &lt;= 216000, 33%,
   C28 + C28 * 3% &gt; 216000, 39%
)</f>
        <v>1407.2286840770284</v>
      </c>
      <c r="G28" s="23">
        <f t="shared" ca="1" si="1"/>
        <v>7642.8600072989011</v>
      </c>
      <c r="H28" s="23" t="str" cm="1">
        <f t="array" aca="1" ref="H28" ca="1">_xlfn.IFS(
  H27="Boom", CHOOSE(MATCH(RAND(), {0,0.67,1}, 1), "Normal", "Recession"),
  H27="Normal", CHOOSE(MATCH(RAND(), {0,0.18,0.82,1}, 1), "Boom", "Normal", "Recession"),
  H27="Recession", CHOOSE(MATCH(RAND(), {0,0.17,0.34,1}, 1), "Boom", "Normal", "Recession")
)</f>
        <v>Normal</v>
      </c>
      <c r="I28" s="1" cm="1">
        <f t="array" aca="1" ref="I28" ca="1">_xlfn.LET(
  _xlpm.ε, (_xlfn.BETA.INV(RAND(), 5, 5) - 0.5) * 2,
  _xlpm.Scenario,H28,
  _xlpm.pre_scenario,H27,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_xlpm.ρ*(I27-_xlpm.μ_prev) + _xlpm.σ * _xlpm.ε
)</f>
        <v>3.7091673411193529E-2</v>
      </c>
      <c r="J28" s="1" cm="1">
        <f t="array" aca="1" ref="J28" ca="1">_xlfn.LET(
  _xlpm.ε, (_xlfn.BETA.INV(RAND(), 5, 5) - 0.5) * 2,
  _xlpm.Scenario,H28,
  _xlpm.pre_scenario,H27,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_xlpm.ρ*(MAX(J27, -0.05)-_xlpm.μ_prev) + _xlpm.σ * _xlpm.ε
)</f>
        <v>0.10693571087258227</v>
      </c>
      <c r="K28" s="1" cm="1">
        <f t="array" aca="1" ref="K28" ca="1">_xlfn.LET(
  _xlpm.ε, (_xlfn.BETA.INV(RAND(), 5, 5) - 0.5) * 2,
  _xlpm.Scenario,H28,
  _xlpm.pre_scenario,H27,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_xlpm.ρ*(MAX(K27, -0.07)-_xlpm.μ_prev) + _xlpm.σ * _xlpm.ε
)</f>
        <v>6.5564935346010225E-2</v>
      </c>
      <c r="L28" s="1">
        <f t="shared" ca="1" si="2"/>
        <v>6.6586863230055165E-2</v>
      </c>
      <c r="M28" s="23">
        <f t="shared" ca="1" si="5"/>
        <v>23054.273646443547</v>
      </c>
      <c r="N28" s="23">
        <f t="shared" ca="1" si="3"/>
        <v>13096.77976309547</v>
      </c>
      <c r="O28" s="23">
        <f t="shared" ca="1" si="4"/>
        <v>69178.695916172874</v>
      </c>
      <c r="P28" s="1" cm="1">
        <f t="array" aca="1" ref="P28" ca="1">_xlfn.LET(
  _xlpm.state, H28,
  _xlpm.last, P27,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MAX(0,_xlfn.IFS(A27=49,-_xlfn.NORM.INV(RAND(), 0.01, 0.005), A27=57,ABS(_xlfn.NORM.INV(RAND(), 0.02, 0.01)),TRUE,0))
)</f>
        <v>1.9526873630088593E-2</v>
      </c>
      <c r="Q28" s="1">
        <f t="shared" ca="1" si="6"/>
        <v>0.56808468416509128</v>
      </c>
    </row>
    <row r="29" spans="1:17">
      <c r="A29" s="1">
        <v>57</v>
      </c>
      <c r="B29" s="6">
        <f ca="1">VLOOKUP(salaryGrowth!I29,salaryGrowth!I:I,1,FALSE)</f>
        <v>1.6542865956154239E-2</v>
      </c>
      <c r="C29" s="23">
        <f ca="1">VLOOKUP(salaryGrowth!B29,salaryGrowth!B:B,1,FALSE)</f>
        <v>144495.78581488586</v>
      </c>
      <c r="D29" s="23" cm="1">
        <f t="array" aca="1" ref="D29" ca="1">_xlfn.LET(
  _xlpm.taxable, C29,
  _xlpm.kiwisaver,C29*0.03,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C29 * 0.0167,
  _xlpm.taxable - _xlpm.incomeTax - _xlpm.acc - _xlpm.kiwisaver
)</f>
        <v>100186.72329841835</v>
      </c>
      <c r="E29" s="23">
        <f t="shared" ca="1" si="0"/>
        <v>8669.7471488931515</v>
      </c>
      <c r="F29" s="23" cm="1">
        <f t="array" aca="1" ref="F29" ca="1" xml:space="preserve"> C29 * 3% * _xlfn.IFS(
   C29 + C29 * 3% &lt;= 18720, 10.5%,
   C29 + C29 * 3% &lt;= 64200, 17.5%,
   C29 + C29 * 3% &lt;= 93720, 30%,
   C29 + C29 * 3% &lt;= 216000, 33%,
   C29 + C29 * 3% &gt; 216000, 39%
)</f>
        <v>1430.50827956737</v>
      </c>
      <c r="G29" s="23">
        <f t="shared" ca="1" si="1"/>
        <v>7760.668869325782</v>
      </c>
      <c r="H29" s="23" t="str" cm="1">
        <f t="array" aca="1" ref="H29" ca="1">_xlfn.IFS(
  H28="Boom", CHOOSE(MATCH(RAND(), {0,0.67,1}, 1), "Normal", "Recession"),
  H28="Normal", CHOOSE(MATCH(RAND(), {0,0.18,0.82,1}, 1), "Boom", "Normal", "Recession"),
  H28="Recession", CHOOSE(MATCH(RAND(), {0,0.17,0.34,1}, 1), "Boom", "Normal", "Recession")
)</f>
        <v>Boom</v>
      </c>
      <c r="I29" s="1" cm="1">
        <f t="array" aca="1" ref="I29" ca="1">_xlfn.LET(
  _xlpm.ε, (_xlfn.BETA.INV(RAND(), 5, 5) - 0.5) * 2,
  _xlpm.Scenario,H29,
  _xlpm.pre_scenario,H28,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_xlpm.ρ*(I28-_xlpm.μ_prev) + _xlpm.σ * _xlpm.ε
)</f>
        <v>3.9311379988006968E-2</v>
      </c>
      <c r="J29" s="1" cm="1">
        <f t="array" aca="1" ref="J29" ca="1">_xlfn.LET(
  _xlpm.ε, (_xlfn.BETA.INV(RAND(), 5, 5) - 0.5) * 2,
  _xlpm.Scenario,H29,
  _xlpm.pre_scenario,H28,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_xlpm.ρ*(MAX(J28, -0.05)-_xlpm.μ_prev) + _xlpm.σ * _xlpm.ε
)</f>
        <v>3.2263298204876972E-2</v>
      </c>
      <c r="K29" s="1" cm="1">
        <f t="array" aca="1" ref="K29" ca="1">_xlfn.LET(
  _xlpm.ε, (_xlfn.BETA.INV(RAND(), 5, 5) - 0.5) * 2,
  _xlpm.Scenario,H29,
  _xlpm.pre_scenario,H28,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_xlpm.ρ*(MAX(K28, -0.07)-_xlpm.μ_prev) + _xlpm.σ * _xlpm.ε
)</f>
        <v>0.32362259026938078</v>
      </c>
      <c r="L29" s="1">
        <f t="shared" ca="1" si="2"/>
        <v>0.1224903185374801</v>
      </c>
      <c r="M29" s="23">
        <f t="shared" ca="1" si="5"/>
        <v>24904.421740972841</v>
      </c>
      <c r="N29" s="23">
        <f t="shared" ca="1" si="3"/>
        <v>13862.61554793996</v>
      </c>
      <c r="O29" s="23">
        <f t="shared" ca="1" si="4"/>
        <v>69629.821971724217</v>
      </c>
      <c r="P29" s="1" cm="1">
        <f t="array" aca="1" ref="P29" ca="1">_xlfn.LET(
  _xlpm.state, H29,
  _xlpm.last, P28,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MAX(0,_xlfn.IFS(A28=49,-_xlfn.NORM.INV(RAND(), 0.01, 0.005), A28=57,ABS(_xlfn.NORM.INV(RAND(), 0.02, 0.01)),TRUE,0))
)</f>
        <v>2.0573679628388072E-2</v>
      </c>
      <c r="Q29" s="1">
        <f t="shared" ca="1" si="6"/>
        <v>0.55663270129790399</v>
      </c>
    </row>
    <row r="30" spans="1:17">
      <c r="A30" s="1">
        <v>58</v>
      </c>
      <c r="B30" s="6">
        <f ca="1">VLOOKUP(salaryGrowth!I30,salaryGrowth!I:I,1,FALSE)</f>
        <v>1.7838123574900916E-2</v>
      </c>
      <c r="C30" s="23">
        <f ca="1">VLOOKUP(salaryGrowth!B30,salaryGrowth!B:B,1,FALSE)</f>
        <v>147073.31949830422</v>
      </c>
      <c r="D30" s="23" cm="1">
        <f t="array" aca="1" ref="D30" ca="1">_xlfn.LET(
  _xlpm.taxable, C30,
  _xlpm.kiwisaver,C30*0.03,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C30 * 0.0167,
  _xlpm.taxable - _xlpm.incomeTax - _xlpm.acc - _xlpm.kiwisaver
)</f>
        <v>101793.30004329303</v>
      </c>
      <c r="E30" s="23">
        <f t="shared" ca="1" si="0"/>
        <v>8824.3991698982536</v>
      </c>
      <c r="F30" s="23" cm="1">
        <f t="array" aca="1" ref="F30" ca="1" xml:space="preserve"> C30 * 3% * _xlfn.IFS(
   C30 + C30 * 3% &lt;= 18720, 10.5%,
   C30 + C30 * 3% &lt;= 64200, 17.5%,
   C30 + C30 * 3% &lt;= 93720, 30%,
   C30 + C30 * 3% &lt;= 216000, 33%,
   C30 + C30 * 3% &gt; 216000, 39%
)</f>
        <v>1456.0258630332119</v>
      </c>
      <c r="G30" s="23">
        <f t="shared" ca="1" si="1"/>
        <v>7889.803306865042</v>
      </c>
      <c r="H30" s="23" t="str" cm="1">
        <f t="array" aca="1" ref="H30" ca="1">_xlfn.IFS(
  H29="Boom", CHOOSE(MATCH(RAND(), {0,0.67,1}, 1), "Normal", "Recession"),
  H29="Normal", CHOOSE(MATCH(RAND(), {0,0.18,0.82,1}, 1), "Boom", "Normal", "Recession"),
  H29="Recession", CHOOSE(MATCH(RAND(), {0,0.17,0.34,1}, 1), "Boom", "Normal", "Recession")
)</f>
        <v>Normal</v>
      </c>
      <c r="I30" s="1" cm="1">
        <f t="array" aca="1" ref="I30" ca="1">_xlfn.LET(
  _xlpm.ε, (_xlfn.BETA.INV(RAND(), 5, 5) - 0.5) * 2,
  _xlpm.Scenario,H30,
  _xlpm.pre_scenario,H29,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_xlpm.ρ*(I29-_xlpm.μ_prev) + _xlpm.σ * _xlpm.ε
)</f>
        <v>2.9413600930639085E-2</v>
      </c>
      <c r="J30" s="1" cm="1">
        <f t="array" aca="1" ref="J30" ca="1">_xlfn.LET(
  _xlpm.ε, (_xlfn.BETA.INV(RAND(), 5, 5) - 0.5) * 2,
  _xlpm.Scenario,H30,
  _xlpm.pre_scenario,H29,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_xlpm.ρ*(MAX(J29, -0.05)-_xlpm.μ_prev) + _xlpm.σ * _xlpm.ε
)</f>
        <v>8.4220495666742418E-2</v>
      </c>
      <c r="K30" s="1" cm="1">
        <f t="array" aca="1" ref="K30" ca="1">_xlfn.LET(
  _xlpm.ε, (_xlfn.BETA.INV(RAND(), 5, 5) - 0.5) * 2,
  _xlpm.Scenario,H30,
  _xlpm.pre_scenario,H29,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_xlpm.ρ*(MAX(K29, -0.07)-_xlpm.μ_prev) + _xlpm.σ * _xlpm.ε
)</f>
        <v>0.11972979183298432</v>
      </c>
      <c r="L30" s="1">
        <f t="shared" ca="1" si="2"/>
        <v>7.2950526622173661E-2</v>
      </c>
      <c r="M30" s="23">
        <f t="shared" ca="1" si="5"/>
        <v>25334.33834537549</v>
      </c>
      <c r="N30" s="23">
        <f t="shared" ca="1" si="3"/>
        <v>13555.341947685574</v>
      </c>
      <c r="O30" s="23">
        <f t="shared" ca="1" si="4"/>
        <v>68020.667675131277</v>
      </c>
      <c r="P30" s="1" cm="1">
        <f t="array" aca="1" ref="P30" ca="1">_xlfn.LET(
  _xlpm.state, H30,
  _xlpm.last, P29,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MAX(0,_xlfn.IFS(A29=49,-_xlfn.NORM.INV(RAND(), 0.01, 0.005), A29=57,ABS(_xlfn.NORM.INV(RAND(), 0.02, 0.01)),TRUE,0))
)</f>
        <v>4.0322054818335187E-2</v>
      </c>
      <c r="Q30" s="1">
        <f t="shared" ca="1" si="6"/>
        <v>0.53505806083780971</v>
      </c>
    </row>
    <row r="31" spans="1:17">
      <c r="A31" s="1">
        <v>59</v>
      </c>
      <c r="B31" s="6">
        <f ca="1">VLOOKUP(salaryGrowth!I31,salaryGrowth!I:I,1,FALSE)</f>
        <v>1.9154211691413958E-2</v>
      </c>
      <c r="C31" s="23">
        <f ca="1">VLOOKUP(salaryGrowth!B31,salaryGrowth!B:B,1,FALSE)</f>
        <v>149890.39299413373</v>
      </c>
      <c r="D31" s="23" cm="1">
        <f t="array" aca="1" ref="D31" ca="1">_xlfn.LET(
  _xlpm.taxable, C31,
  _xlpm.kiwisaver,C31*0.03,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C31 * 0.0167,
  _xlpm.taxable - _xlpm.incomeTax - _xlpm.acc - _xlpm.kiwisaver
)</f>
        <v>103549.18195324356</v>
      </c>
      <c r="E31" s="23">
        <f t="shared" ca="1" si="0"/>
        <v>8993.4235796480225</v>
      </c>
      <c r="F31" s="23" cm="1">
        <f t="array" aca="1" ref="F31" ca="1" xml:space="preserve"> C31 * 3% * _xlfn.IFS(
   C31 + C31 * 3% &lt;= 18720, 10.5%,
   C31 + C31 * 3% &lt;= 64200, 17.5%,
   C31 + C31 * 3% &lt;= 93720, 30%,
   C31 + C31 * 3% &lt;= 216000, 33%,
   C31 + C31 * 3% &gt; 216000, 39%
)</f>
        <v>1483.9148906419239</v>
      </c>
      <c r="G31" s="23">
        <f t="shared" ca="1" si="1"/>
        <v>8030.9386890060987</v>
      </c>
      <c r="H31" s="23" t="str" cm="1">
        <f t="array" aca="1" ref="H31" ca="1">_xlfn.IFS(
  H30="Boom", CHOOSE(MATCH(RAND(), {0,0.67,1}, 1), "Normal", "Recession"),
  H30="Normal", CHOOSE(MATCH(RAND(), {0,0.18,0.82,1}, 1), "Boom", "Normal", "Recession"),
  H30="Recession", CHOOSE(MATCH(RAND(), {0,0.17,0.34,1}, 1), "Boom", "Normal", "Recession")
)</f>
        <v>Recession</v>
      </c>
      <c r="I31" s="1" cm="1">
        <f t="array" aca="1" ref="I31" ca="1">_xlfn.LET(
  _xlpm.ε, (_xlfn.BETA.INV(RAND(), 5, 5) - 0.5) * 2,
  _xlpm.Scenario,H31,
  _xlpm.pre_scenario,H30,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_xlpm.ρ*(I30-_xlpm.μ_prev) + _xlpm.σ * _xlpm.ε
)</f>
        <v>1.3270224706891737E-2</v>
      </c>
      <c r="J31" s="1" cm="1">
        <f t="array" aca="1" ref="J31" ca="1">_xlfn.LET(
  _xlpm.ε, (_xlfn.BETA.INV(RAND(), 5, 5) - 0.5) * 2,
  _xlpm.Scenario,H31,
  _xlpm.pre_scenario,H30,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_xlpm.ρ*(MAX(J30, -0.05)-_xlpm.μ_prev) + _xlpm.σ * _xlpm.ε
)</f>
        <v>2.7909380019063838E-2</v>
      </c>
      <c r="K31" s="1" cm="1">
        <f t="array" aca="1" ref="K31" ca="1">_xlfn.LET(
  _xlpm.ε, (_xlfn.BETA.INV(RAND(), 5, 5) - 0.5) * 2,
  _xlpm.Scenario,H31,
  _xlpm.pre_scenario,H30,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_xlpm.ρ*(MAX(K30, -0.07)-_xlpm.μ_prev) + _xlpm.σ * _xlpm.ε
)</f>
        <v>9.9566944142286335E-4</v>
      </c>
      <c r="L31" s="1">
        <f t="shared" ca="1" si="2"/>
        <v>1.3979604720902705E-2</v>
      </c>
      <c r="M31" s="23">
        <f t="shared" ca="1" si="5"/>
        <v>24358.831501482469</v>
      </c>
      <c r="N31" s="23">
        <f t="shared" ca="1" si="3"/>
        <v>12579.109088094601</v>
      </c>
      <c r="O31" s="23">
        <f t="shared" ca="1" si="4"/>
        <v>66052.792983544787</v>
      </c>
      <c r="P31" s="1" cm="1">
        <f t="array" aca="1" ref="P31" ca="1">_xlfn.LET(
  _xlpm.state, H31,
  _xlpm.last, P30,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MAX(0,_xlfn.IFS(A30=49,-_xlfn.NORM.INV(RAND(), 0.01, 0.005), A30=57,ABS(_xlfn.NORM.INV(RAND(), 0.02, 0.01)),TRUE,0))
)</f>
        <v>3.6113850049484975E-2</v>
      </c>
      <c r="Q31" s="1">
        <f t="shared" ca="1" si="6"/>
        <v>0.51640855955381282</v>
      </c>
    </row>
    <row r="32" spans="1:17">
      <c r="A32" s="1">
        <v>60</v>
      </c>
      <c r="B32" s="6">
        <f ca="1">VLOOKUP(salaryGrowth!I32,salaryGrowth!I:I,1,FALSE)</f>
        <v>1.8554079744330376E-2</v>
      </c>
      <c r="C32" s="23">
        <f ca="1">VLOOKUP(salaryGrowth!B32,salaryGrowth!B:B,1,FALSE)</f>
        <v>152671.4712986559</v>
      </c>
      <c r="D32" s="23" cm="1">
        <f t="array" aca="1" ref="D32" ca="1">_xlfn.LET(
  _xlpm.taxable, C32,
  _xlpm.kiwisaver,C32*0.03,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C32 * 0.0167,
  _xlpm.taxable - _xlpm.incomeTax - _xlpm.acc - _xlpm.kiwisaver
)</f>
        <v>105282.62806045223</v>
      </c>
      <c r="E32" s="23">
        <f t="shared" ca="1" si="0"/>
        <v>9160.2882779193533</v>
      </c>
      <c r="F32" s="23" cm="1">
        <f t="array" aca="1" ref="F32" ca="1" xml:space="preserve"> C32 * 3% * _xlfn.IFS(
   C32 + C32 * 3% &lt;= 18720, 10.5%,
   C32 + C32 * 3% &lt;= 64200, 17.5%,
   C32 + C32 * 3% &lt;= 93720, 30%,
   C32 + C32 * 3% &lt;= 216000, 33%,
   C32 + C32 * 3% &gt; 216000, 39%
)</f>
        <v>1511.4475658566935</v>
      </c>
      <c r="G32" s="23">
        <f t="shared" ca="1" si="1"/>
        <v>8170.2707120626601</v>
      </c>
      <c r="H32" s="23" t="str" cm="1">
        <f t="array" aca="1" ref="H32" ca="1">_xlfn.IFS(
  H31="Boom", CHOOSE(MATCH(RAND(), {0,0.67,1}, 1), "Normal", "Recession"),
  H31="Normal", CHOOSE(MATCH(RAND(), {0,0.18,0.82,1}, 1), "Boom", "Normal", "Recession"),
  H31="Recession", CHOOSE(MATCH(RAND(), {0,0.17,0.34,1}, 1), "Boom", "Normal", "Recession")
)</f>
        <v>Recession</v>
      </c>
      <c r="I32" s="1" cm="1">
        <f t="array" aca="1" ref="I32" ca="1">_xlfn.LET(
  _xlpm.ε, (_xlfn.BETA.INV(RAND(), 5, 5) - 0.5) * 2,
  _xlpm.Scenario,H32,
  _xlpm.pre_scenario,H31,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_xlpm.ρ*(I31-_xlpm.μ_prev) + _xlpm.σ * _xlpm.ε
)</f>
        <v>3.0781545408835875E-2</v>
      </c>
      <c r="J32" s="1" cm="1">
        <f t="array" aca="1" ref="J32" ca="1">_xlfn.LET(
  _xlpm.ε, (_xlfn.BETA.INV(RAND(), 5, 5) - 0.5) * 2,
  _xlpm.Scenario,H32,
  _xlpm.pre_scenario,H31,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_xlpm.ρ*(MAX(J31, -0.05)-_xlpm.μ_prev) + _xlpm.σ * _xlpm.ε
)</f>
        <v>1.5565821227522026E-2</v>
      </c>
      <c r="K32" s="1" cm="1">
        <f t="array" aca="1" ref="K32" ca="1">_xlfn.LET(
  _xlpm.ε, (_xlfn.BETA.INV(RAND(), 5, 5) - 0.5) * 2,
  _xlpm.Scenario,H32,
  _xlpm.pre_scenario,H31,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_xlpm.ρ*(MAX(K31, -0.07)-_xlpm.μ_prev) + _xlpm.σ * _xlpm.ε
)</f>
        <v>6.4204275082971066E-2</v>
      </c>
      <c r="L32" s="1">
        <f t="shared" ca="1" si="2"/>
        <v>3.6243647056682274E-2</v>
      </c>
      <c r="M32" s="23">
        <f t="shared" ca="1" si="5"/>
        <v>24269.814369535394</v>
      </c>
      <c r="N32" s="23">
        <f t="shared" ca="1" si="3"/>
        <v>12130.47146395261</v>
      </c>
      <c r="O32" s="23">
        <f t="shared" ca="1" si="4"/>
        <v>64752.543305604719</v>
      </c>
      <c r="P32" s="1" cm="1">
        <f t="array" aca="1" ref="P32" ca="1">_xlfn.LET(
  _xlpm.state, H32,
  _xlpm.last, P31,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MAX(0,_xlfn.IFS(A31=49,-_xlfn.NORM.INV(RAND(), 0.01, 0.005), A31=57,ABS(_xlfn.NORM.INV(RAND(), 0.02, 0.01)),TRUE,0))
)</f>
        <v>3.3194786901249218E-2</v>
      </c>
      <c r="Q32" s="1">
        <f t="shared" ca="1" si="6"/>
        <v>0.49981723301433012</v>
      </c>
    </row>
    <row r="33" spans="1:17">
      <c r="A33" s="1">
        <v>61</v>
      </c>
      <c r="B33" s="6">
        <f ca="1">VLOOKUP(salaryGrowth!I33,salaryGrowth!I:I,1,FALSE)</f>
        <v>2.1884308764573007E-2</v>
      </c>
      <c r="C33" s="23">
        <f ca="1">VLOOKUP(salaryGrowth!B33,salaryGrowth!B:B,1,FALSE)</f>
        <v>156012.58091609733</v>
      </c>
      <c r="D33" s="23" cm="1">
        <f t="array" aca="1" ref="D33" ca="1">_xlfn.LET(
  _xlpm.taxable, C33,
  _xlpm.kiwisaver,C33*0.03,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C33 * 0.0167,
  _xlpm.taxable - _xlpm.incomeTax - _xlpm.acc - _xlpm.kiwisaver
)</f>
        <v>107365.14168500347</v>
      </c>
      <c r="E33" s="23">
        <f t="shared" ca="1" si="0"/>
        <v>9360.7548549658386</v>
      </c>
      <c r="F33" s="23" cm="1">
        <f t="array" aca="1" ref="F33" ca="1" xml:space="preserve"> C33 * 3% * _xlfn.IFS(
   C33 + C33 * 3% &lt;= 18720, 10.5%,
   C33 + C33 * 3% &lt;= 64200, 17.5%,
   C33 + C33 * 3% &lt;= 93720, 30%,
   C33 + C33 * 3% &lt;= 216000, 33%,
   C33 + C33 * 3% &gt; 216000, 39%
)</f>
        <v>1544.5245510693635</v>
      </c>
      <c r="G33" s="23">
        <f t="shared" ca="1" si="1"/>
        <v>8337.6603038964749</v>
      </c>
      <c r="H33" s="23" t="str" cm="1">
        <f t="array" aca="1" ref="H33" ca="1">_xlfn.IFS(
  H32="Boom", CHOOSE(MATCH(RAND(), {0,0.67,1}, 1), "Normal", "Recession"),
  H32="Normal", CHOOSE(MATCH(RAND(), {0,0.18,0.82,1}, 1), "Boom", "Normal", "Recession"),
  H32="Recession", CHOOSE(MATCH(RAND(), {0,0.17,0.34,1}, 1), "Boom", "Normal", "Recession")
)</f>
        <v>Recession</v>
      </c>
      <c r="I33" s="1" cm="1">
        <f t="array" aca="1" ref="I33" ca="1">_xlfn.LET(
  _xlpm.ε, (_xlfn.BETA.INV(RAND(), 5, 5) - 0.5) * 2,
  _xlpm.Scenario,H33,
  _xlpm.pre_scenario,H32,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_xlpm.ρ*(I32-_xlpm.μ_prev) + _xlpm.σ * _xlpm.ε
)</f>
        <v>2.5069530601965737E-2</v>
      </c>
      <c r="J33" s="1" cm="1">
        <f t="array" aca="1" ref="J33" ca="1">_xlfn.LET(
  _xlpm.ε, (_xlfn.BETA.INV(RAND(), 5, 5) - 0.5) * 2,
  _xlpm.Scenario,H33,
  _xlpm.pre_scenario,H32,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_xlpm.ρ*(MAX(J32, -0.05)-_xlpm.μ_prev) + _xlpm.σ * _xlpm.ε
)</f>
        <v>4.4726974168376125E-3</v>
      </c>
      <c r="K33" s="1" cm="1">
        <f t="array" aca="1" ref="K33" ca="1">_xlfn.LET(
  _xlpm.ε, (_xlfn.BETA.INV(RAND(), 5, 5) - 0.5) * 2,
  _xlpm.Scenario,H33,
  _xlpm.pre_scenario,H32,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_xlpm.ρ*(MAX(K32, -0.07)-_xlpm.μ_prev) + _xlpm.σ * _xlpm.ε
)</f>
        <v>1.6096281613975361E-4</v>
      </c>
      <c r="L33" s="1">
        <f t="shared" ca="1" si="2"/>
        <v>1.1417910310679506E-2</v>
      </c>
      <c r="M33" s="23">
        <f t="shared" ca="1" si="5"/>
        <v>23745.444404191825</v>
      </c>
      <c r="N33" s="23">
        <f t="shared" ca="1" si="3"/>
        <v>11503.823571325051</v>
      </c>
      <c r="O33" s="23">
        <f t="shared" ca="1" si="4"/>
        <v>63518.417471136869</v>
      </c>
      <c r="P33" s="1" cm="1">
        <f t="array" aca="1" ref="P33" ca="1">_xlfn.LET(
  _xlpm.state, H33,
  _xlpm.last, P32,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MAX(0,_xlfn.IFS(A32=49,-_xlfn.NORM.INV(RAND(), 0.01, 0.005), A32=57,ABS(_xlfn.NORM.INV(RAND(), 0.02, 0.01)),TRUE,0))
)</f>
        <v>3.1690224142730476E-2</v>
      </c>
      <c r="Q33" s="1">
        <f t="shared" ca="1" si="6"/>
        <v>0.48446444612737005</v>
      </c>
    </row>
    <row r="34" spans="1:17">
      <c r="A34" s="1">
        <v>62</v>
      </c>
      <c r="B34" s="6">
        <f ca="1">VLOOKUP(salaryGrowth!I34,salaryGrowth!I:I,1,FALSE)</f>
        <v>2.1208921270765208E-2</v>
      </c>
      <c r="C34" s="23">
        <f ca="1">VLOOKUP(salaryGrowth!B34,salaryGrowth!B:B,1,FALSE)</f>
        <v>159321.4394619957</v>
      </c>
      <c r="D34" s="23" cm="1">
        <f t="array" aca="1" ref="D34" ca="1">_xlfn.LET(
  _xlpm.taxable, C34,
  _xlpm.kiwisaver,C34*0.03,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C34 * 0.0167,
  _xlpm.taxable - _xlpm.incomeTax - _xlpm.acc - _xlpm.kiwisaver
)</f>
        <v>109427.55321666192</v>
      </c>
      <c r="E34" s="23">
        <f t="shared" ca="1" si="0"/>
        <v>9559.286367719742</v>
      </c>
      <c r="F34" s="23" cm="1">
        <f t="array" aca="1" ref="F34" ca="1" xml:space="preserve"> C34 * 3% * _xlfn.IFS(
   C34 + C34 * 3% &lt;= 18720, 10.5%,
   C34 + C34 * 3% &lt;= 64200, 17.5%,
   C34 + C34 * 3% &lt;= 93720, 30%,
   C34 + C34 * 3% &lt;= 216000, 33%,
   C34 + C34 * 3% &gt; 216000, 39%
)</f>
        <v>1577.2822506737575</v>
      </c>
      <c r="G34" s="23">
        <f t="shared" ca="1" si="1"/>
        <v>8503.4341170459847</v>
      </c>
      <c r="H34" s="23" t="str" cm="1">
        <f t="array" aca="1" ref="H34" ca="1">_xlfn.IFS(
  H33="Boom", CHOOSE(MATCH(RAND(), {0,0.67,1}, 1), "Normal", "Recession"),
  H33="Normal", CHOOSE(MATCH(RAND(), {0,0.18,0.82,1}, 1), "Boom", "Normal", "Recession"),
  H33="Recession", CHOOSE(MATCH(RAND(), {0,0.17,0.34,1}, 1), "Boom", "Normal", "Recession")
)</f>
        <v>Boom</v>
      </c>
      <c r="I34" s="1" cm="1">
        <f t="array" aca="1" ref="I34" ca="1">_xlfn.LET(
  _xlpm.ε, (_xlfn.BETA.INV(RAND(), 5, 5) - 0.5) * 2,
  _xlpm.Scenario,H34,
  _xlpm.pre_scenario,H33,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_xlpm.ρ*(I33-_xlpm.μ_prev) + _xlpm.σ * _xlpm.ε
)</f>
        <v>2.6796316561692818E-2</v>
      </c>
      <c r="J34" s="1" cm="1">
        <f t="array" aca="1" ref="J34" ca="1">_xlfn.LET(
  _xlpm.ε, (_xlfn.BETA.INV(RAND(), 5, 5) - 0.5) * 2,
  _xlpm.Scenario,H34,
  _xlpm.pre_scenario,H33,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_xlpm.ρ*(MAX(J33, -0.05)-_xlpm.μ_prev) + _xlpm.σ * _xlpm.ε
)</f>
        <v>0.18413300585367251</v>
      </c>
      <c r="K34" s="1" cm="1">
        <f t="array" aca="1" ref="K34" ca="1">_xlfn.LET(
  _xlpm.ε, (_xlfn.BETA.INV(RAND(), 5, 5) - 0.5) * 2,
  _xlpm.Scenario,H34,
  _xlpm.pre_scenario,H33,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_xlpm.ρ*(MAX(K33, -0.07)-_xlpm.μ_prev) + _xlpm.σ * _xlpm.ε
)</f>
        <v>0.2259716544600916</v>
      </c>
      <c r="L34" s="1">
        <f t="shared" ca="1" si="2"/>
        <v>0.13374992471880637</v>
      </c>
      <c r="M34" s="23">
        <f t="shared" ca="1" si="5"/>
        <v>26324.757788917894</v>
      </c>
      <c r="N34" s="23">
        <f t="shared" ca="1" si="3"/>
        <v>12400.520825109976</v>
      </c>
      <c r="O34" s="23">
        <f t="shared" ca="1" si="4"/>
        <v>63947.382657027541</v>
      </c>
      <c r="P34" s="1" cm="1">
        <f t="array" aca="1" ref="P34" ca="1">_xlfn.LET(
  _xlpm.state, H34,
  _xlpm.last, P33,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MAX(0,_xlfn.IFS(A33=49,-_xlfn.NORM.INV(RAND(), 0.01, 0.005), A33=57,ABS(_xlfn.NORM.INV(RAND(), 0.02, 0.01)),TRUE,0))
)</f>
        <v>2.8457544768662822E-2</v>
      </c>
      <c r="Q34" s="1">
        <f t="shared" ca="1" si="6"/>
        <v>0.4710592562538336</v>
      </c>
    </row>
    <row r="35" spans="1:17">
      <c r="A35" s="1">
        <v>63</v>
      </c>
      <c r="B35" s="6">
        <f ca="1">VLOOKUP(salaryGrowth!I35,salaryGrowth!I:I,1,FALSE)</f>
        <v>1.8483000191683547E-2</v>
      </c>
      <c r="C35" s="23">
        <f ca="1">VLOOKUP(salaryGrowth!B35,salaryGrowth!B:B,1,FALSE)</f>
        <v>162266.17765811106</v>
      </c>
      <c r="D35" s="23" cm="1">
        <f t="array" aca="1" ref="D35" ca="1">_xlfn.LET(
  _xlpm.taxable, C35,
  _xlpm.kiwisaver,C35*0.03,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C35 * 0.0167,
  _xlpm.taxable - _xlpm.incomeTax - _xlpm.acc - _xlpm.kiwisaver
)</f>
        <v>111263.00853430062</v>
      </c>
      <c r="E35" s="23">
        <f t="shared" ca="1" si="0"/>
        <v>9735.9706594866639</v>
      </c>
      <c r="F35" s="23" cm="1">
        <f t="array" aca="1" ref="F35" ca="1" xml:space="preserve"> C35 * 3% * _xlfn.IFS(
   C35 + C35 * 3% &lt;= 18720, 10.5%,
   C35 + C35 * 3% &lt;= 64200, 17.5%,
   C35 + C35 * 3% &lt;= 93720, 30%,
   C35 + C35 * 3% &lt;= 216000, 33%,
   C35 + C35 * 3% &gt; 216000, 39%
)</f>
        <v>1606.4351588152997</v>
      </c>
      <c r="G35" s="23">
        <f t="shared" ca="1" si="1"/>
        <v>8650.9655006713638</v>
      </c>
      <c r="H35" s="23" t="str" cm="1">
        <f t="array" aca="1" ref="H35" ca="1">_xlfn.IFS(
  H34="Boom", CHOOSE(MATCH(RAND(), {0,0.67,1}, 1), "Normal", "Recession"),
  H34="Normal", CHOOSE(MATCH(RAND(), {0,0.18,0.82,1}, 1), "Boom", "Normal", "Recession"),
  H34="Recession", CHOOSE(MATCH(RAND(), {0,0.17,0.34,1}, 1), "Boom", "Normal", "Recession")
)</f>
        <v>Recession</v>
      </c>
      <c r="I35" s="1" cm="1">
        <f t="array" aca="1" ref="I35" ca="1">_xlfn.LET(
  _xlpm.ε, (_xlfn.BETA.INV(RAND(), 5, 5) - 0.5) * 2,
  _xlpm.Scenario,H35,
  _xlpm.pre_scenario,H34,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_xlpm.ρ*(I34-_xlpm.μ_prev) + _xlpm.σ * _xlpm.ε
)</f>
        <v>3.4176041067442847E-3</v>
      </c>
      <c r="J35" s="1" cm="1">
        <f t="array" aca="1" ref="J35" ca="1">_xlfn.LET(
  _xlpm.ε, (_xlfn.BETA.INV(RAND(), 5, 5) - 0.5) * 2,
  _xlpm.Scenario,H35,
  _xlpm.pre_scenario,H34,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_xlpm.ρ*(MAX(J34, -0.05)-_xlpm.μ_prev) + _xlpm.σ * _xlpm.ε
)</f>
        <v>0.11236924115944068</v>
      </c>
      <c r="K35" s="1" cm="1">
        <f t="array" aca="1" ref="K35" ca="1">_xlfn.LET(
  _xlpm.ε, (_xlfn.BETA.INV(RAND(), 5, 5) - 0.5) * 2,
  _xlpm.Scenario,H35,
  _xlpm.pre_scenario,H34,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_xlpm.ρ*(MAX(K34, -0.07)-_xlpm.μ_prev) + _xlpm.σ * _xlpm.ε
)</f>
        <v>4.4189219797126075E-2</v>
      </c>
      <c r="L35" s="1">
        <f t="shared" ca="1" si="2"/>
        <v>4.8334579929667734E-2</v>
      </c>
      <c r="M35" s="23">
        <f t="shared" ca="1" si="5"/>
        <v>26399.707331420053</v>
      </c>
      <c r="N35" s="23">
        <f t="shared" ca="1" si="3"/>
        <v>12288.714585435744</v>
      </c>
      <c r="O35" s="23">
        <f t="shared" ca="1" si="4"/>
        <v>64080.173431179508</v>
      </c>
      <c r="P35" s="1" cm="1">
        <f t="array" aca="1" ref="P35" ca="1">_xlfn.LET(
  _xlpm.state, H35,
  _xlpm.last, P34,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MAX(0,_xlfn.IFS(A34=49,-_xlfn.NORM.INV(RAND(), 0.01, 0.005), A34=57,ABS(_xlfn.NORM.INV(RAND(), 0.02, 0.01)),TRUE,0))
)</f>
        <v>1.1971302156876376E-2</v>
      </c>
      <c r="Q35" s="1">
        <f t="shared" ca="1" si="6"/>
        <v>0.46548677343896627</v>
      </c>
    </row>
    <row r="36" spans="1:17">
      <c r="A36" s="1">
        <v>64</v>
      </c>
      <c r="B36" s="6">
        <f ca="1">VLOOKUP(salaryGrowth!I36,salaryGrowth!I:I,1,FALSE)</f>
        <v>2.1100934385567774E-2</v>
      </c>
      <c r="C36" s="23">
        <f ca="1">VLOOKUP(salaryGrowth!B36,salaryGrowth!B:B,1,FALSE)</f>
        <v>165690.14562587172</v>
      </c>
      <c r="D36" s="23" cm="1">
        <f t="array" aca="1" ref="D36" ca="1">_xlfn.LET(
  _xlpm.taxable, C36,
  _xlpm.kiwisaver,C36*0.03,
  _xlpm.incomeTax,
    _xlfn.IFS(
      _xlpm.taxable &lt;= 15600, _xlpm.taxable * 10.5%,
      AND(_xlpm.taxable &gt; 15600, _xlpm.taxable &lt;= 53500), (_xlpm.taxable - 15600) * 17.5% + 15600 * 10.5%,
      AND(_xlpm.taxable &gt; 53500, _xlpm.taxable &lt;= 78100), (_xlpm.taxable - 53500) * 30% + (53500 - 15600) * 17.5% + 15600 * 10.5%,
      AND(_xlpm.taxable &gt; 78100, _xlpm.taxable &lt;= 180000), (_xlpm.taxable - 78100) * 33% + (78100 - 53500) * 30% + (53500 - 15600) * 17.5% + 15600 * 10.5%,
      _xlpm.taxable &gt; 180000, (_xlpm.taxable - 180000) * 39% + (180000 - 78100) * 33% + (78100 - 53500) * 30% + (53500 - 15600) * 17.5% + 15600 * 10.5%
    ),
  _xlpm.acc, C36 * 0.0167,
  _xlpm.taxable - _xlpm.incomeTax - _xlpm.acc - _xlpm.kiwisaver
)</f>
        <v>113397.16776860584</v>
      </c>
      <c r="E36" s="23">
        <f t="shared" ca="1" si="0"/>
        <v>9941.4087375523031</v>
      </c>
      <c r="F36" s="23" cm="1">
        <f t="array" aca="1" ref="F36" ca="1" xml:space="preserve"> C36 * 3% * _xlfn.IFS(
   C36 + C36 * 3% &lt;= 18720, 10.5%,
   C36 + C36 * 3% &lt;= 64200, 17.5%,
   C36 + C36 * 3% &lt;= 93720, 30%,
   C36 + C36 * 3% &lt;= 216000, 33%,
   C36 + C36 * 3% &gt; 216000, 39%
)</f>
        <v>1640.33244169613</v>
      </c>
      <c r="G36" s="23">
        <f t="shared" ca="1" si="1"/>
        <v>8822.5062958561739</v>
      </c>
      <c r="H36" s="23" t="str" cm="1">
        <f t="array" aca="1" ref="H36" ca="1">_xlfn.IFS(
  H35="Boom", CHOOSE(MATCH(RAND(), {0,0.67,1}, 1), "Normal", "Recession"),
  H35="Normal", CHOOSE(MATCH(RAND(), {0,0.18,0.82,1}, 1), "Boom", "Normal", "Recession"),
  H35="Recession", CHOOSE(MATCH(RAND(), {0,0.17,0.34,1}, 1), "Boom", "Normal", "Recession")
)</f>
        <v>Recession</v>
      </c>
      <c r="I36" s="1" cm="1">
        <f t="array" aca="1" ref="I36" ca="1">_xlfn.LET(
  _xlpm.ε, (_xlfn.BETA.INV(RAND(), 5, 5) - 0.5) * 2,
  _xlpm.Scenario,H36,
  _xlpm.pre_scenario,H35,
  _xlpm.μ, _xlfn.XLOOKUP("HarbourSafe", fundGrowth!$A$2:$A$4, INDEX(fundGrowth!$B$2:$J$4,0, MATCH(_xlpm.Scenario &amp; " μ", fundGrowth!$B$1:$J$1, 0))),
  _xlpm.σ, _xlfn.XLOOKUP("HarbourSafe", fundGrowth!$A$2:$A$4, INDEX(fundGrowth!$B$2:$J$4,0, MATCH(_xlpm.Scenario &amp; " σ", fundGrowth!$B$1:$J$1, 0))),
  _xlpm.ρ, _xlfn.XLOOKUP("HarbourSafe", fundGrowth!$A$2:$A$4, INDEX(fundGrowth!$B$2:$J$4,0, MATCH(_xlpm.Scenario &amp; " ρ", fundGrowth!$B$1:$J$1, 0))),
_xlpm.μ_prev, _xlfn.XLOOKUP("HarbourSafe", fundGrowth!$A$2:$A$4, INDEX(fundGrowth!$B$2:$J$4,0, MATCH(_xlpm.pre_scenario &amp; " μ", fundGrowth!$B$1:$J$1, 0))),
  _xlpm.μ + _xlpm.ρ*(I35-_xlpm.μ_prev) + _xlpm.σ * _xlpm.ε
)</f>
        <v>1.9859498107182749E-2</v>
      </c>
      <c r="J36" s="1" cm="1">
        <f t="array" aca="1" ref="J36" ca="1">_xlfn.LET(
  _xlpm.ε, (_xlfn.BETA.INV(RAND(), 5, 5) - 0.5) * 2,
  _xlpm.Scenario,H36,
  _xlpm.pre_scenario,H35,
  _xlpm.μ, _xlfn.XLOOKUP("Horizon", fundGrowth!$A$2:$A$4, INDEX(fundGrowth!$B$2:$J$4,0, MATCH(_xlpm.Scenario &amp; " μ", fundGrowth!$B$1:$J$1, 0))),
  _xlpm.σ, _xlfn.XLOOKUP("Horizon", fundGrowth!$A$2:$A$4, INDEX(fundGrowth!$B$2:$J$4,0, MATCH(_xlpm.Scenario &amp; " σ", fundGrowth!$B$1:$J$1, 0))),
  _xlpm.ρ, _xlfn.XLOOKUP("Horizon", fundGrowth!$A$2:$A$4, INDEX(fundGrowth!$B$2:$J$4,0, MATCH(_xlpm.Scenario &amp; " ρ", fundGrowth!$B$1:$J$1, 0))),
_xlpm.μ_prev, _xlfn.XLOOKUP("Horizon", fundGrowth!$A$2:$A$4, INDEX(fundGrowth!$B$2:$J$4,0, MATCH(_xlpm.pre_scenario &amp; " μ", fundGrowth!$B$1:$J$1, 0))),
  _xlpm.μ + _xlpm.ρ*(MAX(J35, -0.05)-_xlpm.μ_prev) + _xlpm.σ * _xlpm.ε
)</f>
        <v>4.181739042966607E-2</v>
      </c>
      <c r="K36" s="1" cm="1">
        <f t="array" aca="1" ref="K36" ca="1">_xlfn.LET(
  _xlpm.ε, (_xlfn.BETA.INV(RAND(), 5, 5) - 0.5) * 2,
  _xlpm.Scenario,H36,
  _xlpm.pre_scenario,H35,
  _xlpm.μ, _xlfn.XLOOKUP("SkyHigh", fundGrowth!$A$2:$A$4, INDEX(fundGrowth!$B$2:$J$4,0, MATCH(_xlpm.Scenario &amp; " μ", fundGrowth!$B$1:$J$1, 0))),
  _xlpm.σ, _xlfn.XLOOKUP("SkyHigh", fundGrowth!$A$2:$A$4, INDEX(fundGrowth!$B$2:$J$4,0, MATCH(_xlpm.Scenario &amp; " σ", fundGrowth!$B$1:$J$1, 0))),
  _xlpm.ρ, _xlfn.XLOOKUP("SkyHigh", fundGrowth!$A$2:$A$4, INDEX(fundGrowth!$B$2:$J$4,0, MATCH(_xlpm.Scenario &amp; " ρ", fundGrowth!$B$1:$J$1, 0))),
_xlpm.μ_prev, _xlfn.XLOOKUP("SkyHigh", fundGrowth!$A$2:$A$4, INDEX(fundGrowth!$B$2:$J$4,0, MATCH(_xlpm.pre_scenario &amp; " μ", fundGrowth!$B$1:$J$1, 0))),
  _xlpm.μ + _xlpm.ρ*(MAX(K35, -0.07)-_xlpm.μ_prev) + _xlpm.σ * _xlpm.ε
)</f>
        <v>4.108234039704705E-2</v>
      </c>
      <c r="L36" s="1">
        <f t="shared" ca="1" si="2"/>
        <v>3.2813718490887031E-2</v>
      </c>
      <c r="M36" s="23">
        <f t="shared" ca="1" si="5"/>
        <v>26192.149509504641</v>
      </c>
      <c r="N36" s="23">
        <f t="shared" ca="1" si="3"/>
        <v>11945.47078389056</v>
      </c>
      <c r="O36" s="23">
        <f ca="1">N36+D36*Q36</f>
        <v>63662.591368601046</v>
      </c>
      <c r="P36" s="1" cm="1">
        <f t="array" aca="1" ref="P36" ca="1">_xlfn.LET(
  _xlpm.state, H36,
  _xlpm.last, P35,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MAX(0,_xlfn.IFS(A35=49,-_xlfn.NORM.INV(RAND(), 0.01, 0.005), A35=57,ABS(_xlfn.NORM.INV(RAND(), 0.02, 0.01)),TRUE,0))
)</f>
        <v>2.0646183409728684E-2</v>
      </c>
      <c r="Q36" s="1">
        <f t="shared" ca="1" si="6"/>
        <v>0.4560706550470694</v>
      </c>
    </row>
    <row r="37" spans="1:17">
      <c r="A37" s="1">
        <v>65</v>
      </c>
      <c r="H37" s="23" t="str" cm="1">
        <f t="array" aca="1" ref="H37" ca="1">_xlfn.IFS(
  H36="Boom", CHOOSE(MATCH(RAND(), {0,0.67,1}, 1), "Normal", "Recession"),
  H36="Normal", CHOOSE(MATCH(RAND(), {0,0.18,0.82,1}, 1), "Boom", "Normal", "Recession"),
  H36="Recession", CHOOSE(MATCH(RAND(), {0,0.17,0.34,1}, 1), "Boom", "Normal", "Recession")
)</f>
        <v>Normal</v>
      </c>
      <c r="N37" s="173">
        <f ca="1">SUM(N2:N36)</f>
        <v>433980.71593640489</v>
      </c>
      <c r="P37" s="1" cm="1">
        <f t="array" aca="1" ref="P37" ca="1">_xlfn.LET(
  _xlpm.state, H37,
  _xlpm.last, P36,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MAX(0,_xlfn.IFS(A36=49,-_xlfn.NORM.INV(RAND(), 0.01, 0.005), A36=57,ABS(_xlfn.NORM.INV(RAND(), 0.02, 0.01)),TRUE,0))
)</f>
        <v>1.8530277223394846E-2</v>
      </c>
      <c r="Q37" s="1">
        <f t="shared" ca="1" si="6"/>
        <v>0.44777329181647796</v>
      </c>
    </row>
    <row r="38" spans="1:17">
      <c r="A38" s="1">
        <v>66</v>
      </c>
      <c r="H38" s="23" t="str" cm="1">
        <f t="array" aca="1" ref="H38" ca="1">_xlfn.IFS(
  H37="Boom", CHOOSE(MATCH(RAND(), {0,0.67,1}, 1), "Normal", "Recession"),
  H37="Normal", CHOOSE(MATCH(RAND(), {0,0.18,0.82,1}, 1), "Boom", "Normal", "Recession"),
  H37="Recession", CHOOSE(MATCH(RAND(), {0,0.17,0.34,1}, 1), "Boom", "Normal", "Recession")
)</f>
        <v>Normal</v>
      </c>
      <c r="P38" s="1" cm="1">
        <f t="array" aca="1" ref="P38" ca="1">_xlfn.LET(
  _xlpm.state, H38,
  _xlpm.last, P37,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MAX(0,_xlfn.IFS(A37=49,-_xlfn.NORM.INV(RAND(), 0.01, 0.005), A37=57,ABS(_xlfn.NORM.INV(RAND(), 0.02, 0.01)),TRUE,0))
)</f>
        <v>2.5669518545779431E-2</v>
      </c>
      <c r="Q38" s="1">
        <f t="shared" ca="1" si="6"/>
        <v>0.4365668314403478</v>
      </c>
    </row>
    <row r="39" spans="1:17">
      <c r="A39" s="1">
        <v>67</v>
      </c>
      <c r="H39" s="23" t="str" cm="1">
        <f t="array" aca="1" ref="H39" ca="1">_xlfn.IFS(
  H38="Boom", CHOOSE(MATCH(RAND(), {0,0.67,1}, 1), "Normal", "Recession"),
  H38="Normal", CHOOSE(MATCH(RAND(), {0,0.18,0.82,1}, 1), "Boom", "Normal", "Recession"),
  H38="Recession", CHOOSE(MATCH(RAND(), {0,0.17,0.34,1}, 1), "Boom", "Normal", "Recession")
)</f>
        <v>Recession</v>
      </c>
      <c r="P39" s="1" cm="1">
        <f t="array" aca="1" ref="P39" ca="1">_xlfn.LET(
  _xlpm.state, H39,
  _xlpm.last, P38,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MAX(0,_xlfn.IFS(A38=49,-_xlfn.NORM.INV(RAND(), 0.01, 0.005), A38=57,ABS(_xlfn.NORM.INV(RAND(), 0.02, 0.01)),TRUE,0))
)</f>
        <v>1.9528868376624202E-2</v>
      </c>
      <c r="Q39" s="1">
        <f t="shared" ca="1" si="6"/>
        <v>0.42820448246402737</v>
      </c>
    </row>
    <row r="40" spans="1:17">
      <c r="A40" s="1">
        <v>68</v>
      </c>
      <c r="D40" s="3"/>
      <c r="H40" s="23" t="str" cm="1">
        <f t="array" aca="1" ref="H40" ca="1">_xlfn.IFS(
  H39="Boom", CHOOSE(MATCH(RAND(), {0,0.67,1}, 1), "Normal", "Recession"),
  H39="Normal", CHOOSE(MATCH(RAND(), {0,0.18,0.82,1}, 1), "Boom", "Normal", "Recession"),
  H39="Recession", CHOOSE(MATCH(RAND(), {0,0.17,0.34,1}, 1), "Boom", "Normal", "Recession")
)</f>
        <v>Recession</v>
      </c>
      <c r="P40" s="1" cm="1">
        <f t="array" aca="1" ref="P40" ca="1">_xlfn.LET(
  _xlpm.state, H40,
  _xlpm.last, P39,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MAX(0,_xlfn.IFS(A39=49,-_xlfn.NORM.INV(RAND(), 0.01, 0.005), A39=57,ABS(_xlfn.NORM.INV(RAND(), 0.02, 0.01)),TRUE,0))
)</f>
        <v>2.525118768964945E-2</v>
      </c>
      <c r="Q40" s="1">
        <f t="shared" ca="1" si="6"/>
        <v>0.41765811891324311</v>
      </c>
    </row>
    <row r="41" spans="1:17">
      <c r="A41" s="1">
        <v>69</v>
      </c>
      <c r="H41" s="23" t="str" cm="1">
        <f t="array" aca="1" ref="H41" ca="1">_xlfn.IFS(
  H40="Boom", CHOOSE(MATCH(RAND(), {0,0.67,1}, 1), "Normal", "Recession"),
  H40="Normal", CHOOSE(MATCH(RAND(), {0,0.18,0.82,1}, 1), "Boom", "Normal", "Recession"),
  H40="Recession", CHOOSE(MATCH(RAND(), {0,0.17,0.34,1}, 1), "Boom", "Normal", "Recession")
)</f>
        <v>Recession</v>
      </c>
      <c r="P41" s="1" cm="1">
        <f t="array" aca="1" ref="P41" ca="1">_xlfn.LET(
  _xlpm.state, H41,
  _xlpm.last, P40,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MAX(0,_xlfn.IFS(A40=49,-_xlfn.NORM.INV(RAND(), 0.01, 0.005), A40=57,ABS(_xlfn.NORM.INV(RAND(), 0.02, 0.01)),TRUE,0))
)</f>
        <v>1.5696662471220743E-2</v>
      </c>
      <c r="Q41" s="1">
        <f t="shared" ca="1" si="6"/>
        <v>0.41120359487749847</v>
      </c>
    </row>
    <row r="42" spans="1:17">
      <c r="A42" s="1">
        <v>70</v>
      </c>
      <c r="H42" s="23" t="str" cm="1">
        <f t="array" aca="1" ref="H42" ca="1">_xlfn.IFS(
  H41="Boom", CHOOSE(MATCH(RAND(), {0,0.67,1}, 1), "Normal", "Recession"),
  H41="Normal", CHOOSE(MATCH(RAND(), {0,0.18,0.82,1}, 1), "Boom", "Normal", "Recession"),
  H41="Recession", CHOOSE(MATCH(RAND(), {0,0.17,0.34,1}, 1), "Boom", "Normal", "Recession")
)</f>
        <v>Normal</v>
      </c>
      <c r="P42" s="1" cm="1">
        <f t="array" aca="1" ref="P42" ca="1">_xlfn.LET(
  _xlpm.state, H42,
  _xlpm.last, P41,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MAX(0,_xlfn.IFS(A41=49,-_xlfn.NORM.INV(RAND(), 0.01, 0.005), A41=57,ABS(_xlfn.NORM.INV(RAND(), 0.02, 0.01)),TRUE,0))
)</f>
        <v>1.2241437338095337E-2</v>
      </c>
      <c r="Q42" s="1">
        <f t="shared" ca="1" si="6"/>
        <v>0.40623074664760417</v>
      </c>
    </row>
    <row r="43" spans="1:17">
      <c r="A43" s="1">
        <v>71</v>
      </c>
      <c r="H43" s="23" t="str" cm="1">
        <f t="array" aca="1" ref="H43" ca="1">_xlfn.IFS(
  H42="Boom", CHOOSE(MATCH(RAND(), {0,0.67,1}, 1), "Normal", "Recession"),
  H42="Normal", CHOOSE(MATCH(RAND(), {0,0.18,0.82,1}, 1), "Boom", "Normal", "Recession"),
  H42="Recession", CHOOSE(MATCH(RAND(), {0,0.17,0.34,1}, 1), "Boom", "Normal", "Recession")
)</f>
        <v>Normal</v>
      </c>
      <c r="P43" s="1" cm="1">
        <f t="array" aca="1" ref="P43" ca="1">_xlfn.LET(
  _xlpm.state, H43,
  _xlpm.last, P42,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MAX(0,_xlfn.IFS(A42=49,-_xlfn.NORM.INV(RAND(), 0.01, 0.005), A42=57,ABS(_xlfn.NORM.INV(RAND(), 0.02, 0.01)),TRUE,0))
)</f>
        <v>2.1233051132631266E-2</v>
      </c>
      <c r="Q43" s="1">
        <f t="shared" ca="1" si="6"/>
        <v>0.39778456660510636</v>
      </c>
    </row>
    <row r="44" spans="1:17">
      <c r="A44" s="1">
        <v>72</v>
      </c>
      <c r="H44" s="23" t="str" cm="1">
        <f t="array" aca="1" ref="H44" ca="1">_xlfn.IFS(
  H43="Boom", CHOOSE(MATCH(RAND(), {0,0.67,1}, 1), "Normal", "Recession"),
  H43="Normal", CHOOSE(MATCH(RAND(), {0,0.18,0.82,1}, 1), "Boom", "Normal", "Recession"),
  H43="Recession", CHOOSE(MATCH(RAND(), {0,0.17,0.34,1}, 1), "Boom", "Normal", "Recession")
)</f>
        <v>Boom</v>
      </c>
      <c r="P44" s="1" cm="1">
        <f t="array" aca="1" ref="P44" ca="1">_xlfn.LET(
  _xlpm.state, H44,
  _xlpm.last, P43,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MAX(0,_xlfn.IFS(A43=49,-_xlfn.NORM.INV(RAND(), 0.01, 0.005), A43=57,ABS(_xlfn.NORM.INV(RAND(), 0.02, 0.01)),TRUE,0))
)</f>
        <v>2.3070021816791634E-2</v>
      </c>
      <c r="Q44" s="1">
        <f t="shared" ca="1" si="6"/>
        <v>0.38881460518089589</v>
      </c>
    </row>
    <row r="45" spans="1:17">
      <c r="A45" s="1">
        <v>73</v>
      </c>
      <c r="H45" s="23" t="str" cm="1">
        <f t="array" aca="1" ref="H45" ca="1">_xlfn.IFS(
  H44="Boom", CHOOSE(MATCH(RAND(), {0,0.67,1}, 1), "Normal", "Recession"),
  H44="Normal", CHOOSE(MATCH(RAND(), {0,0.18,0.82,1}, 1), "Boom", "Normal", "Recession"),
  H44="Recession", CHOOSE(MATCH(RAND(), {0,0.17,0.34,1}, 1), "Boom", "Normal", "Recession")
)</f>
        <v>Recession</v>
      </c>
      <c r="P45" s="1" cm="1">
        <f t="array" aca="1" ref="P45" ca="1">_xlfn.LET(
  _xlpm.state, H45,
  _xlpm.last, P44,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MAX(0,_xlfn.IFS(A44=49,-_xlfn.NORM.INV(RAND(), 0.01, 0.005), A44=57,ABS(_xlfn.NORM.INV(RAND(), 0.02, 0.01)),TRUE,0))
)</f>
        <v>3.4948522479615739E-2</v>
      </c>
      <c r="Q45" s="1">
        <f t="shared" ca="1" si="6"/>
        <v>0.37568497054263289</v>
      </c>
    </row>
    <row r="46" spans="1:17">
      <c r="A46" s="1">
        <v>74</v>
      </c>
      <c r="H46" s="23" t="str" cm="1">
        <f t="array" aca="1" ref="H46" ca="1">_xlfn.IFS(
  H45="Boom", CHOOSE(MATCH(RAND(), {0,0.67,1}, 1), "Normal", "Recession"),
  H45="Normal", CHOOSE(MATCH(RAND(), {0,0.18,0.82,1}, 1), "Boom", "Normal", "Recession"),
  H45="Recession", CHOOSE(MATCH(RAND(), {0,0.17,0.34,1}, 1), "Boom", "Normal", "Recession")
)</f>
        <v>Normal</v>
      </c>
      <c r="P46" s="1" cm="1">
        <f t="array" aca="1" ref="P46" ca="1">_xlfn.LET(
  _xlpm.state, H46,
  _xlpm.last, P45,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MAX(0,_xlfn.IFS(A45=49,-_xlfn.NORM.INV(RAND(), 0.01, 0.005), A45=57,ABS(_xlfn.NORM.INV(RAND(), 0.02, 0.01)),TRUE,0))
)</f>
        <v>2.6520266756055254E-2</v>
      </c>
      <c r="Q46" s="1">
        <f t="shared" ca="1" si="6"/>
        <v>0.36597910699790553</v>
      </c>
    </row>
    <row r="47" spans="1:17">
      <c r="A47" s="1">
        <v>75</v>
      </c>
      <c r="H47" s="23" t="str" cm="1">
        <f t="array" aca="1" ref="H47" ca="1">_xlfn.IFS(
  H46="Boom", CHOOSE(MATCH(RAND(), {0,0.67,1}, 1), "Normal", "Recession"),
  H46="Normal", CHOOSE(MATCH(RAND(), {0,0.18,0.82,1}, 1), "Boom", "Normal", "Recession"),
  H46="Recession", CHOOSE(MATCH(RAND(), {0,0.17,0.34,1}, 1), "Boom", "Normal", "Recession")
)</f>
        <v>Normal</v>
      </c>
      <c r="P47" s="1" cm="1">
        <f t="array" aca="1" ref="P47" ca="1">_xlfn.LET(
  _xlpm.state, H47,
  _xlpm.last, P46,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MAX(0,_xlfn.IFS(A46=49,-_xlfn.NORM.INV(RAND(), 0.01, 0.005), A46=57,ABS(_xlfn.NORM.INV(RAND(), 0.02, 0.01)),TRUE,0))
)</f>
        <v>1.7782062978951938E-2</v>
      </c>
      <c r="Q47" s="1">
        <f t="shared" ca="1" si="6"/>
        <v>0.35958494486208498</v>
      </c>
    </row>
    <row r="48" spans="1:17">
      <c r="A48" s="1">
        <v>76</v>
      </c>
      <c r="H48" s="23" t="str" cm="1">
        <f t="array" aca="1" ref="H48" ca="1">_xlfn.IFS(
  H47="Boom", CHOOSE(MATCH(RAND(), {0,0.67,1}, 1), "Normal", "Recession"),
  H47="Normal", CHOOSE(MATCH(RAND(), {0,0.18,0.82,1}, 1), "Boom", "Normal", "Recession"),
  H47="Recession", CHOOSE(MATCH(RAND(), {0,0.17,0.34,1}, 1), "Boom", "Normal", "Recession")
)</f>
        <v>Recession</v>
      </c>
      <c r="P48" s="1" cm="1">
        <f t="array" aca="1" ref="P48" ca="1">_xlfn.LET(
  _xlpm.state, H48,
  _xlpm.last, P47,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MAX(0,_xlfn.IFS(A47=49,-_xlfn.NORM.INV(RAND(), 0.01, 0.005), A47=57,ABS(_xlfn.NORM.INV(RAND(), 0.02, 0.01)),TRUE,0))
)</f>
        <v>1.6986569374455533E-2</v>
      </c>
      <c r="Q48" s="1">
        <f t="shared" ca="1" si="6"/>
        <v>0.3535788531438171</v>
      </c>
    </row>
    <row r="49" spans="1:17">
      <c r="A49" s="1">
        <v>77</v>
      </c>
      <c r="H49" s="23" t="str" cm="1">
        <f t="array" aca="1" ref="H49" ca="1">_xlfn.IFS(
  H48="Boom", CHOOSE(MATCH(RAND(), {0,0.67,1}, 1), "Normal", "Recession"),
  H48="Normal", CHOOSE(MATCH(RAND(), {0,0.18,0.82,1}, 1), "Boom", "Normal", "Recession"),
  H48="Recession", CHOOSE(MATCH(RAND(), {0,0.17,0.34,1}, 1), "Boom", "Normal", "Recession")
)</f>
        <v>Recession</v>
      </c>
      <c r="P49" s="1" cm="1">
        <f t="array" aca="1" ref="P49" ca="1">_xlfn.LET(
  _xlpm.state, H49,
  _xlpm.last, P48,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MAX(0,_xlfn.IFS(A48=49,-_xlfn.NORM.INV(RAND(), 0.01, 0.005), A48=57,ABS(_xlfn.NORM.INV(RAND(), 0.02, 0.01)),TRUE,0))
)</f>
        <v>2.5110646357483699E-2</v>
      </c>
      <c r="Q49" s="1">
        <f t="shared" ca="1" si="6"/>
        <v>0.34491774561134997</v>
      </c>
    </row>
    <row r="50" spans="1:17">
      <c r="A50" s="1">
        <v>78</v>
      </c>
      <c r="H50" s="23" t="str" cm="1">
        <f t="array" aca="1" ref="H50" ca="1">_xlfn.IFS(
  H49="Boom", CHOOSE(MATCH(RAND(), {0,0.67,1}, 1), "Normal", "Recession"),
  H49="Normal", CHOOSE(MATCH(RAND(), {0,0.18,0.82,1}, 1), "Boom", "Normal", "Recession"),
  H49="Recession", CHOOSE(MATCH(RAND(), {0,0.17,0.34,1}, 1), "Boom", "Normal", "Recession")
)</f>
        <v>Recession</v>
      </c>
      <c r="P50" s="1" cm="1">
        <f t="array" aca="1" ref="P50" ca="1">_xlfn.LET(
  _xlpm.state, H50,
  _xlpm.last, P49,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MAX(0,_xlfn.IFS(A49=49,-_xlfn.NORM.INV(RAND(), 0.01, 0.005), A49=57,ABS(_xlfn.NORM.INV(RAND(), 0.02, 0.01)),TRUE,0))
)</f>
        <v>2.8138825960052467E-2</v>
      </c>
      <c r="Q50" s="1">
        <f t="shared" ca="1" si="6"/>
        <v>0.33547779434287356</v>
      </c>
    </row>
    <row r="51" spans="1:17">
      <c r="A51" s="1">
        <v>79</v>
      </c>
      <c r="H51" s="23" t="str" cm="1">
        <f t="array" aca="1" ref="H51" ca="1">_xlfn.IFS(
  H50="Boom", CHOOSE(MATCH(RAND(), {0,0.67,1}, 1), "Normal", "Recession"),
  H50="Normal", CHOOSE(MATCH(RAND(), {0,0.18,0.82,1}, 1), "Boom", "Normal", "Recession"),
  H50="Recession", CHOOSE(MATCH(RAND(), {0,0.17,0.34,1}, 1), "Boom", "Normal", "Recession")
)</f>
        <v>Recession</v>
      </c>
      <c r="P51" s="1" cm="1">
        <f t="array" aca="1" ref="P51" ca="1">_xlfn.LET(
  _xlpm.state, H51,
  _xlpm.last, P50,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MAX(0,_xlfn.IFS(A50=49,-_xlfn.NORM.INV(RAND(), 0.01, 0.005), A50=57,ABS(_xlfn.NORM.INV(RAND(), 0.02, 0.01)),TRUE,0))
)</f>
        <v>2.9921700876270541E-2</v>
      </c>
      <c r="Q51" s="1">
        <f t="shared" ca="1" si="6"/>
        <v>0.32573135808037135</v>
      </c>
    </row>
    <row r="52" spans="1:17">
      <c r="A52" s="1">
        <v>80</v>
      </c>
      <c r="H52" s="23" t="str" cm="1">
        <f t="array" aca="1" ref="H52" ca="1">_xlfn.IFS(
  H51="Boom", CHOOSE(MATCH(RAND(), {0,0.67,1}, 1), "Normal", "Recession"),
  H51="Normal", CHOOSE(MATCH(RAND(), {0,0.18,0.82,1}, 1), "Boom", "Normal", "Recession"),
  H51="Recession", CHOOSE(MATCH(RAND(), {0,0.17,0.34,1}, 1), "Boom", "Normal", "Recession")
)</f>
        <v>Recession</v>
      </c>
      <c r="P52" s="1" cm="1">
        <f t="array" aca="1" ref="P52" ca="1">_xlfn.LET(
  _xlpm.state, H52,
  _xlpm.last, P51,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MAX(0,_xlfn.IFS(A51=49,-_xlfn.NORM.INV(RAND(), 0.01, 0.005), A51=57,ABS(_xlfn.NORM.INV(RAND(), 0.02, 0.01)),TRUE,0))
)</f>
        <v>3.5263086292727362E-2</v>
      </c>
      <c r="Q52" s="1">
        <f t="shared" ca="1" si="6"/>
        <v>0.31463631070515025</v>
      </c>
    </row>
    <row r="53" spans="1:17">
      <c r="A53" s="1">
        <v>81</v>
      </c>
      <c r="H53" s="23" t="str" cm="1">
        <f t="array" aca="1" ref="H53" ca="1">_xlfn.IFS(
  H52="Boom", CHOOSE(MATCH(RAND(), {0,0.67,1}, 1), "Normal", "Recession"),
  H52="Normal", CHOOSE(MATCH(RAND(), {0,0.18,0.82,1}, 1), "Boom", "Normal", "Recession"),
  H52="Recession", CHOOSE(MATCH(RAND(), {0,0.17,0.34,1}, 1), "Boom", "Normal", "Recession")
)</f>
        <v>Recession</v>
      </c>
      <c r="P53" s="1" cm="1">
        <f t="array" aca="1" ref="P53" ca="1">_xlfn.LET(
  _xlpm.state, H53,
  _xlpm.last, P52,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MAX(0,_xlfn.IFS(A52=49,-_xlfn.NORM.INV(RAND(), 0.01, 0.005), A52=57,ABS(_xlfn.NORM.INV(RAND(), 0.02, 0.01)),TRUE,0))
)</f>
        <v>3.0551271985400748E-2</v>
      </c>
      <c r="Q53" s="1">
        <f t="shared" ca="1" si="6"/>
        <v>0.3053087403395176</v>
      </c>
    </row>
    <row r="54" spans="1:17">
      <c r="A54" s="1">
        <v>82</v>
      </c>
      <c r="H54" s="23" t="str" cm="1">
        <f t="array" aca="1" ref="H54" ca="1">_xlfn.IFS(
  H53="Boom", CHOOSE(MATCH(RAND(), {0,0.67,1}, 1), "Normal", "Recession"),
  H53="Normal", CHOOSE(MATCH(RAND(), {0,0.18,0.82,1}, 1), "Boom", "Normal", "Recession"),
  H53="Recession", CHOOSE(MATCH(RAND(), {0,0.17,0.34,1}, 1), "Boom", "Normal", "Recession")
)</f>
        <v>Recession</v>
      </c>
      <c r="P54" s="1" cm="1">
        <f t="array" aca="1" ref="P54" ca="1">_xlfn.LET(
  _xlpm.state, H54,
  _xlpm.last, P53,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MAX(0,_xlfn.IFS(A53=49,-_xlfn.NORM.INV(RAND(), 0.01, 0.005), A53=57,ABS(_xlfn.NORM.INV(RAND(), 0.02, 0.01)),TRUE,0))
)</f>
        <v>2.6056695720426893E-2</v>
      </c>
      <c r="Q54" s="1">
        <f t="shared" ca="1" si="6"/>
        <v>0.29755542906442484</v>
      </c>
    </row>
    <row r="55" spans="1:17">
      <c r="A55" s="1">
        <v>83</v>
      </c>
      <c r="H55" s="23" t="str" cm="1">
        <f t="array" aca="1" ref="H55" ca="1">_xlfn.IFS(
  H54="Boom", CHOOSE(MATCH(RAND(), {0,0.67,1}, 1), "Normal", "Recession"),
  H54="Normal", CHOOSE(MATCH(RAND(), {0,0.18,0.82,1}, 1), "Boom", "Normal", "Recession"),
  H54="Recession", CHOOSE(MATCH(RAND(), {0,0.17,0.34,1}, 1), "Boom", "Normal", "Recession")
)</f>
        <v>Normal</v>
      </c>
      <c r="P55" s="1" cm="1">
        <f t="array" aca="1" ref="P55" ca="1">_xlfn.LET(
  _xlpm.state, H55,
  _xlpm.last, P54,
  _xlpm.μ, IF(RAND() &lt; 0.001,
        6% + 1.5% * _xlfn.NORM.S.INV(RAND()),
        _xlfn.BETA.INV(RAND(), 1.19, 1.22, 0.003, 0.04)
     ),
  _xlpm.ρ_min, _xlfn.IFS(_xlpm.state="Boom", 0.61, _xlpm.state="Normal", 0.34, _xlpm.state="Recession", 0.2),
  _xlpm.ρ_max, _xlfn.IFS(_xlpm.state="Boom", 0.8, _xlpm.state="Normal", 0.6, _xlpm.state="Recession", 0.33),
  _xlpm.α, _xlfn.IFS(_xlpm.state="Boom", 3, _xlpm.state="Normal", 2, _xlpm.state="Recession", 2),
  _xlpm.β,  _xlfn.IFS(_xlpm.state="Boom", 2, _xlpm.state="Normal", 2, _xlpm.state="Recession", 3),
  _xlpm.ρ, _xlfn.BETA.INV(RAND(), _xlpm.α, _xlpm.β, _xlpm.ρ_min, _xlpm.ρ_max),
  _xlpm.ε, _xlfn.NORM.S.INV(RAND()),
  _xlpm.μ + _xlpm.ρ * (_xlpm.last - _xlpm.μ) + 0 * _xlpm.ε + MAX(0,_xlfn.IFS(A54=49,-_xlfn.NORM.INV(RAND(), 0.01, 0.005), A54=57,ABS(_xlfn.NORM.INV(RAND(), 0.02, 0.01)),TRUE,0))
)</f>
        <v>2.7920506775876774E-2</v>
      </c>
      <c r="Q55" s="1">
        <f t="shared" ca="1" si="6"/>
        <v>0.28947319087710593</v>
      </c>
    </row>
  </sheetData>
  <phoneticPr fontId="2" type="noConversion"/>
  <pageMargins left="0.7" right="0.7" top="0.75" bottom="0.75" header="0.3" footer="0.3"/>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53D09-C736-4A78-96BA-95823BB0827B}">
  <sheetPr codeName="Sheet7"/>
  <dimension ref="A1:F68"/>
  <sheetViews>
    <sheetView topLeftCell="A26" workbookViewId="0">
      <selection activeCell="B23" sqref="B23"/>
    </sheetView>
  </sheetViews>
  <sheetFormatPr defaultColWidth="8.59765625" defaultRowHeight="13.9"/>
  <cols>
    <col min="1" max="1" width="19.73046875" style="5" customWidth="1"/>
    <col min="2" max="2" width="24.59765625" style="5" customWidth="1"/>
    <col min="3" max="3" width="29.73046875" style="5" customWidth="1"/>
    <col min="4" max="4" width="14.1328125" style="5" customWidth="1"/>
    <col min="5" max="6" width="8.59765625" style="5"/>
    <col min="7" max="7" width="8.59765625" style="5" customWidth="1"/>
    <col min="8" max="16384" width="8.59765625" style="5"/>
  </cols>
  <sheetData>
    <row r="1" spans="1:4">
      <c r="A1" s="7" t="s">
        <v>267</v>
      </c>
      <c r="B1" s="7" t="s">
        <v>268</v>
      </c>
      <c r="C1" s="7"/>
      <c r="D1" s="7"/>
    </row>
    <row r="2" spans="1:4">
      <c r="A2" s="3">
        <v>1992</v>
      </c>
      <c r="B2" s="18">
        <v>0.01</v>
      </c>
      <c r="C2" s="5" t="s">
        <v>269</v>
      </c>
    </row>
    <row r="3" spans="1:4">
      <c r="A3" s="3">
        <v>1993</v>
      </c>
      <c r="B3" s="18">
        <v>1.2999999999999999E-2</v>
      </c>
      <c r="C3" s="37" t="s">
        <v>270</v>
      </c>
      <c r="D3" s="11">
        <f>MAX(B2:B8,B10:B31,B34)</f>
        <v>0.04</v>
      </c>
    </row>
    <row r="4" spans="1:4">
      <c r="A4" s="3">
        <v>1994</v>
      </c>
      <c r="B4" s="18">
        <v>1.7000000000000001E-2</v>
      </c>
      <c r="C4" s="37" t="s">
        <v>271</v>
      </c>
      <c r="D4" s="11">
        <f>MIN(B2:B8,B10:B31,B34)</f>
        <v>3.0000000000000001E-3</v>
      </c>
    </row>
    <row r="5" spans="1:4">
      <c r="A5" s="3">
        <v>1995</v>
      </c>
      <c r="B5" s="18">
        <v>3.7999999999999999E-2</v>
      </c>
      <c r="C5" s="37" t="s">
        <v>272</v>
      </c>
      <c r="D5" s="11">
        <f>AVERAGE(B2:B8,B10:B31,B34)</f>
        <v>2.1233333333333337E-2</v>
      </c>
    </row>
    <row r="6" spans="1:4">
      <c r="A6" s="3">
        <v>1996</v>
      </c>
      <c r="B6" s="18">
        <v>2.3E-2</v>
      </c>
      <c r="C6" s="37" t="s">
        <v>273</v>
      </c>
      <c r="D6" s="11">
        <f>_xlfn.STDEV.P(B2:B8,B10:B31,B34)</f>
        <v>1.0015598944757228E-2</v>
      </c>
    </row>
    <row r="7" spans="1:4">
      <c r="A7" s="3">
        <v>1997</v>
      </c>
      <c r="B7" s="18">
        <v>1.2E-2</v>
      </c>
      <c r="C7" s="37"/>
    </row>
    <row r="8" spans="1:4">
      <c r="A8" s="3">
        <v>1998</v>
      </c>
      <c r="B8" s="18">
        <v>1.2999999999999999E-2</v>
      </c>
      <c r="C8" s="37" t="s">
        <v>274</v>
      </c>
      <c r="D8" s="12">
        <f>(D5-D4)/(D3-D4)</f>
        <v>0.49279279279279292</v>
      </c>
    </row>
    <row r="9" spans="1:4">
      <c r="A9" s="90">
        <v>1999</v>
      </c>
      <c r="B9" s="91">
        <v>-1E-3</v>
      </c>
      <c r="C9" s="37" t="s">
        <v>275</v>
      </c>
      <c r="D9" s="12">
        <f>1-D8</f>
        <v>0.50720720720720713</v>
      </c>
    </row>
    <row r="10" spans="1:4">
      <c r="A10" s="3">
        <v>2000</v>
      </c>
      <c r="B10" s="18">
        <v>2.5999999999999999E-2</v>
      </c>
      <c r="C10" s="37" t="s">
        <v>276</v>
      </c>
      <c r="D10" s="12">
        <f>(D6^2)/((D3-D4)^2)</f>
        <v>7.3274084895706429E-2</v>
      </c>
    </row>
    <row r="11" spans="1:4">
      <c r="A11" s="3">
        <v>2001</v>
      </c>
      <c r="B11" s="18">
        <v>2.5999999999999999E-2</v>
      </c>
      <c r="C11" s="37"/>
    </row>
    <row r="12" spans="1:4">
      <c r="A12" s="3">
        <v>2002</v>
      </c>
      <c r="B12" s="18">
        <v>2.7E-2</v>
      </c>
      <c r="C12" s="5" t="s">
        <v>277</v>
      </c>
      <c r="D12" s="12">
        <f>D8*(((D8*D9)/D10)-1)</f>
        <v>1.1881917029622553</v>
      </c>
    </row>
    <row r="13" spans="1:4">
      <c r="A13" s="3">
        <v>2003</v>
      </c>
      <c r="B13" s="18">
        <v>1.7999999999999999E-2</v>
      </c>
      <c r="C13" s="5" t="s">
        <v>278</v>
      </c>
      <c r="D13" s="12">
        <f>D12*D9/D8</f>
        <v>1.2229468533231251</v>
      </c>
    </row>
    <row r="14" spans="1:4">
      <c r="A14" s="3">
        <v>2004</v>
      </c>
      <c r="B14" s="18">
        <v>2.3E-2</v>
      </c>
      <c r="C14" s="5" t="s">
        <v>279</v>
      </c>
      <c r="D14" s="12">
        <f ca="1">_xlfn.BETA.INV(RAND(),D12,D13,D4,D3)</f>
        <v>2.1754525361479485E-2</v>
      </c>
    </row>
    <row r="15" spans="1:4">
      <c r="A15" s="3">
        <v>2005</v>
      </c>
      <c r="B15" s="18">
        <v>0.03</v>
      </c>
      <c r="D15" s="12"/>
    </row>
    <row r="16" spans="1:4" ht="27.75">
      <c r="A16" s="3">
        <v>2006</v>
      </c>
      <c r="B16" s="18">
        <v>3.4000000000000002E-2</v>
      </c>
      <c r="C16" s="4" t="s">
        <v>280</v>
      </c>
      <c r="D16" s="12"/>
    </row>
    <row r="17" spans="1:6" ht="27.75">
      <c r="A17" s="3">
        <v>2007</v>
      </c>
      <c r="B17" s="18">
        <v>2.4E-2</v>
      </c>
      <c r="C17" s="4" t="s">
        <v>281</v>
      </c>
      <c r="D17" s="11">
        <f ca="1">IF(RAND()&lt;0.05,6%+1.5%*_xlfn.NORM.S.INV(RAND()),_xlfn.BETA.INV(RAND(),1.19,1.22,0.003,0.04))</f>
        <v>3.3632137583852216E-2</v>
      </c>
    </row>
    <row r="18" spans="1:6">
      <c r="A18" s="3">
        <v>2008</v>
      </c>
      <c r="B18" s="18">
        <v>0.04</v>
      </c>
    </row>
    <row r="19" spans="1:6" ht="14.25">
      <c r="A19" s="3">
        <v>2009</v>
      </c>
      <c r="B19" s="18">
        <v>2.1000000000000001E-2</v>
      </c>
      <c r="C19" s="4" t="s">
        <v>282</v>
      </c>
      <c r="D19" s="12">
        <f>CORREL(B39:B67,B40:B68)</f>
        <v>0.33976091022297228</v>
      </c>
    </row>
    <row r="20" spans="1:6">
      <c r="A20" s="3">
        <v>2010</v>
      </c>
      <c r="B20" s="18">
        <v>2.3E-2</v>
      </c>
    </row>
    <row r="21" spans="1:6" ht="14.25" thickBot="1">
      <c r="A21" s="3">
        <v>2011</v>
      </c>
      <c r="B21" s="18">
        <v>0.04</v>
      </c>
    </row>
    <row r="22" spans="1:6">
      <c r="A22" s="3">
        <v>2012</v>
      </c>
      <c r="B22" s="18">
        <v>1.0999999999999999E-2</v>
      </c>
      <c r="C22" s="92" t="s">
        <v>283</v>
      </c>
      <c r="D22" s="93" t="s">
        <v>284</v>
      </c>
      <c r="E22" s="94" t="s">
        <v>277</v>
      </c>
      <c r="F22" s="95" t="s">
        <v>278</v>
      </c>
    </row>
    <row r="23" spans="1:6">
      <c r="A23" s="3">
        <v>2013</v>
      </c>
      <c r="B23" s="18">
        <v>1.0999999999999999E-2</v>
      </c>
      <c r="C23" s="14" t="s">
        <v>28</v>
      </c>
      <c r="D23" s="5" t="s">
        <v>285</v>
      </c>
      <c r="E23" s="1">
        <v>3</v>
      </c>
      <c r="F23" s="8">
        <v>2</v>
      </c>
    </row>
    <row r="24" spans="1:6">
      <c r="A24" s="3">
        <v>2014</v>
      </c>
      <c r="B24" s="18">
        <v>1.2E-2</v>
      </c>
      <c r="C24" s="14" t="s">
        <v>27</v>
      </c>
      <c r="D24" s="5" t="s">
        <v>286</v>
      </c>
      <c r="E24" s="1">
        <v>2</v>
      </c>
      <c r="F24" s="8">
        <v>2</v>
      </c>
    </row>
    <row r="25" spans="1:6" ht="14.25" thickBot="1">
      <c r="A25" s="3">
        <v>2015</v>
      </c>
      <c r="B25" s="18">
        <v>3.0000000000000001E-3</v>
      </c>
      <c r="C25" s="15" t="s">
        <v>26</v>
      </c>
      <c r="D25" s="16" t="s">
        <v>287</v>
      </c>
      <c r="E25" s="9">
        <v>2</v>
      </c>
      <c r="F25" s="10">
        <v>3</v>
      </c>
    </row>
    <row r="26" spans="1:6">
      <c r="A26" s="3">
        <v>2016</v>
      </c>
      <c r="B26" s="18">
        <v>6.0000000000000001E-3</v>
      </c>
    </row>
    <row r="27" spans="1:6">
      <c r="A27" s="3">
        <v>2017</v>
      </c>
      <c r="B27" s="18">
        <v>1.9E-2</v>
      </c>
    </row>
    <row r="28" spans="1:6">
      <c r="A28" s="3">
        <v>2018</v>
      </c>
      <c r="B28" s="18">
        <v>1.6E-2</v>
      </c>
    </row>
    <row r="29" spans="1:6">
      <c r="A29" s="3">
        <v>2019</v>
      </c>
      <c r="B29" s="18">
        <v>1.6E-2</v>
      </c>
    </row>
    <row r="30" spans="1:6">
      <c r="A30" s="3">
        <v>2020</v>
      </c>
      <c r="B30" s="18">
        <v>1.7000000000000001E-2</v>
      </c>
    </row>
    <row r="31" spans="1:6">
      <c r="A31" s="3">
        <v>2021</v>
      </c>
      <c r="B31" s="18">
        <v>3.9E-2</v>
      </c>
    </row>
    <row r="32" spans="1:6">
      <c r="A32" s="90">
        <v>2022</v>
      </c>
      <c r="B32" s="91">
        <v>7.1999999999999995E-2</v>
      </c>
    </row>
    <row r="33" spans="1:3">
      <c r="A33" s="90">
        <v>2023</v>
      </c>
      <c r="B33" s="91">
        <v>5.7000000000000002E-2</v>
      </c>
    </row>
    <row r="34" spans="1:3">
      <c r="A34" s="3">
        <v>2024</v>
      </c>
      <c r="B34" s="18">
        <v>2.9000000000000001E-2</v>
      </c>
    </row>
    <row r="37" spans="1:3">
      <c r="A37" s="43" t="s">
        <v>288</v>
      </c>
    </row>
    <row r="38" spans="1:3">
      <c r="A38" s="7" t="s">
        <v>267</v>
      </c>
      <c r="B38" s="7" t="s">
        <v>268</v>
      </c>
      <c r="C38" s="7"/>
    </row>
    <row r="39" spans="1:3">
      <c r="A39" s="3">
        <v>1992</v>
      </c>
      <c r="B39" s="18">
        <v>0.01</v>
      </c>
      <c r="C39" s="11"/>
    </row>
    <row r="40" spans="1:3">
      <c r="A40" s="3">
        <v>1993</v>
      </c>
      <c r="B40" s="18">
        <v>1.2999999999999999E-2</v>
      </c>
      <c r="C40" s="11"/>
    </row>
    <row r="41" spans="1:3">
      <c r="A41" s="3">
        <v>1994</v>
      </c>
      <c r="B41" s="18">
        <v>1.7000000000000001E-2</v>
      </c>
      <c r="C41" s="11"/>
    </row>
    <row r="42" spans="1:3">
      <c r="A42" s="3">
        <v>1995</v>
      </c>
      <c r="B42" s="18">
        <v>3.7999999999999999E-2</v>
      </c>
      <c r="C42" s="11"/>
    </row>
    <row r="43" spans="1:3">
      <c r="A43" s="3">
        <v>1996</v>
      </c>
      <c r="B43" s="18">
        <v>2.3E-2</v>
      </c>
      <c r="C43" s="11"/>
    </row>
    <row r="44" spans="1:3">
      <c r="A44" s="3">
        <v>1997</v>
      </c>
      <c r="B44" s="18">
        <v>1.2E-2</v>
      </c>
      <c r="C44" s="11"/>
    </row>
    <row r="45" spans="1:3">
      <c r="A45" s="3">
        <v>1998</v>
      </c>
      <c r="B45" s="18">
        <v>1.2999999999999999E-2</v>
      </c>
      <c r="C45" s="11"/>
    </row>
    <row r="46" spans="1:3">
      <c r="A46" s="3">
        <v>2000</v>
      </c>
      <c r="B46" s="18">
        <v>2.5999999999999999E-2</v>
      </c>
      <c r="C46" s="11"/>
    </row>
    <row r="47" spans="1:3">
      <c r="A47" s="3">
        <v>2001</v>
      </c>
      <c r="B47" s="18">
        <v>2.5999999999999999E-2</v>
      </c>
      <c r="C47" s="11"/>
    </row>
    <row r="48" spans="1:3">
      <c r="A48" s="3">
        <v>2002</v>
      </c>
      <c r="B48" s="18">
        <v>2.7E-2</v>
      </c>
      <c r="C48" s="11"/>
    </row>
    <row r="49" spans="1:3">
      <c r="A49" s="3">
        <v>2003</v>
      </c>
      <c r="B49" s="18">
        <v>1.7999999999999999E-2</v>
      </c>
      <c r="C49" s="11"/>
    </row>
    <row r="50" spans="1:3">
      <c r="A50" s="3">
        <v>2004</v>
      </c>
      <c r="B50" s="18">
        <v>2.3E-2</v>
      </c>
      <c r="C50" s="11"/>
    </row>
    <row r="51" spans="1:3">
      <c r="A51" s="3">
        <v>2005</v>
      </c>
      <c r="B51" s="18">
        <v>0.03</v>
      </c>
      <c r="C51" s="11"/>
    </row>
    <row r="52" spans="1:3">
      <c r="A52" s="3">
        <v>2006</v>
      </c>
      <c r="B52" s="18">
        <v>3.4000000000000002E-2</v>
      </c>
      <c r="C52" s="11"/>
    </row>
    <row r="53" spans="1:3">
      <c r="A53" s="3">
        <v>2007</v>
      </c>
      <c r="B53" s="18">
        <v>2.4E-2</v>
      </c>
      <c r="C53" s="11"/>
    </row>
    <row r="54" spans="1:3">
      <c r="A54" s="3">
        <v>2008</v>
      </c>
      <c r="B54" s="18">
        <v>0.04</v>
      </c>
      <c r="C54" s="11"/>
    </row>
    <row r="55" spans="1:3">
      <c r="A55" s="3">
        <v>2009</v>
      </c>
      <c r="B55" s="18">
        <v>2.1000000000000001E-2</v>
      </c>
      <c r="C55" s="11"/>
    </row>
    <row r="56" spans="1:3">
      <c r="A56" s="3">
        <v>2010</v>
      </c>
      <c r="B56" s="18">
        <v>2.3E-2</v>
      </c>
      <c r="C56" s="11"/>
    </row>
    <row r="57" spans="1:3">
      <c r="A57" s="3">
        <v>2011</v>
      </c>
      <c r="B57" s="18">
        <v>0.04</v>
      </c>
      <c r="C57" s="11"/>
    </row>
    <row r="58" spans="1:3">
      <c r="A58" s="3">
        <v>2012</v>
      </c>
      <c r="B58" s="18">
        <v>1.0999999999999999E-2</v>
      </c>
      <c r="C58" s="11"/>
    </row>
    <row r="59" spans="1:3">
      <c r="A59" s="3">
        <v>2013</v>
      </c>
      <c r="B59" s="18">
        <v>1.0999999999999999E-2</v>
      </c>
      <c r="C59" s="11"/>
    </row>
    <row r="60" spans="1:3">
      <c r="A60" s="3">
        <v>2014</v>
      </c>
      <c r="B60" s="18">
        <v>1.2E-2</v>
      </c>
      <c r="C60" s="11"/>
    </row>
    <row r="61" spans="1:3">
      <c r="A61" s="3">
        <v>2015</v>
      </c>
      <c r="B61" s="18">
        <v>3.0000000000000001E-3</v>
      </c>
      <c r="C61" s="11"/>
    </row>
    <row r="62" spans="1:3">
      <c r="A62" s="3">
        <v>2016</v>
      </c>
      <c r="B62" s="18">
        <v>6.0000000000000001E-3</v>
      </c>
      <c r="C62" s="11"/>
    </row>
    <row r="63" spans="1:3">
      <c r="A63" s="3">
        <v>2017</v>
      </c>
      <c r="B63" s="18">
        <v>1.9E-2</v>
      </c>
      <c r="C63" s="11"/>
    </row>
    <row r="64" spans="1:3">
      <c r="A64" s="3">
        <v>2018</v>
      </c>
      <c r="B64" s="18">
        <v>1.6E-2</v>
      </c>
      <c r="C64" s="11"/>
    </row>
    <row r="65" spans="1:3">
      <c r="A65" s="3">
        <v>2019</v>
      </c>
      <c r="B65" s="18">
        <v>1.6E-2</v>
      </c>
      <c r="C65" s="11"/>
    </row>
    <row r="66" spans="1:3">
      <c r="A66" s="3">
        <v>2020</v>
      </c>
      <c r="B66" s="18">
        <v>1.7000000000000001E-2</v>
      </c>
      <c r="C66" s="11"/>
    </row>
    <row r="67" spans="1:3">
      <c r="A67" s="3">
        <v>2021</v>
      </c>
      <c r="B67" s="18">
        <v>3.9E-2</v>
      </c>
      <c r="C67" s="11"/>
    </row>
    <row r="68" spans="1:3">
      <c r="A68" s="3">
        <v>2024</v>
      </c>
      <c r="B68" s="18">
        <v>2.9000000000000001E-2</v>
      </c>
      <c r="C68" s="11"/>
    </row>
  </sheetData>
  <phoneticPr fontId="2"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476B6-D343-44C6-BD93-E0376BF3633C}">
  <sheetPr codeName="Sheet5"/>
  <dimension ref="A1:T83"/>
  <sheetViews>
    <sheetView workbookViewId="0">
      <selection activeCell="G23" sqref="G23"/>
    </sheetView>
  </sheetViews>
  <sheetFormatPr defaultColWidth="8.59765625" defaultRowHeight="13.9"/>
  <cols>
    <col min="1" max="1" width="17.3984375" style="1" customWidth="1"/>
    <col min="2" max="2" width="18.59765625" style="1" customWidth="1"/>
    <col min="3" max="4" width="26.73046875" style="1" customWidth="1"/>
    <col min="5" max="5" width="18.3984375" style="1" customWidth="1"/>
    <col min="6" max="6" width="14.3984375" style="1" customWidth="1"/>
    <col min="7" max="7" width="8.59765625" style="1"/>
    <col min="8" max="8" width="21.73046875" style="1" customWidth="1"/>
    <col min="9" max="9" width="16.3984375" style="1" customWidth="1"/>
    <col min="10" max="10" width="30.1328125" style="1" customWidth="1"/>
    <col min="11" max="11" width="10.73046875" style="1" customWidth="1"/>
    <col min="12" max="12" width="11.59765625" style="1" customWidth="1"/>
    <col min="13" max="14" width="8.59765625" style="1"/>
    <col min="15" max="15" width="30.1328125" style="1" customWidth="1"/>
    <col min="16" max="19" width="8.59765625" style="1"/>
    <col min="20" max="20" width="29.59765625" style="1" customWidth="1"/>
    <col min="21" max="16384" width="8.59765625" style="1"/>
  </cols>
  <sheetData>
    <row r="1" spans="1:20" ht="61.5" customHeight="1">
      <c r="A1" s="184" t="s">
        <v>289</v>
      </c>
      <c r="B1" s="185" t="s">
        <v>290</v>
      </c>
      <c r="C1" s="184" t="s">
        <v>291</v>
      </c>
      <c r="D1" s="184" t="s">
        <v>98</v>
      </c>
      <c r="E1" s="184" t="s">
        <v>292</v>
      </c>
      <c r="F1" s="7"/>
      <c r="H1" s="7"/>
      <c r="I1" s="7"/>
      <c r="N1" s="1" t="s">
        <v>293</v>
      </c>
      <c r="O1" s="45" t="s">
        <v>294</v>
      </c>
    </row>
    <row r="2" spans="1:20" ht="41.65" customHeight="1">
      <c r="A2" s="184">
        <v>2003</v>
      </c>
      <c r="B2" s="186">
        <v>4.7300000000000004</v>
      </c>
      <c r="C2" s="187">
        <v>4.75</v>
      </c>
      <c r="D2" s="187" t="str" cm="1">
        <f t="array" ref="D2">_xlfn.IFS(
  OR(
    B2 &lt; 1,
    AND(B2 &lt; 1.5, C2 &gt; 5),
    AND(B2 &lt; 1, B1 &lt; 1),
    AND(B2 &lt; 2.5, C2 &gt; 6)
  ), "Recession",
  AND(B2 &gt; 3, C2 &lt; 4), "Boom",
  TRUE, "Normal"
)</f>
        <v>Normal</v>
      </c>
      <c r="E2" s="187" t="str">
        <f>D3</f>
        <v>Normal</v>
      </c>
      <c r="F2" s="44"/>
      <c r="O2" s="45" t="s">
        <v>295</v>
      </c>
    </row>
    <row r="3" spans="1:20" ht="14.25">
      <c r="A3" s="184">
        <v>2004</v>
      </c>
      <c r="B3" s="186">
        <v>4.09</v>
      </c>
      <c r="C3" s="187">
        <v>4</v>
      </c>
      <c r="D3" s="187" t="str" cm="1">
        <f t="array" ref="D3">_xlfn.IFS(
  OR(
    B3 &lt; 1,
    AND(B3 &lt; 1.5, C3 &gt; 5),
    AND(B3 &lt; 1, B2 &lt; 1),
    AND(B3 &lt; 2.5, C3 &gt; 6)
  ), "Recession",
  AND(B3 &gt; 3, C3 &lt; 4), "Boom",
  TRUE, "Normal"
)</f>
        <v>Normal</v>
      </c>
      <c r="E3" s="187" t="str">
        <f t="shared" ref="E3:E21" si="0">D4</f>
        <v>Boom</v>
      </c>
      <c r="F3" s="44"/>
      <c r="T3" s="45"/>
    </row>
    <row r="4" spans="1:20" ht="14.65" thickBot="1">
      <c r="A4" s="184">
        <v>2005</v>
      </c>
      <c r="B4" s="186">
        <v>3.35</v>
      </c>
      <c r="C4" s="187">
        <v>3.81</v>
      </c>
      <c r="D4" s="187" t="str" cm="1">
        <f t="array" ref="D4">_xlfn.IFS(
  OR(
    B4 &lt; 1,
    AND(B4 &lt; 1.5, C4 &gt; 5),
    AND(B4 &lt; 1, B3 &lt; 1),
    AND(B4 &lt; 2.5, C4 &gt; 6)
  ), "Recession",
  AND(B4 &gt; 3, C4 &lt; 4), "Boom",
  TRUE, "Normal"
)</f>
        <v>Boom</v>
      </c>
      <c r="E4" s="187" t="str">
        <f t="shared" si="0"/>
        <v>Normal</v>
      </c>
      <c r="F4" s="44"/>
      <c r="T4" s="45"/>
    </row>
    <row r="5" spans="1:20" ht="27">
      <c r="A5" s="184">
        <v>2006</v>
      </c>
      <c r="B5" s="186">
        <v>2.78</v>
      </c>
      <c r="C5" s="187">
        <v>3.86</v>
      </c>
      <c r="D5" s="187" t="str" cm="1">
        <f t="array" ref="D5">_xlfn.IFS(
  OR(
    B5 &lt; 1,
    AND(B5 &lt; 1.5, C5 &gt; 5),
    AND(B5 &lt; 1, B4 &lt; 1),
    AND(B5 &lt; 2.5, C5 &gt; 6)
  ), "Recession",
  AND(B5 &gt; 3, C5 &lt; 4), "Boom",
  TRUE, "Normal"
)</f>
        <v>Normal</v>
      </c>
      <c r="E5" s="187" t="str">
        <f t="shared" si="0"/>
        <v>Boom</v>
      </c>
      <c r="F5" s="44"/>
      <c r="H5" s="48" t="s">
        <v>296</v>
      </c>
      <c r="I5" s="49" t="s">
        <v>297</v>
      </c>
      <c r="J5" s="50" t="s">
        <v>298</v>
      </c>
      <c r="T5" s="45"/>
    </row>
    <row r="6" spans="1:20" ht="14.25">
      <c r="A6" s="184">
        <v>2007</v>
      </c>
      <c r="B6" s="186">
        <v>3.05</v>
      </c>
      <c r="C6" s="187">
        <v>3.66</v>
      </c>
      <c r="D6" s="187" t="str" cm="1">
        <f t="array" ref="D6">_xlfn.IFS(
  OR(
    B6 &lt; 1,
    AND(B6 &lt; 1.5, C6 &gt; 5),
    AND(B6 &lt; 1, B5 &lt; 1),
    AND(B6 &lt; 2.5, C6 &gt; 6)
  ), "Recession",
  AND(B6 &gt; 3, C6 &lt; 4), "Boom",
  TRUE, "Normal"
)</f>
        <v>Boom</v>
      </c>
      <c r="E6" s="187" t="str">
        <f t="shared" si="0"/>
        <v>Recession</v>
      </c>
      <c r="F6" s="44"/>
      <c r="H6" s="51" t="s">
        <v>28</v>
      </c>
      <c r="I6" s="1" t="s">
        <v>299</v>
      </c>
      <c r="J6" s="8" t="s">
        <v>300</v>
      </c>
      <c r="T6" s="45"/>
    </row>
    <row r="7" spans="1:20" ht="14.25">
      <c r="A7" s="184">
        <v>2008</v>
      </c>
      <c r="B7" s="186">
        <v>-1.24</v>
      </c>
      <c r="C7" s="187">
        <v>4.17</v>
      </c>
      <c r="D7" s="187" t="str" cm="1">
        <f t="array" ref="D7">_xlfn.IFS(
  OR(
    B7 &lt; 1,
    AND(B7 &lt; 1.5, C7 &gt; 5),
    AND(B7 &lt; 1, B6 &lt; 1),
    AND(B7 &lt; 2.5, C7 &gt; 6)
  ), "Recession",
  AND(B7 &gt; 3, C7 &lt; 4), "Boom",
  TRUE, "Normal"
)</f>
        <v>Recession</v>
      </c>
      <c r="E7" s="187" t="str">
        <f t="shared" si="0"/>
        <v>Recession</v>
      </c>
      <c r="F7" s="44"/>
      <c r="H7" s="51" t="s">
        <v>27</v>
      </c>
      <c r="I7" s="1" t="s">
        <v>301</v>
      </c>
      <c r="J7" s="8" t="s">
        <v>302</v>
      </c>
      <c r="T7" s="45"/>
    </row>
    <row r="8" spans="1:20" ht="14.65" thickBot="1">
      <c r="A8" s="184">
        <v>2009</v>
      </c>
      <c r="B8" s="186">
        <v>-0.05</v>
      </c>
      <c r="C8" s="187">
        <v>6.12</v>
      </c>
      <c r="D8" s="187" t="str" cm="1">
        <f t="array" ref="D8">_xlfn.IFS(
  OR(
    B8 &lt; 1,
    AND(B8 &lt; 1.5, C8 &gt; 5),
    AND(B8 &lt; 1, B7 &lt; 1),
    AND(B8 &lt; 2.5, C8 &gt; 6)
  ), "Recession",
  AND(B8 &gt; 3, C8 &lt; 4), "Boom",
  TRUE, "Normal"
)</f>
        <v>Recession</v>
      </c>
      <c r="E8" s="187" t="str">
        <f t="shared" si="0"/>
        <v>Recession</v>
      </c>
      <c r="F8" s="44"/>
      <c r="H8" s="52" t="s">
        <v>26</v>
      </c>
      <c r="I8" s="9" t="s">
        <v>303</v>
      </c>
      <c r="J8" s="10" t="s">
        <v>304</v>
      </c>
      <c r="T8" s="45"/>
    </row>
    <row r="9" spans="1:20" ht="14.25">
      <c r="A9" s="184">
        <v>2010</v>
      </c>
      <c r="B9" s="186">
        <v>1.44</v>
      </c>
      <c r="C9" s="187">
        <v>6.56</v>
      </c>
      <c r="D9" s="187" t="str" cm="1">
        <f t="array" ref="D9">_xlfn.IFS(
  OR(
    B9 &lt; 1,
    AND(B9 &lt; 1.5, C9 &gt; 5),
    AND(B9 &lt; 1, B8 &lt; 1),
    AND(B9 &lt; 2.5, C9 &gt; 6)
  ), "Recession",
  AND(B9 &gt; 3, C9 &lt; 4), "Boom",
  TRUE, "Normal"
)</f>
        <v>Recession</v>
      </c>
      <c r="E9" s="187" t="str">
        <f t="shared" si="0"/>
        <v>Recession</v>
      </c>
      <c r="F9" s="44"/>
      <c r="G9" s="46"/>
      <c r="T9" s="45"/>
    </row>
    <row r="10" spans="1:20" ht="14.25">
      <c r="A10" s="184">
        <v>2011</v>
      </c>
      <c r="B10" s="186">
        <v>2.2400000000000002</v>
      </c>
      <c r="C10" s="187">
        <v>6.49</v>
      </c>
      <c r="D10" s="187" t="str" cm="1">
        <f t="array" ref="D10">_xlfn.IFS(
  OR(
    B10 &lt; 1,
    AND(B10 &lt; 1.5, C10 &gt; 5),
    AND(B10 &lt; 1, B9 &lt; 1),
    AND(B10 &lt; 2.5, C10 &gt; 6)
  ), "Recession",
  AND(B10 &gt; 3, C10 &lt; 4), "Boom",
  TRUE, "Normal"
)</f>
        <v>Recession</v>
      </c>
      <c r="E10" s="187" t="str">
        <f t="shared" si="0"/>
        <v>Recession</v>
      </c>
      <c r="F10" s="44"/>
      <c r="T10" s="45"/>
    </row>
    <row r="11" spans="1:20" ht="14.25">
      <c r="A11" s="184">
        <v>2012</v>
      </c>
      <c r="B11" s="186">
        <v>2.29</v>
      </c>
      <c r="C11" s="187">
        <v>6.93</v>
      </c>
      <c r="D11" s="187" t="str" cm="1">
        <f t="array" ref="D11">_xlfn.IFS(
  OR(
    B11 &lt; 1,
    AND(B11 &lt; 1.5, C11 &gt; 5),
    AND(B11 &lt; 1, B10 &lt; 1),
    AND(B11 &lt; 2.5, C11 &gt; 6)
  ), "Recession",
  AND(B11 &gt; 3, C11 &lt; 4), "Boom",
  TRUE, "Normal"
)</f>
        <v>Recession</v>
      </c>
      <c r="E11" s="187" t="str">
        <f t="shared" si="0"/>
        <v>Normal</v>
      </c>
      <c r="F11" s="44"/>
      <c r="T11" s="45"/>
    </row>
    <row r="12" spans="1:20" ht="14.25" thickBot="1">
      <c r="A12" s="184">
        <v>2013</v>
      </c>
      <c r="B12" s="186">
        <v>2.76</v>
      </c>
      <c r="C12" s="187">
        <v>5.84</v>
      </c>
      <c r="D12" s="187" t="str" cm="1">
        <f t="array" ref="D12">_xlfn.IFS(
  OR(
    B12 &lt; 1,
    AND(B12 &lt; 1.5, C12 &gt; 5),
    AND(B12 &lt; 1, B11 &lt; 1),
    AND(B12 &lt; 2.5, C12 &gt; 6)
  ), "Recession",
  AND(B12 &gt; 3, C12 &lt; 4), "Boom",
  TRUE, "Normal"
)</f>
        <v>Normal</v>
      </c>
      <c r="E12" s="187" t="str">
        <f t="shared" si="0"/>
        <v>Normal</v>
      </c>
      <c r="F12" s="44"/>
      <c r="H12" s="47" t="s">
        <v>305</v>
      </c>
    </row>
    <row r="13" spans="1:20">
      <c r="A13" s="184">
        <v>2014</v>
      </c>
      <c r="B13" s="187">
        <v>3.75</v>
      </c>
      <c r="C13" s="187">
        <v>5.43</v>
      </c>
      <c r="D13" s="187" t="str" cm="1">
        <f t="array" ref="D13">_xlfn.IFS(
  OR(
    B13 &lt; 1,
    AND(B13 &lt; 1.5, C13 &gt; 5),
    AND(B13 &lt; 1, B12 &lt; 1),
    AND(B13 &lt; 2.5, C13 &gt; 6)
  ), "Recession",
  AND(B13 &gt; 3, C13 &lt; 4), "Boom",
  TRUE, "Normal"
)</f>
        <v>Normal</v>
      </c>
      <c r="E13" s="187" t="str">
        <f t="shared" si="0"/>
        <v>Normal</v>
      </c>
      <c r="H13" s="98" t="s">
        <v>306</v>
      </c>
      <c r="I13" s="99" t="s">
        <v>28</v>
      </c>
      <c r="J13" s="99" t="s">
        <v>27</v>
      </c>
      <c r="K13" s="100" t="s">
        <v>26</v>
      </c>
    </row>
    <row r="14" spans="1:20">
      <c r="A14" s="184">
        <v>2015</v>
      </c>
      <c r="B14" s="187">
        <v>3.73</v>
      </c>
      <c r="C14" s="187">
        <v>5.42</v>
      </c>
      <c r="D14" s="187" t="str" cm="1">
        <f t="array" ref="D14">_xlfn.IFS(
  OR(
    B14 &lt; 1,
    AND(B14 &lt; 1.5, C14 &gt; 5),
    AND(B14 &lt; 1, B13 &lt; 1),
    AND(B14 &lt; 2.5, C14 &gt; 6)
  ), "Recession",
  AND(B14 &gt; 3, C14 &lt; 4), "Boom",
  TRUE, "Normal"
)</f>
        <v>Normal</v>
      </c>
      <c r="E14" s="187" t="str">
        <f t="shared" si="0"/>
        <v>Normal</v>
      </c>
      <c r="H14" s="101" t="s">
        <v>90</v>
      </c>
      <c r="I14" s="53">
        <f>COUNTIFS(D$2:D$22,"Boom",E$2:E$22,"Boom")/3</f>
        <v>0</v>
      </c>
      <c r="J14" s="53">
        <f>COUNTIFS(D$2:D$22,"Boom",E$2:E$22,"Normal")/3</f>
        <v>0.66666666666666663</v>
      </c>
      <c r="K14" s="102">
        <f>COUNTIFS($D$2:$D$22,"Boom",$E$2:$E$22,"Recession")/3</f>
        <v>0.33333333333333331</v>
      </c>
    </row>
    <row r="15" spans="1:20" ht="19.149999999999999" customHeight="1">
      <c r="A15" s="184">
        <v>2016</v>
      </c>
      <c r="B15" s="187">
        <v>3.75</v>
      </c>
      <c r="C15" s="187">
        <v>5.15</v>
      </c>
      <c r="D15" s="187" t="str" cm="1">
        <f t="array" ref="D15">_xlfn.IFS(
  OR(
    B15 &lt; 1,
    AND(B15 &lt; 1.5, C15 &gt; 5),
    AND(B15 &lt; 1, B14 &lt; 1),
    AND(B15 &lt; 2.5, C15 &gt; 6)
  ), "Recession",
  AND(B15 &gt; 3, C15 &lt; 4), "Boom",
  TRUE, "Normal"
)</f>
        <v>Normal</v>
      </c>
      <c r="E15" s="187" t="str">
        <f t="shared" si="0"/>
        <v>Normal</v>
      </c>
      <c r="H15" s="101" t="s">
        <v>89</v>
      </c>
      <c r="I15" s="53">
        <f>COUNTIFS($D$2:$D$22,"Normal",$E$2:$E$22,"Boom")/11</f>
        <v>0.18181818181818182</v>
      </c>
      <c r="J15" s="53">
        <f>COUNTIFS($D$2:$D$22,"Normal",$E$2:$E$22,"Normal")/11</f>
        <v>0.63636363636363635</v>
      </c>
      <c r="K15" s="102">
        <f>COUNTIFS($D$2:$D$22,"Normal",$E$2:$E$22,"Recession")/11</f>
        <v>0.18181818181818182</v>
      </c>
    </row>
    <row r="16" spans="1:20" ht="14.25" thickBot="1">
      <c r="A16" s="184">
        <v>2017</v>
      </c>
      <c r="B16" s="187">
        <v>3.4</v>
      </c>
      <c r="C16" s="187">
        <v>4.74</v>
      </c>
      <c r="D16" s="187" t="str" cm="1">
        <f t="array" ref="D16">_xlfn.IFS(
  OR(
    B16 &lt; 1,
    AND(B16 &lt; 1.5, C16 &gt; 5),
    AND(B16 &lt; 1, B15 &lt; 1),
    AND(B16 &lt; 2.5, C16 &gt; 6)
  ), "Recession",
  AND(B16 &gt; 3, C16 &lt; 4), "Boom",
  TRUE, "Normal"
)</f>
        <v>Normal</v>
      </c>
      <c r="E16" s="187" t="str">
        <f t="shared" si="0"/>
        <v>Normal</v>
      </c>
      <c r="H16" s="103" t="s">
        <v>79</v>
      </c>
      <c r="I16" s="104">
        <f>COUNTIFS($D$2:$D$22,"Recession",$E$2:$E$22,"Boom")/6</f>
        <v>0.16666666666666666</v>
      </c>
      <c r="J16" s="104">
        <f>COUNTIFS($D$2:$D$22,"Recession",$E$2:$E$22,"Normal")/6</f>
        <v>0.16666666666666666</v>
      </c>
      <c r="K16" s="105">
        <f>COUNTIFS($D$2:$D$22,"Recession",$E$2:$E$22,"Recession")/6</f>
        <v>0.66666666666666663</v>
      </c>
    </row>
    <row r="17" spans="1:16">
      <c r="A17" s="184">
        <v>2018</v>
      </c>
      <c r="B17" s="187">
        <v>3.5</v>
      </c>
      <c r="C17" s="187">
        <v>4.33</v>
      </c>
      <c r="D17" s="187" t="str" cm="1">
        <f t="array" ref="D17">_xlfn.IFS(
  OR(
    B17 &lt; 1,
    AND(B17 &lt; 1.5, C17 &gt; 5),
    AND(B17 &lt; 1, B16 &lt; 1),
    AND(B17 &lt; 2.5, C17 &gt; 6)
  ), "Recession",
  AND(B17 &gt; 3, C17 &lt; 4), "Boom",
  TRUE, "Normal"
)</f>
        <v>Normal</v>
      </c>
      <c r="E17" s="187" t="str">
        <f t="shared" si="0"/>
        <v>Normal</v>
      </c>
    </row>
    <row r="18" spans="1:16">
      <c r="A18" s="184">
        <v>2019</v>
      </c>
      <c r="B18" s="187">
        <v>2.36</v>
      </c>
      <c r="C18" s="187">
        <v>4.1100000000000003</v>
      </c>
      <c r="D18" s="187" t="str" cm="1">
        <f t="array" ref="D18">_xlfn.IFS(
  OR(
    B18 &lt; 1,
    AND(B18 &lt; 1.5, C18 &gt; 5),
    AND(B18 &lt; 1, B17 &lt; 1),
    AND(B18 &lt; 2.5, C18 &gt; 6)
  ), "Recession",
  AND(B18 &gt; 3, C18 &lt; 4), "Boom",
  TRUE, "Normal"
)</f>
        <v>Normal</v>
      </c>
      <c r="E18" s="187" t="str">
        <f t="shared" si="0"/>
        <v>Recession</v>
      </c>
    </row>
    <row r="19" spans="1:16">
      <c r="A19" s="184">
        <v>2020</v>
      </c>
      <c r="B19" s="187">
        <v>-0.42</v>
      </c>
      <c r="C19" s="187">
        <v>4.59</v>
      </c>
      <c r="D19" s="187" t="str" cm="1">
        <f t="array" ref="D19">_xlfn.IFS(
  OR(
    B19 &lt; 1,
    AND(B19 &lt; 1.5, C19 &gt; 5),
    AND(B19 &lt; 1, B18 &lt; 1),
    AND(B19 &lt; 2.5, C19 &gt; 6)
  ), "Recession",
  AND(B19 &gt; 3, C19 &lt; 4), "Boom",
  TRUE, "Normal"
)</f>
        <v>Recession</v>
      </c>
      <c r="E19" s="187" t="str">
        <f t="shared" si="0"/>
        <v>Boom</v>
      </c>
      <c r="I19" s="46"/>
      <c r="J19" s="46"/>
      <c r="K19" s="46"/>
      <c r="L19" s="46"/>
      <c r="M19" s="46"/>
      <c r="N19" s="46"/>
      <c r="O19" s="46"/>
      <c r="P19" s="46"/>
    </row>
    <row r="20" spans="1:16">
      <c r="A20" s="184">
        <v>2021</v>
      </c>
      <c r="B20" s="187">
        <v>4.55</v>
      </c>
      <c r="C20" s="187">
        <v>3.78</v>
      </c>
      <c r="D20" s="187" t="str" cm="1">
        <f t="array" ref="D20">_xlfn.IFS(
  OR(
    B20 &lt; 1,
    AND(B20 &lt; 1.5, C20 &gt; 5),
    AND(B20 &lt; 1, B19 &lt; 1),
    AND(B20 &lt; 2.5, C20 &gt; 6)
  ), "Recession",
  AND(B20 &gt; 3, C20 &lt; 4), "Boom",
  TRUE, "Normal"
)</f>
        <v>Boom</v>
      </c>
      <c r="E20" s="187" t="str">
        <f t="shared" si="0"/>
        <v>Normal</v>
      </c>
    </row>
    <row r="21" spans="1:16">
      <c r="A21" s="184">
        <v>2022</v>
      </c>
      <c r="B21" s="187">
        <v>2.77</v>
      </c>
      <c r="C21" s="187">
        <v>3.3</v>
      </c>
      <c r="D21" s="187" t="str" cm="1">
        <f t="array" ref="D21">_xlfn.IFS(
  OR(
    B21 &lt; 1,
    AND(B21 &lt; 1.5, C21 &gt; 5),
    AND(B21 &lt; 1, B20 &lt; 1),
    AND(B21 &lt; 2.5, C21 &gt; 6)
  ), "Recession",
  AND(B21 &gt; 3, C21 &lt; 4), "Boom",
  TRUE, "Normal"
)</f>
        <v>Normal</v>
      </c>
      <c r="E21" s="187" t="str">
        <f t="shared" si="0"/>
        <v>Recession</v>
      </c>
    </row>
    <row r="22" spans="1:16">
      <c r="A22" s="184">
        <v>2023</v>
      </c>
      <c r="B22" s="187">
        <v>0.73</v>
      </c>
      <c r="C22" s="187">
        <v>3.73</v>
      </c>
      <c r="D22" s="187" t="str" cm="1">
        <f t="array" ref="D22">_xlfn.IFS(
  OR(
    B22 &lt; 1,
    AND(B22 &lt; 1.5, C22 &gt; 5),
    AND(B22 &lt; 1, B21 &lt; 1),
    AND(B22 &lt; 2.5, C22 &gt; 6)
  ), "Recession",
  AND(B22 &gt; 3, C22 &lt; 4), "Boom",
  TRUE, "Normal"
)</f>
        <v>Recession</v>
      </c>
      <c r="E22" s="187"/>
    </row>
    <row r="30" spans="1:16">
      <c r="B30" s="53"/>
    </row>
    <row r="31" spans="1:16">
      <c r="B31" s="53"/>
    </row>
    <row r="32" spans="1:16">
      <c r="B32" s="53"/>
    </row>
    <row r="33" spans="1:17">
      <c r="B33" s="53"/>
      <c r="G33" s="46"/>
      <c r="H33" s="46"/>
      <c r="I33" s="46"/>
      <c r="J33" s="46"/>
      <c r="K33" s="46"/>
      <c r="L33" s="46"/>
      <c r="M33" s="46"/>
      <c r="N33" s="46"/>
      <c r="O33" s="46"/>
      <c r="P33" s="46"/>
      <c r="Q33" s="46"/>
    </row>
    <row r="35" spans="1:17">
      <c r="I35" s="3"/>
      <c r="J35" s="3"/>
      <c r="K35" s="3"/>
      <c r="L35" s="3"/>
    </row>
    <row r="41" spans="1:17">
      <c r="A41" s="2"/>
      <c r="B41" s="7"/>
      <c r="C41" s="7"/>
      <c r="D41" s="7"/>
      <c r="E41" s="2"/>
    </row>
    <row r="42" spans="1:17">
      <c r="B42" s="53"/>
      <c r="C42" s="53"/>
      <c r="D42" s="53"/>
    </row>
    <row r="43" spans="1:17">
      <c r="B43" s="53"/>
      <c r="C43" s="53"/>
      <c r="D43" s="53"/>
    </row>
    <row r="44" spans="1:17">
      <c r="B44" s="53"/>
      <c r="C44" s="53"/>
      <c r="D44" s="53"/>
    </row>
    <row r="45" spans="1:17">
      <c r="B45" s="53"/>
      <c r="C45" s="53"/>
      <c r="D45" s="53"/>
    </row>
    <row r="46" spans="1:17">
      <c r="B46" s="53"/>
      <c r="C46" s="53"/>
      <c r="D46" s="53"/>
    </row>
    <row r="47" spans="1:17">
      <c r="B47" s="53"/>
      <c r="C47" s="53"/>
      <c r="D47" s="53"/>
    </row>
    <row r="48" spans="1:17">
      <c r="B48" s="53"/>
      <c r="C48" s="53"/>
      <c r="D48" s="53"/>
    </row>
    <row r="49" spans="2:4">
      <c r="B49" s="53"/>
      <c r="C49" s="53"/>
      <c r="D49" s="53"/>
    </row>
    <row r="50" spans="2:4">
      <c r="B50" s="53"/>
      <c r="C50" s="53"/>
      <c r="D50" s="53"/>
    </row>
    <row r="51" spans="2:4">
      <c r="B51" s="53"/>
      <c r="C51" s="53"/>
      <c r="D51" s="53"/>
    </row>
    <row r="52" spans="2:4">
      <c r="B52" s="53"/>
      <c r="C52" s="53"/>
      <c r="D52" s="53"/>
    </row>
    <row r="53" spans="2:4">
      <c r="B53" s="53"/>
      <c r="C53" s="53"/>
      <c r="D53" s="53"/>
    </row>
    <row r="54" spans="2:4">
      <c r="B54" s="53"/>
      <c r="C54" s="53"/>
      <c r="D54" s="53"/>
    </row>
    <row r="55" spans="2:4">
      <c r="B55" s="53"/>
      <c r="C55" s="53"/>
      <c r="D55" s="53"/>
    </row>
    <row r="56" spans="2:4">
      <c r="B56" s="53"/>
      <c r="C56" s="53"/>
      <c r="D56" s="53"/>
    </row>
    <row r="57" spans="2:4">
      <c r="B57" s="53"/>
      <c r="C57" s="53"/>
      <c r="D57" s="53"/>
    </row>
    <row r="58" spans="2:4">
      <c r="B58" s="53"/>
      <c r="C58" s="53"/>
      <c r="D58" s="53"/>
    </row>
    <row r="59" spans="2:4">
      <c r="B59" s="53"/>
      <c r="C59" s="53"/>
      <c r="D59" s="53"/>
    </row>
    <row r="60" spans="2:4">
      <c r="B60" s="53"/>
      <c r="C60" s="53"/>
      <c r="D60" s="53"/>
    </row>
    <row r="61" spans="2:4">
      <c r="B61" s="53"/>
      <c r="C61" s="53"/>
      <c r="D61" s="53"/>
    </row>
    <row r="62" spans="2:4">
      <c r="B62" s="53"/>
      <c r="C62" s="53"/>
      <c r="D62" s="53"/>
    </row>
    <row r="63" spans="2:4">
      <c r="B63" s="53"/>
      <c r="C63" s="53"/>
      <c r="D63" s="53"/>
    </row>
    <row r="64" spans="2:4">
      <c r="B64" s="53"/>
      <c r="C64" s="53"/>
      <c r="D64" s="53"/>
    </row>
    <row r="65" spans="2:4">
      <c r="B65" s="53"/>
      <c r="C65" s="53"/>
      <c r="D65" s="53"/>
    </row>
    <row r="66" spans="2:4">
      <c r="B66" s="53"/>
      <c r="C66" s="53"/>
      <c r="D66" s="53"/>
    </row>
    <row r="67" spans="2:4">
      <c r="B67" s="53"/>
      <c r="C67" s="53"/>
      <c r="D67" s="53"/>
    </row>
    <row r="68" spans="2:4">
      <c r="B68" s="53"/>
      <c r="C68" s="53"/>
      <c r="D68" s="53"/>
    </row>
    <row r="69" spans="2:4">
      <c r="B69" s="53"/>
      <c r="C69" s="53"/>
      <c r="D69" s="53"/>
    </row>
    <row r="70" spans="2:4">
      <c r="B70" s="53"/>
      <c r="C70" s="53"/>
      <c r="D70" s="53"/>
    </row>
    <row r="71" spans="2:4">
      <c r="B71" s="53"/>
      <c r="C71" s="53"/>
      <c r="D71" s="53"/>
    </row>
    <row r="72" spans="2:4">
      <c r="B72" s="53"/>
      <c r="C72" s="53"/>
      <c r="D72" s="53"/>
    </row>
    <row r="73" spans="2:4">
      <c r="B73" s="53"/>
      <c r="C73" s="53"/>
      <c r="D73" s="53"/>
    </row>
    <row r="74" spans="2:4">
      <c r="B74" s="53"/>
      <c r="C74" s="53"/>
      <c r="D74" s="53"/>
    </row>
    <row r="75" spans="2:4">
      <c r="B75" s="53"/>
      <c r="C75" s="53"/>
      <c r="D75" s="53"/>
    </row>
    <row r="76" spans="2:4">
      <c r="B76" s="53"/>
      <c r="C76" s="53"/>
      <c r="D76" s="53"/>
    </row>
    <row r="83" spans="1:1">
      <c r="A83" s="7"/>
    </row>
  </sheetData>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30E9F-7197-4D98-B9F8-F2BB5F54A74F}">
  <sheetPr codeName="Sheet4"/>
  <dimension ref="A1:K37"/>
  <sheetViews>
    <sheetView workbookViewId="0">
      <selection activeCell="B37" sqref="B37"/>
    </sheetView>
  </sheetViews>
  <sheetFormatPr defaultColWidth="8.59765625" defaultRowHeight="14.25"/>
  <cols>
    <col min="1" max="1" width="11.59765625" style="57" customWidth="1"/>
    <col min="2" max="2" width="14.1328125" style="57" customWidth="1"/>
    <col min="3" max="3" width="17.59765625" style="57" customWidth="1"/>
    <col min="4" max="4" width="13.73046875" style="57" customWidth="1"/>
    <col min="5" max="5" width="15.1328125" style="57" customWidth="1"/>
    <col min="6" max="6" width="13.3984375" style="57" customWidth="1"/>
    <col min="7" max="7" width="12.3984375" style="57" customWidth="1"/>
    <col min="8" max="8" width="8.59765625" style="57"/>
    <col min="9" max="9" width="12.1328125" style="57" customWidth="1"/>
    <col min="10" max="10" width="9.59765625" style="57" customWidth="1"/>
    <col min="11" max="16384" width="8.59765625" style="57"/>
  </cols>
  <sheetData>
    <row r="1" spans="1:11" ht="67.5">
      <c r="A1" s="2" t="s">
        <v>91</v>
      </c>
      <c r="B1" s="2" t="s">
        <v>117</v>
      </c>
      <c r="C1" s="2" t="s">
        <v>118</v>
      </c>
      <c r="D1" s="7" t="s">
        <v>119</v>
      </c>
      <c r="E1" s="7" t="s">
        <v>120</v>
      </c>
      <c r="F1" s="7" t="s">
        <v>121</v>
      </c>
      <c r="G1" s="7" t="s">
        <v>122</v>
      </c>
      <c r="H1" s="7" t="s">
        <v>123</v>
      </c>
      <c r="I1" s="7" t="s">
        <v>124</v>
      </c>
    </row>
    <row r="2" spans="1:11">
      <c r="A2" s="57" cm="1">
        <f t="array" ref="A2:A36">_xlfn.SEQUENCE(35,1,30,1)</f>
        <v>30</v>
      </c>
      <c r="B2" s="57">
        <f>IF(A2=30, 70000, B1 * (1 + MAX(0,G2)))</f>
        <v>70000</v>
      </c>
      <c r="C2" s="68" t="s">
        <v>27</v>
      </c>
      <c r="D2" s="69" cm="1">
        <f t="array" ref="D2">_xlfn.IFS(
  A2&lt;=45,
    _xlfn.SWITCH(C2,
      "Boom", salaryParameters!$E$24,
      "Normal", salaryParameters!$E$25,
      "Recession", salaryParameters!$E$26    ),
  A2&gt;=46,
    _xlfn.SWITCH(C2,
      "Boom", salaryParameters!$E$27,
      "Normal", salaryParameters!$E$28,
      "Recession", salaryParameters!$E$29    )
)</f>
        <v>3.4999985347503544E-2</v>
      </c>
      <c r="E2" s="57" cm="1">
        <f t="array" ref="E2">_xlfn.IFS(
  A2&lt;=45,
    _xlfn.SWITCH(C2,
      "Boom", salaryParameters!$F$24,
      "Normal", salaryParameters!$F$25,
      "Recession", salaryParameters!$F$26    ),
  A2&gt;=46,
    _xlfn.SWITCH(C2,
      "Boom", salaryParameters!$F$27,
      "Normal", salaryParameters!$F$28,
      "Recession", salaryParameters!$F$29    )
)</f>
        <v>6.9999941994113067E-3</v>
      </c>
      <c r="F2" s="57" cm="1">
        <f t="array" aca="1" ref="F2" ca="1">_xlfn.SWITCH(C2,
  "Boom", IF(A2&lt;=45, _xlfn.RANDARRAY(1,1,0.3,0.4,FALSE), _xlfn.RANDARRAY(1,1,0.7,0.8,FALSE)),
  "Normal", IF(A2&lt;=45, _xlfn.RANDARRAY(1,1,0.4,0.5,FALSE), _xlfn.RANDARRAY(1,1,0.7,0.8,FALSE)),
  "Recession", IF(A2&lt;=45, _xlfn.RANDARRAY(1,1,0.5,0.6,FALSE), _xlfn.RANDARRAY(1,1,0.8,0.9,FALSE))
)</f>
        <v>0.4632024348569167</v>
      </c>
      <c r="G2" s="57">
        <f ca="1">IF(A2=30,
    0.035,
    IF(AND(A2&gt;=31, A2&lt;=45),
        D2 + MAX(0, F2 * (G1 - D2) + E2 * _xlfn.NORM.S.INV(RAND())),
        IF(A2=46,
            D2 + MAX(0, E2 * _xlfn.NORM.S.INV(RAND())),
            D2 + MAX(0, F2 * (G1 - D2) + E2 * _xlfn.NORM.S.INV(RAND()))
        )
    )
)</f>
        <v>3.5000000000000003E-2</v>
      </c>
      <c r="H2" s="57">
        <v>3.5000000000000003E-2</v>
      </c>
      <c r="I2" s="57">
        <f ca="1">IF(A2&lt;=45,0.5*G2+0.5*H2,G2)</f>
        <v>3.5000000000000003E-2</v>
      </c>
      <c r="K2" s="68"/>
    </row>
    <row r="3" spans="1:11">
      <c r="A3" s="57">
        <v>31</v>
      </c>
      <c r="B3" s="57">
        <f t="shared" ref="B3:B36" ca="1" si="0">IF(A3=30, 70000, B2 * (1 + MAX(0,G3)))</f>
        <v>72293.525462282676</v>
      </c>
      <c r="C3" s="57" t="str" cm="1">
        <f t="array" aca="1" ref="C3" ca="1">_xlfn.IFS(
  C2="Boom", CHOOSE(MATCH(RAND(), {0,0.67,1}, 1), "Normal", "Recession"),
  C2="Normal", CHOOSE(MATCH(RAND(), {0,0.18,0.82,1}, 1), "Boom", "Normal", "Recession"),
  C2="Recession", CHOOSE(MATCH(RAND(), {0,0.17,0.34,1}, 1), "Boom", "Normal", "Recession")
)</f>
        <v>Recession</v>
      </c>
      <c r="D3" s="69" cm="1">
        <f t="array" aca="1" ref="D3" ca="1">_xlfn.IFS(
  A3&lt;=45,
    _xlfn.SWITCH(C3,
      "Boom", salaryParameters!$E$24,
      "Normal", salaryParameters!$E$25,
      "Recession", salaryParameters!$E$26    ),
  A3&gt;=46,
    _xlfn.SWITCH(C3,
      "Boom", salaryParameters!$E$27,
      "Normal", salaryParameters!$E$28,
      "Recession", salaryParameters!$E$29    )
)</f>
        <v>2.7999974234004792E-2</v>
      </c>
      <c r="E3" s="57" cm="1">
        <f t="array" aca="1" ref="E3" ca="1">_xlfn.IFS(
  A3&lt;=45,
    _xlfn.SWITCH(C3,
      "Boom", salaryParameters!$F$24,
      "Normal", salaryParameters!$F$25,
      "Recession", salaryParameters!$F$26    ),
  A3&gt;=46,
    _xlfn.SWITCH(C3,
      "Boom", salaryParameters!$F$27,
      "Normal", salaryParameters!$F$28,
      "Recession", salaryParameters!$F$29    )
)</f>
        <v>5.8834935449407844E-3</v>
      </c>
      <c r="F3" s="57" cm="1">
        <f t="array" aca="1" ref="F3" ca="1">_xlfn.SWITCH(C3,
  "Boom", IF(A3&lt;=45, _xlfn.RANDARRAY(1,1,0.3,0.4,FALSE), _xlfn.RANDARRAY(1,1,0.7,0.8,FALSE)),
  "Normal", IF(A3&lt;=45, _xlfn.RANDARRAY(1,1,0.4,0.5,FALSE), _xlfn.RANDARRAY(1,1,0.7,0.8,FALSE)),
  "Recession", IF(A3&lt;=45, _xlfn.RANDARRAY(1,1,0.5,0.6,FALSE), _xlfn.RANDARRAY(1,1,0.8,0.9,FALSE))
)</f>
        <v>0.5342505240193236</v>
      </c>
      <c r="G3" s="57">
        <f t="shared" ref="G3:G36" ca="1" si="1">IF(A3=30,
    0.035,
    IF(AND(A3&gt;=31, A3&lt;=45),
        D3 + MAX(0, F3 * (G2 - D3) + E3 * _xlfn.NORM.S.INV(RAND())),
        IF(A3=46,
            D3 + MAX(0, E3 * _xlfn.NORM.S.INV(RAND())),
            D3 + MAX(0, F3 * (G2 - D3) + E3 * _xlfn.NORM.S.INV(RAND()))
        )
    )
)</f>
        <v>3.2764649461181086E-2</v>
      </c>
      <c r="H3" s="57" cm="1">
        <f t="array" aca="1" ref="H3" ca="1">_xlfn.SWITCH(C3,
  "Boom", _xlfn.BETA.INV(RAND(), 2, 1.5, 0.03, 0.05),
  "Normal", _xlfn.BETA.INV(RAND(), 1.364706192, 1, 0.02, 0.045991351),
  "Recession", _xlfn.BETA.INV(RAND(), 2.699989178, 1.5, 0.01, 0.038)
)</f>
        <v>3.0941424681043689E-2</v>
      </c>
      <c r="I3" s="57">
        <f t="shared" ref="I3:I36" ca="1" si="2">IF(A3&lt;=45,0.5*G3+0.5*H3,G3)</f>
        <v>3.1853037071112388E-2</v>
      </c>
    </row>
    <row r="4" spans="1:11">
      <c r="A4" s="57">
        <v>32</v>
      </c>
      <c r="B4" s="57">
        <f t="shared" ca="1" si="0"/>
        <v>74738.935916858667</v>
      </c>
      <c r="C4" s="57" t="str" cm="1">
        <f t="array" aca="1" ref="C4" ca="1">_xlfn.IFS(
  C3="Boom", CHOOSE(MATCH(RAND(), {0,0.67,1}, 1), "Normal", "Recession"),
  C3="Normal", CHOOSE(MATCH(RAND(), {0,0.18,0.82,1}, 1), "Boom", "Normal", "Recession"),
  C3="Recession", CHOOSE(MATCH(RAND(), {0,0.17,0.34,1}, 1), "Boom", "Normal", "Recession")
)</f>
        <v>Recession</v>
      </c>
      <c r="D4" s="69" cm="1">
        <f t="array" aca="1" ref="D4" ca="1">_xlfn.IFS(
  A4&lt;=45,
    _xlfn.SWITCH(C4,
      "Boom", salaryParameters!$E$24,
      "Normal", salaryParameters!$E$25,
      "Recession", salaryParameters!$E$26    ),
  A4&gt;=46,
    _xlfn.SWITCH(C4,
      "Boom", salaryParameters!$E$27,
      "Normal", salaryParameters!$E$28,
      "Recession", salaryParameters!$E$29    )
)</f>
        <v>2.7999974234004792E-2</v>
      </c>
      <c r="E4" s="57" cm="1">
        <f t="array" aca="1" ref="E4" ca="1">_xlfn.IFS(
  A4&lt;=45,
    _xlfn.SWITCH(C4,
      "Boom", salaryParameters!$F$24,
      "Normal", salaryParameters!$F$25,
      "Recession", salaryParameters!$F$26    ),
  A4&gt;=46,
    _xlfn.SWITCH(C4,
      "Boom", salaryParameters!$F$27,
      "Normal", salaryParameters!$F$28,
      "Recession", salaryParameters!$F$29    )
)</f>
        <v>5.8834935449407844E-3</v>
      </c>
      <c r="F4" s="57" cm="1">
        <f t="array" aca="1" ref="F4" ca="1">_xlfn.SWITCH(C4,
  "Boom", IF(A4&lt;=45, _xlfn.RANDARRAY(1,1,0.3,0.4,FALSE), _xlfn.RANDARRAY(1,1,0.7,0.8,FALSE)),
  "Normal", IF(A4&lt;=45, _xlfn.RANDARRAY(1,1,0.4,0.5,FALSE), _xlfn.RANDARRAY(1,1,0.7,0.8,FALSE)),
  "Recession", IF(A4&lt;=45, _xlfn.RANDARRAY(1,1,0.5,0.6,FALSE), _xlfn.RANDARRAY(1,1,0.8,0.9,FALSE))
)</f>
        <v>0.59568796417315939</v>
      </c>
      <c r="G4" s="57">
        <f t="shared" ca="1" si="1"/>
        <v>3.3826133653584563E-2</v>
      </c>
      <c r="H4" s="57" cm="1">
        <f t="array" aca="1" ref="H4" ca="1">_xlfn.SWITCH(C4,
  "Boom", _xlfn.BETA.INV(RAND(), 2, 1.5, 0.03, 0.05),
  "Normal", _xlfn.BETA.INV(RAND(), 1.364706192, 1, 0.02, 0.045991351),
  "Recession", _xlfn.BETA.INV(RAND(), 2.699989178, 1.5, 0.01, 0.038)
)</f>
        <v>3.120768767559471E-2</v>
      </c>
      <c r="I4" s="57">
        <f t="shared" ca="1" si="2"/>
        <v>3.2516910664589636E-2</v>
      </c>
    </row>
    <row r="5" spans="1:11">
      <c r="A5" s="57">
        <v>33</v>
      </c>
      <c r="B5" s="57">
        <f t="shared" ca="1" si="0"/>
        <v>76851.126329680526</v>
      </c>
      <c r="C5" s="57" t="str" cm="1">
        <f t="array" aca="1" ref="C5" ca="1">_xlfn.IFS(
  C4="Boom", CHOOSE(MATCH(RAND(), {0,0.67,1}, 1), "Normal", "Recession"),
  C4="Normal", CHOOSE(MATCH(RAND(), {0,0.18,0.82,1}, 1), "Boom", "Normal", "Recession"),
  C4="Recession", CHOOSE(MATCH(RAND(), {0,0.17,0.34,1}, 1), "Boom", "Normal", "Recession")
)</f>
        <v>Recession</v>
      </c>
      <c r="D5" s="69" cm="1">
        <f t="array" aca="1" ref="D5" ca="1">_xlfn.IFS(
  A5&lt;=45,
    _xlfn.SWITCH(C5,
      "Boom", salaryParameters!$E$24,
      "Normal", salaryParameters!$E$25,
      "Recession", salaryParameters!$E$26    ),
  A5&gt;=46,
    _xlfn.SWITCH(C5,
      "Boom", salaryParameters!$E$27,
      "Normal", salaryParameters!$E$28,
      "Recession", salaryParameters!$E$29    )
)</f>
        <v>2.7999974234004792E-2</v>
      </c>
      <c r="E5" s="57" cm="1">
        <f t="array" aca="1" ref="E5" ca="1">_xlfn.IFS(
  A5&lt;=45,
    _xlfn.SWITCH(C5,
      "Boom", salaryParameters!$F$24,
      "Normal", salaryParameters!$F$25,
      "Recession", salaryParameters!$F$26    ),
  A5&gt;=46,
    _xlfn.SWITCH(C5,
      "Boom", salaryParameters!$F$27,
      "Normal", salaryParameters!$F$28,
      "Recession", salaryParameters!$F$29    )
)</f>
        <v>5.8834935449407844E-3</v>
      </c>
      <c r="F5" s="57" cm="1">
        <f t="array" aca="1" ref="F5" ca="1">_xlfn.SWITCH(C5,
  "Boom", IF(A5&lt;=45, _xlfn.RANDARRAY(1,1,0.3,0.4,FALSE), _xlfn.RANDARRAY(1,1,0.7,0.8,FALSE)),
  "Normal", IF(A5&lt;=45, _xlfn.RANDARRAY(1,1,0.4,0.5,FALSE), _xlfn.RANDARRAY(1,1,0.7,0.8,FALSE)),
  "Recession", IF(A5&lt;=45, _xlfn.RANDARRAY(1,1,0.5,0.6,FALSE), _xlfn.RANDARRAY(1,1,0.8,0.9,FALSE))
)</f>
        <v>0.51294500452401848</v>
      </c>
      <c r="G5" s="57">
        <f t="shared" ca="1" si="1"/>
        <v>2.8260910955054487E-2</v>
      </c>
      <c r="H5" s="57" cm="1">
        <f t="array" aca="1" ref="H5" ca="1">_xlfn.SWITCH(C5,
  "Boom", _xlfn.BETA.INV(RAND(), 2, 1.5, 0.03, 0.05),
  "Normal", _xlfn.BETA.INV(RAND(), 1.364706192, 1, 0.02, 0.045991351),
  "Recession", _xlfn.BETA.INV(RAND(), 2.699989178, 1.5, 0.01, 0.038)
)</f>
        <v>2.0055812351273634E-2</v>
      </c>
      <c r="I5" s="57">
        <f t="shared" ca="1" si="2"/>
        <v>2.4158361653164061E-2</v>
      </c>
    </row>
    <row r="6" spans="1:11">
      <c r="A6" s="57">
        <v>34</v>
      </c>
      <c r="B6" s="57">
        <f t="shared" ca="1" si="0"/>
        <v>80034.958706195859</v>
      </c>
      <c r="C6" s="57" t="str" cm="1">
        <f t="array" aca="1" ref="C6" ca="1">_xlfn.IFS(
  C5="Boom", CHOOSE(MATCH(RAND(), {0,0.67,1}, 1), "Normal", "Recession"),
  C5="Normal", CHOOSE(MATCH(RAND(), {0,0.18,0.82,1}, 1), "Boom", "Normal", "Recession"),
  C5="Recession", CHOOSE(MATCH(RAND(), {0,0.17,0.34,1}, 1), "Boom", "Normal", "Recession")
)</f>
        <v>Boom</v>
      </c>
      <c r="D6" s="69" cm="1">
        <f t="array" aca="1" ref="D6" ca="1">_xlfn.IFS(
  A6&lt;=45,
    _xlfn.SWITCH(C6,
      "Boom", salaryParameters!$E$24,
      "Normal", salaryParameters!$E$25,
      "Recession", salaryParameters!$E$26    ),
  A6&gt;=46,
    _xlfn.SWITCH(C6,
      "Boom", salaryParameters!$E$27,
      "Normal", salaryParameters!$E$28,
      "Recession", salaryParameters!$E$29    )
)</f>
        <v>4.1428571428571426E-2</v>
      </c>
      <c r="E6" s="57" cm="1">
        <f t="array" aca="1" ref="E6" ca="1">_xlfn.IFS(
  A6&lt;=45,
    _xlfn.SWITCH(C6,
      "Boom", salaryParameters!$F$24,
      "Normal", salaryParameters!$F$25,
      "Recession", salaryParameters!$F$26    ),
  A6&gt;=46,
    _xlfn.SWITCH(C6,
      "Boom", salaryParameters!$F$27,
      "Normal", salaryParameters!$F$28,
      "Recession", salaryParameters!$F$29    )
)</f>
        <v>4.6656947481584351E-3</v>
      </c>
      <c r="F6" s="57" cm="1">
        <f t="array" aca="1" ref="F6" ca="1">_xlfn.SWITCH(C6,
  "Boom", IF(A6&lt;=45, _xlfn.RANDARRAY(1,1,0.3,0.4,FALSE), _xlfn.RANDARRAY(1,1,0.7,0.8,FALSE)),
  "Normal", IF(A6&lt;=45, _xlfn.RANDARRAY(1,1,0.4,0.5,FALSE), _xlfn.RANDARRAY(1,1,0.7,0.8,FALSE)),
  "Recession", IF(A6&lt;=45, _xlfn.RANDARRAY(1,1,0.5,0.6,FALSE), _xlfn.RANDARRAY(1,1,0.8,0.9,FALSE))
)</f>
        <v>0.33914096116012604</v>
      </c>
      <c r="G6" s="57">
        <f t="shared" ca="1" si="1"/>
        <v>4.1428571428571426E-2</v>
      </c>
      <c r="H6" s="57" cm="1">
        <f t="array" aca="1" ref="H6" ca="1">_xlfn.SWITCH(C6,
  "Boom", _xlfn.BETA.INV(RAND(), 2, 1.5, 0.03, 0.05),
  "Normal", _xlfn.BETA.INV(RAND(), 1.364706192, 1, 0.02, 0.045991351),
  "Recession", _xlfn.BETA.INV(RAND(), 2.699989178, 1.5, 0.01, 0.038)
)</f>
        <v>4.6108377279770255E-2</v>
      </c>
      <c r="I6" s="57">
        <f t="shared" ca="1" si="2"/>
        <v>4.376847435417084E-2</v>
      </c>
    </row>
    <row r="7" spans="1:11">
      <c r="A7" s="57">
        <v>35</v>
      </c>
      <c r="B7" s="57">
        <f t="shared" ca="1" si="0"/>
        <v>83295.403096973387</v>
      </c>
      <c r="C7" s="57" t="str" cm="1">
        <f t="array" aca="1" ref="C7" ca="1">_xlfn.IFS(
  C6="Boom", CHOOSE(MATCH(RAND(), {0,0.67,1}, 1), "Normal", "Recession"),
  C6="Normal", CHOOSE(MATCH(RAND(), {0,0.18,0.82,1}, 1), "Boom", "Normal", "Recession"),
  C6="Recession", CHOOSE(MATCH(RAND(), {0,0.17,0.34,1}, 1), "Boom", "Normal", "Recession")
)</f>
        <v>Recession</v>
      </c>
      <c r="D7" s="69" cm="1">
        <f t="array" aca="1" ref="D7" ca="1">_xlfn.IFS(
  A7&lt;=45,
    _xlfn.SWITCH(C7,
      "Boom", salaryParameters!$E$24,
      "Normal", salaryParameters!$E$25,
      "Recession", salaryParameters!$E$26    ),
  A7&gt;=46,
    _xlfn.SWITCH(C7,
      "Boom", salaryParameters!$E$27,
      "Normal", salaryParameters!$E$28,
      "Recession", salaryParameters!$E$29    )
)</f>
        <v>2.7999974234004792E-2</v>
      </c>
      <c r="E7" s="57" cm="1">
        <f t="array" aca="1" ref="E7" ca="1">_xlfn.IFS(
  A7&lt;=45,
    _xlfn.SWITCH(C7,
      "Boom", salaryParameters!$F$24,
      "Normal", salaryParameters!$F$25,
      "Recession", salaryParameters!$F$26    ),
  A7&gt;=46,
    _xlfn.SWITCH(C7,
      "Boom", salaryParameters!$F$27,
      "Normal", salaryParameters!$F$28,
      "Recession", salaryParameters!$F$29    )
)</f>
        <v>5.8834935449407844E-3</v>
      </c>
      <c r="F7" s="57" cm="1">
        <f t="array" aca="1" ref="F7" ca="1">_xlfn.SWITCH(C7,
  "Boom", IF(A7&lt;=45, _xlfn.RANDARRAY(1,1,0.3,0.4,FALSE), _xlfn.RANDARRAY(1,1,0.7,0.8,FALSE)),
  "Normal", IF(A7&lt;=45, _xlfn.RANDARRAY(1,1,0.4,0.5,FALSE), _xlfn.RANDARRAY(1,1,0.7,0.8,FALSE)),
  "Recession", IF(A7&lt;=45, _xlfn.RANDARRAY(1,1,0.5,0.6,FALSE), _xlfn.RANDARRAY(1,1,0.8,0.9,FALSE))
)</f>
        <v>0.55428434962655326</v>
      </c>
      <c r="G7" s="57">
        <f t="shared" ca="1" si="1"/>
        <v>4.0737753145427949E-2</v>
      </c>
      <c r="H7" s="57" cm="1">
        <f t="array" aca="1" ref="H7" ca="1">_xlfn.SWITCH(C7,
  "Boom", _xlfn.BETA.INV(RAND(), 2, 1.5, 0.03, 0.05),
  "Normal", _xlfn.BETA.INV(RAND(), 1.364706192, 1, 0.02, 0.045991351),
  "Recession", _xlfn.BETA.INV(RAND(), 2.699989178, 1.5, 0.01, 0.038)
)</f>
        <v>2.8868587973075253E-2</v>
      </c>
      <c r="I7" s="57">
        <f t="shared" ca="1" si="2"/>
        <v>3.4803170559251598E-2</v>
      </c>
    </row>
    <row r="8" spans="1:11">
      <c r="A8" s="57">
        <v>36</v>
      </c>
      <c r="B8" s="57">
        <f t="shared" ca="1" si="0"/>
        <v>85755.642546739517</v>
      </c>
      <c r="C8" s="57" t="str" cm="1">
        <f t="array" aca="1" ref="C8" ca="1">_xlfn.IFS(
  C7="Boom", CHOOSE(MATCH(RAND(), {0,0.67,1}, 1), "Normal", "Recession"),
  C7="Normal", CHOOSE(MATCH(RAND(), {0,0.18,0.82,1}, 1), "Boom", "Normal", "Recession"),
  C7="Recession", CHOOSE(MATCH(RAND(), {0,0.17,0.34,1}, 1), "Boom", "Normal", "Recession")
)</f>
        <v>Recession</v>
      </c>
      <c r="D8" s="69" cm="1">
        <f t="array" aca="1" ref="D8" ca="1">_xlfn.IFS(
  A8&lt;=45,
    _xlfn.SWITCH(C8,
      "Boom", salaryParameters!$E$24,
      "Normal", salaryParameters!$E$25,
      "Recession", salaryParameters!$E$26    ),
  A8&gt;=46,
    _xlfn.SWITCH(C8,
      "Boom", salaryParameters!$E$27,
      "Normal", salaryParameters!$E$28,
      "Recession", salaryParameters!$E$29    )
)</f>
        <v>2.7999974234004792E-2</v>
      </c>
      <c r="E8" s="57" cm="1">
        <f t="array" aca="1" ref="E8" ca="1">_xlfn.IFS(
  A8&lt;=45,
    _xlfn.SWITCH(C8,
      "Boom", salaryParameters!$F$24,
      "Normal", salaryParameters!$F$25,
      "Recession", salaryParameters!$F$26    ),
  A8&gt;=46,
    _xlfn.SWITCH(C8,
      "Boom", salaryParameters!$F$27,
      "Normal", salaryParameters!$F$28,
      "Recession", salaryParameters!$F$29    )
)</f>
        <v>5.8834935449407844E-3</v>
      </c>
      <c r="F8" s="57" cm="1">
        <f t="array" aca="1" ref="F8" ca="1">_xlfn.SWITCH(C8,
  "Boom", IF(A8&lt;=45, _xlfn.RANDARRAY(1,1,0.3,0.4,FALSE), _xlfn.RANDARRAY(1,1,0.7,0.8,FALSE)),
  "Normal", IF(A8&lt;=45, _xlfn.RANDARRAY(1,1,0.4,0.5,FALSE), _xlfn.RANDARRAY(1,1,0.7,0.8,FALSE)),
  "Recession", IF(A8&lt;=45, _xlfn.RANDARRAY(1,1,0.5,0.6,FALSE), _xlfn.RANDARRAY(1,1,0.8,0.9,FALSE))
)</f>
        <v>0.51381973139162862</v>
      </c>
      <c r="G8" s="57">
        <f t="shared" ca="1" si="1"/>
        <v>2.9536317231118849E-2</v>
      </c>
      <c r="H8" s="57" cm="1">
        <f t="array" aca="1" ref="H8" ca="1">_xlfn.SWITCH(C8,
  "Boom", _xlfn.BETA.INV(RAND(), 2, 1.5, 0.03, 0.05),
  "Normal", _xlfn.BETA.INV(RAND(), 1.364706192, 1, 0.02, 0.045991351),
  "Recession", _xlfn.BETA.INV(RAND(), 2.699989178, 1.5, 0.01, 0.038)
)</f>
        <v>3.5879950553632932E-2</v>
      </c>
      <c r="I8" s="57">
        <f t="shared" ca="1" si="2"/>
        <v>3.2708133892375889E-2</v>
      </c>
    </row>
    <row r="9" spans="1:11">
      <c r="A9" s="57">
        <v>37</v>
      </c>
      <c r="B9" s="57">
        <f t="shared" ca="1" si="0"/>
        <v>88156.798328468736</v>
      </c>
      <c r="C9" s="57" t="str" cm="1">
        <f t="array" aca="1" ref="C9" ca="1">_xlfn.IFS(
  C8="Boom", CHOOSE(MATCH(RAND(), {0,0.67,1}, 1), "Normal", "Recession"),
  C8="Normal", CHOOSE(MATCH(RAND(), {0,0.18,0.82,1}, 1), "Boom", "Normal", "Recession"),
  C8="Recession", CHOOSE(MATCH(RAND(), {0,0.17,0.34,1}, 1), "Boom", "Normal", "Recession")
)</f>
        <v>Recession</v>
      </c>
      <c r="D9" s="69" cm="1">
        <f t="array" aca="1" ref="D9" ca="1">_xlfn.IFS(
  A9&lt;=45,
    _xlfn.SWITCH(C9,
      "Boom", salaryParameters!$E$24,
      "Normal", salaryParameters!$E$25,
      "Recession", salaryParameters!$E$26    ),
  A9&gt;=46,
    _xlfn.SWITCH(C9,
      "Boom", salaryParameters!$E$27,
      "Normal", salaryParameters!$E$28,
      "Recession", salaryParameters!$E$29    )
)</f>
        <v>2.7999974234004792E-2</v>
      </c>
      <c r="E9" s="57" cm="1">
        <f t="array" aca="1" ref="E9" ca="1">_xlfn.IFS(
  A9&lt;=45,
    _xlfn.SWITCH(C9,
      "Boom", salaryParameters!$F$24,
      "Normal", salaryParameters!$F$25,
      "Recession", salaryParameters!$F$26    ),
  A9&gt;=46,
    _xlfn.SWITCH(C9,
      "Boom", salaryParameters!$F$27,
      "Normal", salaryParameters!$F$28,
      "Recession", salaryParameters!$F$29    )
)</f>
        <v>5.8834935449407844E-3</v>
      </c>
      <c r="F9" s="57" cm="1">
        <f t="array" aca="1" ref="F9" ca="1">_xlfn.SWITCH(C9,
  "Boom", IF(A9&lt;=45, _xlfn.RANDARRAY(1,1,0.3,0.4,FALSE), _xlfn.RANDARRAY(1,1,0.7,0.8,FALSE)),
  "Normal", IF(A9&lt;=45, _xlfn.RANDARRAY(1,1,0.4,0.5,FALSE), _xlfn.RANDARRAY(1,1,0.7,0.8,FALSE)),
  "Recession", IF(A9&lt;=45, _xlfn.RANDARRAY(1,1,0.5,0.6,FALSE), _xlfn.RANDARRAY(1,1,0.8,0.9,FALSE))
)</f>
        <v>0.52190858109395522</v>
      </c>
      <c r="G9" s="57">
        <f t="shared" ca="1" si="1"/>
        <v>2.7999974234004792E-2</v>
      </c>
      <c r="H9" s="57" cm="1">
        <f t="array" aca="1" ref="H9" ca="1">_xlfn.SWITCH(C9,
  "Boom", _xlfn.BETA.INV(RAND(), 2, 1.5, 0.03, 0.05),
  "Normal", _xlfn.BETA.INV(RAND(), 1.364706192, 1, 0.02, 0.045991351),
  "Recession", _xlfn.BETA.INV(RAND(), 2.699989178, 1.5, 0.01, 0.038)
)</f>
        <v>2.8533010839973283E-2</v>
      </c>
      <c r="I9" s="57">
        <f t="shared" ca="1" si="2"/>
        <v>2.8266492536989037E-2</v>
      </c>
    </row>
    <row r="10" spans="1:11">
      <c r="A10" s="57">
        <v>38</v>
      </c>
      <c r="B10" s="57">
        <f t="shared" ca="1" si="0"/>
        <v>90625.186410218215</v>
      </c>
      <c r="C10" s="57" t="str" cm="1">
        <f t="array" aca="1" ref="C10" ca="1">_xlfn.IFS(
  C9="Boom", CHOOSE(MATCH(RAND(), {0,0.67,1}, 1), "Normal", "Recession"),
  C9="Normal", CHOOSE(MATCH(RAND(), {0,0.18,0.82,1}, 1), "Boom", "Normal", "Recession"),
  C9="Recession", CHOOSE(MATCH(RAND(), {0,0.17,0.34,1}, 1), "Boom", "Normal", "Recession")
)</f>
        <v>Recession</v>
      </c>
      <c r="D10" s="69" cm="1">
        <f t="array" aca="1" ref="D10" ca="1">_xlfn.IFS(
  A10&lt;=45,
    _xlfn.SWITCH(C10,
      "Boom", salaryParameters!$E$24,
      "Normal", salaryParameters!$E$25,
      "Recession", salaryParameters!$E$26    ),
  A10&gt;=46,
    _xlfn.SWITCH(C10,
      "Boom", salaryParameters!$E$27,
      "Normal", salaryParameters!$E$28,
      "Recession", salaryParameters!$E$29    )
)</f>
        <v>2.7999974234004792E-2</v>
      </c>
      <c r="E10" s="57" cm="1">
        <f t="array" aca="1" ref="E10" ca="1">_xlfn.IFS(
  A10&lt;=45,
    _xlfn.SWITCH(C10,
      "Boom", salaryParameters!$F$24,
      "Normal", salaryParameters!$F$25,
      "Recession", salaryParameters!$F$26    ),
  A10&gt;=46,
    _xlfn.SWITCH(C10,
      "Boom", salaryParameters!$F$27,
      "Normal", salaryParameters!$F$28,
      "Recession", salaryParameters!$F$29    )
)</f>
        <v>5.8834935449407844E-3</v>
      </c>
      <c r="F10" s="57" cm="1">
        <f t="array" aca="1" ref="F10" ca="1">_xlfn.SWITCH(C10,
  "Boom", IF(A10&lt;=45, _xlfn.RANDARRAY(1,1,0.3,0.4,FALSE), _xlfn.RANDARRAY(1,1,0.7,0.8,FALSE)),
  "Normal", IF(A10&lt;=45, _xlfn.RANDARRAY(1,1,0.4,0.5,FALSE), _xlfn.RANDARRAY(1,1,0.7,0.8,FALSE)),
  "Recession", IF(A10&lt;=45, _xlfn.RANDARRAY(1,1,0.5,0.6,FALSE), _xlfn.RANDARRAY(1,1,0.8,0.9,FALSE))
)</f>
        <v>0.51831516637924568</v>
      </c>
      <c r="G10" s="57">
        <f t="shared" ca="1" si="1"/>
        <v>2.7999974234004792E-2</v>
      </c>
      <c r="H10" s="57" cm="1">
        <f t="array" aca="1" ref="H10" ca="1">_xlfn.SWITCH(C10,
  "Boom", _xlfn.BETA.INV(RAND(), 2, 1.5, 0.03, 0.05),
  "Normal", _xlfn.BETA.INV(RAND(), 1.364706192, 1, 0.02, 0.045991351),
  "Recession", _xlfn.BETA.INV(RAND(), 2.699989178, 1.5, 0.01, 0.038)
)</f>
        <v>1.6738603879041001E-2</v>
      </c>
      <c r="I10" s="57">
        <f t="shared" ca="1" si="2"/>
        <v>2.2369289056522898E-2</v>
      </c>
    </row>
    <row r="11" spans="1:11">
      <c r="A11" s="57">
        <v>39</v>
      </c>
      <c r="B11" s="57">
        <f t="shared" ca="1" si="0"/>
        <v>93324.626867918705</v>
      </c>
      <c r="C11" s="57" t="str" cm="1">
        <f t="array" aca="1" ref="C11" ca="1">_xlfn.IFS(
  C10="Boom", CHOOSE(MATCH(RAND(), {0,0.67,1}, 1), "Normal", "Recession"),
  C10="Normal", CHOOSE(MATCH(RAND(), {0,0.18,0.82,1}, 1), "Boom", "Normal", "Recession"),
  C10="Recession", CHOOSE(MATCH(RAND(), {0,0.17,0.34,1}, 1), "Boom", "Normal", "Recession")
)</f>
        <v>Recession</v>
      </c>
      <c r="D11" s="69" cm="1">
        <f t="array" aca="1" ref="D11" ca="1">_xlfn.IFS(
  A11&lt;=45,
    _xlfn.SWITCH(C11,
      "Boom", salaryParameters!$E$24,
      "Normal", salaryParameters!$E$25,
      "Recession", salaryParameters!$E$26    ),
  A11&gt;=46,
    _xlfn.SWITCH(C11,
      "Boom", salaryParameters!$E$27,
      "Normal", salaryParameters!$E$28,
      "Recession", salaryParameters!$E$29    )
)</f>
        <v>2.7999974234004792E-2</v>
      </c>
      <c r="E11" s="57" cm="1">
        <f t="array" aca="1" ref="E11" ca="1">_xlfn.IFS(
  A11&lt;=45,
    _xlfn.SWITCH(C11,
      "Boom", salaryParameters!$F$24,
      "Normal", salaryParameters!$F$25,
      "Recession", salaryParameters!$F$26    ),
  A11&gt;=46,
    _xlfn.SWITCH(C11,
      "Boom", salaryParameters!$F$27,
      "Normal", salaryParameters!$F$28,
      "Recession", salaryParameters!$F$29    )
)</f>
        <v>5.8834935449407844E-3</v>
      </c>
      <c r="F11" s="57" cm="1">
        <f t="array" aca="1" ref="F11" ca="1">_xlfn.SWITCH(C11,
  "Boom", IF(A11&lt;=45, _xlfn.RANDARRAY(1,1,0.3,0.4,FALSE), _xlfn.RANDARRAY(1,1,0.7,0.8,FALSE)),
  "Normal", IF(A11&lt;=45, _xlfn.RANDARRAY(1,1,0.4,0.5,FALSE), _xlfn.RANDARRAY(1,1,0.7,0.8,FALSE)),
  "Recession", IF(A11&lt;=45, _xlfn.RANDARRAY(1,1,0.5,0.6,FALSE), _xlfn.RANDARRAY(1,1,0.8,0.9,FALSE))
)</f>
        <v>0.51280843838341661</v>
      </c>
      <c r="G11" s="57">
        <f t="shared" ca="1" si="1"/>
        <v>2.9786867918608999E-2</v>
      </c>
      <c r="H11" s="57" cm="1">
        <f t="array" aca="1" ref="H11" ca="1">_xlfn.SWITCH(C11,
  "Boom", _xlfn.BETA.INV(RAND(), 2, 1.5, 0.03, 0.05),
  "Normal", _xlfn.BETA.INV(RAND(), 1.364706192, 1, 0.02, 0.045991351),
  "Recession", _xlfn.BETA.INV(RAND(), 2.699989178, 1.5, 0.01, 0.038)
)</f>
        <v>2.6197594876777724E-2</v>
      </c>
      <c r="I11" s="57">
        <f t="shared" ca="1" si="2"/>
        <v>2.7992231397693364E-2</v>
      </c>
    </row>
    <row r="12" spans="1:11">
      <c r="A12" s="57">
        <v>40</v>
      </c>
      <c r="B12" s="57">
        <f t="shared" ca="1" si="0"/>
        <v>97190.932838161039</v>
      </c>
      <c r="C12" s="57" t="str" cm="1">
        <f t="array" aca="1" ref="C12" ca="1">_xlfn.IFS(
  C11="Boom", CHOOSE(MATCH(RAND(), {0,0.67,1}, 1), "Normal", "Recession"),
  C11="Normal", CHOOSE(MATCH(RAND(), {0,0.18,0.82,1}, 1), "Boom", "Normal", "Recession"),
  C11="Recession", CHOOSE(MATCH(RAND(), {0,0.17,0.34,1}, 1), "Boom", "Normal", "Recession")
)</f>
        <v>Boom</v>
      </c>
      <c r="D12" s="69" cm="1">
        <f t="array" aca="1" ref="D12" ca="1">_xlfn.IFS(
  A12&lt;=45,
    _xlfn.SWITCH(C12,
      "Boom", salaryParameters!$E$24,
      "Normal", salaryParameters!$E$25,
      "Recession", salaryParameters!$E$26    ),
  A12&gt;=46,
    _xlfn.SWITCH(C12,
      "Boom", salaryParameters!$E$27,
      "Normal", salaryParameters!$E$28,
      "Recession", salaryParameters!$E$29    )
)</f>
        <v>4.1428571428571426E-2</v>
      </c>
      <c r="E12" s="57" cm="1">
        <f t="array" aca="1" ref="E12" ca="1">_xlfn.IFS(
  A12&lt;=45,
    _xlfn.SWITCH(C12,
      "Boom", salaryParameters!$F$24,
      "Normal", salaryParameters!$F$25,
      "Recession", salaryParameters!$F$26    ),
  A12&gt;=46,
    _xlfn.SWITCH(C12,
      "Boom", salaryParameters!$F$27,
      "Normal", salaryParameters!$F$28,
      "Recession", salaryParameters!$F$29    )
)</f>
        <v>4.6656947481584351E-3</v>
      </c>
      <c r="F12" s="57" cm="1">
        <f t="array" aca="1" ref="F12" ca="1">_xlfn.SWITCH(C12,
  "Boom", IF(A12&lt;=45, _xlfn.RANDARRAY(1,1,0.3,0.4,FALSE), _xlfn.RANDARRAY(1,1,0.7,0.8,FALSE)),
  "Normal", IF(A12&lt;=45, _xlfn.RANDARRAY(1,1,0.4,0.5,FALSE), _xlfn.RANDARRAY(1,1,0.7,0.8,FALSE)),
  "Recession", IF(A12&lt;=45, _xlfn.RANDARRAY(1,1,0.5,0.6,FALSE), _xlfn.RANDARRAY(1,1,0.8,0.9,FALSE))
)</f>
        <v>0.34202145799976352</v>
      </c>
      <c r="G12" s="57">
        <f t="shared" ca="1" si="1"/>
        <v>4.1428571428571426E-2</v>
      </c>
      <c r="H12" s="57" cm="1">
        <f t="array" aca="1" ref="H12" ca="1">_xlfn.SWITCH(C12,
  "Boom", _xlfn.BETA.INV(RAND(), 2, 1.5, 0.03, 0.05),
  "Normal", _xlfn.BETA.INV(RAND(), 1.364706192, 1, 0.02, 0.045991351),
  "Recession", _xlfn.BETA.INV(RAND(), 2.699989178, 1.5, 0.01, 0.038)
)</f>
        <v>3.2275412389250045E-2</v>
      </c>
      <c r="I12" s="57">
        <f t="shared" ca="1" si="2"/>
        <v>3.6851991908910739E-2</v>
      </c>
    </row>
    <row r="13" spans="1:11">
      <c r="A13" s="57">
        <v>41</v>
      </c>
      <c r="B13" s="57">
        <f t="shared" ca="1" si="0"/>
        <v>101288.76074685687</v>
      </c>
      <c r="C13" s="57" t="str" cm="1">
        <f t="array" aca="1" ref="C13" ca="1">_xlfn.IFS(
  C12="Boom", CHOOSE(MATCH(RAND(), {0,0.67,1}, 1), "Normal", "Recession"),
  C12="Normal", CHOOSE(MATCH(RAND(), {0,0.18,0.82,1}, 1), "Boom", "Normal", "Recession"),
  C12="Recession", CHOOSE(MATCH(RAND(), {0,0.17,0.34,1}, 1), "Boom", "Normal", "Recession")
)</f>
        <v>Normal</v>
      </c>
      <c r="D13" s="69" cm="1">
        <f t="array" aca="1" ref="D13" ca="1">_xlfn.IFS(
  A13&lt;=45,
    _xlfn.SWITCH(C13,
      "Boom", salaryParameters!$E$24,
      "Normal", salaryParameters!$E$25,
      "Recession", salaryParameters!$E$26    ),
  A13&gt;=46,
    _xlfn.SWITCH(C13,
      "Boom", salaryParameters!$E$27,
      "Normal", salaryParameters!$E$28,
      "Recession", salaryParameters!$E$29    )
)</f>
        <v>3.4999985347503544E-2</v>
      </c>
      <c r="E13" s="57" cm="1">
        <f t="array" aca="1" ref="E13" ca="1">_xlfn.IFS(
  A13&lt;=45,
    _xlfn.SWITCH(C13,
      "Boom", salaryParameters!$F$24,
      "Normal", salaryParameters!$F$25,
      "Recession", salaryParameters!$F$26    ),
  A13&gt;=46,
    _xlfn.SWITCH(C13,
      "Boom", salaryParameters!$F$27,
      "Normal", salaryParameters!$F$28,
      "Recession", salaryParameters!$F$29    )
)</f>
        <v>6.9999941994113067E-3</v>
      </c>
      <c r="F13" s="57" cm="1">
        <f t="array" aca="1" ref="F13" ca="1">_xlfn.SWITCH(C13,
  "Boom", IF(A13&lt;=45, _xlfn.RANDARRAY(1,1,0.3,0.4,FALSE), _xlfn.RANDARRAY(1,1,0.7,0.8,FALSE)),
  "Normal", IF(A13&lt;=45, _xlfn.RANDARRAY(1,1,0.4,0.5,FALSE), _xlfn.RANDARRAY(1,1,0.7,0.8,FALSE)),
  "Recession", IF(A13&lt;=45, _xlfn.RANDARRAY(1,1,0.5,0.6,FALSE), _xlfn.RANDARRAY(1,1,0.8,0.9,FALSE))
)</f>
        <v>0.42176890892748264</v>
      </c>
      <c r="G13" s="57">
        <f t="shared" ca="1" si="1"/>
        <v>4.216265642309866E-2</v>
      </c>
      <c r="H13" s="57" cm="1">
        <f t="array" aca="1" ref="H13" ca="1">_xlfn.SWITCH(C13,
  "Boom", _xlfn.BETA.INV(RAND(), 2, 1.5, 0.03, 0.05),
  "Normal", _xlfn.BETA.INV(RAND(), 1.364706192, 1, 0.02, 0.045991351),
  "Recession", _xlfn.BETA.INV(RAND(), 2.699989178, 1.5, 0.01, 0.038)
)</f>
        <v>3.0903159797901467E-2</v>
      </c>
      <c r="I13" s="57">
        <f t="shared" ca="1" si="2"/>
        <v>3.6532908110500063E-2</v>
      </c>
    </row>
    <row r="14" spans="1:11">
      <c r="A14" s="57">
        <v>42</v>
      </c>
      <c r="B14" s="57">
        <f t="shared" ca="1" si="0"/>
        <v>106102.22352416583</v>
      </c>
      <c r="C14" s="57" t="str" cm="1">
        <f t="array" aca="1" ref="C14" ca="1">_xlfn.IFS(
  C13="Boom", CHOOSE(MATCH(RAND(), {0,0.67,1}, 1), "Normal", "Recession"),
  C13="Normal", CHOOSE(MATCH(RAND(), {0,0.18,0.82,1}, 1), "Boom", "Normal", "Recession"),
  C13="Recession", CHOOSE(MATCH(RAND(), {0,0.17,0.34,1}, 1), "Boom", "Normal", "Recession")
)</f>
        <v>Normal</v>
      </c>
      <c r="D14" s="69" cm="1">
        <f t="array" aca="1" ref="D14" ca="1">_xlfn.IFS(
  A14&lt;=45,
    _xlfn.SWITCH(C14,
      "Boom", salaryParameters!$E$24,
      "Normal", salaryParameters!$E$25,
      "Recession", salaryParameters!$E$26    ),
  A14&gt;=46,
    _xlfn.SWITCH(C14,
      "Boom", salaryParameters!$E$27,
      "Normal", salaryParameters!$E$28,
      "Recession", salaryParameters!$E$29    )
)</f>
        <v>3.4999985347503544E-2</v>
      </c>
      <c r="E14" s="57" cm="1">
        <f t="array" aca="1" ref="E14" ca="1">_xlfn.IFS(
  A14&lt;=45,
    _xlfn.SWITCH(C14,
      "Boom", salaryParameters!$F$24,
      "Normal", salaryParameters!$F$25,
      "Recession", salaryParameters!$F$26    ),
  A14&gt;=46,
    _xlfn.SWITCH(C14,
      "Boom", salaryParameters!$F$27,
      "Normal", salaryParameters!$F$28,
      "Recession", salaryParameters!$F$29    )
)</f>
        <v>6.9999941994113067E-3</v>
      </c>
      <c r="F14" s="57" cm="1">
        <f t="array" aca="1" ref="F14" ca="1">_xlfn.SWITCH(C14,
  "Boom", IF(A14&lt;=45, _xlfn.RANDARRAY(1,1,0.3,0.4,FALSE), _xlfn.RANDARRAY(1,1,0.7,0.8,FALSE)),
  "Normal", IF(A14&lt;=45, _xlfn.RANDARRAY(1,1,0.4,0.5,FALSE), _xlfn.RANDARRAY(1,1,0.7,0.8,FALSE)),
  "Recession", IF(A14&lt;=45, _xlfn.RANDARRAY(1,1,0.5,0.6,FALSE), _xlfn.RANDARRAY(1,1,0.8,0.9,FALSE))
)</f>
        <v>0.46658037607334857</v>
      </c>
      <c r="G14" s="57">
        <f t="shared" ca="1" si="1"/>
        <v>4.7522180563931204E-2</v>
      </c>
      <c r="H14" s="57" cm="1">
        <f t="array" aca="1" ref="H14" ca="1">_xlfn.SWITCH(C14,
  "Boom", _xlfn.BETA.INV(RAND(), 2, 1.5, 0.03, 0.05),
  "Normal", _xlfn.BETA.INV(RAND(), 1.364706192, 1, 0.02, 0.045991351),
  "Recession", _xlfn.BETA.INV(RAND(), 2.699989178, 1.5, 0.01, 0.038)
)</f>
        <v>3.6416043855326277E-2</v>
      </c>
      <c r="I14" s="57">
        <f t="shared" ca="1" si="2"/>
        <v>4.1969112209628741E-2</v>
      </c>
    </row>
    <row r="15" spans="1:11">
      <c r="A15" s="57">
        <v>43</v>
      </c>
      <c r="B15" s="57">
        <f t="shared" ca="1" si="0"/>
        <v>109944.85491394368</v>
      </c>
      <c r="C15" s="57" t="str" cm="1">
        <f t="array" aca="1" ref="C15" ca="1">_xlfn.IFS(
  C14="Boom", CHOOSE(MATCH(RAND(), {0,0.67,1}, 1), "Normal", "Recession"),
  C14="Normal", CHOOSE(MATCH(RAND(), {0,0.18,0.82,1}, 1), "Boom", "Normal", "Recession"),
  C14="Recession", CHOOSE(MATCH(RAND(), {0,0.17,0.34,1}, 1), "Boom", "Normal", "Recession")
)</f>
        <v>Recession</v>
      </c>
      <c r="D15" s="69" cm="1">
        <f t="array" aca="1" ref="D15" ca="1">_xlfn.IFS(
  A15&lt;=45,
    _xlfn.SWITCH(C15,
      "Boom", salaryParameters!$E$24,
      "Normal", salaryParameters!$E$25,
      "Recession", salaryParameters!$E$26    ),
  A15&gt;=46,
    _xlfn.SWITCH(C15,
      "Boom", salaryParameters!$E$27,
      "Normal", salaryParameters!$E$28,
      "Recession", salaryParameters!$E$29    )
)</f>
        <v>2.7999974234004792E-2</v>
      </c>
      <c r="E15" s="57" cm="1">
        <f t="array" aca="1" ref="E15" ca="1">_xlfn.IFS(
  A15&lt;=45,
    _xlfn.SWITCH(C15,
      "Boom", salaryParameters!$F$24,
      "Normal", salaryParameters!$F$25,
      "Recession", salaryParameters!$F$26    ),
  A15&gt;=46,
    _xlfn.SWITCH(C15,
      "Boom", salaryParameters!$F$27,
      "Normal", salaryParameters!$F$28,
      "Recession", salaryParameters!$F$29    )
)</f>
        <v>5.8834935449407844E-3</v>
      </c>
      <c r="F15" s="57" cm="1">
        <f t="array" aca="1" ref="F15" ca="1">_xlfn.SWITCH(C15,
  "Boom", IF(A15&lt;=45, _xlfn.RANDARRAY(1,1,0.3,0.4,FALSE), _xlfn.RANDARRAY(1,1,0.7,0.8,FALSE)),
  "Normal", IF(A15&lt;=45, _xlfn.RANDARRAY(1,1,0.4,0.5,FALSE), _xlfn.RANDARRAY(1,1,0.7,0.8,FALSE)),
  "Recession", IF(A15&lt;=45, _xlfn.RANDARRAY(1,1,0.5,0.6,FALSE), _xlfn.RANDARRAY(1,1,0.8,0.9,FALSE))
)</f>
        <v>0.51754965837260969</v>
      </c>
      <c r="G15" s="57">
        <f t="shared" ca="1" si="1"/>
        <v>3.6216313496037669E-2</v>
      </c>
      <c r="H15" s="57" cm="1">
        <f t="array" aca="1" ref="H15" ca="1">_xlfn.SWITCH(C15,
  "Boom", _xlfn.BETA.INV(RAND(), 2, 1.5, 0.03, 0.05),
  "Normal", _xlfn.BETA.INV(RAND(), 1.364706192, 1, 0.02, 0.045991351),
  "Recession", _xlfn.BETA.INV(RAND(), 2.699989178, 1.5, 0.01, 0.038)
)</f>
        <v>3.0362996985158659E-2</v>
      </c>
      <c r="I15" s="57">
        <f t="shared" ca="1" si="2"/>
        <v>3.3289655240598168E-2</v>
      </c>
    </row>
    <row r="16" spans="1:11">
      <c r="A16" s="57">
        <v>44</v>
      </c>
      <c r="B16" s="57">
        <f t="shared" ca="1" si="0"/>
        <v>113879.64166091326</v>
      </c>
      <c r="C16" s="57" t="str" cm="1">
        <f t="array" aca="1" ref="C16" ca="1">_xlfn.IFS(
  C15="Boom", CHOOSE(MATCH(RAND(), {0,0.67,1}, 1), "Normal", "Recession"),
  C15="Normal", CHOOSE(MATCH(RAND(), {0,0.18,0.82,1}, 1), "Boom", "Normal", "Recession"),
  C15="Recession", CHOOSE(MATCH(RAND(), {0,0.17,0.34,1}, 1), "Boom", "Normal", "Recession")
)</f>
        <v>Recession</v>
      </c>
      <c r="D16" s="69" cm="1">
        <f t="array" aca="1" ref="D16" ca="1">_xlfn.IFS(
  A16&lt;=45,
    _xlfn.SWITCH(C16,
      "Boom", salaryParameters!$E$24,
      "Normal", salaryParameters!$E$25,
      "Recession", salaryParameters!$E$26    ),
  A16&gt;=46,
    _xlfn.SWITCH(C16,
      "Boom", salaryParameters!$E$27,
      "Normal", salaryParameters!$E$28,
      "Recession", salaryParameters!$E$29    )
)</f>
        <v>2.7999974234004792E-2</v>
      </c>
      <c r="E16" s="57" cm="1">
        <f t="array" aca="1" ref="E16" ca="1">_xlfn.IFS(
  A16&lt;=45,
    _xlfn.SWITCH(C16,
      "Boom", salaryParameters!$F$24,
      "Normal", salaryParameters!$F$25,
      "Recession", salaryParameters!$F$26    ),
  A16&gt;=46,
    _xlfn.SWITCH(C16,
      "Boom", salaryParameters!$F$27,
      "Normal", salaryParameters!$F$28,
      "Recession", salaryParameters!$F$29    )
)</f>
        <v>5.8834935449407844E-3</v>
      </c>
      <c r="F16" s="57" cm="1">
        <f t="array" aca="1" ref="F16" ca="1">_xlfn.SWITCH(C16,
  "Boom", IF(A16&lt;=45, _xlfn.RANDARRAY(1,1,0.3,0.4,FALSE), _xlfn.RANDARRAY(1,1,0.7,0.8,FALSE)),
  "Normal", IF(A16&lt;=45, _xlfn.RANDARRAY(1,1,0.4,0.5,FALSE), _xlfn.RANDARRAY(1,1,0.7,0.8,FALSE)),
  "Recession", IF(A16&lt;=45, _xlfn.RANDARRAY(1,1,0.5,0.6,FALSE), _xlfn.RANDARRAY(1,1,0.8,0.9,FALSE))
)</f>
        <v>0.57379391950303338</v>
      </c>
      <c r="G16" s="57">
        <f t="shared" ca="1" si="1"/>
        <v>3.5788730177955322E-2</v>
      </c>
      <c r="H16" s="57" cm="1">
        <f t="array" aca="1" ref="H16" ca="1">_xlfn.SWITCH(C16,
  "Boom", _xlfn.BETA.INV(RAND(), 2, 1.5, 0.03, 0.05),
  "Normal", _xlfn.BETA.INV(RAND(), 1.364706192, 1, 0.02, 0.045991351),
  "Recession", _xlfn.BETA.INV(RAND(), 2.699989178, 1.5, 0.01, 0.038)
)</f>
        <v>2.9310681592906722E-2</v>
      </c>
      <c r="I16" s="57">
        <f t="shared" ca="1" si="2"/>
        <v>3.2549705885431018E-2</v>
      </c>
    </row>
    <row r="17" spans="1:9">
      <c r="A17" s="57">
        <v>45</v>
      </c>
      <c r="B17" s="57">
        <f t="shared" ca="1" si="0"/>
        <v>117751.6823366757</v>
      </c>
      <c r="C17" s="57" t="str" cm="1">
        <f t="array" aca="1" ref="C17" ca="1">_xlfn.IFS(
  C16="Boom", CHOOSE(MATCH(RAND(), {0,0.67,1}, 1), "Normal", "Recession"),
  C16="Normal", CHOOSE(MATCH(RAND(), {0,0.18,0.82,1}, 1), "Boom", "Normal", "Recession"),
  C16="Recession", CHOOSE(MATCH(RAND(), {0,0.17,0.34,1}, 1), "Boom", "Normal", "Recession")
)</f>
        <v>Recession</v>
      </c>
      <c r="D17" s="69" cm="1">
        <f t="array" aca="1" ref="D17" ca="1">_xlfn.IFS(
  A17&lt;=45,
    _xlfn.SWITCH(C17,
      "Boom", salaryParameters!$E$24,
      "Normal", salaryParameters!$E$25,
      "Recession", salaryParameters!$E$26    ),
  A17&gt;=46,
    _xlfn.SWITCH(C17,
      "Boom", salaryParameters!$E$27,
      "Normal", salaryParameters!$E$28,
      "Recession", salaryParameters!$E$29    )
)</f>
        <v>2.7999974234004792E-2</v>
      </c>
      <c r="E17" s="57" cm="1">
        <f t="array" aca="1" ref="E17" ca="1">_xlfn.IFS(
  A17&lt;=45,
    _xlfn.SWITCH(C17,
      "Boom", salaryParameters!$F$24,
      "Normal", salaryParameters!$F$25,
      "Recession", salaryParameters!$F$26    ),
  A17&gt;=46,
    _xlfn.SWITCH(C17,
      "Boom", salaryParameters!$F$27,
      "Normal", salaryParameters!$F$28,
      "Recession", salaryParameters!$F$29    )
)</f>
        <v>5.8834935449407844E-3</v>
      </c>
      <c r="F17" s="57" cm="1">
        <f t="array" aca="1" ref="F17" ca="1">_xlfn.SWITCH(C17,
  "Boom", IF(A17&lt;=45, _xlfn.RANDARRAY(1,1,0.3,0.4,FALSE), _xlfn.RANDARRAY(1,1,0.7,0.8,FALSE)),
  "Normal", IF(A17&lt;=45, _xlfn.RANDARRAY(1,1,0.4,0.5,FALSE), _xlfn.RANDARRAY(1,1,0.7,0.8,FALSE)),
  "Recession", IF(A17&lt;=45, _xlfn.RANDARRAY(1,1,0.5,0.6,FALSE), _xlfn.RANDARRAY(1,1,0.8,0.9,FALSE))
)</f>
        <v>0.55774718887640584</v>
      </c>
      <c r="G17" s="57">
        <f t="shared" ca="1" si="1"/>
        <v>3.4001166664115311E-2</v>
      </c>
      <c r="H17" s="57" cm="1">
        <f t="array" aca="1" ref="H17" ca="1">_xlfn.SWITCH(C17,
  "Boom", _xlfn.BETA.INV(RAND(), 2, 1.5, 0.03, 0.05),
  "Normal", _xlfn.BETA.INV(RAND(), 1.364706192, 1, 0.02, 0.045991351),
  "Recession", _xlfn.BETA.INV(RAND(), 2.699989178, 1.5, 0.01, 0.038)
)</f>
        <v>3.0355874222150268E-2</v>
      </c>
      <c r="I17" s="57">
        <f t="shared" ca="1" si="2"/>
        <v>3.217852044313279E-2</v>
      </c>
    </row>
    <row r="18" spans="1:9">
      <c r="A18" s="57">
        <v>46</v>
      </c>
      <c r="B18" s="57">
        <f t="shared" ca="1" si="0"/>
        <v>119291.16073726263</v>
      </c>
      <c r="C18" s="57" t="str" cm="1">
        <f t="array" aca="1" ref="C18" ca="1">_xlfn.IFS(
  C17="Boom", CHOOSE(MATCH(RAND(), {0,0.67,1}, 1), "Normal", "Recession"),
  C17="Normal", CHOOSE(MATCH(RAND(), {0,0.18,0.82,1}, 1), "Boom", "Normal", "Recession"),
  C17="Recession", CHOOSE(MATCH(RAND(), {0,0.17,0.34,1}, 1), "Boom", "Normal", "Recession")
)</f>
        <v>Recession</v>
      </c>
      <c r="D18" s="69" cm="1">
        <f t="array" aca="1" ref="D18" ca="1">_xlfn.IFS(
  A18&lt;=45,
    _xlfn.SWITCH(C18,
      "Boom", salaryParameters!$E$24,
      "Normal", salaryParameters!$E$25,
      "Recession", salaryParameters!$E$26    ),
  A18&gt;=46,
    _xlfn.SWITCH(C18,
      "Boom", salaryParameters!$E$27,
      "Normal", salaryParameters!$E$28,
      "Recession", salaryParameters!$E$29    )
)</f>
        <v>8.0000012083125058E-3</v>
      </c>
      <c r="E18" s="57" cm="1">
        <f t="array" aca="1" ref="E18" ca="1">_xlfn.IFS(
  A18&lt;=45,
    _xlfn.SWITCH(C18,
      "Boom", salaryParameters!$F$24,
      "Normal", salaryParameters!$F$25,
      "Recession", salaryParameters!$F$26    ),
  A18&gt;=46,
    _xlfn.SWITCH(C18,
      "Boom", salaryParameters!$F$27,
      "Normal", salaryParameters!$F$28,
      "Recession", salaryParameters!$F$29    )
)</f>
        <v>3.5031768893903073E-3</v>
      </c>
      <c r="F18" s="57" cm="1">
        <f t="array" aca="1" ref="F18" ca="1">_xlfn.SWITCH(C18,
  "Boom", IF(A18&lt;=45, _xlfn.RANDARRAY(1,1,0.3,0.4,FALSE), _xlfn.RANDARRAY(1,1,0.7,0.8,FALSE)),
  "Normal", IF(A18&lt;=45, _xlfn.RANDARRAY(1,1,0.4,0.5,FALSE), _xlfn.RANDARRAY(1,1,0.7,0.8,FALSE)),
  "Recession", IF(A18&lt;=45, _xlfn.RANDARRAY(1,1,0.5,0.6,FALSE), _xlfn.RANDARRAY(1,1,0.8,0.9,FALSE))
)</f>
        <v>0.80173512568886385</v>
      </c>
      <c r="G18" s="57">
        <f t="shared" ca="1" si="1"/>
        <v>1.3073939752174774E-2</v>
      </c>
      <c r="I18" s="57">
        <f t="shared" ca="1" si="2"/>
        <v>1.3073939752174774E-2</v>
      </c>
    </row>
    <row r="19" spans="1:9">
      <c r="A19" s="57">
        <v>47</v>
      </c>
      <c r="B19" s="57">
        <f t="shared" ca="1" si="0"/>
        <v>120245.49016730174</v>
      </c>
      <c r="C19" s="57" t="str" cm="1">
        <f t="array" aca="1" ref="C19" ca="1">_xlfn.IFS(
  C18="Boom", CHOOSE(MATCH(RAND(), {0,0.67,1}, 1), "Normal", "Recession"),
  C18="Normal", CHOOSE(MATCH(RAND(), {0,0.18,0.82,1}, 1), "Boom", "Normal", "Recession"),
  C18="Recession", CHOOSE(MATCH(RAND(), {0,0.17,0.34,1}, 1), "Boom", "Normal", "Recession")
)</f>
        <v>Recession</v>
      </c>
      <c r="D19" s="69" cm="1">
        <f t="array" aca="1" ref="D19" ca="1">_xlfn.IFS(
  A19&lt;=45,
    _xlfn.SWITCH(C19,
      "Boom", salaryParameters!$E$24,
      "Normal", salaryParameters!$E$25,
      "Recession", salaryParameters!$E$26    ),
  A19&gt;=46,
    _xlfn.SWITCH(C19,
      "Boom", salaryParameters!$E$27,
      "Normal", salaryParameters!$E$28,
      "Recession", salaryParameters!$E$29    )
)</f>
        <v>8.0000012083125058E-3</v>
      </c>
      <c r="E19" s="57" cm="1">
        <f t="array" aca="1" ref="E19" ca="1">_xlfn.IFS(
  A19&lt;=45,
    _xlfn.SWITCH(C19,
      "Boom", salaryParameters!$F$24,
      "Normal", salaryParameters!$F$25,
      "Recession", salaryParameters!$F$26    ),
  A19&gt;=46,
    _xlfn.SWITCH(C19,
      "Boom", salaryParameters!$F$27,
      "Normal", salaryParameters!$F$28,
      "Recession", salaryParameters!$F$29    )
)</f>
        <v>3.5031768893903073E-3</v>
      </c>
      <c r="F19" s="57" cm="1">
        <f t="array" aca="1" ref="F19" ca="1">_xlfn.SWITCH(C19,
  "Boom", IF(A19&lt;=45, _xlfn.RANDARRAY(1,1,0.3,0.4,FALSE), _xlfn.RANDARRAY(1,1,0.7,0.8,FALSE)),
  "Normal", IF(A19&lt;=45, _xlfn.RANDARRAY(1,1,0.4,0.5,FALSE), _xlfn.RANDARRAY(1,1,0.7,0.8,FALSE)),
  "Recession", IF(A19&lt;=45, _xlfn.RANDARRAY(1,1,0.5,0.6,FALSE), _xlfn.RANDARRAY(1,1,0.8,0.9,FALSE))
)</f>
        <v>0.80081037859249626</v>
      </c>
      <c r="G19" s="57">
        <f t="shared" ca="1" si="1"/>
        <v>8.0000012083125058E-3</v>
      </c>
      <c r="I19" s="57">
        <f t="shared" ca="1" si="2"/>
        <v>8.0000012083125058E-3</v>
      </c>
    </row>
    <row r="20" spans="1:9">
      <c r="A20" s="57">
        <v>48</v>
      </c>
      <c r="B20" s="57">
        <f t="shared" ca="1" si="0"/>
        <v>121985.84000284573</v>
      </c>
      <c r="C20" s="57" t="str" cm="1">
        <f t="array" aca="1" ref="C20" ca="1">_xlfn.IFS(
  C19="Boom", CHOOSE(MATCH(RAND(), {0,0.67,1}, 1), "Normal", "Recession"),
  C19="Normal", CHOOSE(MATCH(RAND(), {0,0.18,0.82,1}, 1), "Boom", "Normal", "Recession"),
  C19="Recession", CHOOSE(MATCH(RAND(), {0,0.17,0.34,1}, 1), "Boom", "Normal", "Recession")
)</f>
        <v>Recession</v>
      </c>
      <c r="D20" s="69" cm="1">
        <f t="array" aca="1" ref="D20" ca="1">_xlfn.IFS(
  A20&lt;=45,
    _xlfn.SWITCH(C20,
      "Boom", salaryParameters!$E$24,
      "Normal", salaryParameters!$E$25,
      "Recession", salaryParameters!$E$26    ),
  A20&gt;=46,
    _xlfn.SWITCH(C20,
      "Boom", salaryParameters!$E$27,
      "Normal", salaryParameters!$E$28,
      "Recession", salaryParameters!$E$29    )
)</f>
        <v>8.0000012083125058E-3</v>
      </c>
      <c r="E20" s="57" cm="1">
        <f t="array" aca="1" ref="E20" ca="1">_xlfn.IFS(
  A20&lt;=45,
    _xlfn.SWITCH(C20,
      "Boom", salaryParameters!$F$24,
      "Normal", salaryParameters!$F$25,
      "Recession", salaryParameters!$F$26    ),
  A20&gt;=46,
    _xlfn.SWITCH(C20,
      "Boom", salaryParameters!$F$27,
      "Normal", salaryParameters!$F$28,
      "Recession", salaryParameters!$F$29    )
)</f>
        <v>3.5031768893903073E-3</v>
      </c>
      <c r="F20" s="57" cm="1">
        <f t="array" aca="1" ref="F20" ca="1">_xlfn.SWITCH(C20,
  "Boom", IF(A20&lt;=45, _xlfn.RANDARRAY(1,1,0.3,0.4,FALSE), _xlfn.RANDARRAY(1,1,0.7,0.8,FALSE)),
  "Normal", IF(A20&lt;=45, _xlfn.RANDARRAY(1,1,0.4,0.5,FALSE), _xlfn.RANDARRAY(1,1,0.7,0.8,FALSE)),
  "Recession", IF(A20&lt;=45, _xlfn.RANDARRAY(1,1,0.5,0.6,FALSE), _xlfn.RANDARRAY(1,1,0.8,0.9,FALSE))
)</f>
        <v>0.83598216669444247</v>
      </c>
      <c r="G20" s="57">
        <f t="shared" ca="1" si="1"/>
        <v>1.4473306509230134E-2</v>
      </c>
      <c r="I20" s="57">
        <f t="shared" ca="1" si="2"/>
        <v>1.4473306509230134E-2</v>
      </c>
    </row>
    <row r="21" spans="1:9">
      <c r="A21" s="57">
        <v>49</v>
      </c>
      <c r="B21" s="57">
        <f t="shared" ca="1" si="0"/>
        <v>124360.84856962445</v>
      </c>
      <c r="C21" s="57" t="str" cm="1">
        <f t="array" aca="1" ref="C21" ca="1">_xlfn.IFS(
  C20="Boom", CHOOSE(MATCH(RAND(), {0,0.67,1}, 1), "Normal", "Recession"),
  C20="Normal", CHOOSE(MATCH(RAND(), {0,0.18,0.82,1}, 1), "Boom", "Normal", "Recession"),
  C20="Recession", CHOOSE(MATCH(RAND(), {0,0.17,0.34,1}, 1), "Boom", "Normal", "Recession")
)</f>
        <v>Normal</v>
      </c>
      <c r="D21" s="69" cm="1">
        <f t="array" aca="1" ref="D21" ca="1">_xlfn.IFS(
  A21&lt;=45,
    _xlfn.SWITCH(C21,
      "Boom", salaryParameters!$E$24,
      "Normal", salaryParameters!$E$25,
      "Recession", salaryParameters!$E$26    ),
  A21&gt;=46,
    _xlfn.SWITCH(C21,
      "Boom", salaryParameters!$E$27,
      "Normal", salaryParameters!$E$28,
      "Recession", salaryParameters!$E$29    )
)</f>
        <v>1.4133933707951039E-2</v>
      </c>
      <c r="E21" s="57" cm="1">
        <f t="array" aca="1" ref="E21" ca="1">_xlfn.IFS(
  A21&lt;=45,
    _xlfn.SWITCH(C21,
      "Boom", salaryParameters!$F$24,
      "Normal", salaryParameters!$F$25,
      "Recession", salaryParameters!$F$26    ),
  A21&gt;=46,
    _xlfn.SWITCH(C21,
      "Boom", salaryParameters!$F$27,
      "Normal", salaryParameters!$F$28,
      "Recession", salaryParameters!$F$29    )
)</f>
        <v>2.9999999735977907E-3</v>
      </c>
      <c r="F21" s="57" cm="1">
        <f t="array" aca="1" ref="F21" ca="1">_xlfn.SWITCH(C21,
  "Boom", IF(A21&lt;=45, _xlfn.RANDARRAY(1,1,0.3,0.4,FALSE), _xlfn.RANDARRAY(1,1,0.7,0.8,FALSE)),
  "Normal", IF(A21&lt;=45, _xlfn.RANDARRAY(1,1,0.4,0.5,FALSE), _xlfn.RANDARRAY(1,1,0.7,0.8,FALSE)),
  "Recession", IF(A21&lt;=45, _xlfn.RANDARRAY(1,1,0.5,0.6,FALSE), _xlfn.RANDARRAY(1,1,0.8,0.9,FALSE))
)</f>
        <v>0.79326401729710094</v>
      </c>
      <c r="G21" s="57">
        <f t="shared" ca="1" si="1"/>
        <v>1.9469543077485992E-2</v>
      </c>
      <c r="I21" s="57">
        <f t="shared" ca="1" si="2"/>
        <v>1.9469543077485992E-2</v>
      </c>
    </row>
    <row r="22" spans="1:9">
      <c r="A22" s="57">
        <v>50</v>
      </c>
      <c r="B22" s="57">
        <f t="shared" ca="1" si="0"/>
        <v>126675.12237477647</v>
      </c>
      <c r="C22" s="57" t="str" cm="1">
        <f t="array" aca="1" ref="C22" ca="1">_xlfn.IFS(
  C21="Boom", CHOOSE(MATCH(RAND(), {0,0.67,1}, 1), "Normal", "Recession"),
  C21="Normal", CHOOSE(MATCH(RAND(), {0,0.18,0.82,1}, 1), "Boom", "Normal", "Recession"),
  C21="Recession", CHOOSE(MATCH(RAND(), {0,0.17,0.34,1}, 1), "Boom", "Normal", "Recession")
)</f>
        <v>Normal</v>
      </c>
      <c r="D22" s="69" cm="1">
        <f t="array" aca="1" ref="D22" ca="1">_xlfn.IFS(
  A22&lt;=45,
    _xlfn.SWITCH(C22,
      "Boom", salaryParameters!$E$24,
      "Normal", salaryParameters!$E$25,
      "Recession", salaryParameters!$E$26    ),
  A22&gt;=46,
    _xlfn.SWITCH(C22,
      "Boom", salaryParameters!$E$27,
      "Normal", salaryParameters!$E$28,
      "Recession", salaryParameters!$E$29    )
)</f>
        <v>1.4133933707951039E-2</v>
      </c>
      <c r="E22" s="57" cm="1">
        <f t="array" aca="1" ref="E22" ca="1">_xlfn.IFS(
  A22&lt;=45,
    _xlfn.SWITCH(C22,
      "Boom", salaryParameters!$F$24,
      "Normal", salaryParameters!$F$25,
      "Recession", salaryParameters!$F$26    ),
  A22&gt;=46,
    _xlfn.SWITCH(C22,
      "Boom", salaryParameters!$F$27,
      "Normal", salaryParameters!$F$28,
      "Recession", salaryParameters!$F$29    )
)</f>
        <v>2.9999999735977907E-3</v>
      </c>
      <c r="F22" s="57" cm="1">
        <f t="array" aca="1" ref="F22" ca="1">_xlfn.SWITCH(C22,
  "Boom", IF(A22&lt;=45, _xlfn.RANDARRAY(1,1,0.3,0.4,FALSE), _xlfn.RANDARRAY(1,1,0.7,0.8,FALSE)),
  "Normal", IF(A22&lt;=45, _xlfn.RANDARRAY(1,1,0.4,0.5,FALSE), _xlfn.RANDARRAY(1,1,0.7,0.8,FALSE)),
  "Recession", IF(A22&lt;=45, _xlfn.RANDARRAY(1,1,0.5,0.6,FALSE), _xlfn.RANDARRAY(1,1,0.8,0.9,FALSE))
)</f>
        <v>0.73817329962780576</v>
      </c>
      <c r="G22" s="57">
        <f t="shared" ca="1" si="1"/>
        <v>1.8609343951656657E-2</v>
      </c>
      <c r="I22" s="57">
        <f t="shared" ca="1" si="2"/>
        <v>1.8609343951656657E-2</v>
      </c>
    </row>
    <row r="23" spans="1:9">
      <c r="A23" s="57">
        <v>51</v>
      </c>
      <c r="B23" s="57">
        <f t="shared" ca="1" si="0"/>
        <v>129412.72840578426</v>
      </c>
      <c r="C23" s="57" t="str" cm="1">
        <f t="array" aca="1" ref="C23" ca="1">_xlfn.IFS(
  C22="Boom", CHOOSE(MATCH(RAND(), {0,0.67,1}, 1), "Normal", "Recession"),
  C22="Normal", CHOOSE(MATCH(RAND(), {0,0.18,0.82,1}, 1), "Boom", "Normal", "Recession"),
  C22="Recession", CHOOSE(MATCH(RAND(), {0,0.17,0.34,1}, 1), "Boom", "Normal", "Recession")
)</f>
        <v>Normal</v>
      </c>
      <c r="D23" s="69" cm="1">
        <f t="array" aca="1" ref="D23" ca="1">_xlfn.IFS(
  A23&lt;=45,
    _xlfn.SWITCH(C23,
      "Boom", salaryParameters!$E$24,
      "Normal", salaryParameters!$E$25,
      "Recession", salaryParameters!$E$26    ),
  A23&gt;=46,
    _xlfn.SWITCH(C23,
      "Boom", salaryParameters!$E$27,
      "Normal", salaryParameters!$E$28,
      "Recession", salaryParameters!$E$29    )
)</f>
        <v>1.4133933707951039E-2</v>
      </c>
      <c r="E23" s="57" cm="1">
        <f t="array" aca="1" ref="E23" ca="1">_xlfn.IFS(
  A23&lt;=45,
    _xlfn.SWITCH(C23,
      "Boom", salaryParameters!$F$24,
      "Normal", salaryParameters!$F$25,
      "Recession", salaryParameters!$F$26    ),
  A23&gt;=46,
    _xlfn.SWITCH(C23,
      "Boom", salaryParameters!$F$27,
      "Normal", salaryParameters!$F$28,
      "Recession", salaryParameters!$F$29    )
)</f>
        <v>2.9999999735977907E-3</v>
      </c>
      <c r="F23" s="57" cm="1">
        <f t="array" aca="1" ref="F23" ca="1">_xlfn.SWITCH(C23,
  "Boom", IF(A23&lt;=45, _xlfn.RANDARRAY(1,1,0.3,0.4,FALSE), _xlfn.RANDARRAY(1,1,0.7,0.8,FALSE)),
  "Normal", IF(A23&lt;=45, _xlfn.RANDARRAY(1,1,0.4,0.5,FALSE), _xlfn.RANDARRAY(1,1,0.7,0.8,FALSE)),
  "Recession", IF(A23&lt;=45, _xlfn.RANDARRAY(1,1,0.5,0.6,FALSE), _xlfn.RANDARRAY(1,1,0.8,0.9,FALSE))
)</f>
        <v>0.72780617733606645</v>
      </c>
      <c r="G23" s="57">
        <f t="shared" ca="1" si="1"/>
        <v>2.1611236521314761E-2</v>
      </c>
      <c r="I23" s="57">
        <f t="shared" ca="1" si="2"/>
        <v>2.1611236521314761E-2</v>
      </c>
    </row>
    <row r="24" spans="1:9">
      <c r="A24" s="57">
        <v>52</v>
      </c>
      <c r="B24" s="57">
        <f t="shared" ca="1" si="0"/>
        <v>132692.25955066588</v>
      </c>
      <c r="C24" s="57" t="str" cm="1">
        <f t="array" aca="1" ref="C24" ca="1">_xlfn.IFS(
  C23="Boom", CHOOSE(MATCH(RAND(), {0,0.67,1}, 1), "Normal", "Recession"),
  C23="Normal", CHOOSE(MATCH(RAND(), {0,0.18,0.82,1}, 1), "Boom", "Normal", "Recession"),
  C23="Recession", CHOOSE(MATCH(RAND(), {0,0.17,0.34,1}, 1), "Boom", "Normal", "Recession")
)</f>
        <v>Normal</v>
      </c>
      <c r="D24" s="69" cm="1">
        <f t="array" aca="1" ref="D24" ca="1">_xlfn.IFS(
  A24&lt;=45,
    _xlfn.SWITCH(C24,
      "Boom", salaryParameters!$E$24,
      "Normal", salaryParameters!$E$25,
      "Recession", salaryParameters!$E$26    ),
  A24&gt;=46,
    _xlfn.SWITCH(C24,
      "Boom", salaryParameters!$E$27,
      "Normal", salaryParameters!$E$28,
      "Recession", salaryParameters!$E$29    )
)</f>
        <v>1.4133933707951039E-2</v>
      </c>
      <c r="E24" s="57" cm="1">
        <f t="array" aca="1" ref="E24" ca="1">_xlfn.IFS(
  A24&lt;=45,
    _xlfn.SWITCH(C24,
      "Boom", salaryParameters!$F$24,
      "Normal", salaryParameters!$F$25,
      "Recession", salaryParameters!$F$26    ),
  A24&gt;=46,
    _xlfn.SWITCH(C24,
      "Boom", salaryParameters!$F$27,
      "Normal", salaryParameters!$F$28,
      "Recession", salaryParameters!$F$29    )
)</f>
        <v>2.9999999735977907E-3</v>
      </c>
      <c r="F24" s="57" cm="1">
        <f t="array" aca="1" ref="F24" ca="1">_xlfn.SWITCH(C24,
  "Boom", IF(A24&lt;=45, _xlfn.RANDARRAY(1,1,0.3,0.4,FALSE), _xlfn.RANDARRAY(1,1,0.7,0.8,FALSE)),
  "Normal", IF(A24&lt;=45, _xlfn.RANDARRAY(1,1,0.4,0.5,FALSE), _xlfn.RANDARRAY(1,1,0.7,0.8,FALSE)),
  "Recession", IF(A24&lt;=45, _xlfn.RANDARRAY(1,1,0.5,0.6,FALSE), _xlfn.RANDARRAY(1,1,0.8,0.9,FALSE))
)</f>
        <v>0.74800233666285754</v>
      </c>
      <c r="G24" s="57">
        <f t="shared" ca="1" si="1"/>
        <v>2.5341642860649497E-2</v>
      </c>
      <c r="I24" s="57">
        <f t="shared" ca="1" si="2"/>
        <v>2.5341642860649497E-2</v>
      </c>
    </row>
    <row r="25" spans="1:9">
      <c r="A25" s="57">
        <v>53</v>
      </c>
      <c r="B25" s="57">
        <f t="shared" ca="1" si="0"/>
        <v>135545.78856282454</v>
      </c>
      <c r="C25" s="57" t="str" cm="1">
        <f t="array" aca="1" ref="C25" ca="1">_xlfn.IFS(
  C24="Boom", CHOOSE(MATCH(RAND(), {0,0.67,1}, 1), "Normal", "Recession"),
  C24="Normal", CHOOSE(MATCH(RAND(), {0,0.18,0.82,1}, 1), "Boom", "Normal", "Recession"),
  C24="Recession", CHOOSE(MATCH(RAND(), {0,0.17,0.34,1}, 1), "Boom", "Normal", "Recession")
)</f>
        <v>Normal</v>
      </c>
      <c r="D25" s="69" cm="1">
        <f t="array" aca="1" ref="D25" ca="1">_xlfn.IFS(
  A25&lt;=45,
    _xlfn.SWITCH(C25,
      "Boom", salaryParameters!$E$24,
      "Normal", salaryParameters!$E$25,
      "Recession", salaryParameters!$E$26    ),
  A25&gt;=46,
    _xlfn.SWITCH(C25,
      "Boom", salaryParameters!$E$27,
      "Normal", salaryParameters!$E$28,
      "Recession", salaryParameters!$E$29    )
)</f>
        <v>1.4133933707951039E-2</v>
      </c>
      <c r="E25" s="57" cm="1">
        <f t="array" aca="1" ref="E25" ca="1">_xlfn.IFS(
  A25&lt;=45,
    _xlfn.SWITCH(C25,
      "Boom", salaryParameters!$F$24,
      "Normal", salaryParameters!$F$25,
      "Recession", salaryParameters!$F$26    ),
  A25&gt;=46,
    _xlfn.SWITCH(C25,
      "Boom", salaryParameters!$F$27,
      "Normal", salaryParameters!$F$28,
      "Recession", salaryParameters!$F$29    )
)</f>
        <v>2.9999999735977907E-3</v>
      </c>
      <c r="F25" s="57" cm="1">
        <f t="array" aca="1" ref="F25" ca="1">_xlfn.SWITCH(C25,
  "Boom", IF(A25&lt;=45, _xlfn.RANDARRAY(1,1,0.3,0.4,FALSE), _xlfn.RANDARRAY(1,1,0.7,0.8,FALSE)),
  "Normal", IF(A25&lt;=45, _xlfn.RANDARRAY(1,1,0.4,0.5,FALSE), _xlfn.RANDARRAY(1,1,0.7,0.8,FALSE)),
  "Recession", IF(A25&lt;=45, _xlfn.RANDARRAY(1,1,0.5,0.6,FALSE), _xlfn.RANDARRAY(1,1,0.8,0.9,FALSE))
)</f>
        <v>0.72770101278554233</v>
      </c>
      <c r="G25" s="57">
        <f t="shared" ca="1" si="1"/>
        <v>2.1504864125620683E-2</v>
      </c>
      <c r="I25" s="57">
        <f t="shared" ca="1" si="2"/>
        <v>2.1504864125620683E-2</v>
      </c>
    </row>
    <row r="26" spans="1:9">
      <c r="A26" s="57">
        <v>54</v>
      </c>
      <c r="B26" s="57">
        <f t="shared" ca="1" si="0"/>
        <v>138177.56063555731</v>
      </c>
      <c r="C26" s="57" t="str" cm="1">
        <f t="array" aca="1" ref="C26" ca="1">_xlfn.IFS(
  C25="Boom", CHOOSE(MATCH(RAND(), {0,0.67,1}, 1), "Normal", "Recession"),
  C25="Normal", CHOOSE(MATCH(RAND(), {0,0.18,0.82,1}, 1), "Boom", "Normal", "Recession"),
  C25="Recession", CHOOSE(MATCH(RAND(), {0,0.17,0.34,1}, 1), "Boom", "Normal", "Recession")
)</f>
        <v>Boom</v>
      </c>
      <c r="D26" s="69" cm="1">
        <f t="array" aca="1" ref="D26" ca="1">_xlfn.IFS(
  A26&lt;=45,
    _xlfn.SWITCH(C26,
      "Boom", salaryParameters!$E$24,
      "Normal", salaryParameters!$E$25,
      "Recession", salaryParameters!$E$26    ),
  A26&gt;=46,
    _xlfn.SWITCH(C26,
      "Boom", salaryParameters!$E$27,
      "Normal", salaryParameters!$E$28,
      "Recession", salaryParameters!$E$29    )
)</f>
        <v>1.922649683799833E-2</v>
      </c>
      <c r="E26" s="57" cm="1">
        <f t="array" aca="1" ref="E26" ca="1">_xlfn.IFS(
  A26&lt;=45,
    _xlfn.SWITCH(C26,
      "Boom", salaryParameters!$F$24,
      "Normal", salaryParameters!$F$25,
      "Recession", salaryParameters!$F$26    ),
  A26&gt;=46,
    _xlfn.SWITCH(C26,
      "Boom", salaryParameters!$F$27,
      "Normal", salaryParameters!$F$28,
      "Recession", salaryParameters!$F$29    )
)</f>
        <v>2.0000001628492927E-3</v>
      </c>
      <c r="F26" s="57" cm="1">
        <f t="array" aca="1" ref="F26" ca="1">_xlfn.SWITCH(C26,
  "Boom", IF(A26&lt;=45, _xlfn.RANDARRAY(1,1,0.3,0.4,FALSE), _xlfn.RANDARRAY(1,1,0.7,0.8,FALSE)),
  "Normal", IF(A26&lt;=45, _xlfn.RANDARRAY(1,1,0.4,0.5,FALSE), _xlfn.RANDARRAY(1,1,0.7,0.8,FALSE)),
  "Recession", IF(A26&lt;=45, _xlfn.RANDARRAY(1,1,0.5,0.6,FALSE), _xlfn.RANDARRAY(1,1,0.8,0.9,FALSE))
)</f>
        <v>0.7407443078439836</v>
      </c>
      <c r="G26" s="57">
        <f t="shared" ca="1" si="1"/>
        <v>1.9416110973547202E-2</v>
      </c>
      <c r="I26" s="57">
        <f t="shared" ca="1" si="2"/>
        <v>1.9416110973547202E-2</v>
      </c>
    </row>
    <row r="27" spans="1:9">
      <c r="A27" s="57">
        <v>55</v>
      </c>
      <c r="B27" s="57">
        <f t="shared" ca="1" si="0"/>
        <v>140130.55311750667</v>
      </c>
      <c r="C27" s="57" t="str" cm="1">
        <f t="array" aca="1" ref="C27" ca="1">_xlfn.IFS(
  C26="Boom", CHOOSE(MATCH(RAND(), {0,0.67,1}, 1), "Normal", "Recession"),
  C26="Normal", CHOOSE(MATCH(RAND(), {0,0.18,0.82,1}, 1), "Boom", "Normal", "Recession"),
  C26="Recession", CHOOSE(MATCH(RAND(), {0,0.17,0.34,1}, 1), "Boom", "Normal", "Recession")
)</f>
        <v>Normal</v>
      </c>
      <c r="D27" s="69" cm="1">
        <f t="array" aca="1" ref="D27" ca="1">_xlfn.IFS(
  A27&lt;=45,
    _xlfn.SWITCH(C27,
      "Boom", salaryParameters!$E$24,
      "Normal", salaryParameters!$E$25,
      "Recession", salaryParameters!$E$26    ),
  A27&gt;=46,
    _xlfn.SWITCH(C27,
      "Boom", salaryParameters!$E$27,
      "Normal", salaryParameters!$E$28,
      "Recession", salaryParameters!$E$29    )
)</f>
        <v>1.4133933707951039E-2</v>
      </c>
      <c r="E27" s="57" cm="1">
        <f t="array" aca="1" ref="E27" ca="1">_xlfn.IFS(
  A27&lt;=45,
    _xlfn.SWITCH(C27,
      "Boom", salaryParameters!$F$24,
      "Normal", salaryParameters!$F$25,
      "Recession", salaryParameters!$F$26    ),
  A27&gt;=46,
    _xlfn.SWITCH(C27,
      "Boom", salaryParameters!$F$27,
      "Normal", salaryParameters!$F$28,
      "Recession", salaryParameters!$F$29    )
)</f>
        <v>2.9999999735977907E-3</v>
      </c>
      <c r="F27" s="57" cm="1">
        <f t="array" aca="1" ref="F27" ca="1">_xlfn.SWITCH(C27,
  "Boom", IF(A27&lt;=45, _xlfn.RANDARRAY(1,1,0.3,0.4,FALSE), _xlfn.RANDARRAY(1,1,0.7,0.8,FALSE)),
  "Normal", IF(A27&lt;=45, _xlfn.RANDARRAY(1,1,0.4,0.5,FALSE), _xlfn.RANDARRAY(1,1,0.7,0.8,FALSE)),
  "Recession", IF(A27&lt;=45, _xlfn.RANDARRAY(1,1,0.5,0.6,FALSE), _xlfn.RANDARRAY(1,1,0.8,0.9,FALSE))
)</f>
        <v>0.76667138801868007</v>
      </c>
      <c r="G27" s="57">
        <f t="shared" ca="1" si="1"/>
        <v>1.4133933707951039E-2</v>
      </c>
      <c r="I27" s="57">
        <f t="shared" ca="1" si="2"/>
        <v>1.4133933707951039E-2</v>
      </c>
    </row>
    <row r="28" spans="1:9">
      <c r="A28" s="57">
        <v>56</v>
      </c>
      <c r="B28" s="57">
        <f t="shared" ca="1" si="0"/>
        <v>142144.31152293217</v>
      </c>
      <c r="C28" s="57" t="str" cm="1">
        <f t="array" aca="1" ref="C28" ca="1">_xlfn.IFS(
  C27="Boom", CHOOSE(MATCH(RAND(), {0,0.67,1}, 1), "Normal", "Recession"),
  C27="Normal", CHOOSE(MATCH(RAND(), {0,0.18,0.82,1}, 1), "Boom", "Normal", "Recession"),
  C27="Recession", CHOOSE(MATCH(RAND(), {0,0.17,0.34,1}, 1), "Boom", "Normal", "Recession")
)</f>
        <v>Normal</v>
      </c>
      <c r="D28" s="69" cm="1">
        <f t="array" aca="1" ref="D28" ca="1">_xlfn.IFS(
  A28&lt;=45,
    _xlfn.SWITCH(C28,
      "Boom", salaryParameters!$E$24,
      "Normal", salaryParameters!$E$25,
      "Recession", salaryParameters!$E$26    ),
  A28&gt;=46,
    _xlfn.SWITCH(C28,
      "Boom", salaryParameters!$E$27,
      "Normal", salaryParameters!$E$28,
      "Recession", salaryParameters!$E$29    )
)</f>
        <v>1.4133933707951039E-2</v>
      </c>
      <c r="E28" s="57" cm="1">
        <f t="array" aca="1" ref="E28" ca="1">_xlfn.IFS(
  A28&lt;=45,
    _xlfn.SWITCH(C28,
      "Boom", salaryParameters!$F$24,
      "Normal", salaryParameters!$F$25,
      "Recession", salaryParameters!$F$26    ),
  A28&gt;=46,
    _xlfn.SWITCH(C28,
      "Boom", salaryParameters!$F$27,
      "Normal", salaryParameters!$F$28,
      "Recession", salaryParameters!$F$29    )
)</f>
        <v>2.9999999735977907E-3</v>
      </c>
      <c r="F28" s="57" cm="1">
        <f t="array" aca="1" ref="F28" ca="1">_xlfn.SWITCH(C28,
  "Boom", IF(A28&lt;=45, _xlfn.RANDARRAY(1,1,0.3,0.4,FALSE), _xlfn.RANDARRAY(1,1,0.7,0.8,FALSE)),
  "Normal", IF(A28&lt;=45, _xlfn.RANDARRAY(1,1,0.4,0.5,FALSE), _xlfn.RANDARRAY(1,1,0.7,0.8,FALSE)),
  "Recession", IF(A28&lt;=45, _xlfn.RANDARRAY(1,1,0.5,0.6,FALSE), _xlfn.RANDARRAY(1,1,0.8,0.9,FALSE))
)</f>
        <v>0.72946451823023761</v>
      </c>
      <c r="G28" s="57">
        <f t="shared" ca="1" si="1"/>
        <v>1.4370587717133064E-2</v>
      </c>
      <c r="I28" s="57">
        <f t="shared" ca="1" si="2"/>
        <v>1.4370587717133064E-2</v>
      </c>
    </row>
    <row r="29" spans="1:9">
      <c r="A29" s="57">
        <v>57</v>
      </c>
      <c r="B29" s="57">
        <f t="shared" ca="1" si="0"/>
        <v>144495.78581488586</v>
      </c>
      <c r="C29" s="57" t="str" cm="1">
        <f t="array" aca="1" ref="C29" ca="1">_xlfn.IFS(
  C28="Boom", CHOOSE(MATCH(RAND(), {0,0.67,1}, 1), "Normal", "Recession"),
  C28="Normal", CHOOSE(MATCH(RAND(), {0,0.18,0.82,1}, 1), "Boom", "Normal", "Recession"),
  C28="Recession", CHOOSE(MATCH(RAND(), {0,0.17,0.34,1}, 1), "Boom", "Normal", "Recession")
)</f>
        <v>Normal</v>
      </c>
      <c r="D29" s="69" cm="1">
        <f t="array" aca="1" ref="D29" ca="1">_xlfn.IFS(
  A29&lt;=45,
    _xlfn.SWITCH(C29,
      "Boom", salaryParameters!$E$24,
      "Normal", salaryParameters!$E$25,
      "Recession", salaryParameters!$E$26    ),
  A29&gt;=46,
    _xlfn.SWITCH(C29,
      "Boom", salaryParameters!$E$27,
      "Normal", salaryParameters!$E$28,
      "Recession", salaryParameters!$E$29    )
)</f>
        <v>1.4133933707951039E-2</v>
      </c>
      <c r="E29" s="57" cm="1">
        <f t="array" aca="1" ref="E29" ca="1">_xlfn.IFS(
  A29&lt;=45,
    _xlfn.SWITCH(C29,
      "Boom", salaryParameters!$F$24,
      "Normal", salaryParameters!$F$25,
      "Recession", salaryParameters!$F$26    ),
  A29&gt;=46,
    _xlfn.SWITCH(C29,
      "Boom", salaryParameters!$F$27,
      "Normal", salaryParameters!$F$28,
      "Recession", salaryParameters!$F$29    )
)</f>
        <v>2.9999999735977907E-3</v>
      </c>
      <c r="F29" s="57" cm="1">
        <f t="array" aca="1" ref="F29" ca="1">_xlfn.SWITCH(C29,
  "Boom", IF(A29&lt;=45, _xlfn.RANDARRAY(1,1,0.3,0.4,FALSE), _xlfn.RANDARRAY(1,1,0.7,0.8,FALSE)),
  "Normal", IF(A29&lt;=45, _xlfn.RANDARRAY(1,1,0.4,0.5,FALSE), _xlfn.RANDARRAY(1,1,0.7,0.8,FALSE)),
  "Recession", IF(A29&lt;=45, _xlfn.RANDARRAY(1,1,0.5,0.6,FALSE), _xlfn.RANDARRAY(1,1,0.8,0.9,FALSE))
)</f>
        <v>0.73764067330939975</v>
      </c>
      <c r="G29" s="57">
        <f t="shared" ca="1" si="1"/>
        <v>1.6542865956154239E-2</v>
      </c>
      <c r="I29" s="57">
        <f t="shared" ca="1" si="2"/>
        <v>1.6542865956154239E-2</v>
      </c>
    </row>
    <row r="30" spans="1:9">
      <c r="A30" s="57">
        <v>58</v>
      </c>
      <c r="B30" s="57">
        <f t="shared" ca="1" si="0"/>
        <v>147073.31949830422</v>
      </c>
      <c r="C30" s="57" t="str" cm="1">
        <f t="array" aca="1" ref="C30" ca="1">_xlfn.IFS(
  C29="Boom", CHOOSE(MATCH(RAND(), {0,0.67,1}, 1), "Normal", "Recession"),
  C29="Normal", CHOOSE(MATCH(RAND(), {0,0.18,0.82,1}, 1), "Boom", "Normal", "Recession"),
  C29="Recession", CHOOSE(MATCH(RAND(), {0,0.17,0.34,1}, 1), "Boom", "Normal", "Recession")
)</f>
        <v>Normal</v>
      </c>
      <c r="D30" s="69" cm="1">
        <f t="array" aca="1" ref="D30" ca="1">_xlfn.IFS(
  A30&lt;=45,
    _xlfn.SWITCH(C30,
      "Boom", salaryParameters!$E$24,
      "Normal", salaryParameters!$E$25,
      "Recession", salaryParameters!$E$26    ),
  A30&gt;=46,
    _xlfn.SWITCH(C30,
      "Boom", salaryParameters!$E$27,
      "Normal", salaryParameters!$E$28,
      "Recession", salaryParameters!$E$29    )
)</f>
        <v>1.4133933707951039E-2</v>
      </c>
      <c r="E30" s="57" cm="1">
        <f t="array" aca="1" ref="E30" ca="1">_xlfn.IFS(
  A30&lt;=45,
    _xlfn.SWITCH(C30,
      "Boom", salaryParameters!$F$24,
      "Normal", salaryParameters!$F$25,
      "Recession", salaryParameters!$F$26    ),
  A30&gt;=46,
    _xlfn.SWITCH(C30,
      "Boom", salaryParameters!$F$27,
      "Normal", salaryParameters!$F$28,
      "Recession", salaryParameters!$F$29    )
)</f>
        <v>2.9999999735977907E-3</v>
      </c>
      <c r="F30" s="57" cm="1">
        <f t="array" aca="1" ref="F30" ca="1">_xlfn.SWITCH(C30,
  "Boom", IF(A30&lt;=45, _xlfn.RANDARRAY(1,1,0.3,0.4,FALSE), _xlfn.RANDARRAY(1,1,0.7,0.8,FALSE)),
  "Normal", IF(A30&lt;=45, _xlfn.RANDARRAY(1,1,0.4,0.5,FALSE), _xlfn.RANDARRAY(1,1,0.7,0.8,FALSE)),
  "Recession", IF(A30&lt;=45, _xlfn.RANDARRAY(1,1,0.5,0.6,FALSE), _xlfn.RANDARRAY(1,1,0.8,0.9,FALSE))
)</f>
        <v>0.76743724062738494</v>
      </c>
      <c r="G30" s="57">
        <f t="shared" ca="1" si="1"/>
        <v>1.7838123574900916E-2</v>
      </c>
      <c r="I30" s="57">
        <f t="shared" ca="1" si="2"/>
        <v>1.7838123574900916E-2</v>
      </c>
    </row>
    <row r="31" spans="1:9">
      <c r="A31" s="57">
        <v>59</v>
      </c>
      <c r="B31" s="57">
        <f t="shared" ca="1" si="0"/>
        <v>149890.39299413373</v>
      </c>
      <c r="C31" s="57" t="str" cm="1">
        <f t="array" aca="1" ref="C31" ca="1">_xlfn.IFS(
  C30="Boom", CHOOSE(MATCH(RAND(), {0,0.67,1}, 1), "Normal", "Recession"),
  C30="Normal", CHOOSE(MATCH(RAND(), {0,0.18,0.82,1}, 1), "Boom", "Normal", "Recession"),
  C30="Recession", CHOOSE(MATCH(RAND(), {0,0.17,0.34,1}, 1), "Boom", "Normal", "Recession")
)</f>
        <v>Recession</v>
      </c>
      <c r="D31" s="69" cm="1">
        <f t="array" aca="1" ref="D31" ca="1">_xlfn.IFS(
  A31&lt;=45,
    _xlfn.SWITCH(C31,
      "Boom", salaryParameters!$E$24,
      "Normal", salaryParameters!$E$25,
      "Recession", salaryParameters!$E$26    ),
  A31&gt;=46,
    _xlfn.SWITCH(C31,
      "Boom", salaryParameters!$E$27,
      "Normal", salaryParameters!$E$28,
      "Recession", salaryParameters!$E$29    )
)</f>
        <v>8.0000012083125058E-3</v>
      </c>
      <c r="E31" s="57" cm="1">
        <f t="array" aca="1" ref="E31" ca="1">_xlfn.IFS(
  A31&lt;=45,
    _xlfn.SWITCH(C31,
      "Boom", salaryParameters!$F$24,
      "Normal", salaryParameters!$F$25,
      "Recession", salaryParameters!$F$26    ),
  A31&gt;=46,
    _xlfn.SWITCH(C31,
      "Boom", salaryParameters!$F$27,
      "Normal", salaryParameters!$F$28,
      "Recession", salaryParameters!$F$29    )
)</f>
        <v>3.5031768893903073E-3</v>
      </c>
      <c r="F31" s="57" cm="1">
        <f t="array" aca="1" ref="F31" ca="1">_xlfn.SWITCH(C31,
  "Boom", IF(A31&lt;=45, _xlfn.RANDARRAY(1,1,0.3,0.4,FALSE), _xlfn.RANDARRAY(1,1,0.7,0.8,FALSE)),
  "Normal", IF(A31&lt;=45, _xlfn.RANDARRAY(1,1,0.4,0.5,FALSE), _xlfn.RANDARRAY(1,1,0.7,0.8,FALSE)),
  "Recession", IF(A31&lt;=45, _xlfn.RANDARRAY(1,1,0.5,0.6,FALSE), _xlfn.RANDARRAY(1,1,0.8,0.9,FALSE))
)</f>
        <v>0.83141247551274966</v>
      </c>
      <c r="G31" s="57">
        <f t="shared" ca="1" si="1"/>
        <v>1.9154211691413958E-2</v>
      </c>
      <c r="I31" s="57">
        <f t="shared" ca="1" si="2"/>
        <v>1.9154211691413958E-2</v>
      </c>
    </row>
    <row r="32" spans="1:9">
      <c r="A32" s="57">
        <v>60</v>
      </c>
      <c r="B32" s="57">
        <f t="shared" ca="1" si="0"/>
        <v>152671.4712986559</v>
      </c>
      <c r="C32" s="57" t="str" cm="1">
        <f t="array" aca="1" ref="C32" ca="1">_xlfn.IFS(
  C31="Boom", CHOOSE(MATCH(RAND(), {0,0.67,1}, 1), "Normal", "Recession"),
  C31="Normal", CHOOSE(MATCH(RAND(), {0,0.18,0.82,1}, 1), "Boom", "Normal", "Recession"),
  C31="Recession", CHOOSE(MATCH(RAND(), {0,0.17,0.34,1}, 1), "Boom", "Normal", "Recession")
)</f>
        <v>Recession</v>
      </c>
      <c r="D32" s="69" cm="1">
        <f t="array" aca="1" ref="D32" ca="1">_xlfn.IFS(
  A32&lt;=45,
    _xlfn.SWITCH(C32,
      "Boom", salaryParameters!$E$24,
      "Normal", salaryParameters!$E$25,
      "Recession", salaryParameters!$E$26    ),
  A32&gt;=46,
    _xlfn.SWITCH(C32,
      "Boom", salaryParameters!$E$27,
      "Normal", salaryParameters!$E$28,
      "Recession", salaryParameters!$E$29    )
)</f>
        <v>8.0000012083125058E-3</v>
      </c>
      <c r="E32" s="57" cm="1">
        <f t="array" aca="1" ref="E32" ca="1">_xlfn.IFS(
  A32&lt;=45,
    _xlfn.SWITCH(C32,
      "Boom", salaryParameters!$F$24,
      "Normal", salaryParameters!$F$25,
      "Recession", salaryParameters!$F$26    ),
  A32&gt;=46,
    _xlfn.SWITCH(C32,
      "Boom", salaryParameters!$F$27,
      "Normal", salaryParameters!$F$28,
      "Recession", salaryParameters!$F$29    )
)</f>
        <v>3.5031768893903073E-3</v>
      </c>
      <c r="F32" s="57" cm="1">
        <f t="array" aca="1" ref="F32" ca="1">_xlfn.SWITCH(C32,
  "Boom", IF(A32&lt;=45, _xlfn.RANDARRAY(1,1,0.3,0.4,FALSE), _xlfn.RANDARRAY(1,1,0.7,0.8,FALSE)),
  "Normal", IF(A32&lt;=45, _xlfn.RANDARRAY(1,1,0.4,0.5,FALSE), _xlfn.RANDARRAY(1,1,0.7,0.8,FALSE)),
  "Recession", IF(A32&lt;=45, _xlfn.RANDARRAY(1,1,0.5,0.6,FALSE), _xlfn.RANDARRAY(1,1,0.8,0.9,FALSE))
)</f>
        <v>0.88309043688686084</v>
      </c>
      <c r="G32" s="57">
        <f t="shared" ca="1" si="1"/>
        <v>1.8554079744330376E-2</v>
      </c>
      <c r="I32" s="57">
        <f t="shared" ca="1" si="2"/>
        <v>1.8554079744330376E-2</v>
      </c>
    </row>
    <row r="33" spans="1:9">
      <c r="A33" s="57">
        <v>61</v>
      </c>
      <c r="B33" s="57">
        <f t="shared" ca="1" si="0"/>
        <v>156012.58091609733</v>
      </c>
      <c r="C33" s="57" t="str" cm="1">
        <f t="array" aca="1" ref="C33" ca="1">_xlfn.IFS(
  C32="Boom", CHOOSE(MATCH(RAND(), {0,0.67,1}, 1), "Normal", "Recession"),
  C32="Normal", CHOOSE(MATCH(RAND(), {0,0.18,0.82,1}, 1), "Boom", "Normal", "Recession"),
  C32="Recession", CHOOSE(MATCH(RAND(), {0,0.17,0.34,1}, 1), "Boom", "Normal", "Recession")
)</f>
        <v>Normal</v>
      </c>
      <c r="D33" s="69" cm="1">
        <f t="array" aca="1" ref="D33" ca="1">_xlfn.IFS(
  A33&lt;=45,
    _xlfn.SWITCH(C33,
      "Boom", salaryParameters!$E$24,
      "Normal", salaryParameters!$E$25,
      "Recession", salaryParameters!$E$26    ),
  A33&gt;=46,
    _xlfn.SWITCH(C33,
      "Boom", salaryParameters!$E$27,
      "Normal", salaryParameters!$E$28,
      "Recession", salaryParameters!$E$29    )
)</f>
        <v>1.4133933707951039E-2</v>
      </c>
      <c r="E33" s="57" cm="1">
        <f t="array" aca="1" ref="E33" ca="1">_xlfn.IFS(
  A33&lt;=45,
    _xlfn.SWITCH(C33,
      "Boom", salaryParameters!$F$24,
      "Normal", salaryParameters!$F$25,
      "Recession", salaryParameters!$F$26    ),
  A33&gt;=46,
    _xlfn.SWITCH(C33,
      "Boom", salaryParameters!$F$27,
      "Normal", salaryParameters!$F$28,
      "Recession", salaryParameters!$F$29    )
)</f>
        <v>2.9999999735977907E-3</v>
      </c>
      <c r="F33" s="57" cm="1">
        <f t="array" aca="1" ref="F33" ca="1">_xlfn.SWITCH(C33,
  "Boom", IF(A33&lt;=45, _xlfn.RANDARRAY(1,1,0.3,0.4,FALSE), _xlfn.RANDARRAY(1,1,0.7,0.8,FALSE)),
  "Normal", IF(A33&lt;=45, _xlfn.RANDARRAY(1,1,0.4,0.5,FALSE), _xlfn.RANDARRAY(1,1,0.7,0.8,FALSE)),
  "Recession", IF(A33&lt;=45, _xlfn.RANDARRAY(1,1,0.5,0.6,FALSE), _xlfn.RANDARRAY(1,1,0.8,0.9,FALSE))
)</f>
        <v>0.76080812420472177</v>
      </c>
      <c r="G33" s="57">
        <f t="shared" ca="1" si="1"/>
        <v>2.1884308764573007E-2</v>
      </c>
      <c r="I33" s="57">
        <f t="shared" ca="1" si="2"/>
        <v>2.1884308764573007E-2</v>
      </c>
    </row>
    <row r="34" spans="1:9">
      <c r="A34" s="57">
        <v>62</v>
      </c>
      <c r="B34" s="57">
        <f t="shared" ca="1" si="0"/>
        <v>159321.4394619957</v>
      </c>
      <c r="C34" s="57" t="str" cm="1">
        <f t="array" aca="1" ref="C34" ca="1">_xlfn.IFS(
  C33="Boom", CHOOSE(MATCH(RAND(), {0,0.67,1}, 1), "Normal", "Recession"),
  C33="Normal", CHOOSE(MATCH(RAND(), {0,0.18,0.82,1}, 1), "Boom", "Normal", "Recession"),
  C33="Recession", CHOOSE(MATCH(RAND(), {0,0.17,0.34,1}, 1), "Boom", "Normal", "Recession")
)</f>
        <v>Normal</v>
      </c>
      <c r="D34" s="69" cm="1">
        <f t="array" aca="1" ref="D34" ca="1">_xlfn.IFS(
  A34&lt;=45,
    _xlfn.SWITCH(C34,
      "Boom", salaryParameters!$E$24,
      "Normal", salaryParameters!$E$25,
      "Recession", salaryParameters!$E$26    ),
  A34&gt;=46,
    _xlfn.SWITCH(C34,
      "Boom", salaryParameters!$E$27,
      "Normal", salaryParameters!$E$28,
      "Recession", salaryParameters!$E$29    )
)</f>
        <v>1.4133933707951039E-2</v>
      </c>
      <c r="E34" s="57" cm="1">
        <f t="array" aca="1" ref="E34" ca="1">_xlfn.IFS(
  A34&lt;=45,
    _xlfn.SWITCH(C34,
      "Boom", salaryParameters!$F$24,
      "Normal", salaryParameters!$F$25,
      "Recession", salaryParameters!$F$26    ),
  A34&gt;=46,
    _xlfn.SWITCH(C34,
      "Boom", salaryParameters!$F$27,
      "Normal", salaryParameters!$F$28,
      "Recession", salaryParameters!$F$29    )
)</f>
        <v>2.9999999735977907E-3</v>
      </c>
      <c r="F34" s="57" cm="1">
        <f t="array" aca="1" ref="F34" ca="1">_xlfn.SWITCH(C34,
  "Boom", IF(A34&lt;=45, _xlfn.RANDARRAY(1,1,0.3,0.4,FALSE), _xlfn.RANDARRAY(1,1,0.7,0.8,FALSE)),
  "Normal", IF(A34&lt;=45, _xlfn.RANDARRAY(1,1,0.4,0.5,FALSE), _xlfn.RANDARRAY(1,1,0.7,0.8,FALSE)),
  "Recession", IF(A34&lt;=45, _xlfn.RANDARRAY(1,1,0.5,0.6,FALSE), _xlfn.RANDARRAY(1,1,0.8,0.9,FALSE))
)</f>
        <v>0.78281002830864677</v>
      </c>
      <c r="G34" s="57">
        <f t="shared" ca="1" si="1"/>
        <v>2.1208921270765208E-2</v>
      </c>
      <c r="I34" s="57">
        <f t="shared" ca="1" si="2"/>
        <v>2.1208921270765208E-2</v>
      </c>
    </row>
    <row r="35" spans="1:9">
      <c r="A35" s="57">
        <v>63</v>
      </c>
      <c r="B35" s="57">
        <f t="shared" ca="1" si="0"/>
        <v>162266.17765811106</v>
      </c>
      <c r="C35" s="57" t="str" cm="1">
        <f t="array" aca="1" ref="C35" ca="1">_xlfn.IFS(
  C34="Boom", CHOOSE(MATCH(RAND(), {0,0.67,1}, 1), "Normal", "Recession"),
  C34="Normal", CHOOSE(MATCH(RAND(), {0,0.18,0.82,1}, 1), "Boom", "Normal", "Recession"),
  C34="Recession", CHOOSE(MATCH(RAND(), {0,0.17,0.34,1}, 1), "Boom", "Normal", "Recession")
)</f>
        <v>Normal</v>
      </c>
      <c r="D35" s="69" cm="1">
        <f t="array" aca="1" ref="D35" ca="1">_xlfn.IFS(
  A35&lt;=45,
    _xlfn.SWITCH(C35,
      "Boom", salaryParameters!$E$24,
      "Normal", salaryParameters!$E$25,
      "Recession", salaryParameters!$E$26    ),
  A35&gt;=46,
    _xlfn.SWITCH(C35,
      "Boom", salaryParameters!$E$27,
      "Normal", salaryParameters!$E$28,
      "Recession", salaryParameters!$E$29    )
)</f>
        <v>1.4133933707951039E-2</v>
      </c>
      <c r="E35" s="57" cm="1">
        <f t="array" aca="1" ref="E35" ca="1">_xlfn.IFS(
  A35&lt;=45,
    _xlfn.SWITCH(C35,
      "Boom", salaryParameters!$F$24,
      "Normal", salaryParameters!$F$25,
      "Recession", salaryParameters!$F$26    ),
  A35&gt;=46,
    _xlfn.SWITCH(C35,
      "Boom", salaryParameters!$F$27,
      "Normal", salaryParameters!$F$28,
      "Recession", salaryParameters!$F$29    )
)</f>
        <v>2.9999999735977907E-3</v>
      </c>
      <c r="F35" s="57" cm="1">
        <f t="array" aca="1" ref="F35" ca="1">_xlfn.SWITCH(C35,
  "Boom", IF(A35&lt;=45, _xlfn.RANDARRAY(1,1,0.3,0.4,FALSE), _xlfn.RANDARRAY(1,1,0.7,0.8,FALSE)),
  "Normal", IF(A35&lt;=45, _xlfn.RANDARRAY(1,1,0.4,0.5,FALSE), _xlfn.RANDARRAY(1,1,0.7,0.8,FALSE)),
  "Recession", IF(A35&lt;=45, _xlfn.RANDARRAY(1,1,0.5,0.6,FALSE), _xlfn.RANDARRAY(1,1,0.8,0.9,FALSE))
)</f>
        <v>0.72037191928792232</v>
      </c>
      <c r="G35" s="57">
        <f t="shared" ca="1" si="1"/>
        <v>1.8483000191683547E-2</v>
      </c>
      <c r="I35" s="57">
        <f t="shared" ca="1" si="2"/>
        <v>1.8483000191683547E-2</v>
      </c>
    </row>
    <row r="36" spans="1:9">
      <c r="A36" s="57">
        <v>64</v>
      </c>
      <c r="B36" s="57">
        <f t="shared" ca="1" si="0"/>
        <v>165690.14562587172</v>
      </c>
      <c r="C36" s="57" t="str" cm="1">
        <f t="array" aca="1" ref="C36" ca="1">_xlfn.IFS(
  C35="Boom", CHOOSE(MATCH(RAND(), {0,0.67,1}, 1), "Normal", "Recession"),
  C35="Normal", CHOOSE(MATCH(RAND(), {0,0.18,0.82,1}, 1), "Boom", "Normal", "Recession"),
  C35="Recession", CHOOSE(MATCH(RAND(), {0,0.17,0.34,1}, 1), "Boom", "Normal", "Recession")
)</f>
        <v>Normal</v>
      </c>
      <c r="D36" s="69" cm="1">
        <f t="array" aca="1" ref="D36" ca="1">_xlfn.IFS(
  A36&lt;=45,
    _xlfn.SWITCH(C36,
      "Boom", salaryParameters!$E$24,
      "Normal", salaryParameters!$E$25,
      "Recession", salaryParameters!$E$26    ),
  A36&gt;=46,
    _xlfn.SWITCH(C36,
      "Boom", salaryParameters!$E$27,
      "Normal", salaryParameters!$E$28,
      "Recession", salaryParameters!$E$29    )
)</f>
        <v>1.4133933707951039E-2</v>
      </c>
      <c r="E36" s="57" cm="1">
        <f t="array" aca="1" ref="E36" ca="1">_xlfn.IFS(
  A36&lt;=45,
    _xlfn.SWITCH(C36,
      "Boom", salaryParameters!$F$24,
      "Normal", salaryParameters!$F$25,
      "Recession", salaryParameters!$F$26    ),
  A36&gt;=46,
    _xlfn.SWITCH(C36,
      "Boom", salaryParameters!$F$27,
      "Normal", salaryParameters!$F$28,
      "Recession", salaryParameters!$F$29    )
)</f>
        <v>2.9999999735977907E-3</v>
      </c>
      <c r="F36" s="57" cm="1">
        <f t="array" aca="1" ref="F36" ca="1">_xlfn.SWITCH(C36,
  "Boom", IF(A36&lt;=45, _xlfn.RANDARRAY(1,1,0.3,0.4,FALSE), _xlfn.RANDARRAY(1,1,0.7,0.8,FALSE)),
  "Normal", IF(A36&lt;=45, _xlfn.RANDARRAY(1,1,0.4,0.5,FALSE), _xlfn.RANDARRAY(1,1,0.7,0.8,FALSE)),
  "Recession", IF(A36&lt;=45, _xlfn.RANDARRAY(1,1,0.5,0.6,FALSE), _xlfn.RANDARRAY(1,1,0.8,0.9,FALSE))
)</f>
        <v>0.74057704258371659</v>
      </c>
      <c r="G36" s="57">
        <f t="shared" ca="1" si="1"/>
        <v>2.1100934385567774E-2</v>
      </c>
      <c r="I36" s="57">
        <f t="shared" ca="1" si="2"/>
        <v>2.1100934385567774E-2</v>
      </c>
    </row>
    <row r="37" spans="1:9">
      <c r="B37" s="57">
        <f ca="1">SUM(B2:B36)</f>
        <v>4129317.2766011907</v>
      </c>
    </row>
  </sheetData>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62888-A1C7-4744-B459-6732600DB7EA}">
  <sheetPr codeName="Sheet2"/>
  <dimension ref="A1:J37"/>
  <sheetViews>
    <sheetView topLeftCell="A11" workbookViewId="0">
      <selection activeCell="B32" sqref="B32"/>
    </sheetView>
  </sheetViews>
  <sheetFormatPr defaultColWidth="8.59765625" defaultRowHeight="13.9"/>
  <cols>
    <col min="1" max="1" width="43.1328125" style="71" customWidth="1"/>
    <col min="2" max="2" width="28.1328125" style="71" customWidth="1"/>
    <col min="3" max="3" width="8.59765625" style="71"/>
    <col min="4" max="4" width="35.3984375" style="71" customWidth="1"/>
    <col min="5" max="5" width="22.1328125" style="71" customWidth="1"/>
    <col min="6" max="6" width="8.59765625" style="71"/>
    <col min="7" max="7" width="32" style="71" customWidth="1"/>
    <col min="8" max="8" width="24.73046875" style="71" customWidth="1"/>
    <col min="9" max="16384" width="8.59765625" style="71"/>
  </cols>
  <sheetData>
    <row r="1" spans="1:8">
      <c r="A1" s="170" t="s">
        <v>307</v>
      </c>
      <c r="B1" s="70" t="s">
        <v>308</v>
      </c>
      <c r="D1" s="72" t="s">
        <v>309</v>
      </c>
      <c r="E1" s="73" t="s">
        <v>308</v>
      </c>
      <c r="G1" s="72" t="s">
        <v>310</v>
      </c>
      <c r="H1" s="73" t="s">
        <v>308</v>
      </c>
    </row>
    <row r="2" spans="1:8">
      <c r="A2" s="74" t="s">
        <v>311</v>
      </c>
      <c r="B2" s="75">
        <v>0.02</v>
      </c>
      <c r="D2" s="74" t="s">
        <v>311</v>
      </c>
      <c r="E2" s="75">
        <v>0.03</v>
      </c>
      <c r="G2" s="74" t="s">
        <v>311</v>
      </c>
      <c r="H2" s="75">
        <v>0.01</v>
      </c>
    </row>
    <row r="3" spans="1:8">
      <c r="A3" s="74" t="s">
        <v>312</v>
      </c>
      <c r="B3" s="75">
        <v>4.5991351428232005E-2</v>
      </c>
      <c r="D3" s="74" t="s">
        <v>312</v>
      </c>
      <c r="E3" s="75">
        <v>0.05</v>
      </c>
      <c r="G3" s="74" t="s">
        <v>312</v>
      </c>
      <c r="H3" s="75">
        <v>3.7999999999999999E-2</v>
      </c>
    </row>
    <row r="4" spans="1:8">
      <c r="A4" s="74" t="s">
        <v>313</v>
      </c>
      <c r="B4" s="75">
        <v>1.3647061918721399</v>
      </c>
      <c r="D4" s="74" t="s">
        <v>313</v>
      </c>
      <c r="E4" s="75">
        <v>2</v>
      </c>
      <c r="G4" s="74" t="s">
        <v>313</v>
      </c>
      <c r="H4" s="75">
        <v>2.6999891783098962</v>
      </c>
    </row>
    <row r="5" spans="1:8">
      <c r="A5" s="74" t="s">
        <v>314</v>
      </c>
      <c r="B5" s="75">
        <v>1</v>
      </c>
      <c r="D5" s="74" t="s">
        <v>314</v>
      </c>
      <c r="E5" s="75">
        <v>1.5</v>
      </c>
      <c r="G5" s="74" t="s">
        <v>314</v>
      </c>
      <c r="H5" s="75">
        <v>1.5</v>
      </c>
    </row>
    <row r="6" spans="1:8">
      <c r="A6" s="74" t="s">
        <v>315</v>
      </c>
      <c r="B6" s="75">
        <f>B2 + (B3 - B2) * (B4 / (B4 + B5))</f>
        <v>3.4999985347503544E-2</v>
      </c>
      <c r="D6" s="74" t="s">
        <v>315</v>
      </c>
      <c r="E6" s="75">
        <f>E2 + (E3 - E2) * (E4 / (E4 + E5))</f>
        <v>4.1428571428571426E-2</v>
      </c>
      <c r="G6" s="74" t="s">
        <v>315</v>
      </c>
      <c r="H6" s="75">
        <f>H2 + (H3 - H2) * (H4 / (H4 + H5))</f>
        <v>2.7999974234004792E-2</v>
      </c>
    </row>
    <row r="7" spans="1:8">
      <c r="A7" s="74" t="s">
        <v>316</v>
      </c>
      <c r="B7" s="75">
        <f>(B3 - B2) * SQRT((B4*B5)/((B4+B5)^2*(B4+B5+1)))</f>
        <v>6.9999941994113067E-3</v>
      </c>
      <c r="D7" s="74" t="s">
        <v>316</v>
      </c>
      <c r="E7" s="75">
        <f>(E3 - E2) * SQRT((E4*E5)/((E4+E5)^2*(E4+E5+1)))</f>
        <v>4.6656947481584351E-3</v>
      </c>
      <c r="G7" s="74" t="s">
        <v>316</v>
      </c>
      <c r="H7" s="75">
        <f>(H3 - H2) * SQRT((H4*H5)/((H4+H5)^2*(H4+H5+1)))</f>
        <v>5.8834935449407844E-3</v>
      </c>
    </row>
    <row r="8" spans="1:8">
      <c r="A8" s="74" t="s">
        <v>317</v>
      </c>
      <c r="B8" s="75">
        <f>(B6 - 0.035)^2+(B7 - 0.007)^2</f>
        <v>2.4834248167718776E-16</v>
      </c>
      <c r="D8" s="74" t="s">
        <v>317</v>
      </c>
      <c r="E8" s="75">
        <f>(E6 - 0.035)^2+(E7 - 0.007)^2</f>
        <v>4.6775511621019935E-5</v>
      </c>
      <c r="G8" s="74" t="s">
        <v>317</v>
      </c>
      <c r="H8" s="75">
        <f>(H6 - 0.035)^2+(H7 - 0.007)^2</f>
        <v>5.0246947388785748E-5</v>
      </c>
    </row>
    <row r="9" spans="1:8">
      <c r="A9" s="74"/>
      <c r="B9" s="75"/>
      <c r="D9" s="74"/>
      <c r="E9" s="75"/>
      <c r="G9" s="74"/>
      <c r="H9" s="75"/>
    </row>
    <row r="10" spans="1:8">
      <c r="A10" s="74"/>
      <c r="B10" s="75"/>
      <c r="D10" s="74"/>
      <c r="E10" s="75"/>
      <c r="G10" s="74"/>
      <c r="H10" s="75"/>
    </row>
    <row r="11" spans="1:8">
      <c r="A11" s="74"/>
      <c r="B11" s="75"/>
      <c r="D11" s="74"/>
      <c r="E11" s="75"/>
      <c r="G11" s="74"/>
      <c r="H11" s="75"/>
    </row>
    <row r="12" spans="1:8">
      <c r="A12" s="170" t="s">
        <v>318</v>
      </c>
      <c r="B12" s="70" t="s">
        <v>308</v>
      </c>
      <c r="D12" s="76" t="s">
        <v>319</v>
      </c>
      <c r="E12" s="70" t="s">
        <v>308</v>
      </c>
      <c r="G12" s="76" t="s">
        <v>320</v>
      </c>
      <c r="H12" s="70" t="s">
        <v>308</v>
      </c>
    </row>
    <row r="13" spans="1:8">
      <c r="A13" s="74" t="s">
        <v>321</v>
      </c>
      <c r="B13" s="75">
        <v>7.8410806743118705E-3</v>
      </c>
      <c r="D13" s="74" t="s">
        <v>321</v>
      </c>
      <c r="E13" s="75">
        <v>1.5762394940797324E-2</v>
      </c>
      <c r="G13" s="74" t="s">
        <v>321</v>
      </c>
      <c r="H13" s="75">
        <v>1.331170278027277E-3</v>
      </c>
    </row>
    <row r="14" spans="1:8">
      <c r="A14" s="74" t="s">
        <v>312</v>
      </c>
      <c r="B14" s="75">
        <v>2.1999999999999999E-2</v>
      </c>
      <c r="D14" s="74" t="s">
        <v>312</v>
      </c>
      <c r="E14" s="75">
        <v>2.5000000000000001E-2</v>
      </c>
      <c r="G14" s="74" t="s">
        <v>312</v>
      </c>
      <c r="H14" s="75">
        <v>1.9998057232160252E-2</v>
      </c>
    </row>
    <row r="15" spans="1:8">
      <c r="A15" s="74" t="s">
        <v>313</v>
      </c>
      <c r="B15" s="75">
        <v>2</v>
      </c>
      <c r="D15" s="74" t="s">
        <v>313</v>
      </c>
      <c r="E15" s="75">
        <v>1.5</v>
      </c>
      <c r="G15" s="74" t="s">
        <v>313</v>
      </c>
      <c r="H15" s="75">
        <v>1.9719855697814301</v>
      </c>
    </row>
    <row r="16" spans="1:8">
      <c r="A16" s="74" t="s">
        <v>314</v>
      </c>
      <c r="B16" s="75">
        <v>2.5</v>
      </c>
      <c r="D16" s="74" t="s">
        <v>314</v>
      </c>
      <c r="E16" s="75">
        <v>2.5</v>
      </c>
      <c r="G16" s="74" t="s">
        <v>314</v>
      </c>
      <c r="H16" s="75">
        <v>3.5478472301658686</v>
      </c>
    </row>
    <row r="17" spans="1:10">
      <c r="A17" s="74" t="s">
        <v>315</v>
      </c>
      <c r="B17" s="75">
        <f>B13 + (B14 - B13) * (B15 / (B15 + B16))</f>
        <v>1.4133933707951039E-2</v>
      </c>
      <c r="D17" s="74" t="s">
        <v>315</v>
      </c>
      <c r="E17" s="75">
        <f>E13 + (E14 - E13) * (E15 / (E15 + E16))</f>
        <v>1.922649683799833E-2</v>
      </c>
      <c r="G17" s="74" t="s">
        <v>315</v>
      </c>
      <c r="H17" s="75">
        <f>H13 + (H14 - H13) * (H15 / (H15 + H16))</f>
        <v>8.0000012083125058E-3</v>
      </c>
    </row>
    <row r="18" spans="1:10">
      <c r="A18" s="74" t="s">
        <v>316</v>
      </c>
      <c r="B18" s="75">
        <f>(B14 - B13) * SQRT((B15*B16)/((B15+B16)^2*(B15+B16+1)))</f>
        <v>2.9999999735977907E-3</v>
      </c>
      <c r="D18" s="74" t="s">
        <v>316</v>
      </c>
      <c r="E18" s="75">
        <f>(E14 - E13) * SQRT((E15*E16)/((E15+E16)^2*(E15+E16+1)))</f>
        <v>2.0000001628492927E-3</v>
      </c>
      <c r="G18" s="74" t="s">
        <v>316</v>
      </c>
      <c r="H18" s="75">
        <f>(H14 - H13) * SQRT((H15*H16)/((H15+H16)^2*(H15+H16+1)))</f>
        <v>3.5031768893903073E-3</v>
      </c>
    </row>
    <row r="19" spans="1:10" ht="14.25" thickBot="1">
      <c r="A19" s="77" t="s">
        <v>317</v>
      </c>
      <c r="B19" s="78">
        <f>(B17 - 0.025)^2+(B18 - 0.0035)^2</f>
        <v>1.1832139668960489E-4</v>
      </c>
      <c r="D19" s="77" t="s">
        <v>317</v>
      </c>
      <c r="E19" s="78">
        <f>(E17 - 0.025)^2+(E18 - 0.0035)^2</f>
        <v>3.5583338273095449E-5</v>
      </c>
      <c r="G19" s="77" t="s">
        <v>317</v>
      </c>
      <c r="H19" s="78">
        <f>(H17 - 0.025)^2+(H18 - 0.0035)^2</f>
        <v>2.8899996901000252E-4</v>
      </c>
    </row>
    <row r="22" spans="1:10" ht="14.25" thickBot="1">
      <c r="A22" s="79" t="s">
        <v>322</v>
      </c>
      <c r="D22" s="79" t="s">
        <v>323</v>
      </c>
    </row>
    <row r="23" spans="1:10">
      <c r="A23" s="71" t="s">
        <v>324</v>
      </c>
      <c r="B23" s="71">
        <f>_xlfn.PERCENTILE.INC(fsalarySimulation!B2:B1001,0.025)</f>
        <v>150119.80101556634</v>
      </c>
      <c r="D23" s="80"/>
      <c r="E23" s="81" t="s">
        <v>325</v>
      </c>
      <c r="F23" s="81" t="s">
        <v>326</v>
      </c>
      <c r="G23" s="81" t="s">
        <v>327</v>
      </c>
      <c r="H23" s="81" t="s">
        <v>328</v>
      </c>
      <c r="I23" s="81" t="s">
        <v>277</v>
      </c>
      <c r="J23" s="82" t="s">
        <v>278</v>
      </c>
    </row>
    <row r="24" spans="1:10">
      <c r="A24" s="71" t="s">
        <v>329</v>
      </c>
      <c r="B24" s="71">
        <f>_xlfn.PERCENTILE.INC(fsalarySimulation!B2:B1001,0.975)</f>
        <v>181376.36153679329</v>
      </c>
      <c r="D24" s="74" t="s">
        <v>330</v>
      </c>
      <c r="E24" s="71">
        <f>E6</f>
        <v>4.1428571428571426E-2</v>
      </c>
      <c r="F24" s="71">
        <f>E7</f>
        <v>4.6656947481584351E-3</v>
      </c>
      <c r="G24" s="71">
        <f>E2</f>
        <v>0.03</v>
      </c>
      <c r="H24" s="71">
        <f>E3</f>
        <v>0.05</v>
      </c>
      <c r="I24" s="71">
        <f>E4</f>
        <v>2</v>
      </c>
      <c r="J24" s="75">
        <f>E5</f>
        <v>1.5</v>
      </c>
    </row>
    <row r="25" spans="1:10">
      <c r="A25" s="71" t="s">
        <v>331</v>
      </c>
      <c r="B25" s="71">
        <f>B28-_xlfn.CONFIDENCE.T(0.05,B29,1000)</f>
        <v>164920.84405178501</v>
      </c>
      <c r="D25" s="74" t="s">
        <v>332</v>
      </c>
      <c r="E25" s="71">
        <f>B6</f>
        <v>3.4999985347503544E-2</v>
      </c>
      <c r="F25" s="71">
        <f>B7</f>
        <v>6.9999941994113067E-3</v>
      </c>
      <c r="G25" s="71">
        <f>B2</f>
        <v>0.02</v>
      </c>
      <c r="H25" s="71">
        <f>B3</f>
        <v>4.5991351428232005E-2</v>
      </c>
      <c r="I25" s="71">
        <f>B4</f>
        <v>1.3647061918721399</v>
      </c>
      <c r="J25" s="75">
        <f>B5</f>
        <v>1</v>
      </c>
    </row>
    <row r="26" spans="1:10">
      <c r="B26" s="71">
        <f>B28+_xlfn.CONFIDENCE.T(0.05,B29,1000)</f>
        <v>165908.44945530919</v>
      </c>
      <c r="D26" s="74" t="s">
        <v>333</v>
      </c>
      <c r="E26" s="71">
        <f>H6</f>
        <v>2.7999974234004792E-2</v>
      </c>
      <c r="F26" s="71">
        <f>H7</f>
        <v>5.8834935449407844E-3</v>
      </c>
      <c r="G26" s="71">
        <f>H2</f>
        <v>0.01</v>
      </c>
      <c r="H26" s="71">
        <f>H3</f>
        <v>3.7999999999999999E-2</v>
      </c>
      <c r="I26" s="71">
        <f>H4</f>
        <v>2.6999891783098962</v>
      </c>
      <c r="J26" s="75">
        <f>H5</f>
        <v>1.5</v>
      </c>
    </row>
    <row r="27" spans="1:10">
      <c r="A27" s="71" t="s">
        <v>334</v>
      </c>
      <c r="B27" s="71">
        <f ca="1">salaryGrowth!B36</f>
        <v>165690.14562587172</v>
      </c>
      <c r="D27" s="74" t="s">
        <v>335</v>
      </c>
      <c r="E27" s="71">
        <f>E17</f>
        <v>1.922649683799833E-2</v>
      </c>
      <c r="F27" s="71">
        <f>E18</f>
        <v>2.0000001628492927E-3</v>
      </c>
      <c r="G27" s="71">
        <f>E13</f>
        <v>1.5762394940797324E-2</v>
      </c>
      <c r="H27" s="71">
        <f>E14</f>
        <v>2.5000000000000001E-2</v>
      </c>
      <c r="I27" s="71">
        <f>E15</f>
        <v>1.5</v>
      </c>
      <c r="J27" s="75">
        <f>E16</f>
        <v>2.5</v>
      </c>
    </row>
    <row r="28" spans="1:10">
      <c r="A28" s="71" t="s">
        <v>336</v>
      </c>
      <c r="B28" s="71">
        <f>AVERAGE(fsalarySimulation!B2:B1001)</f>
        <v>165414.6467535471</v>
      </c>
      <c r="D28" s="74" t="s">
        <v>337</v>
      </c>
      <c r="E28" s="71">
        <f>B17</f>
        <v>1.4133933707951039E-2</v>
      </c>
      <c r="F28" s="71">
        <f>B18</f>
        <v>2.9999999735977907E-3</v>
      </c>
      <c r="G28" s="71">
        <f>B13</f>
        <v>7.8410806743118705E-3</v>
      </c>
      <c r="H28" s="71">
        <f>B14</f>
        <v>2.1999999999999999E-2</v>
      </c>
      <c r="I28" s="71">
        <f>B15</f>
        <v>2</v>
      </c>
      <c r="J28" s="75">
        <f>B16</f>
        <v>2.5</v>
      </c>
    </row>
    <row r="29" spans="1:10" ht="14.25" thickBot="1">
      <c r="A29" s="71" t="s">
        <v>338</v>
      </c>
      <c r="B29" s="71">
        <f>_xlfn.STDEV.S(fsalarySimulation!B2:B1001)</f>
        <v>7957.5409440267977</v>
      </c>
      <c r="D29" s="77" t="s">
        <v>339</v>
      </c>
      <c r="E29" s="83">
        <f>H17</f>
        <v>8.0000012083125058E-3</v>
      </c>
      <c r="F29" s="83">
        <f>H18</f>
        <v>3.5031768893903073E-3</v>
      </c>
      <c r="G29" s="83">
        <f>H13</f>
        <v>1.331170278027277E-3</v>
      </c>
      <c r="H29" s="83">
        <f>H14</f>
        <v>1.9998057232160252E-2</v>
      </c>
      <c r="I29" s="83">
        <f>H15</f>
        <v>1.9719855697814301</v>
      </c>
      <c r="J29" s="78">
        <f>H16</f>
        <v>3.5478472301658686</v>
      </c>
    </row>
    <row r="34" spans="1:3">
      <c r="A34" s="84" t="s">
        <v>340</v>
      </c>
    </row>
    <row r="36" spans="1:3" ht="103.5" customHeight="1">
      <c r="A36" s="85" t="s">
        <v>341</v>
      </c>
      <c r="C36" s="85" t="s">
        <v>342</v>
      </c>
    </row>
    <row r="37" spans="1:3" ht="110.65" customHeight="1">
      <c r="A37" s="85" t="s">
        <v>343</v>
      </c>
      <c r="C37" s="85" t="s">
        <v>344</v>
      </c>
    </row>
  </sheetData>
  <phoneticPr fontId="2"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EDF47-C182-4208-9BD0-0E3ED1307A34}">
  <sheetPr codeName="Sheet3"/>
  <dimension ref="A1:B1001"/>
  <sheetViews>
    <sheetView workbookViewId="0">
      <selection activeCell="I17" sqref="I17"/>
    </sheetView>
  </sheetViews>
  <sheetFormatPr defaultColWidth="8.59765625" defaultRowHeight="13.9"/>
  <cols>
    <col min="1" max="1" width="13.59765625" style="71" customWidth="1"/>
    <col min="2" max="2" width="17.1328125" style="71" customWidth="1"/>
    <col min="3" max="16384" width="8.59765625" style="71"/>
  </cols>
  <sheetData>
    <row r="1" spans="1:2">
      <c r="A1" s="86" t="s">
        <v>345</v>
      </c>
      <c r="B1" s="86" t="s">
        <v>346</v>
      </c>
    </row>
    <row r="2" spans="1:2">
      <c r="A2" s="71" cm="1">
        <f t="array" ref="A2:A1001">_xlfn.SEQUENCE(1000,1,1,1)</f>
        <v>1</v>
      </c>
      <c r="B2" s="71">
        <v>161008.07387843716</v>
      </c>
    </row>
    <row r="3" spans="1:2">
      <c r="A3" s="71">
        <v>2</v>
      </c>
      <c r="B3" s="71">
        <v>165068.35537866235</v>
      </c>
    </row>
    <row r="4" spans="1:2">
      <c r="A4" s="71">
        <v>3</v>
      </c>
      <c r="B4" s="71">
        <v>174018.49342789594</v>
      </c>
    </row>
    <row r="5" spans="1:2">
      <c r="A5" s="71">
        <v>4</v>
      </c>
      <c r="B5" s="71">
        <v>157380.50044331671</v>
      </c>
    </row>
    <row r="6" spans="1:2">
      <c r="A6" s="71">
        <v>5</v>
      </c>
      <c r="B6" s="71">
        <v>173025.82782311024</v>
      </c>
    </row>
    <row r="7" spans="1:2">
      <c r="A7" s="71">
        <v>6</v>
      </c>
      <c r="B7" s="71">
        <v>148116.59725987396</v>
      </c>
    </row>
    <row r="8" spans="1:2">
      <c r="A8" s="71">
        <v>7</v>
      </c>
      <c r="B8" s="71">
        <v>177871.20976304097</v>
      </c>
    </row>
    <row r="9" spans="1:2">
      <c r="A9" s="71">
        <v>8</v>
      </c>
      <c r="B9" s="71">
        <v>165564.19435467315</v>
      </c>
    </row>
    <row r="10" spans="1:2">
      <c r="A10" s="71">
        <v>9</v>
      </c>
      <c r="B10" s="71">
        <v>170275.05202877021</v>
      </c>
    </row>
    <row r="11" spans="1:2">
      <c r="A11" s="71">
        <v>10</v>
      </c>
      <c r="B11" s="71">
        <v>154985.95764506827</v>
      </c>
    </row>
    <row r="12" spans="1:2">
      <c r="A12" s="71">
        <v>11</v>
      </c>
      <c r="B12" s="71">
        <v>170529.48049628752</v>
      </c>
    </row>
    <row r="13" spans="1:2">
      <c r="A13" s="71">
        <v>12</v>
      </c>
      <c r="B13" s="71">
        <v>161794.53942089109</v>
      </c>
    </row>
    <row r="14" spans="1:2">
      <c r="A14" s="71">
        <v>13</v>
      </c>
      <c r="B14" s="71">
        <v>160988.60512054231</v>
      </c>
    </row>
    <row r="15" spans="1:2">
      <c r="A15" s="71">
        <v>14</v>
      </c>
      <c r="B15" s="71">
        <v>167862.36142566655</v>
      </c>
    </row>
    <row r="16" spans="1:2">
      <c r="A16" s="71">
        <v>15</v>
      </c>
      <c r="B16" s="71">
        <v>173928.89297542517</v>
      </c>
    </row>
    <row r="17" spans="1:2">
      <c r="A17" s="71">
        <v>16</v>
      </c>
      <c r="B17" s="71">
        <v>183025.47277732784</v>
      </c>
    </row>
    <row r="18" spans="1:2">
      <c r="A18" s="71">
        <v>17</v>
      </c>
      <c r="B18" s="71">
        <v>170625.05173261094</v>
      </c>
    </row>
    <row r="19" spans="1:2">
      <c r="A19" s="71">
        <v>18</v>
      </c>
      <c r="B19" s="71">
        <v>155300.25002950296</v>
      </c>
    </row>
    <row r="20" spans="1:2">
      <c r="A20" s="71">
        <v>19</v>
      </c>
      <c r="B20" s="71">
        <v>160141.7432438611</v>
      </c>
    </row>
    <row r="21" spans="1:2">
      <c r="A21" s="71">
        <v>20</v>
      </c>
      <c r="B21" s="71">
        <v>161615.34904182155</v>
      </c>
    </row>
    <row r="22" spans="1:2">
      <c r="A22" s="71">
        <v>21</v>
      </c>
      <c r="B22" s="71">
        <v>165406.12515654479</v>
      </c>
    </row>
    <row r="23" spans="1:2">
      <c r="A23" s="71">
        <v>22</v>
      </c>
      <c r="B23" s="71">
        <v>148972.60466156757</v>
      </c>
    </row>
    <row r="24" spans="1:2">
      <c r="A24" s="71">
        <v>23</v>
      </c>
      <c r="B24" s="71">
        <v>171814.03789938218</v>
      </c>
    </row>
    <row r="25" spans="1:2">
      <c r="A25" s="71">
        <v>24</v>
      </c>
      <c r="B25" s="71">
        <v>164760.53355805593</v>
      </c>
    </row>
    <row r="26" spans="1:2">
      <c r="A26" s="71">
        <v>25</v>
      </c>
      <c r="B26" s="71">
        <v>164495.08422102992</v>
      </c>
    </row>
    <row r="27" spans="1:2">
      <c r="A27" s="71">
        <v>26</v>
      </c>
      <c r="B27" s="71">
        <v>169931.71938974783</v>
      </c>
    </row>
    <row r="28" spans="1:2">
      <c r="A28" s="71">
        <v>27</v>
      </c>
      <c r="B28" s="71">
        <v>155930.34512230981</v>
      </c>
    </row>
    <row r="29" spans="1:2">
      <c r="A29" s="71">
        <v>28</v>
      </c>
      <c r="B29" s="71">
        <v>167187.5192635211</v>
      </c>
    </row>
    <row r="30" spans="1:2">
      <c r="A30" s="71">
        <v>29</v>
      </c>
      <c r="B30" s="71">
        <v>153908.44000739718</v>
      </c>
    </row>
    <row r="31" spans="1:2">
      <c r="A31" s="71">
        <v>30</v>
      </c>
      <c r="B31" s="71">
        <v>169990.43162273831</v>
      </c>
    </row>
    <row r="32" spans="1:2">
      <c r="A32" s="71">
        <v>31</v>
      </c>
      <c r="B32" s="71">
        <v>182166.69525847858</v>
      </c>
    </row>
    <row r="33" spans="1:2">
      <c r="A33" s="71">
        <v>32</v>
      </c>
      <c r="B33" s="71">
        <v>166346.43218904524</v>
      </c>
    </row>
    <row r="34" spans="1:2">
      <c r="A34" s="71">
        <v>33</v>
      </c>
      <c r="B34" s="71">
        <v>154742.59782811996</v>
      </c>
    </row>
    <row r="35" spans="1:2">
      <c r="A35" s="71">
        <v>34</v>
      </c>
      <c r="B35" s="71">
        <v>170237.24586617222</v>
      </c>
    </row>
    <row r="36" spans="1:2">
      <c r="A36" s="71">
        <v>35</v>
      </c>
      <c r="B36" s="71">
        <v>165649.48603404331</v>
      </c>
    </row>
    <row r="37" spans="1:2">
      <c r="A37" s="71">
        <v>36</v>
      </c>
      <c r="B37" s="71">
        <v>165857.72776579214</v>
      </c>
    </row>
    <row r="38" spans="1:2">
      <c r="A38" s="71">
        <v>37</v>
      </c>
      <c r="B38" s="71">
        <v>159198.93086062412</v>
      </c>
    </row>
    <row r="39" spans="1:2">
      <c r="A39" s="71">
        <v>38</v>
      </c>
      <c r="B39" s="71">
        <v>171684.53013571911</v>
      </c>
    </row>
    <row r="40" spans="1:2">
      <c r="A40" s="71">
        <v>39</v>
      </c>
      <c r="B40" s="71">
        <v>162418.78254953393</v>
      </c>
    </row>
    <row r="41" spans="1:2">
      <c r="A41" s="71">
        <v>40</v>
      </c>
      <c r="B41" s="71">
        <v>155127.09501464956</v>
      </c>
    </row>
    <row r="42" spans="1:2">
      <c r="A42" s="71">
        <v>41</v>
      </c>
      <c r="B42" s="71">
        <v>157057.62619990559</v>
      </c>
    </row>
    <row r="43" spans="1:2">
      <c r="A43" s="71">
        <v>42</v>
      </c>
      <c r="B43" s="71">
        <v>168669.24128744242</v>
      </c>
    </row>
    <row r="44" spans="1:2">
      <c r="A44" s="71">
        <v>43</v>
      </c>
      <c r="B44" s="71">
        <v>169323.81064651519</v>
      </c>
    </row>
    <row r="45" spans="1:2">
      <c r="A45" s="71">
        <v>44</v>
      </c>
      <c r="B45" s="71">
        <v>169498.52651831554</v>
      </c>
    </row>
    <row r="46" spans="1:2">
      <c r="A46" s="71">
        <v>45</v>
      </c>
      <c r="B46" s="71">
        <v>164844.57247720976</v>
      </c>
    </row>
    <row r="47" spans="1:2">
      <c r="A47" s="71">
        <v>46</v>
      </c>
      <c r="B47" s="71">
        <v>179641.60671502593</v>
      </c>
    </row>
    <row r="48" spans="1:2">
      <c r="A48" s="71">
        <v>47</v>
      </c>
      <c r="B48" s="71">
        <v>165582.7373125864</v>
      </c>
    </row>
    <row r="49" spans="1:2">
      <c r="A49" s="71">
        <v>48</v>
      </c>
      <c r="B49" s="71">
        <v>171315.84292296125</v>
      </c>
    </row>
    <row r="50" spans="1:2">
      <c r="A50" s="71">
        <v>49</v>
      </c>
      <c r="B50" s="71">
        <v>169992.34717930859</v>
      </c>
    </row>
    <row r="51" spans="1:2">
      <c r="A51" s="71">
        <v>50</v>
      </c>
      <c r="B51" s="71">
        <v>164303.4351237005</v>
      </c>
    </row>
    <row r="52" spans="1:2">
      <c r="A52" s="71">
        <v>51</v>
      </c>
      <c r="B52" s="71">
        <v>163794.87592020581</v>
      </c>
    </row>
    <row r="53" spans="1:2">
      <c r="A53" s="71">
        <v>52</v>
      </c>
      <c r="B53" s="71">
        <v>163553.93558647574</v>
      </c>
    </row>
    <row r="54" spans="1:2">
      <c r="A54" s="71">
        <v>53</v>
      </c>
      <c r="B54" s="71">
        <v>183395.55209566202</v>
      </c>
    </row>
    <row r="55" spans="1:2">
      <c r="A55" s="71">
        <v>54</v>
      </c>
      <c r="B55" s="71">
        <v>153726.91600813568</v>
      </c>
    </row>
    <row r="56" spans="1:2">
      <c r="A56" s="71">
        <v>55</v>
      </c>
      <c r="B56" s="71">
        <v>187106.90560637743</v>
      </c>
    </row>
    <row r="57" spans="1:2">
      <c r="A57" s="71">
        <v>56</v>
      </c>
      <c r="B57" s="71">
        <v>167828.19745977403</v>
      </c>
    </row>
    <row r="58" spans="1:2">
      <c r="A58" s="71">
        <v>57</v>
      </c>
      <c r="B58" s="71">
        <v>159892.58430111455</v>
      </c>
    </row>
    <row r="59" spans="1:2">
      <c r="A59" s="71">
        <v>58</v>
      </c>
      <c r="B59" s="71">
        <v>181709.87937074335</v>
      </c>
    </row>
    <row r="60" spans="1:2">
      <c r="A60" s="71">
        <v>59</v>
      </c>
      <c r="B60" s="71">
        <v>167331.4611322681</v>
      </c>
    </row>
    <row r="61" spans="1:2">
      <c r="A61" s="71">
        <v>60</v>
      </c>
      <c r="B61" s="71">
        <v>174173.75073002611</v>
      </c>
    </row>
    <row r="62" spans="1:2">
      <c r="A62" s="71">
        <v>61</v>
      </c>
      <c r="B62" s="71">
        <v>165518.43435499715</v>
      </c>
    </row>
    <row r="63" spans="1:2">
      <c r="A63" s="71">
        <v>62</v>
      </c>
      <c r="B63" s="71">
        <v>158482.88433294356</v>
      </c>
    </row>
    <row r="64" spans="1:2">
      <c r="A64" s="71">
        <v>63</v>
      </c>
      <c r="B64" s="71">
        <v>168084.35855875898</v>
      </c>
    </row>
    <row r="65" spans="1:2">
      <c r="A65" s="71">
        <v>64</v>
      </c>
      <c r="B65" s="71">
        <v>171919.17824631566</v>
      </c>
    </row>
    <row r="66" spans="1:2">
      <c r="A66" s="71">
        <v>65</v>
      </c>
      <c r="B66" s="71">
        <v>158838.47219983567</v>
      </c>
    </row>
    <row r="67" spans="1:2">
      <c r="A67" s="71">
        <v>66</v>
      </c>
      <c r="B67" s="71">
        <v>161115.05625544704</v>
      </c>
    </row>
    <row r="68" spans="1:2">
      <c r="A68" s="71">
        <v>67</v>
      </c>
      <c r="B68" s="71">
        <v>164510.34249379774</v>
      </c>
    </row>
    <row r="69" spans="1:2">
      <c r="A69" s="71">
        <v>68</v>
      </c>
      <c r="B69" s="71">
        <v>177628.47302476206</v>
      </c>
    </row>
    <row r="70" spans="1:2">
      <c r="A70" s="71">
        <v>69</v>
      </c>
      <c r="B70" s="71">
        <v>157140.55825073482</v>
      </c>
    </row>
    <row r="71" spans="1:2">
      <c r="A71" s="71">
        <v>70</v>
      </c>
      <c r="B71" s="71">
        <v>163015.24265759668</v>
      </c>
    </row>
    <row r="72" spans="1:2">
      <c r="A72" s="71">
        <v>71</v>
      </c>
      <c r="B72" s="71">
        <v>169179.45512648067</v>
      </c>
    </row>
    <row r="73" spans="1:2">
      <c r="A73" s="71">
        <v>72</v>
      </c>
      <c r="B73" s="71">
        <v>181372.93321887671</v>
      </c>
    </row>
    <row r="74" spans="1:2">
      <c r="A74" s="71">
        <v>73</v>
      </c>
      <c r="B74" s="71">
        <v>158458.49518103388</v>
      </c>
    </row>
    <row r="75" spans="1:2">
      <c r="A75" s="71">
        <v>74</v>
      </c>
      <c r="B75" s="71">
        <v>160987.86987471662</v>
      </c>
    </row>
    <row r="76" spans="1:2">
      <c r="A76" s="71">
        <v>75</v>
      </c>
      <c r="B76" s="71">
        <v>169671.64357112907</v>
      </c>
    </row>
    <row r="77" spans="1:2">
      <c r="A77" s="71">
        <v>76</v>
      </c>
      <c r="B77" s="71">
        <v>177522.9917594431</v>
      </c>
    </row>
    <row r="78" spans="1:2">
      <c r="A78" s="71">
        <v>77</v>
      </c>
      <c r="B78" s="71">
        <v>171100.29645380838</v>
      </c>
    </row>
    <row r="79" spans="1:2">
      <c r="A79" s="71">
        <v>78</v>
      </c>
      <c r="B79" s="71">
        <v>177043.87394628261</v>
      </c>
    </row>
    <row r="80" spans="1:2">
      <c r="A80" s="71">
        <v>79</v>
      </c>
      <c r="B80" s="71">
        <v>167571.8023431249</v>
      </c>
    </row>
    <row r="81" spans="1:2">
      <c r="A81" s="71">
        <v>80</v>
      </c>
      <c r="B81" s="71">
        <v>174165.95409232311</v>
      </c>
    </row>
    <row r="82" spans="1:2">
      <c r="A82" s="71">
        <v>81</v>
      </c>
      <c r="B82" s="71">
        <v>157609.67804396513</v>
      </c>
    </row>
    <row r="83" spans="1:2">
      <c r="A83" s="71">
        <v>82</v>
      </c>
      <c r="B83" s="71">
        <v>158944.91507953088</v>
      </c>
    </row>
    <row r="84" spans="1:2">
      <c r="A84" s="71">
        <v>83</v>
      </c>
      <c r="B84" s="71">
        <v>163098.23628480002</v>
      </c>
    </row>
    <row r="85" spans="1:2">
      <c r="A85" s="71">
        <v>84</v>
      </c>
      <c r="B85" s="71">
        <v>173597.22112998259</v>
      </c>
    </row>
    <row r="86" spans="1:2">
      <c r="A86" s="71">
        <v>85</v>
      </c>
      <c r="B86" s="71">
        <v>163714.40591064282</v>
      </c>
    </row>
    <row r="87" spans="1:2">
      <c r="A87" s="71">
        <v>86</v>
      </c>
      <c r="B87" s="71">
        <v>157452.04962197784</v>
      </c>
    </row>
    <row r="88" spans="1:2">
      <c r="A88" s="71">
        <v>87</v>
      </c>
      <c r="B88" s="71">
        <v>149653.61536091339</v>
      </c>
    </row>
    <row r="89" spans="1:2">
      <c r="A89" s="71">
        <v>88</v>
      </c>
      <c r="B89" s="71">
        <v>164641.40720366812</v>
      </c>
    </row>
    <row r="90" spans="1:2">
      <c r="A90" s="71">
        <v>89</v>
      </c>
      <c r="B90" s="71">
        <v>160809.21301418476</v>
      </c>
    </row>
    <row r="91" spans="1:2">
      <c r="A91" s="71">
        <v>90</v>
      </c>
      <c r="B91" s="71">
        <v>163612.12720210722</v>
      </c>
    </row>
    <row r="92" spans="1:2">
      <c r="A92" s="71">
        <v>91</v>
      </c>
      <c r="B92" s="71">
        <v>172818.00228248438</v>
      </c>
    </row>
    <row r="93" spans="1:2">
      <c r="A93" s="71">
        <v>92</v>
      </c>
      <c r="B93" s="71">
        <v>171097.58897463503</v>
      </c>
    </row>
    <row r="94" spans="1:2">
      <c r="A94" s="71">
        <v>93</v>
      </c>
      <c r="B94" s="71">
        <v>161583.4485887248</v>
      </c>
    </row>
    <row r="95" spans="1:2">
      <c r="A95" s="71">
        <v>94</v>
      </c>
      <c r="B95" s="71">
        <v>166027.47161128404</v>
      </c>
    </row>
    <row r="96" spans="1:2">
      <c r="A96" s="71">
        <v>95</v>
      </c>
      <c r="B96" s="71">
        <v>158695.68499942523</v>
      </c>
    </row>
    <row r="97" spans="1:2">
      <c r="A97" s="71">
        <v>96</v>
      </c>
      <c r="B97" s="71">
        <v>174992.75416628426</v>
      </c>
    </row>
    <row r="98" spans="1:2">
      <c r="A98" s="71">
        <v>97</v>
      </c>
      <c r="B98" s="71">
        <v>167888.08725084184</v>
      </c>
    </row>
    <row r="99" spans="1:2">
      <c r="A99" s="71">
        <v>98</v>
      </c>
      <c r="B99" s="71">
        <v>166763.71326962681</v>
      </c>
    </row>
    <row r="100" spans="1:2">
      <c r="A100" s="71">
        <v>99</v>
      </c>
      <c r="B100" s="71">
        <v>172075.00084795983</v>
      </c>
    </row>
    <row r="101" spans="1:2">
      <c r="A101" s="71">
        <v>100</v>
      </c>
      <c r="B101" s="71">
        <v>148703.54800297052</v>
      </c>
    </row>
    <row r="102" spans="1:2">
      <c r="A102" s="71">
        <v>101</v>
      </c>
      <c r="B102" s="71">
        <v>161557.12017680355</v>
      </c>
    </row>
    <row r="103" spans="1:2">
      <c r="A103" s="71">
        <v>102</v>
      </c>
      <c r="B103" s="71">
        <v>173253.93425688718</v>
      </c>
    </row>
    <row r="104" spans="1:2">
      <c r="A104" s="71">
        <v>103</v>
      </c>
      <c r="B104" s="71">
        <v>166885.27427505353</v>
      </c>
    </row>
    <row r="105" spans="1:2">
      <c r="A105" s="71">
        <v>104</v>
      </c>
      <c r="B105" s="71">
        <v>172012.2654672112</v>
      </c>
    </row>
    <row r="106" spans="1:2">
      <c r="A106" s="71">
        <v>105</v>
      </c>
      <c r="B106" s="71">
        <v>171173.21458706306</v>
      </c>
    </row>
    <row r="107" spans="1:2">
      <c r="A107" s="71">
        <v>106</v>
      </c>
      <c r="B107" s="71">
        <v>167088.51882620616</v>
      </c>
    </row>
    <row r="108" spans="1:2">
      <c r="A108" s="71">
        <v>107</v>
      </c>
      <c r="B108" s="71">
        <v>168860.57681783545</v>
      </c>
    </row>
    <row r="109" spans="1:2">
      <c r="A109" s="71">
        <v>108</v>
      </c>
      <c r="B109" s="71">
        <v>157973.73093456469</v>
      </c>
    </row>
    <row r="110" spans="1:2">
      <c r="A110" s="71">
        <v>109</v>
      </c>
      <c r="B110" s="71">
        <v>173275.16164607843</v>
      </c>
    </row>
    <row r="111" spans="1:2">
      <c r="A111" s="71">
        <v>110</v>
      </c>
      <c r="B111" s="71">
        <v>158411.9782337065</v>
      </c>
    </row>
    <row r="112" spans="1:2">
      <c r="A112" s="71">
        <v>111</v>
      </c>
      <c r="B112" s="71">
        <v>157742.29542090817</v>
      </c>
    </row>
    <row r="113" spans="1:2">
      <c r="A113" s="71">
        <v>112</v>
      </c>
      <c r="B113" s="71">
        <v>157668.58327337858</v>
      </c>
    </row>
    <row r="114" spans="1:2">
      <c r="A114" s="71">
        <v>113</v>
      </c>
      <c r="B114" s="71">
        <v>174517.07541377642</v>
      </c>
    </row>
    <row r="115" spans="1:2">
      <c r="A115" s="71">
        <v>114</v>
      </c>
      <c r="B115" s="71">
        <v>156884.42008981446</v>
      </c>
    </row>
    <row r="116" spans="1:2">
      <c r="A116" s="71">
        <v>115</v>
      </c>
      <c r="B116" s="71">
        <v>165330.26408977484</v>
      </c>
    </row>
    <row r="117" spans="1:2">
      <c r="A117" s="71">
        <v>116</v>
      </c>
      <c r="B117" s="71">
        <v>152673.2030674316</v>
      </c>
    </row>
    <row r="118" spans="1:2">
      <c r="A118" s="71">
        <v>117</v>
      </c>
      <c r="B118" s="71">
        <v>181671.87681986252</v>
      </c>
    </row>
    <row r="119" spans="1:2">
      <c r="A119" s="71">
        <v>118</v>
      </c>
      <c r="B119" s="71">
        <v>154757.51239005773</v>
      </c>
    </row>
    <row r="120" spans="1:2">
      <c r="A120" s="71">
        <v>119</v>
      </c>
      <c r="B120" s="71">
        <v>173871.62065954716</v>
      </c>
    </row>
    <row r="121" spans="1:2">
      <c r="A121" s="71">
        <v>120</v>
      </c>
      <c r="B121" s="71">
        <v>174198.24870317409</v>
      </c>
    </row>
    <row r="122" spans="1:2">
      <c r="A122" s="71">
        <v>121</v>
      </c>
      <c r="B122" s="71">
        <v>157782.13937086691</v>
      </c>
    </row>
    <row r="123" spans="1:2">
      <c r="A123" s="71">
        <v>122</v>
      </c>
      <c r="B123" s="71">
        <v>170516.58621867947</v>
      </c>
    </row>
    <row r="124" spans="1:2">
      <c r="A124" s="71">
        <v>123</v>
      </c>
      <c r="B124" s="71">
        <v>162391.18650788299</v>
      </c>
    </row>
    <row r="125" spans="1:2">
      <c r="A125" s="71">
        <v>124</v>
      </c>
      <c r="B125" s="71">
        <v>173046.41444742514</v>
      </c>
    </row>
    <row r="126" spans="1:2">
      <c r="A126" s="71">
        <v>125</v>
      </c>
      <c r="B126" s="71">
        <v>170156.86067485268</v>
      </c>
    </row>
    <row r="127" spans="1:2">
      <c r="A127" s="71">
        <v>126</v>
      </c>
      <c r="B127" s="71">
        <v>163178.38025773221</v>
      </c>
    </row>
    <row r="128" spans="1:2">
      <c r="A128" s="71">
        <v>127</v>
      </c>
      <c r="B128" s="71">
        <v>154014.33996752207</v>
      </c>
    </row>
    <row r="129" spans="1:2">
      <c r="A129" s="71">
        <v>128</v>
      </c>
      <c r="B129" s="71">
        <v>167984.55212636103</v>
      </c>
    </row>
    <row r="130" spans="1:2">
      <c r="A130" s="71">
        <v>129</v>
      </c>
      <c r="B130" s="71">
        <v>163006.48812977635</v>
      </c>
    </row>
    <row r="131" spans="1:2">
      <c r="A131" s="71">
        <v>130</v>
      </c>
      <c r="B131" s="71">
        <v>155640.71782195082</v>
      </c>
    </row>
    <row r="132" spans="1:2">
      <c r="A132" s="71">
        <v>131</v>
      </c>
      <c r="B132" s="71">
        <v>171494.75502671645</v>
      </c>
    </row>
    <row r="133" spans="1:2">
      <c r="A133" s="71">
        <v>132</v>
      </c>
      <c r="B133" s="71">
        <v>150683.68163978119</v>
      </c>
    </row>
    <row r="134" spans="1:2">
      <c r="A134" s="71">
        <v>133</v>
      </c>
      <c r="B134" s="71">
        <v>173447.7752198157</v>
      </c>
    </row>
    <row r="135" spans="1:2">
      <c r="A135" s="71">
        <v>134</v>
      </c>
      <c r="B135" s="71">
        <v>165775.72828437854</v>
      </c>
    </row>
    <row r="136" spans="1:2">
      <c r="A136" s="71">
        <v>135</v>
      </c>
      <c r="B136" s="71">
        <v>163814.77012334557</v>
      </c>
    </row>
    <row r="137" spans="1:2">
      <c r="A137" s="71">
        <v>136</v>
      </c>
      <c r="B137" s="71">
        <v>161283.19856881778</v>
      </c>
    </row>
    <row r="138" spans="1:2">
      <c r="A138" s="71">
        <v>137</v>
      </c>
      <c r="B138" s="71">
        <v>161999.73534266089</v>
      </c>
    </row>
    <row r="139" spans="1:2">
      <c r="A139" s="71">
        <v>138</v>
      </c>
      <c r="B139" s="71">
        <v>163665.72431031763</v>
      </c>
    </row>
    <row r="140" spans="1:2">
      <c r="A140" s="71">
        <v>139</v>
      </c>
      <c r="B140" s="71">
        <v>168811.90799542877</v>
      </c>
    </row>
    <row r="141" spans="1:2">
      <c r="A141" s="71">
        <v>140</v>
      </c>
      <c r="B141" s="71">
        <v>164810.25831809524</v>
      </c>
    </row>
    <row r="142" spans="1:2">
      <c r="A142" s="71">
        <v>141</v>
      </c>
      <c r="B142" s="71">
        <v>168076.09682050429</v>
      </c>
    </row>
    <row r="143" spans="1:2">
      <c r="A143" s="71">
        <v>142</v>
      </c>
      <c r="B143" s="71">
        <v>171221.98949114891</v>
      </c>
    </row>
    <row r="144" spans="1:2">
      <c r="A144" s="71">
        <v>143</v>
      </c>
      <c r="B144" s="71">
        <v>176761.8428993455</v>
      </c>
    </row>
    <row r="145" spans="1:2">
      <c r="A145" s="71">
        <v>144</v>
      </c>
      <c r="B145" s="71">
        <v>152444.60803747794</v>
      </c>
    </row>
    <row r="146" spans="1:2">
      <c r="A146" s="71">
        <v>145</v>
      </c>
      <c r="B146" s="71">
        <v>158241.40516474479</v>
      </c>
    </row>
    <row r="147" spans="1:2">
      <c r="A147" s="71">
        <v>146</v>
      </c>
      <c r="B147" s="71">
        <v>163845.68650845462</v>
      </c>
    </row>
    <row r="148" spans="1:2">
      <c r="A148" s="71">
        <v>147</v>
      </c>
      <c r="B148" s="71">
        <v>156185.42362106734</v>
      </c>
    </row>
    <row r="149" spans="1:2">
      <c r="A149" s="71">
        <v>148</v>
      </c>
      <c r="B149" s="71">
        <v>169349.43458933051</v>
      </c>
    </row>
    <row r="150" spans="1:2">
      <c r="A150" s="71">
        <v>149</v>
      </c>
      <c r="B150" s="71">
        <v>174539.31132067862</v>
      </c>
    </row>
    <row r="151" spans="1:2">
      <c r="A151" s="71">
        <v>150</v>
      </c>
      <c r="B151" s="71">
        <v>171550.09223808596</v>
      </c>
    </row>
    <row r="152" spans="1:2">
      <c r="A152" s="71">
        <v>151</v>
      </c>
      <c r="B152" s="71">
        <v>150229.91101922086</v>
      </c>
    </row>
    <row r="153" spans="1:2">
      <c r="A153" s="71">
        <v>152</v>
      </c>
      <c r="B153" s="71">
        <v>164585.84087697955</v>
      </c>
    </row>
    <row r="154" spans="1:2">
      <c r="A154" s="71">
        <v>153</v>
      </c>
      <c r="B154" s="71">
        <v>171994.45485314762</v>
      </c>
    </row>
    <row r="155" spans="1:2">
      <c r="A155" s="71">
        <v>154</v>
      </c>
      <c r="B155" s="71">
        <v>171665.5543223664</v>
      </c>
    </row>
    <row r="156" spans="1:2">
      <c r="A156" s="71">
        <v>155</v>
      </c>
      <c r="B156" s="71">
        <v>166188.98645616928</v>
      </c>
    </row>
    <row r="157" spans="1:2">
      <c r="A157" s="71">
        <v>156</v>
      </c>
      <c r="B157" s="71">
        <v>163461.86503780808</v>
      </c>
    </row>
    <row r="158" spans="1:2">
      <c r="A158" s="71">
        <v>157</v>
      </c>
      <c r="B158" s="71">
        <v>166912.1146926845</v>
      </c>
    </row>
    <row r="159" spans="1:2">
      <c r="A159" s="71">
        <v>158</v>
      </c>
      <c r="B159" s="71">
        <v>163437.45323516216</v>
      </c>
    </row>
    <row r="160" spans="1:2">
      <c r="A160" s="71">
        <v>159</v>
      </c>
      <c r="B160" s="71">
        <v>178225.19454534378</v>
      </c>
    </row>
    <row r="161" spans="1:2">
      <c r="A161" s="71">
        <v>160</v>
      </c>
      <c r="B161" s="71">
        <v>168124.08069252613</v>
      </c>
    </row>
    <row r="162" spans="1:2">
      <c r="A162" s="71">
        <v>161</v>
      </c>
      <c r="B162" s="71">
        <v>161224.98046916272</v>
      </c>
    </row>
    <row r="163" spans="1:2">
      <c r="A163" s="71">
        <v>162</v>
      </c>
      <c r="B163" s="71">
        <v>165042.44440221848</v>
      </c>
    </row>
    <row r="164" spans="1:2">
      <c r="A164" s="71">
        <v>163</v>
      </c>
      <c r="B164" s="71">
        <v>173851.96451053277</v>
      </c>
    </row>
    <row r="165" spans="1:2">
      <c r="A165" s="71">
        <v>164</v>
      </c>
      <c r="B165" s="71">
        <v>181510.06593553998</v>
      </c>
    </row>
    <row r="166" spans="1:2">
      <c r="A166" s="71">
        <v>165</v>
      </c>
      <c r="B166" s="71">
        <v>159895.92302233484</v>
      </c>
    </row>
    <row r="167" spans="1:2">
      <c r="A167" s="71">
        <v>166</v>
      </c>
      <c r="B167" s="71">
        <v>158106.69523605754</v>
      </c>
    </row>
    <row r="168" spans="1:2">
      <c r="A168" s="71">
        <v>167</v>
      </c>
      <c r="B168" s="71">
        <v>162878.5815642064</v>
      </c>
    </row>
    <row r="169" spans="1:2">
      <c r="A169" s="71">
        <v>168</v>
      </c>
      <c r="B169" s="71">
        <v>164131.48678474466</v>
      </c>
    </row>
    <row r="170" spans="1:2">
      <c r="A170" s="71">
        <v>169</v>
      </c>
      <c r="B170" s="71">
        <v>152989.2859804664</v>
      </c>
    </row>
    <row r="171" spans="1:2">
      <c r="A171" s="71">
        <v>170</v>
      </c>
      <c r="B171" s="71">
        <v>167303.46674578192</v>
      </c>
    </row>
    <row r="172" spans="1:2">
      <c r="A172" s="71">
        <v>171</v>
      </c>
      <c r="B172" s="71">
        <v>165376.34680365669</v>
      </c>
    </row>
    <row r="173" spans="1:2">
      <c r="A173" s="71">
        <v>172</v>
      </c>
      <c r="B173" s="71">
        <v>150126.47646008286</v>
      </c>
    </row>
    <row r="174" spans="1:2">
      <c r="A174" s="71">
        <v>173</v>
      </c>
      <c r="B174" s="71">
        <v>156811.71234800026</v>
      </c>
    </row>
    <row r="175" spans="1:2">
      <c r="A175" s="71">
        <v>174</v>
      </c>
      <c r="B175" s="71">
        <v>162262.84701114241</v>
      </c>
    </row>
    <row r="176" spans="1:2">
      <c r="A176" s="71">
        <v>175</v>
      </c>
      <c r="B176" s="71">
        <v>158752.48662217977</v>
      </c>
    </row>
    <row r="177" spans="1:2">
      <c r="A177" s="71">
        <v>176</v>
      </c>
      <c r="B177" s="71">
        <v>160385.9199144764</v>
      </c>
    </row>
    <row r="178" spans="1:2">
      <c r="A178" s="71">
        <v>177</v>
      </c>
      <c r="B178" s="71">
        <v>174098.63242639403</v>
      </c>
    </row>
    <row r="179" spans="1:2">
      <c r="A179" s="71">
        <v>178</v>
      </c>
      <c r="B179" s="71">
        <v>175392.02435109799</v>
      </c>
    </row>
    <row r="180" spans="1:2">
      <c r="A180" s="71">
        <v>179</v>
      </c>
      <c r="B180" s="71">
        <v>161718.75139424513</v>
      </c>
    </row>
    <row r="181" spans="1:2">
      <c r="A181" s="71">
        <v>180</v>
      </c>
      <c r="B181" s="71">
        <v>171827.30052539145</v>
      </c>
    </row>
    <row r="182" spans="1:2">
      <c r="A182" s="71">
        <v>181</v>
      </c>
      <c r="B182" s="71">
        <v>162978.34692792105</v>
      </c>
    </row>
    <row r="183" spans="1:2">
      <c r="A183" s="71">
        <v>182</v>
      </c>
      <c r="B183" s="71">
        <v>154566.6544279787</v>
      </c>
    </row>
    <row r="184" spans="1:2">
      <c r="A184" s="71">
        <v>183</v>
      </c>
      <c r="B184" s="71">
        <v>169921.68383960583</v>
      </c>
    </row>
    <row r="185" spans="1:2">
      <c r="A185" s="71">
        <v>184</v>
      </c>
      <c r="B185" s="71">
        <v>161401.99956760055</v>
      </c>
    </row>
    <row r="186" spans="1:2">
      <c r="A186" s="71">
        <v>185</v>
      </c>
      <c r="B186" s="71">
        <v>151168.16846397001</v>
      </c>
    </row>
    <row r="187" spans="1:2">
      <c r="A187" s="71">
        <v>186</v>
      </c>
      <c r="B187" s="71">
        <v>180232.14194779439</v>
      </c>
    </row>
    <row r="188" spans="1:2">
      <c r="A188" s="71">
        <v>187</v>
      </c>
      <c r="B188" s="71">
        <v>162650.93390625651</v>
      </c>
    </row>
    <row r="189" spans="1:2">
      <c r="A189" s="71">
        <v>188</v>
      </c>
      <c r="B189" s="71">
        <v>173468.85224628262</v>
      </c>
    </row>
    <row r="190" spans="1:2">
      <c r="A190" s="71">
        <v>189</v>
      </c>
      <c r="B190" s="71">
        <v>172419.46617109681</v>
      </c>
    </row>
    <row r="191" spans="1:2">
      <c r="A191" s="71">
        <v>190</v>
      </c>
      <c r="B191" s="71">
        <v>163716.90415001506</v>
      </c>
    </row>
    <row r="192" spans="1:2">
      <c r="A192" s="71">
        <v>191</v>
      </c>
      <c r="B192" s="71">
        <v>160237.43633920164</v>
      </c>
    </row>
    <row r="193" spans="1:2">
      <c r="A193" s="71">
        <v>192</v>
      </c>
      <c r="B193" s="71">
        <v>166495.95698818463</v>
      </c>
    </row>
    <row r="194" spans="1:2">
      <c r="A194" s="71">
        <v>193</v>
      </c>
      <c r="B194" s="71">
        <v>163612.84809267579</v>
      </c>
    </row>
    <row r="195" spans="1:2">
      <c r="A195" s="71">
        <v>194</v>
      </c>
      <c r="B195" s="71">
        <v>166598.54060846439</v>
      </c>
    </row>
    <row r="196" spans="1:2">
      <c r="A196" s="71">
        <v>195</v>
      </c>
      <c r="B196" s="71">
        <v>154198.55694014739</v>
      </c>
    </row>
    <row r="197" spans="1:2">
      <c r="A197" s="71">
        <v>196</v>
      </c>
      <c r="B197" s="71">
        <v>173412.96572567162</v>
      </c>
    </row>
    <row r="198" spans="1:2">
      <c r="A198" s="71">
        <v>197</v>
      </c>
      <c r="B198" s="71">
        <v>166337.10410704152</v>
      </c>
    </row>
    <row r="199" spans="1:2">
      <c r="A199" s="71">
        <v>198</v>
      </c>
      <c r="B199" s="71">
        <v>162162.37744542319</v>
      </c>
    </row>
    <row r="200" spans="1:2">
      <c r="A200" s="71">
        <v>199</v>
      </c>
      <c r="B200" s="71">
        <v>169917.25715338954</v>
      </c>
    </row>
    <row r="201" spans="1:2">
      <c r="A201" s="71">
        <v>200</v>
      </c>
      <c r="B201" s="71">
        <v>159880.62569712786</v>
      </c>
    </row>
    <row r="202" spans="1:2">
      <c r="A202" s="71">
        <v>201</v>
      </c>
      <c r="B202" s="71">
        <v>162162.9610590153</v>
      </c>
    </row>
    <row r="203" spans="1:2">
      <c r="A203" s="71">
        <v>202</v>
      </c>
      <c r="B203" s="71">
        <v>167898.41942683596</v>
      </c>
    </row>
    <row r="204" spans="1:2">
      <c r="A204" s="71">
        <v>203</v>
      </c>
      <c r="B204" s="71">
        <v>153537.90070924305</v>
      </c>
    </row>
    <row r="205" spans="1:2">
      <c r="A205" s="71">
        <v>204</v>
      </c>
      <c r="B205" s="71">
        <v>159160.02603494274</v>
      </c>
    </row>
    <row r="206" spans="1:2">
      <c r="A206" s="71">
        <v>205</v>
      </c>
      <c r="B206" s="71">
        <v>169834.07376186238</v>
      </c>
    </row>
    <row r="207" spans="1:2">
      <c r="A207" s="71">
        <v>206</v>
      </c>
      <c r="B207" s="71">
        <v>167173.127019743</v>
      </c>
    </row>
    <row r="208" spans="1:2">
      <c r="A208" s="71">
        <v>207</v>
      </c>
      <c r="B208" s="71">
        <v>156899.27674018822</v>
      </c>
    </row>
    <row r="209" spans="1:2">
      <c r="A209" s="71">
        <v>208</v>
      </c>
      <c r="B209" s="71">
        <v>170236.88225266692</v>
      </c>
    </row>
    <row r="210" spans="1:2">
      <c r="A210" s="71">
        <v>209</v>
      </c>
      <c r="B210" s="71">
        <v>160363.08733054661</v>
      </c>
    </row>
    <row r="211" spans="1:2">
      <c r="A211" s="71">
        <v>210</v>
      </c>
      <c r="B211" s="71">
        <v>180289.192680979</v>
      </c>
    </row>
    <row r="212" spans="1:2">
      <c r="A212" s="71">
        <v>211</v>
      </c>
      <c r="B212" s="71">
        <v>148558.46118598231</v>
      </c>
    </row>
    <row r="213" spans="1:2">
      <c r="A213" s="71">
        <v>212</v>
      </c>
      <c r="B213" s="71">
        <v>167059.71097046894</v>
      </c>
    </row>
    <row r="214" spans="1:2">
      <c r="A214" s="71">
        <v>213</v>
      </c>
      <c r="B214" s="71">
        <v>168420.41071244527</v>
      </c>
    </row>
    <row r="215" spans="1:2">
      <c r="A215" s="71">
        <v>214</v>
      </c>
      <c r="B215" s="71">
        <v>170306.1062206513</v>
      </c>
    </row>
    <row r="216" spans="1:2">
      <c r="A216" s="71">
        <v>215</v>
      </c>
      <c r="B216" s="71">
        <v>174719.66729799248</v>
      </c>
    </row>
    <row r="217" spans="1:2">
      <c r="A217" s="71">
        <v>216</v>
      </c>
      <c r="B217" s="71">
        <v>163770.65977164623</v>
      </c>
    </row>
    <row r="218" spans="1:2">
      <c r="A218" s="71">
        <v>217</v>
      </c>
      <c r="B218" s="71">
        <v>167279.46568633505</v>
      </c>
    </row>
    <row r="219" spans="1:2">
      <c r="A219" s="71">
        <v>218</v>
      </c>
      <c r="B219" s="71">
        <v>156768.10211700926</v>
      </c>
    </row>
    <row r="220" spans="1:2">
      <c r="A220" s="71">
        <v>219</v>
      </c>
      <c r="B220" s="71">
        <v>156747.05773193931</v>
      </c>
    </row>
    <row r="221" spans="1:2">
      <c r="A221" s="71">
        <v>220</v>
      </c>
      <c r="B221" s="71">
        <v>161039.89164180477</v>
      </c>
    </row>
    <row r="222" spans="1:2">
      <c r="A222" s="71">
        <v>221</v>
      </c>
      <c r="B222" s="71">
        <v>162777.09766611844</v>
      </c>
    </row>
    <row r="223" spans="1:2">
      <c r="A223" s="71">
        <v>222</v>
      </c>
      <c r="B223" s="71">
        <v>170952.56018438848</v>
      </c>
    </row>
    <row r="224" spans="1:2">
      <c r="A224" s="71">
        <v>223</v>
      </c>
      <c r="B224" s="71">
        <v>147045.50412750442</v>
      </c>
    </row>
    <row r="225" spans="1:2">
      <c r="A225" s="71">
        <v>224</v>
      </c>
      <c r="B225" s="71">
        <v>163328.90418281223</v>
      </c>
    </row>
    <row r="226" spans="1:2">
      <c r="A226" s="71">
        <v>225</v>
      </c>
      <c r="B226" s="71">
        <v>168251.31624254319</v>
      </c>
    </row>
    <row r="227" spans="1:2">
      <c r="A227" s="71">
        <v>226</v>
      </c>
      <c r="B227" s="71">
        <v>169288.70108462434</v>
      </c>
    </row>
    <row r="228" spans="1:2">
      <c r="A228" s="71">
        <v>227</v>
      </c>
      <c r="B228" s="71">
        <v>169136.58825728527</v>
      </c>
    </row>
    <row r="229" spans="1:2">
      <c r="A229" s="71">
        <v>228</v>
      </c>
      <c r="B229" s="71">
        <v>163317.39484287109</v>
      </c>
    </row>
    <row r="230" spans="1:2">
      <c r="A230" s="71">
        <v>229</v>
      </c>
      <c r="B230" s="71">
        <v>154542.55559537973</v>
      </c>
    </row>
    <row r="231" spans="1:2">
      <c r="A231" s="71">
        <v>230</v>
      </c>
      <c r="B231" s="71">
        <v>163702.20356527163</v>
      </c>
    </row>
    <row r="232" spans="1:2">
      <c r="A232" s="71">
        <v>231</v>
      </c>
      <c r="B232" s="71">
        <v>160330.12478132106</v>
      </c>
    </row>
    <row r="233" spans="1:2">
      <c r="A233" s="71">
        <v>232</v>
      </c>
      <c r="B233" s="71">
        <v>167625.32767571771</v>
      </c>
    </row>
    <row r="234" spans="1:2">
      <c r="A234" s="71">
        <v>233</v>
      </c>
      <c r="B234" s="71">
        <v>173782.02753275912</v>
      </c>
    </row>
    <row r="235" spans="1:2">
      <c r="A235" s="71">
        <v>234</v>
      </c>
      <c r="B235" s="71">
        <v>151395.98110538188</v>
      </c>
    </row>
    <row r="236" spans="1:2">
      <c r="A236" s="71">
        <v>235</v>
      </c>
      <c r="B236" s="71">
        <v>154457.08846576177</v>
      </c>
    </row>
    <row r="237" spans="1:2">
      <c r="A237" s="71">
        <v>236</v>
      </c>
      <c r="B237" s="71">
        <v>159075.13413081711</v>
      </c>
    </row>
    <row r="238" spans="1:2">
      <c r="A238" s="71">
        <v>237</v>
      </c>
      <c r="B238" s="71">
        <v>174412.47057986821</v>
      </c>
    </row>
    <row r="239" spans="1:2">
      <c r="A239" s="71">
        <v>238</v>
      </c>
      <c r="B239" s="71">
        <v>166039.08190067243</v>
      </c>
    </row>
    <row r="240" spans="1:2">
      <c r="A240" s="71">
        <v>239</v>
      </c>
      <c r="B240" s="71">
        <v>164900.24587474993</v>
      </c>
    </row>
    <row r="241" spans="1:2">
      <c r="A241" s="71">
        <v>240</v>
      </c>
      <c r="B241" s="71">
        <v>164801.21960115022</v>
      </c>
    </row>
    <row r="242" spans="1:2">
      <c r="A242" s="71">
        <v>241</v>
      </c>
      <c r="B242" s="71">
        <v>155264.18305226849</v>
      </c>
    </row>
    <row r="243" spans="1:2">
      <c r="A243" s="71">
        <v>242</v>
      </c>
      <c r="B243" s="71">
        <v>175506.5275931237</v>
      </c>
    </row>
    <row r="244" spans="1:2">
      <c r="A244" s="71">
        <v>243</v>
      </c>
      <c r="B244" s="71">
        <v>165919.42826375313</v>
      </c>
    </row>
    <row r="245" spans="1:2">
      <c r="A245" s="71">
        <v>244</v>
      </c>
      <c r="B245" s="71">
        <v>170999.47406276644</v>
      </c>
    </row>
    <row r="246" spans="1:2">
      <c r="A246" s="71">
        <v>245</v>
      </c>
      <c r="B246" s="71">
        <v>167928.91623585645</v>
      </c>
    </row>
    <row r="247" spans="1:2">
      <c r="A247" s="71">
        <v>246</v>
      </c>
      <c r="B247" s="71">
        <v>162218.15545456717</v>
      </c>
    </row>
    <row r="248" spans="1:2">
      <c r="A248" s="71">
        <v>247</v>
      </c>
      <c r="B248" s="71">
        <v>156091.55576902663</v>
      </c>
    </row>
    <row r="249" spans="1:2">
      <c r="A249" s="71">
        <v>248</v>
      </c>
      <c r="B249" s="71">
        <v>162260.65661992211</v>
      </c>
    </row>
    <row r="250" spans="1:2">
      <c r="A250" s="71">
        <v>249</v>
      </c>
      <c r="B250" s="71">
        <v>174260.22701437384</v>
      </c>
    </row>
    <row r="251" spans="1:2">
      <c r="A251" s="71">
        <v>250</v>
      </c>
      <c r="B251" s="71">
        <v>153016.63985270858</v>
      </c>
    </row>
    <row r="252" spans="1:2">
      <c r="A252" s="71">
        <v>251</v>
      </c>
      <c r="B252" s="71">
        <v>159061.38209018193</v>
      </c>
    </row>
    <row r="253" spans="1:2">
      <c r="A253" s="71">
        <v>252</v>
      </c>
      <c r="B253" s="71">
        <v>157074.21245583461</v>
      </c>
    </row>
    <row r="254" spans="1:2">
      <c r="A254" s="71">
        <v>253</v>
      </c>
      <c r="B254" s="71">
        <v>172400.07687047953</v>
      </c>
    </row>
    <row r="255" spans="1:2">
      <c r="A255" s="71">
        <v>254</v>
      </c>
      <c r="B255" s="71">
        <v>168773.47753370719</v>
      </c>
    </row>
    <row r="256" spans="1:2">
      <c r="A256" s="71">
        <v>255</v>
      </c>
      <c r="B256" s="71">
        <v>153893.24500308902</v>
      </c>
    </row>
    <row r="257" spans="1:2">
      <c r="A257" s="71">
        <v>256</v>
      </c>
      <c r="B257" s="71">
        <v>166136.03850958377</v>
      </c>
    </row>
    <row r="258" spans="1:2">
      <c r="A258" s="71">
        <v>257</v>
      </c>
      <c r="B258" s="71">
        <v>175530.75859051393</v>
      </c>
    </row>
    <row r="259" spans="1:2">
      <c r="A259" s="71">
        <v>258</v>
      </c>
      <c r="B259" s="71">
        <v>171649.39463994949</v>
      </c>
    </row>
    <row r="260" spans="1:2">
      <c r="A260" s="71">
        <v>259</v>
      </c>
      <c r="B260" s="71">
        <v>165774.1140119567</v>
      </c>
    </row>
    <row r="261" spans="1:2">
      <c r="A261" s="71">
        <v>260</v>
      </c>
      <c r="B261" s="71">
        <v>149859.4586794216</v>
      </c>
    </row>
    <row r="262" spans="1:2">
      <c r="A262" s="71">
        <v>261</v>
      </c>
      <c r="B262" s="71">
        <v>163382.26044314445</v>
      </c>
    </row>
    <row r="263" spans="1:2">
      <c r="A263" s="71">
        <v>262</v>
      </c>
      <c r="B263" s="71">
        <v>157228.3954060812</v>
      </c>
    </row>
    <row r="264" spans="1:2">
      <c r="A264" s="71">
        <v>263</v>
      </c>
      <c r="B264" s="71">
        <v>176108.40691499118</v>
      </c>
    </row>
    <row r="265" spans="1:2">
      <c r="A265" s="71">
        <v>264</v>
      </c>
      <c r="B265" s="71">
        <v>157916.88423854104</v>
      </c>
    </row>
    <row r="266" spans="1:2">
      <c r="A266" s="71">
        <v>265</v>
      </c>
      <c r="B266" s="71">
        <v>154600.32711993018</v>
      </c>
    </row>
    <row r="267" spans="1:2">
      <c r="A267" s="71">
        <v>266</v>
      </c>
      <c r="B267" s="71">
        <v>167272.61029090331</v>
      </c>
    </row>
    <row r="268" spans="1:2">
      <c r="A268" s="71">
        <v>267</v>
      </c>
      <c r="B268" s="71">
        <v>157658.44094869963</v>
      </c>
    </row>
    <row r="269" spans="1:2">
      <c r="A269" s="71">
        <v>268</v>
      </c>
      <c r="B269" s="71">
        <v>162749.57600541925</v>
      </c>
    </row>
    <row r="270" spans="1:2">
      <c r="A270" s="71">
        <v>269</v>
      </c>
      <c r="B270" s="71">
        <v>165681.13557661462</v>
      </c>
    </row>
    <row r="271" spans="1:2">
      <c r="A271" s="71">
        <v>270</v>
      </c>
      <c r="B271" s="71">
        <v>166741.39646549485</v>
      </c>
    </row>
    <row r="272" spans="1:2">
      <c r="A272" s="71">
        <v>271</v>
      </c>
      <c r="B272" s="71">
        <v>168737.51631906306</v>
      </c>
    </row>
    <row r="273" spans="1:2">
      <c r="A273" s="71">
        <v>272</v>
      </c>
      <c r="B273" s="71">
        <v>173001.62408767486</v>
      </c>
    </row>
    <row r="274" spans="1:2">
      <c r="A274" s="71">
        <v>273</v>
      </c>
      <c r="B274" s="71">
        <v>164198.51155102337</v>
      </c>
    </row>
    <row r="275" spans="1:2">
      <c r="A275" s="71">
        <v>274</v>
      </c>
      <c r="B275" s="71">
        <v>163616.23583991698</v>
      </c>
    </row>
    <row r="276" spans="1:2">
      <c r="A276" s="71">
        <v>275</v>
      </c>
      <c r="B276" s="71">
        <v>162978.08329222837</v>
      </c>
    </row>
    <row r="277" spans="1:2">
      <c r="A277" s="71">
        <v>276</v>
      </c>
      <c r="B277" s="71">
        <v>173540.87513052559</v>
      </c>
    </row>
    <row r="278" spans="1:2">
      <c r="A278" s="71">
        <v>277</v>
      </c>
      <c r="B278" s="71">
        <v>177571.63157849768</v>
      </c>
    </row>
    <row r="279" spans="1:2">
      <c r="A279" s="71">
        <v>278</v>
      </c>
      <c r="B279" s="71">
        <v>170092.6088265107</v>
      </c>
    </row>
    <row r="280" spans="1:2">
      <c r="A280" s="71">
        <v>279</v>
      </c>
      <c r="B280" s="71">
        <v>174364.91299451247</v>
      </c>
    </row>
    <row r="281" spans="1:2">
      <c r="A281" s="71">
        <v>280</v>
      </c>
      <c r="B281" s="71">
        <v>168350.13363363312</v>
      </c>
    </row>
    <row r="282" spans="1:2">
      <c r="A282" s="71">
        <v>281</v>
      </c>
      <c r="B282" s="71">
        <v>163414.61081796073</v>
      </c>
    </row>
    <row r="283" spans="1:2">
      <c r="A283" s="71">
        <v>282</v>
      </c>
      <c r="B283" s="71">
        <v>155120.35758247561</v>
      </c>
    </row>
    <row r="284" spans="1:2">
      <c r="A284" s="71">
        <v>283</v>
      </c>
      <c r="B284" s="71">
        <v>167741.19845209664</v>
      </c>
    </row>
    <row r="285" spans="1:2">
      <c r="A285" s="71">
        <v>284</v>
      </c>
      <c r="B285" s="71">
        <v>162263.34450423389</v>
      </c>
    </row>
    <row r="286" spans="1:2">
      <c r="A286" s="71">
        <v>285</v>
      </c>
      <c r="B286" s="71">
        <v>170237.06254478262</v>
      </c>
    </row>
    <row r="287" spans="1:2">
      <c r="A287" s="71">
        <v>286</v>
      </c>
      <c r="B287" s="71">
        <v>159554.83862898697</v>
      </c>
    </row>
    <row r="288" spans="1:2">
      <c r="A288" s="71">
        <v>287</v>
      </c>
      <c r="B288" s="71">
        <v>163575.08077739118</v>
      </c>
    </row>
    <row r="289" spans="1:2">
      <c r="A289" s="71">
        <v>288</v>
      </c>
      <c r="B289" s="71">
        <v>173205.14823389999</v>
      </c>
    </row>
    <row r="290" spans="1:2">
      <c r="A290" s="71">
        <v>289</v>
      </c>
      <c r="B290" s="71">
        <v>155767.46846016301</v>
      </c>
    </row>
    <row r="291" spans="1:2">
      <c r="A291" s="71">
        <v>290</v>
      </c>
      <c r="B291" s="71">
        <v>168394.8845007256</v>
      </c>
    </row>
    <row r="292" spans="1:2">
      <c r="A292" s="71">
        <v>291</v>
      </c>
      <c r="B292" s="71">
        <v>166637.59908393302</v>
      </c>
    </row>
    <row r="293" spans="1:2">
      <c r="A293" s="71">
        <v>292</v>
      </c>
      <c r="B293" s="71">
        <v>158799.7209514307</v>
      </c>
    </row>
    <row r="294" spans="1:2">
      <c r="A294" s="71">
        <v>293</v>
      </c>
      <c r="B294" s="71">
        <v>179776.61133672076</v>
      </c>
    </row>
    <row r="295" spans="1:2">
      <c r="A295" s="71">
        <v>294</v>
      </c>
      <c r="B295" s="71">
        <v>161005.94612213536</v>
      </c>
    </row>
    <row r="296" spans="1:2">
      <c r="A296" s="71">
        <v>295</v>
      </c>
      <c r="B296" s="71">
        <v>151419.74528233189</v>
      </c>
    </row>
    <row r="297" spans="1:2">
      <c r="A297" s="71">
        <v>296</v>
      </c>
      <c r="B297" s="71">
        <v>178851.89803639558</v>
      </c>
    </row>
    <row r="298" spans="1:2">
      <c r="A298" s="71">
        <v>297</v>
      </c>
      <c r="B298" s="71">
        <v>154882.43841393827</v>
      </c>
    </row>
    <row r="299" spans="1:2">
      <c r="A299" s="71">
        <v>298</v>
      </c>
      <c r="B299" s="71">
        <v>165930.27818020387</v>
      </c>
    </row>
    <row r="300" spans="1:2">
      <c r="A300" s="71">
        <v>299</v>
      </c>
      <c r="B300" s="71">
        <v>168378.95489960711</v>
      </c>
    </row>
    <row r="301" spans="1:2">
      <c r="A301" s="71">
        <v>300</v>
      </c>
      <c r="B301" s="71">
        <v>163662.13089411234</v>
      </c>
    </row>
    <row r="302" spans="1:2">
      <c r="A302" s="71">
        <v>301</v>
      </c>
      <c r="B302" s="71">
        <v>174943.57920636065</v>
      </c>
    </row>
    <row r="303" spans="1:2">
      <c r="A303" s="71">
        <v>302</v>
      </c>
      <c r="B303" s="71">
        <v>170552.57649023787</v>
      </c>
    </row>
    <row r="304" spans="1:2">
      <c r="A304" s="71">
        <v>303</v>
      </c>
      <c r="B304" s="71">
        <v>171082.53362449221</v>
      </c>
    </row>
    <row r="305" spans="1:2">
      <c r="A305" s="71">
        <v>304</v>
      </c>
      <c r="B305" s="71">
        <v>175926.73816114856</v>
      </c>
    </row>
    <row r="306" spans="1:2">
      <c r="A306" s="71">
        <v>305</v>
      </c>
      <c r="B306" s="71">
        <v>154929.32367797461</v>
      </c>
    </row>
    <row r="307" spans="1:2">
      <c r="A307" s="71">
        <v>306</v>
      </c>
      <c r="B307" s="71">
        <v>153615.37710795403</v>
      </c>
    </row>
    <row r="308" spans="1:2">
      <c r="A308" s="71">
        <v>307</v>
      </c>
      <c r="B308" s="71">
        <v>157732.13110118971</v>
      </c>
    </row>
    <row r="309" spans="1:2">
      <c r="A309" s="71">
        <v>308</v>
      </c>
      <c r="B309" s="71">
        <v>185453.47259201235</v>
      </c>
    </row>
    <row r="310" spans="1:2">
      <c r="A310" s="71">
        <v>309</v>
      </c>
      <c r="B310" s="71">
        <v>161201.47872686133</v>
      </c>
    </row>
    <row r="311" spans="1:2">
      <c r="A311" s="71">
        <v>310</v>
      </c>
      <c r="B311" s="71">
        <v>162822.81048269881</v>
      </c>
    </row>
    <row r="312" spans="1:2">
      <c r="A312" s="71">
        <v>311</v>
      </c>
      <c r="B312" s="71">
        <v>168392.46226173392</v>
      </c>
    </row>
    <row r="313" spans="1:2">
      <c r="A313" s="71">
        <v>312</v>
      </c>
      <c r="B313" s="71">
        <v>182003.68899594372</v>
      </c>
    </row>
    <row r="314" spans="1:2">
      <c r="A314" s="71">
        <v>313</v>
      </c>
      <c r="B314" s="71">
        <v>177760.29934868729</v>
      </c>
    </row>
    <row r="315" spans="1:2">
      <c r="A315" s="71">
        <v>314</v>
      </c>
      <c r="B315" s="71">
        <v>161017.72473024818</v>
      </c>
    </row>
    <row r="316" spans="1:2">
      <c r="A316" s="71">
        <v>315</v>
      </c>
      <c r="B316" s="71">
        <v>172557.5579363099</v>
      </c>
    </row>
    <row r="317" spans="1:2">
      <c r="A317" s="71">
        <v>316</v>
      </c>
      <c r="B317" s="71">
        <v>155837.30681882269</v>
      </c>
    </row>
    <row r="318" spans="1:2">
      <c r="A318" s="71">
        <v>317</v>
      </c>
      <c r="B318" s="71">
        <v>160576.33001565145</v>
      </c>
    </row>
    <row r="319" spans="1:2">
      <c r="A319" s="71">
        <v>318</v>
      </c>
      <c r="B319" s="71">
        <v>172567.78088928133</v>
      </c>
    </row>
    <row r="320" spans="1:2">
      <c r="A320" s="71">
        <v>319</v>
      </c>
      <c r="B320" s="71">
        <v>157893.58038897641</v>
      </c>
    </row>
    <row r="321" spans="1:2">
      <c r="A321" s="71">
        <v>320</v>
      </c>
      <c r="B321" s="71">
        <v>175575.02334617535</v>
      </c>
    </row>
    <row r="322" spans="1:2">
      <c r="A322" s="71">
        <v>321</v>
      </c>
      <c r="B322" s="71">
        <v>172801.65999725464</v>
      </c>
    </row>
    <row r="323" spans="1:2">
      <c r="A323" s="71">
        <v>322</v>
      </c>
      <c r="B323" s="71">
        <v>175850.42220787605</v>
      </c>
    </row>
    <row r="324" spans="1:2">
      <c r="A324" s="71">
        <v>323</v>
      </c>
      <c r="B324" s="71">
        <v>161637.40551034661</v>
      </c>
    </row>
    <row r="325" spans="1:2">
      <c r="A325" s="71">
        <v>324</v>
      </c>
      <c r="B325" s="71">
        <v>151266.48367817223</v>
      </c>
    </row>
    <row r="326" spans="1:2">
      <c r="A326" s="71">
        <v>325</v>
      </c>
      <c r="B326" s="71">
        <v>163094.04776351771</v>
      </c>
    </row>
    <row r="327" spans="1:2">
      <c r="A327" s="71">
        <v>326</v>
      </c>
      <c r="B327" s="71">
        <v>177347.95082415454</v>
      </c>
    </row>
    <row r="328" spans="1:2">
      <c r="A328" s="71">
        <v>327</v>
      </c>
      <c r="B328" s="71">
        <v>167821.62815057478</v>
      </c>
    </row>
    <row r="329" spans="1:2">
      <c r="A329" s="71">
        <v>328</v>
      </c>
      <c r="B329" s="71">
        <v>156448.44837140141</v>
      </c>
    </row>
    <row r="330" spans="1:2">
      <c r="A330" s="71">
        <v>329</v>
      </c>
      <c r="B330" s="71">
        <v>164753.63644980322</v>
      </c>
    </row>
    <row r="331" spans="1:2">
      <c r="A331" s="71">
        <v>330</v>
      </c>
      <c r="B331" s="71">
        <v>159733.94257015651</v>
      </c>
    </row>
    <row r="332" spans="1:2">
      <c r="A332" s="71">
        <v>331</v>
      </c>
      <c r="B332" s="71">
        <v>158852.86710563622</v>
      </c>
    </row>
    <row r="333" spans="1:2">
      <c r="A333" s="71">
        <v>332</v>
      </c>
      <c r="B333" s="71">
        <v>161549.51521121748</v>
      </c>
    </row>
    <row r="334" spans="1:2">
      <c r="A334" s="71">
        <v>333</v>
      </c>
      <c r="B334" s="71">
        <v>152529.688912999</v>
      </c>
    </row>
    <row r="335" spans="1:2">
      <c r="A335" s="71">
        <v>334</v>
      </c>
      <c r="B335" s="71">
        <v>161224.69661525806</v>
      </c>
    </row>
    <row r="336" spans="1:2">
      <c r="A336" s="71">
        <v>335</v>
      </c>
      <c r="B336" s="71">
        <v>160591.56498426196</v>
      </c>
    </row>
    <row r="337" spans="1:2">
      <c r="A337" s="71">
        <v>336</v>
      </c>
      <c r="B337" s="71">
        <v>141720.50837716687</v>
      </c>
    </row>
    <row r="338" spans="1:2">
      <c r="A338" s="71">
        <v>337</v>
      </c>
      <c r="B338" s="71">
        <v>162758.24877341391</v>
      </c>
    </row>
    <row r="339" spans="1:2">
      <c r="A339" s="71">
        <v>338</v>
      </c>
      <c r="B339" s="71">
        <v>165212.49093134518</v>
      </c>
    </row>
    <row r="340" spans="1:2">
      <c r="A340" s="71">
        <v>339</v>
      </c>
      <c r="B340" s="71">
        <v>173582.3264853092</v>
      </c>
    </row>
    <row r="341" spans="1:2">
      <c r="A341" s="71">
        <v>340</v>
      </c>
      <c r="B341" s="71">
        <v>171173.20224406381</v>
      </c>
    </row>
    <row r="342" spans="1:2">
      <c r="A342" s="71">
        <v>341</v>
      </c>
      <c r="B342" s="71">
        <v>153226.19588014384</v>
      </c>
    </row>
    <row r="343" spans="1:2">
      <c r="A343" s="71">
        <v>342</v>
      </c>
      <c r="B343" s="71">
        <v>168881.24656177138</v>
      </c>
    </row>
    <row r="344" spans="1:2">
      <c r="A344" s="71">
        <v>343</v>
      </c>
      <c r="B344" s="71">
        <v>176293.26661147465</v>
      </c>
    </row>
    <row r="345" spans="1:2">
      <c r="A345" s="71">
        <v>344</v>
      </c>
      <c r="B345" s="71">
        <v>175531.56113273531</v>
      </c>
    </row>
    <row r="346" spans="1:2">
      <c r="A346" s="71">
        <v>345</v>
      </c>
      <c r="B346" s="71">
        <v>160818.38891406907</v>
      </c>
    </row>
    <row r="347" spans="1:2">
      <c r="A347" s="71">
        <v>346</v>
      </c>
      <c r="B347" s="71">
        <v>161805.34891536011</v>
      </c>
    </row>
    <row r="348" spans="1:2">
      <c r="A348" s="71">
        <v>347</v>
      </c>
      <c r="B348" s="71">
        <v>165004.3504769651</v>
      </c>
    </row>
    <row r="349" spans="1:2">
      <c r="A349" s="71">
        <v>348</v>
      </c>
      <c r="B349" s="71">
        <v>164723.19643283868</v>
      </c>
    </row>
    <row r="350" spans="1:2">
      <c r="A350" s="71">
        <v>349</v>
      </c>
      <c r="B350" s="71">
        <v>159293.20248470554</v>
      </c>
    </row>
    <row r="351" spans="1:2">
      <c r="A351" s="71">
        <v>350</v>
      </c>
      <c r="B351" s="71">
        <v>171283.56736758171</v>
      </c>
    </row>
    <row r="352" spans="1:2">
      <c r="A352" s="71">
        <v>351</v>
      </c>
      <c r="B352" s="71">
        <v>159271.93306578754</v>
      </c>
    </row>
    <row r="353" spans="1:2">
      <c r="A353" s="71">
        <v>352</v>
      </c>
      <c r="B353" s="71">
        <v>166768.35144899672</v>
      </c>
    </row>
    <row r="354" spans="1:2">
      <c r="A354" s="71">
        <v>353</v>
      </c>
      <c r="B354" s="71">
        <v>164714.99068051009</v>
      </c>
    </row>
    <row r="355" spans="1:2">
      <c r="A355" s="71">
        <v>354</v>
      </c>
      <c r="B355" s="71">
        <v>161827.95255262731</v>
      </c>
    </row>
    <row r="356" spans="1:2">
      <c r="A356" s="71">
        <v>355</v>
      </c>
      <c r="B356" s="71">
        <v>152070.88367402766</v>
      </c>
    </row>
    <row r="357" spans="1:2">
      <c r="A357" s="71">
        <v>356</v>
      </c>
      <c r="B357" s="71">
        <v>153909.86504664033</v>
      </c>
    </row>
    <row r="358" spans="1:2">
      <c r="A358" s="71">
        <v>357</v>
      </c>
      <c r="B358" s="71">
        <v>165487.69768598882</v>
      </c>
    </row>
    <row r="359" spans="1:2">
      <c r="A359" s="71">
        <v>358</v>
      </c>
      <c r="B359" s="71">
        <v>164475.37760520427</v>
      </c>
    </row>
    <row r="360" spans="1:2">
      <c r="A360" s="71">
        <v>359</v>
      </c>
      <c r="B360" s="71">
        <v>157817.55189057175</v>
      </c>
    </row>
    <row r="361" spans="1:2">
      <c r="A361" s="71">
        <v>360</v>
      </c>
      <c r="B361" s="71">
        <v>180242.91163867153</v>
      </c>
    </row>
    <row r="362" spans="1:2">
      <c r="A362" s="71">
        <v>361</v>
      </c>
      <c r="B362" s="71">
        <v>163528.69296966222</v>
      </c>
    </row>
    <row r="363" spans="1:2">
      <c r="A363" s="71">
        <v>362</v>
      </c>
      <c r="B363" s="71">
        <v>169749.57996170124</v>
      </c>
    </row>
    <row r="364" spans="1:2">
      <c r="A364" s="71">
        <v>363</v>
      </c>
      <c r="B364" s="71">
        <v>170241.58967799033</v>
      </c>
    </row>
    <row r="365" spans="1:2">
      <c r="A365" s="71">
        <v>364</v>
      </c>
      <c r="B365" s="71">
        <v>172316.02416803554</v>
      </c>
    </row>
    <row r="366" spans="1:2">
      <c r="A366" s="71">
        <v>365</v>
      </c>
      <c r="B366" s="71">
        <v>163059.7843974116</v>
      </c>
    </row>
    <row r="367" spans="1:2">
      <c r="A367" s="71">
        <v>366</v>
      </c>
      <c r="B367" s="71">
        <v>166702.23123985287</v>
      </c>
    </row>
    <row r="368" spans="1:2">
      <c r="A368" s="71">
        <v>367</v>
      </c>
      <c r="B368" s="71">
        <v>170020.20837527464</v>
      </c>
    </row>
    <row r="369" spans="1:2">
      <c r="A369" s="71">
        <v>368</v>
      </c>
      <c r="B369" s="71">
        <v>167610.73829705451</v>
      </c>
    </row>
    <row r="370" spans="1:2">
      <c r="A370" s="71">
        <v>369</v>
      </c>
      <c r="B370" s="71">
        <v>177335.36343423653</v>
      </c>
    </row>
    <row r="371" spans="1:2">
      <c r="A371" s="71">
        <v>370</v>
      </c>
      <c r="B371" s="71">
        <v>160442.74966832242</v>
      </c>
    </row>
    <row r="372" spans="1:2">
      <c r="A372" s="71">
        <v>371</v>
      </c>
      <c r="B372" s="71">
        <v>160572.33458979687</v>
      </c>
    </row>
    <row r="373" spans="1:2">
      <c r="A373" s="71">
        <v>372</v>
      </c>
      <c r="B373" s="71">
        <v>161878.56911211566</v>
      </c>
    </row>
    <row r="374" spans="1:2">
      <c r="A374" s="71">
        <v>373</v>
      </c>
      <c r="B374" s="71">
        <v>164626.37815046427</v>
      </c>
    </row>
    <row r="375" spans="1:2">
      <c r="A375" s="71">
        <v>374</v>
      </c>
      <c r="B375" s="71">
        <v>168484.59995314889</v>
      </c>
    </row>
    <row r="376" spans="1:2">
      <c r="A376" s="71">
        <v>375</v>
      </c>
      <c r="B376" s="71">
        <v>167491.54300938689</v>
      </c>
    </row>
    <row r="377" spans="1:2">
      <c r="A377" s="71">
        <v>376</v>
      </c>
      <c r="B377" s="71">
        <v>165393.75592696207</v>
      </c>
    </row>
    <row r="378" spans="1:2">
      <c r="A378" s="71">
        <v>377</v>
      </c>
      <c r="B378" s="71">
        <v>169671.14867775302</v>
      </c>
    </row>
    <row r="379" spans="1:2">
      <c r="A379" s="71">
        <v>378</v>
      </c>
      <c r="B379" s="71">
        <v>180646.22693888377</v>
      </c>
    </row>
    <row r="380" spans="1:2">
      <c r="A380" s="71">
        <v>379</v>
      </c>
      <c r="B380" s="71">
        <v>160421.14230536792</v>
      </c>
    </row>
    <row r="381" spans="1:2">
      <c r="A381" s="71">
        <v>380</v>
      </c>
      <c r="B381" s="71">
        <v>145278.48360973233</v>
      </c>
    </row>
    <row r="382" spans="1:2">
      <c r="A382" s="71">
        <v>381</v>
      </c>
      <c r="B382" s="71">
        <v>164140.4772963385</v>
      </c>
    </row>
    <row r="383" spans="1:2">
      <c r="A383" s="71">
        <v>382</v>
      </c>
      <c r="B383" s="71">
        <v>165966.86035449026</v>
      </c>
    </row>
    <row r="384" spans="1:2">
      <c r="A384" s="71">
        <v>383</v>
      </c>
      <c r="B384" s="71">
        <v>163265.35548089867</v>
      </c>
    </row>
    <row r="385" spans="1:2">
      <c r="A385" s="71">
        <v>384</v>
      </c>
      <c r="B385" s="71">
        <v>175877.4550921405</v>
      </c>
    </row>
    <row r="386" spans="1:2">
      <c r="A386" s="71">
        <v>385</v>
      </c>
      <c r="B386" s="71">
        <v>165575.93721941084</v>
      </c>
    </row>
    <row r="387" spans="1:2">
      <c r="A387" s="71">
        <v>386</v>
      </c>
      <c r="B387" s="71">
        <v>183427.19042432591</v>
      </c>
    </row>
    <row r="388" spans="1:2">
      <c r="A388" s="71">
        <v>387</v>
      </c>
      <c r="B388" s="71">
        <v>160838.16736140833</v>
      </c>
    </row>
    <row r="389" spans="1:2">
      <c r="A389" s="71">
        <v>388</v>
      </c>
      <c r="B389" s="71">
        <v>176832.86083351573</v>
      </c>
    </row>
    <row r="390" spans="1:2">
      <c r="A390" s="71">
        <v>389</v>
      </c>
      <c r="B390" s="71">
        <v>168815.65883678274</v>
      </c>
    </row>
    <row r="391" spans="1:2">
      <c r="A391" s="71">
        <v>390</v>
      </c>
      <c r="B391" s="71">
        <v>173143.78518573643</v>
      </c>
    </row>
    <row r="392" spans="1:2">
      <c r="A392" s="71">
        <v>391</v>
      </c>
      <c r="B392" s="71">
        <v>163831.49709173484</v>
      </c>
    </row>
    <row r="393" spans="1:2">
      <c r="A393" s="71">
        <v>392</v>
      </c>
      <c r="B393" s="71">
        <v>181156.56018600095</v>
      </c>
    </row>
    <row r="394" spans="1:2">
      <c r="A394" s="71">
        <v>393</v>
      </c>
      <c r="B394" s="71">
        <v>168178.63187013919</v>
      </c>
    </row>
    <row r="395" spans="1:2">
      <c r="A395" s="71">
        <v>394</v>
      </c>
      <c r="B395" s="71">
        <v>159067.98818389041</v>
      </c>
    </row>
    <row r="396" spans="1:2">
      <c r="A396" s="71">
        <v>395</v>
      </c>
      <c r="B396" s="71">
        <v>170344.20973289473</v>
      </c>
    </row>
    <row r="397" spans="1:2">
      <c r="A397" s="71">
        <v>396</v>
      </c>
      <c r="B397" s="71">
        <v>163911.13503790009</v>
      </c>
    </row>
    <row r="398" spans="1:2">
      <c r="A398" s="71">
        <v>397</v>
      </c>
      <c r="B398" s="71">
        <v>159287.12530905372</v>
      </c>
    </row>
    <row r="399" spans="1:2">
      <c r="A399" s="71">
        <v>398</v>
      </c>
      <c r="B399" s="71">
        <v>160417.45411034717</v>
      </c>
    </row>
    <row r="400" spans="1:2">
      <c r="A400" s="71">
        <v>399</v>
      </c>
      <c r="B400" s="71">
        <v>157723.19807704334</v>
      </c>
    </row>
    <row r="401" spans="1:2">
      <c r="A401" s="71">
        <v>400</v>
      </c>
      <c r="B401" s="71">
        <v>162518.97943633315</v>
      </c>
    </row>
    <row r="402" spans="1:2">
      <c r="A402" s="71">
        <v>401</v>
      </c>
      <c r="B402" s="71">
        <v>151935.38807453215</v>
      </c>
    </row>
    <row r="403" spans="1:2">
      <c r="A403" s="71">
        <v>402</v>
      </c>
      <c r="B403" s="71">
        <v>153475.24857121459</v>
      </c>
    </row>
    <row r="404" spans="1:2">
      <c r="A404" s="71">
        <v>403</v>
      </c>
      <c r="B404" s="71">
        <v>160283.93652722586</v>
      </c>
    </row>
    <row r="405" spans="1:2">
      <c r="A405" s="71">
        <v>404</v>
      </c>
      <c r="B405" s="71">
        <v>176736.49391049764</v>
      </c>
    </row>
    <row r="406" spans="1:2">
      <c r="A406" s="71">
        <v>405</v>
      </c>
      <c r="B406" s="71">
        <v>162697.81225552017</v>
      </c>
    </row>
    <row r="407" spans="1:2">
      <c r="A407" s="71">
        <v>406</v>
      </c>
      <c r="B407" s="71">
        <v>167132.81423455096</v>
      </c>
    </row>
    <row r="408" spans="1:2">
      <c r="A408" s="71">
        <v>407</v>
      </c>
      <c r="B408" s="71">
        <v>144112.93559411488</v>
      </c>
    </row>
    <row r="409" spans="1:2">
      <c r="A409" s="71">
        <v>408</v>
      </c>
      <c r="B409" s="71">
        <v>166247.47709299589</v>
      </c>
    </row>
    <row r="410" spans="1:2">
      <c r="A410" s="71">
        <v>409</v>
      </c>
      <c r="B410" s="71">
        <v>177824.0664182762</v>
      </c>
    </row>
    <row r="411" spans="1:2">
      <c r="A411" s="71">
        <v>410</v>
      </c>
      <c r="B411" s="71">
        <v>160160.50155715915</v>
      </c>
    </row>
    <row r="412" spans="1:2">
      <c r="A412" s="71">
        <v>411</v>
      </c>
      <c r="B412" s="71">
        <v>176418.92506516082</v>
      </c>
    </row>
    <row r="413" spans="1:2">
      <c r="A413" s="71">
        <v>412</v>
      </c>
      <c r="B413" s="71">
        <v>173516.6418331381</v>
      </c>
    </row>
    <row r="414" spans="1:2">
      <c r="A414" s="71">
        <v>413</v>
      </c>
      <c r="B414" s="71">
        <v>168957.37025587197</v>
      </c>
    </row>
    <row r="415" spans="1:2">
      <c r="A415" s="71">
        <v>414</v>
      </c>
      <c r="B415" s="71">
        <v>161700.49912445853</v>
      </c>
    </row>
    <row r="416" spans="1:2">
      <c r="A416" s="71">
        <v>415</v>
      </c>
      <c r="B416" s="71">
        <v>151488.20309090908</v>
      </c>
    </row>
    <row r="417" spans="1:2">
      <c r="A417" s="71">
        <v>416</v>
      </c>
      <c r="B417" s="71">
        <v>165975.78597164361</v>
      </c>
    </row>
    <row r="418" spans="1:2">
      <c r="A418" s="71">
        <v>417</v>
      </c>
      <c r="B418" s="71">
        <v>173100.52153776679</v>
      </c>
    </row>
    <row r="419" spans="1:2">
      <c r="A419" s="71">
        <v>418</v>
      </c>
      <c r="B419" s="71">
        <v>170623.50683269688</v>
      </c>
    </row>
    <row r="420" spans="1:2">
      <c r="A420" s="71">
        <v>419</v>
      </c>
      <c r="B420" s="71">
        <v>165444.14483556582</v>
      </c>
    </row>
    <row r="421" spans="1:2">
      <c r="A421" s="71">
        <v>420</v>
      </c>
      <c r="B421" s="71">
        <v>161691.20897843892</v>
      </c>
    </row>
    <row r="422" spans="1:2">
      <c r="A422" s="71">
        <v>421</v>
      </c>
      <c r="B422" s="71">
        <v>156820.65029654728</v>
      </c>
    </row>
    <row r="423" spans="1:2">
      <c r="A423" s="71">
        <v>422</v>
      </c>
      <c r="B423" s="71">
        <v>158311.66360127772</v>
      </c>
    </row>
    <row r="424" spans="1:2">
      <c r="A424" s="71">
        <v>423</v>
      </c>
      <c r="B424" s="71">
        <v>165688.77971088013</v>
      </c>
    </row>
    <row r="425" spans="1:2">
      <c r="A425" s="71">
        <v>424</v>
      </c>
      <c r="B425" s="71">
        <v>168228.37007535013</v>
      </c>
    </row>
    <row r="426" spans="1:2">
      <c r="A426" s="71">
        <v>425</v>
      </c>
      <c r="B426" s="71">
        <v>157110.2455121135</v>
      </c>
    </row>
    <row r="427" spans="1:2">
      <c r="A427" s="71">
        <v>426</v>
      </c>
      <c r="B427" s="71">
        <v>179662.02266850724</v>
      </c>
    </row>
    <row r="428" spans="1:2">
      <c r="A428" s="71">
        <v>427</v>
      </c>
      <c r="B428" s="71">
        <v>161673.20327841936</v>
      </c>
    </row>
    <row r="429" spans="1:2">
      <c r="A429" s="71">
        <v>428</v>
      </c>
      <c r="B429" s="71">
        <v>154046.71296582176</v>
      </c>
    </row>
    <row r="430" spans="1:2">
      <c r="A430" s="71">
        <v>429</v>
      </c>
      <c r="B430" s="71">
        <v>177280.25140671022</v>
      </c>
    </row>
    <row r="431" spans="1:2">
      <c r="A431" s="71">
        <v>430</v>
      </c>
      <c r="B431" s="71">
        <v>153980.08450859791</v>
      </c>
    </row>
    <row r="432" spans="1:2">
      <c r="A432" s="71">
        <v>431</v>
      </c>
      <c r="B432" s="71">
        <v>159046.17805696034</v>
      </c>
    </row>
    <row r="433" spans="1:2">
      <c r="A433" s="71">
        <v>432</v>
      </c>
      <c r="B433" s="71">
        <v>163791.54930012778</v>
      </c>
    </row>
    <row r="434" spans="1:2">
      <c r="A434" s="71">
        <v>433</v>
      </c>
      <c r="B434" s="71">
        <v>165443.25520871591</v>
      </c>
    </row>
    <row r="435" spans="1:2">
      <c r="A435" s="71">
        <v>434</v>
      </c>
      <c r="B435" s="71">
        <v>166251.63672614805</v>
      </c>
    </row>
    <row r="436" spans="1:2">
      <c r="A436" s="71">
        <v>435</v>
      </c>
      <c r="B436" s="71">
        <v>165006.33940459156</v>
      </c>
    </row>
    <row r="437" spans="1:2">
      <c r="A437" s="71">
        <v>436</v>
      </c>
      <c r="B437" s="71">
        <v>177970.28441257181</v>
      </c>
    </row>
    <row r="438" spans="1:2">
      <c r="A438" s="71">
        <v>437</v>
      </c>
      <c r="B438" s="71">
        <v>169006.88872250755</v>
      </c>
    </row>
    <row r="439" spans="1:2">
      <c r="A439" s="71">
        <v>438</v>
      </c>
      <c r="B439" s="71">
        <v>154193.17838361894</v>
      </c>
    </row>
    <row r="440" spans="1:2">
      <c r="A440" s="71">
        <v>439</v>
      </c>
      <c r="B440" s="71">
        <v>169000.94721225477</v>
      </c>
    </row>
    <row r="441" spans="1:2">
      <c r="A441" s="71">
        <v>440</v>
      </c>
      <c r="B441" s="71">
        <v>154477.69262300528</v>
      </c>
    </row>
    <row r="442" spans="1:2">
      <c r="A442" s="71">
        <v>441</v>
      </c>
      <c r="B442" s="71">
        <v>169643.38076589489</v>
      </c>
    </row>
    <row r="443" spans="1:2">
      <c r="A443" s="71">
        <v>442</v>
      </c>
      <c r="B443" s="71">
        <v>163613.49201626953</v>
      </c>
    </row>
    <row r="444" spans="1:2">
      <c r="A444" s="71">
        <v>443</v>
      </c>
      <c r="B444" s="71">
        <v>155535.41708250876</v>
      </c>
    </row>
    <row r="445" spans="1:2">
      <c r="A445" s="71">
        <v>444</v>
      </c>
      <c r="B445" s="71">
        <v>159826.9908614913</v>
      </c>
    </row>
    <row r="446" spans="1:2">
      <c r="A446" s="71">
        <v>445</v>
      </c>
      <c r="B446" s="71">
        <v>164465.47455556615</v>
      </c>
    </row>
    <row r="447" spans="1:2">
      <c r="A447" s="71">
        <v>446</v>
      </c>
      <c r="B447" s="71">
        <v>165011.57691480237</v>
      </c>
    </row>
    <row r="448" spans="1:2">
      <c r="A448" s="71">
        <v>447</v>
      </c>
      <c r="B448" s="71">
        <v>166189.45461645137</v>
      </c>
    </row>
    <row r="449" spans="1:2">
      <c r="A449" s="71">
        <v>448</v>
      </c>
      <c r="B449" s="71">
        <v>167652.81179198637</v>
      </c>
    </row>
    <row r="450" spans="1:2">
      <c r="A450" s="71">
        <v>449</v>
      </c>
      <c r="B450" s="71">
        <v>175452.71077504585</v>
      </c>
    </row>
    <row r="451" spans="1:2">
      <c r="A451" s="71">
        <v>450</v>
      </c>
      <c r="B451" s="71">
        <v>166827.68969789357</v>
      </c>
    </row>
    <row r="452" spans="1:2">
      <c r="A452" s="71">
        <v>451</v>
      </c>
      <c r="B452" s="71">
        <v>176782.48430987477</v>
      </c>
    </row>
    <row r="453" spans="1:2">
      <c r="A453" s="71">
        <v>452</v>
      </c>
      <c r="B453" s="71">
        <v>166403.06006465139</v>
      </c>
    </row>
    <row r="454" spans="1:2">
      <c r="A454" s="71">
        <v>453</v>
      </c>
      <c r="B454" s="71">
        <v>160812.08326744923</v>
      </c>
    </row>
    <row r="455" spans="1:2">
      <c r="A455" s="71">
        <v>454</v>
      </c>
      <c r="B455" s="71">
        <v>144670.47016704892</v>
      </c>
    </row>
    <row r="456" spans="1:2">
      <c r="A456" s="71">
        <v>455</v>
      </c>
      <c r="B456" s="71">
        <v>168757.37423760595</v>
      </c>
    </row>
    <row r="457" spans="1:2">
      <c r="A457" s="71">
        <v>456</v>
      </c>
      <c r="B457" s="71">
        <v>156785.478298723</v>
      </c>
    </row>
    <row r="458" spans="1:2">
      <c r="A458" s="71">
        <v>457</v>
      </c>
      <c r="B458" s="71">
        <v>170809.66213819364</v>
      </c>
    </row>
    <row r="459" spans="1:2">
      <c r="A459" s="71">
        <v>458</v>
      </c>
      <c r="B459" s="71">
        <v>161300.77483149699</v>
      </c>
    </row>
    <row r="460" spans="1:2">
      <c r="A460" s="71">
        <v>459</v>
      </c>
      <c r="B460" s="71">
        <v>168503.35924467217</v>
      </c>
    </row>
    <row r="461" spans="1:2">
      <c r="A461" s="71">
        <v>460</v>
      </c>
      <c r="B461" s="71">
        <v>166281.86233663477</v>
      </c>
    </row>
    <row r="462" spans="1:2">
      <c r="A462" s="71">
        <v>461</v>
      </c>
      <c r="B462" s="71">
        <v>156725.34229317794</v>
      </c>
    </row>
    <row r="463" spans="1:2">
      <c r="A463" s="71">
        <v>462</v>
      </c>
      <c r="B463" s="71">
        <v>167454.44517393282</v>
      </c>
    </row>
    <row r="464" spans="1:2">
      <c r="A464" s="71">
        <v>463</v>
      </c>
      <c r="B464" s="71">
        <v>166308.46326525998</v>
      </c>
    </row>
    <row r="465" spans="1:2">
      <c r="A465" s="71">
        <v>464</v>
      </c>
      <c r="B465" s="71">
        <v>169881.40792028539</v>
      </c>
    </row>
    <row r="466" spans="1:2">
      <c r="A466" s="71">
        <v>465</v>
      </c>
      <c r="B466" s="71">
        <v>153946.77504514848</v>
      </c>
    </row>
    <row r="467" spans="1:2">
      <c r="A467" s="71">
        <v>466</v>
      </c>
      <c r="B467" s="71">
        <v>168947.23620404187</v>
      </c>
    </row>
    <row r="468" spans="1:2">
      <c r="A468" s="71">
        <v>467</v>
      </c>
      <c r="B468" s="71">
        <v>160567.70293986189</v>
      </c>
    </row>
    <row r="469" spans="1:2">
      <c r="A469" s="71">
        <v>468</v>
      </c>
      <c r="B469" s="71">
        <v>160376.13870657358</v>
      </c>
    </row>
    <row r="470" spans="1:2">
      <c r="A470" s="71">
        <v>469</v>
      </c>
      <c r="B470" s="71">
        <v>166069.45929136148</v>
      </c>
    </row>
    <row r="471" spans="1:2">
      <c r="A471" s="71">
        <v>470</v>
      </c>
      <c r="B471" s="71">
        <v>171950.76753291138</v>
      </c>
    </row>
    <row r="472" spans="1:2">
      <c r="A472" s="71">
        <v>471</v>
      </c>
      <c r="B472" s="71">
        <v>165386.63674276802</v>
      </c>
    </row>
    <row r="473" spans="1:2">
      <c r="A473" s="71">
        <v>472</v>
      </c>
      <c r="B473" s="71">
        <v>157179.33062867538</v>
      </c>
    </row>
    <row r="474" spans="1:2">
      <c r="A474" s="71">
        <v>473</v>
      </c>
      <c r="B474" s="71">
        <v>166726.53114051229</v>
      </c>
    </row>
    <row r="475" spans="1:2">
      <c r="A475" s="71">
        <v>474</v>
      </c>
      <c r="B475" s="71">
        <v>147635.13123856153</v>
      </c>
    </row>
    <row r="476" spans="1:2">
      <c r="A476" s="71">
        <v>475</v>
      </c>
      <c r="B476" s="71">
        <v>166132.36908037131</v>
      </c>
    </row>
    <row r="477" spans="1:2">
      <c r="A477" s="71">
        <v>476</v>
      </c>
      <c r="B477" s="71">
        <v>167729.38558144085</v>
      </c>
    </row>
    <row r="478" spans="1:2">
      <c r="A478" s="71">
        <v>477</v>
      </c>
      <c r="B478" s="71">
        <v>163526.64324226909</v>
      </c>
    </row>
    <row r="479" spans="1:2">
      <c r="A479" s="71">
        <v>478</v>
      </c>
      <c r="B479" s="71">
        <v>167414.90483335886</v>
      </c>
    </row>
    <row r="480" spans="1:2">
      <c r="A480" s="71">
        <v>479</v>
      </c>
      <c r="B480" s="71">
        <v>171946.47856033826</v>
      </c>
    </row>
    <row r="481" spans="1:2">
      <c r="A481" s="71">
        <v>480</v>
      </c>
      <c r="B481" s="71">
        <v>161957.32949196169</v>
      </c>
    </row>
    <row r="482" spans="1:2">
      <c r="A482" s="71">
        <v>481</v>
      </c>
      <c r="B482" s="71">
        <v>155097.71110919776</v>
      </c>
    </row>
    <row r="483" spans="1:2">
      <c r="A483" s="71">
        <v>482</v>
      </c>
      <c r="B483" s="71">
        <v>171731.88725466703</v>
      </c>
    </row>
    <row r="484" spans="1:2">
      <c r="A484" s="71">
        <v>483</v>
      </c>
      <c r="B484" s="71">
        <v>165540.68174417783</v>
      </c>
    </row>
    <row r="485" spans="1:2">
      <c r="A485" s="71">
        <v>484</v>
      </c>
      <c r="B485" s="71">
        <v>156223.20705143613</v>
      </c>
    </row>
    <row r="486" spans="1:2">
      <c r="A486" s="71">
        <v>485</v>
      </c>
      <c r="B486" s="71">
        <v>175879.30823010771</v>
      </c>
    </row>
    <row r="487" spans="1:2">
      <c r="A487" s="71">
        <v>486</v>
      </c>
      <c r="B487" s="71">
        <v>156251.56641666795</v>
      </c>
    </row>
    <row r="488" spans="1:2">
      <c r="A488" s="71">
        <v>487</v>
      </c>
      <c r="B488" s="71">
        <v>164176.48491121834</v>
      </c>
    </row>
    <row r="489" spans="1:2">
      <c r="A489" s="71">
        <v>488</v>
      </c>
      <c r="B489" s="71">
        <v>156839.84245109939</v>
      </c>
    </row>
    <row r="490" spans="1:2">
      <c r="A490" s="71">
        <v>489</v>
      </c>
      <c r="B490" s="71">
        <v>161425.51775412782</v>
      </c>
    </row>
    <row r="491" spans="1:2">
      <c r="A491" s="71">
        <v>490</v>
      </c>
      <c r="B491" s="71">
        <v>168467.72920018839</v>
      </c>
    </row>
    <row r="492" spans="1:2">
      <c r="A492" s="71">
        <v>491</v>
      </c>
      <c r="B492" s="71">
        <v>165557.46853518597</v>
      </c>
    </row>
    <row r="493" spans="1:2">
      <c r="A493" s="71">
        <v>492</v>
      </c>
      <c r="B493" s="71">
        <v>160807.8672417225</v>
      </c>
    </row>
    <row r="494" spans="1:2">
      <c r="A494" s="71">
        <v>493</v>
      </c>
      <c r="B494" s="71">
        <v>178528.44408183536</v>
      </c>
    </row>
    <row r="495" spans="1:2">
      <c r="A495" s="71">
        <v>494</v>
      </c>
      <c r="B495" s="71">
        <v>163322.9647951262</v>
      </c>
    </row>
    <row r="496" spans="1:2">
      <c r="A496" s="71">
        <v>495</v>
      </c>
      <c r="B496" s="71">
        <v>166583.14769801396</v>
      </c>
    </row>
    <row r="497" spans="1:2">
      <c r="A497" s="71">
        <v>496</v>
      </c>
      <c r="B497" s="71">
        <v>163380.81365978779</v>
      </c>
    </row>
    <row r="498" spans="1:2">
      <c r="A498" s="71">
        <v>497</v>
      </c>
      <c r="B498" s="71">
        <v>162404.08418979388</v>
      </c>
    </row>
    <row r="499" spans="1:2">
      <c r="A499" s="71">
        <v>498</v>
      </c>
      <c r="B499" s="71">
        <v>158127.7726552072</v>
      </c>
    </row>
    <row r="500" spans="1:2">
      <c r="A500" s="71">
        <v>499</v>
      </c>
      <c r="B500" s="71">
        <v>162075.7811314362</v>
      </c>
    </row>
    <row r="501" spans="1:2">
      <c r="A501" s="71">
        <v>500</v>
      </c>
      <c r="B501" s="71">
        <v>158032.50446077232</v>
      </c>
    </row>
    <row r="502" spans="1:2">
      <c r="A502" s="71">
        <v>501</v>
      </c>
      <c r="B502" s="71">
        <v>164058.21852792811</v>
      </c>
    </row>
    <row r="503" spans="1:2">
      <c r="A503" s="71">
        <v>502</v>
      </c>
      <c r="B503" s="71">
        <v>167262.23162300338</v>
      </c>
    </row>
    <row r="504" spans="1:2">
      <c r="A504" s="71">
        <v>503</v>
      </c>
      <c r="B504" s="71">
        <v>163440.75706464885</v>
      </c>
    </row>
    <row r="505" spans="1:2">
      <c r="A505" s="71">
        <v>504</v>
      </c>
      <c r="B505" s="71">
        <v>177311.68241414017</v>
      </c>
    </row>
    <row r="506" spans="1:2">
      <c r="A506" s="71">
        <v>505</v>
      </c>
      <c r="B506" s="71">
        <v>160357.16584314409</v>
      </c>
    </row>
    <row r="507" spans="1:2">
      <c r="A507" s="71">
        <v>506</v>
      </c>
      <c r="B507" s="71">
        <v>148374.56373232062</v>
      </c>
    </row>
    <row r="508" spans="1:2">
      <c r="A508" s="71">
        <v>507</v>
      </c>
      <c r="B508" s="71">
        <v>196215.96976037355</v>
      </c>
    </row>
    <row r="509" spans="1:2">
      <c r="A509" s="71">
        <v>508</v>
      </c>
      <c r="B509" s="71">
        <v>153373.13498794631</v>
      </c>
    </row>
    <row r="510" spans="1:2">
      <c r="A510" s="71">
        <v>509</v>
      </c>
      <c r="B510" s="71">
        <v>163625.32270902535</v>
      </c>
    </row>
    <row r="511" spans="1:2">
      <c r="A511" s="71">
        <v>510</v>
      </c>
      <c r="B511" s="71">
        <v>161280.70623391389</v>
      </c>
    </row>
    <row r="512" spans="1:2">
      <c r="A512" s="71">
        <v>511</v>
      </c>
      <c r="B512" s="71">
        <v>153305.07693121489</v>
      </c>
    </row>
    <row r="513" spans="1:2">
      <c r="A513" s="71">
        <v>512</v>
      </c>
      <c r="B513" s="71">
        <v>162351.52829270667</v>
      </c>
    </row>
    <row r="514" spans="1:2">
      <c r="A514" s="71">
        <v>513</v>
      </c>
      <c r="B514" s="71">
        <v>169030.51011397474</v>
      </c>
    </row>
    <row r="515" spans="1:2">
      <c r="A515" s="71">
        <v>514</v>
      </c>
      <c r="B515" s="71">
        <v>160144.34758428566</v>
      </c>
    </row>
    <row r="516" spans="1:2">
      <c r="A516" s="71">
        <v>515</v>
      </c>
      <c r="B516" s="71">
        <v>170190.89223584274</v>
      </c>
    </row>
    <row r="517" spans="1:2">
      <c r="A517" s="71">
        <v>516</v>
      </c>
      <c r="B517" s="71">
        <v>167223.49040440662</v>
      </c>
    </row>
    <row r="518" spans="1:2">
      <c r="A518" s="71">
        <v>517</v>
      </c>
      <c r="B518" s="71">
        <v>180994.03956959717</v>
      </c>
    </row>
    <row r="519" spans="1:2">
      <c r="A519" s="71">
        <v>518</v>
      </c>
      <c r="B519" s="71">
        <v>171815.041685506</v>
      </c>
    </row>
    <row r="520" spans="1:2">
      <c r="A520" s="71">
        <v>519</v>
      </c>
      <c r="B520" s="71">
        <v>161765.89344505669</v>
      </c>
    </row>
    <row r="521" spans="1:2">
      <c r="A521" s="71">
        <v>520</v>
      </c>
      <c r="B521" s="71">
        <v>167046.67090893554</v>
      </c>
    </row>
    <row r="522" spans="1:2">
      <c r="A522" s="71">
        <v>521</v>
      </c>
      <c r="B522" s="71">
        <v>167049.14984287813</v>
      </c>
    </row>
    <row r="523" spans="1:2">
      <c r="A523" s="71">
        <v>522</v>
      </c>
      <c r="B523" s="71">
        <v>158745.01293525775</v>
      </c>
    </row>
    <row r="524" spans="1:2">
      <c r="A524" s="71">
        <v>523</v>
      </c>
      <c r="B524" s="71">
        <v>169611.09941591969</v>
      </c>
    </row>
    <row r="525" spans="1:2">
      <c r="A525" s="71">
        <v>524</v>
      </c>
      <c r="B525" s="71">
        <v>155307.08771589474</v>
      </c>
    </row>
    <row r="526" spans="1:2">
      <c r="A526" s="71">
        <v>525</v>
      </c>
      <c r="B526" s="71">
        <v>175559.99917658733</v>
      </c>
    </row>
    <row r="527" spans="1:2">
      <c r="A527" s="71">
        <v>526</v>
      </c>
      <c r="B527" s="71">
        <v>156513.39517547542</v>
      </c>
    </row>
    <row r="528" spans="1:2">
      <c r="A528" s="71">
        <v>527</v>
      </c>
      <c r="B528" s="71">
        <v>156911.56402749146</v>
      </c>
    </row>
    <row r="529" spans="1:2">
      <c r="A529" s="71">
        <v>528</v>
      </c>
      <c r="B529" s="71">
        <v>160286.31785493752</v>
      </c>
    </row>
    <row r="530" spans="1:2">
      <c r="A530" s="71">
        <v>529</v>
      </c>
      <c r="B530" s="71">
        <v>157480.59578075481</v>
      </c>
    </row>
    <row r="531" spans="1:2">
      <c r="A531" s="71">
        <v>530</v>
      </c>
      <c r="B531" s="71">
        <v>155138.98066606148</v>
      </c>
    </row>
    <row r="532" spans="1:2">
      <c r="A532" s="71">
        <v>531</v>
      </c>
      <c r="B532" s="71">
        <v>171741.80933052587</v>
      </c>
    </row>
    <row r="533" spans="1:2">
      <c r="A533" s="71">
        <v>532</v>
      </c>
      <c r="B533" s="71">
        <v>165089.05417445957</v>
      </c>
    </row>
    <row r="534" spans="1:2">
      <c r="A534" s="71">
        <v>533</v>
      </c>
      <c r="B534" s="71">
        <v>177137.90405221263</v>
      </c>
    </row>
    <row r="535" spans="1:2">
      <c r="A535" s="71">
        <v>534</v>
      </c>
      <c r="B535" s="71">
        <v>160820.67786649079</v>
      </c>
    </row>
    <row r="536" spans="1:2">
      <c r="A536" s="71">
        <v>535</v>
      </c>
      <c r="B536" s="71">
        <v>183863.62274392226</v>
      </c>
    </row>
    <row r="537" spans="1:2">
      <c r="A537" s="71">
        <v>536</v>
      </c>
      <c r="B537" s="71">
        <v>167013.053214913</v>
      </c>
    </row>
    <row r="538" spans="1:2">
      <c r="A538" s="71">
        <v>537</v>
      </c>
      <c r="B538" s="71">
        <v>163706.27232019132</v>
      </c>
    </row>
    <row r="539" spans="1:2">
      <c r="A539" s="71">
        <v>538</v>
      </c>
      <c r="B539" s="71">
        <v>159011.1950587405</v>
      </c>
    </row>
    <row r="540" spans="1:2">
      <c r="A540" s="71">
        <v>539</v>
      </c>
      <c r="B540" s="71">
        <v>166637.24906184472</v>
      </c>
    </row>
    <row r="541" spans="1:2">
      <c r="A541" s="71">
        <v>540</v>
      </c>
      <c r="B541" s="71">
        <v>167071.39892403485</v>
      </c>
    </row>
    <row r="542" spans="1:2">
      <c r="A542" s="71">
        <v>541</v>
      </c>
      <c r="B542" s="71">
        <v>164448.51058897207</v>
      </c>
    </row>
    <row r="543" spans="1:2">
      <c r="A543" s="71">
        <v>542</v>
      </c>
      <c r="B543" s="71">
        <v>179730.77180618982</v>
      </c>
    </row>
    <row r="544" spans="1:2">
      <c r="A544" s="71">
        <v>543</v>
      </c>
      <c r="B544" s="71">
        <v>181673.1247479805</v>
      </c>
    </row>
    <row r="545" spans="1:2">
      <c r="A545" s="71">
        <v>544</v>
      </c>
      <c r="B545" s="71">
        <v>156361.84257613259</v>
      </c>
    </row>
    <row r="546" spans="1:2">
      <c r="A546" s="71">
        <v>545</v>
      </c>
      <c r="B546" s="71">
        <v>166511.3456793403</v>
      </c>
    </row>
    <row r="547" spans="1:2">
      <c r="A547" s="71">
        <v>546</v>
      </c>
      <c r="B547" s="71">
        <v>150217.7067373076</v>
      </c>
    </row>
    <row r="548" spans="1:2">
      <c r="A548" s="71">
        <v>547</v>
      </c>
      <c r="B548" s="71">
        <v>168206.01460838612</v>
      </c>
    </row>
    <row r="549" spans="1:2">
      <c r="A549" s="71">
        <v>548</v>
      </c>
      <c r="B549" s="71">
        <v>172926.52160918826</v>
      </c>
    </row>
    <row r="550" spans="1:2">
      <c r="A550" s="71">
        <v>549</v>
      </c>
      <c r="B550" s="71">
        <v>169853.64326916565</v>
      </c>
    </row>
    <row r="551" spans="1:2">
      <c r="A551" s="71">
        <v>550</v>
      </c>
      <c r="B551" s="71">
        <v>179594.0081303053</v>
      </c>
    </row>
    <row r="552" spans="1:2">
      <c r="A552" s="71">
        <v>551</v>
      </c>
      <c r="B552" s="71">
        <v>156257.95523519863</v>
      </c>
    </row>
    <row r="553" spans="1:2">
      <c r="A553" s="71">
        <v>552</v>
      </c>
      <c r="B553" s="71">
        <v>170201.76912602261</v>
      </c>
    </row>
    <row r="554" spans="1:2">
      <c r="A554" s="71">
        <v>553</v>
      </c>
      <c r="B554" s="71">
        <v>167637.79045333483</v>
      </c>
    </row>
    <row r="555" spans="1:2">
      <c r="A555" s="71">
        <v>554</v>
      </c>
      <c r="B555" s="71">
        <v>165873.37399716376</v>
      </c>
    </row>
    <row r="556" spans="1:2">
      <c r="A556" s="71">
        <v>555</v>
      </c>
      <c r="B556" s="71">
        <v>158195.10951966821</v>
      </c>
    </row>
    <row r="557" spans="1:2">
      <c r="A557" s="71">
        <v>556</v>
      </c>
      <c r="B557" s="71">
        <v>162843.57115423045</v>
      </c>
    </row>
    <row r="558" spans="1:2">
      <c r="A558" s="71">
        <v>557</v>
      </c>
      <c r="B558" s="71">
        <v>163083.88295388478</v>
      </c>
    </row>
    <row r="559" spans="1:2">
      <c r="A559" s="71">
        <v>558</v>
      </c>
      <c r="B559" s="71">
        <v>171969.23580357328</v>
      </c>
    </row>
    <row r="560" spans="1:2">
      <c r="A560" s="71">
        <v>559</v>
      </c>
      <c r="B560" s="71">
        <v>144409.47963381099</v>
      </c>
    </row>
    <row r="561" spans="1:2">
      <c r="A561" s="71">
        <v>560</v>
      </c>
      <c r="B561" s="71">
        <v>147330.44499048192</v>
      </c>
    </row>
    <row r="562" spans="1:2">
      <c r="A562" s="71">
        <v>561</v>
      </c>
      <c r="B562" s="71">
        <v>166748.71953741298</v>
      </c>
    </row>
    <row r="563" spans="1:2">
      <c r="A563" s="71">
        <v>562</v>
      </c>
      <c r="B563" s="71">
        <v>157126.06579371222</v>
      </c>
    </row>
    <row r="564" spans="1:2">
      <c r="A564" s="71">
        <v>563</v>
      </c>
      <c r="B564" s="71">
        <v>167919.05348581224</v>
      </c>
    </row>
    <row r="565" spans="1:2">
      <c r="A565" s="71">
        <v>564</v>
      </c>
      <c r="B565" s="71">
        <v>162370.65392185436</v>
      </c>
    </row>
    <row r="566" spans="1:2">
      <c r="A566" s="71">
        <v>565</v>
      </c>
      <c r="B566" s="71">
        <v>170850.70377516656</v>
      </c>
    </row>
    <row r="567" spans="1:2">
      <c r="A567" s="71">
        <v>566</v>
      </c>
      <c r="B567" s="71">
        <v>165182.58810592807</v>
      </c>
    </row>
    <row r="568" spans="1:2">
      <c r="A568" s="71">
        <v>567</v>
      </c>
      <c r="B568" s="71">
        <v>168288.43987573279</v>
      </c>
    </row>
    <row r="569" spans="1:2">
      <c r="A569" s="71">
        <v>568</v>
      </c>
      <c r="B569" s="71">
        <v>154130.9987528823</v>
      </c>
    </row>
    <row r="570" spans="1:2">
      <c r="A570" s="71">
        <v>569</v>
      </c>
      <c r="B570" s="71">
        <v>146300.71939794548</v>
      </c>
    </row>
    <row r="571" spans="1:2">
      <c r="A571" s="71">
        <v>570</v>
      </c>
      <c r="B571" s="71">
        <v>164138.26899680996</v>
      </c>
    </row>
    <row r="572" spans="1:2">
      <c r="A572" s="71">
        <v>571</v>
      </c>
      <c r="B572" s="71">
        <v>176274.55644623665</v>
      </c>
    </row>
    <row r="573" spans="1:2">
      <c r="A573" s="71">
        <v>572</v>
      </c>
      <c r="B573" s="71">
        <v>153058.18291760064</v>
      </c>
    </row>
    <row r="574" spans="1:2">
      <c r="A574" s="71">
        <v>573</v>
      </c>
      <c r="B574" s="71">
        <v>171499.66431595388</v>
      </c>
    </row>
    <row r="575" spans="1:2">
      <c r="A575" s="71">
        <v>574</v>
      </c>
      <c r="B575" s="71">
        <v>171232.60751183331</v>
      </c>
    </row>
    <row r="576" spans="1:2">
      <c r="A576" s="71">
        <v>575</v>
      </c>
      <c r="B576" s="71">
        <v>159109.05243072979</v>
      </c>
    </row>
    <row r="577" spans="1:2">
      <c r="A577" s="71">
        <v>576</v>
      </c>
      <c r="B577" s="71">
        <v>165967.73145903894</v>
      </c>
    </row>
    <row r="578" spans="1:2">
      <c r="A578" s="71">
        <v>577</v>
      </c>
      <c r="B578" s="71">
        <v>153186.92893892317</v>
      </c>
    </row>
    <row r="579" spans="1:2">
      <c r="A579" s="71">
        <v>578</v>
      </c>
      <c r="B579" s="71">
        <v>169555.73329014794</v>
      </c>
    </row>
    <row r="580" spans="1:2">
      <c r="A580" s="71">
        <v>579</v>
      </c>
      <c r="B580" s="71">
        <v>167682.47044265247</v>
      </c>
    </row>
    <row r="581" spans="1:2">
      <c r="A581" s="71">
        <v>580</v>
      </c>
      <c r="B581" s="71">
        <v>151746.10054316922</v>
      </c>
    </row>
    <row r="582" spans="1:2">
      <c r="A582" s="71">
        <v>581</v>
      </c>
      <c r="B582" s="71">
        <v>158028.76174964674</v>
      </c>
    </row>
    <row r="583" spans="1:2">
      <c r="A583" s="71">
        <v>582</v>
      </c>
      <c r="B583" s="71">
        <v>160565.64356488956</v>
      </c>
    </row>
    <row r="584" spans="1:2">
      <c r="A584" s="71">
        <v>583</v>
      </c>
      <c r="B584" s="71">
        <v>154505.36989116101</v>
      </c>
    </row>
    <row r="585" spans="1:2">
      <c r="A585" s="71">
        <v>584</v>
      </c>
      <c r="B585" s="71">
        <v>192337.14094293432</v>
      </c>
    </row>
    <row r="586" spans="1:2">
      <c r="A586" s="71">
        <v>585</v>
      </c>
      <c r="B586" s="71">
        <v>166194.87779457972</v>
      </c>
    </row>
    <row r="587" spans="1:2">
      <c r="A587" s="71">
        <v>586</v>
      </c>
      <c r="B587" s="71">
        <v>172840.92943042319</v>
      </c>
    </row>
    <row r="588" spans="1:2">
      <c r="A588" s="71">
        <v>587</v>
      </c>
      <c r="B588" s="71">
        <v>173334.54839219875</v>
      </c>
    </row>
    <row r="589" spans="1:2">
      <c r="A589" s="71">
        <v>588</v>
      </c>
      <c r="B589" s="71">
        <v>158323.11784192748</v>
      </c>
    </row>
    <row r="590" spans="1:2">
      <c r="A590" s="71">
        <v>589</v>
      </c>
      <c r="B590" s="71">
        <v>170696.32141166361</v>
      </c>
    </row>
    <row r="591" spans="1:2">
      <c r="A591" s="71">
        <v>590</v>
      </c>
      <c r="B591" s="71">
        <v>175101.2765915716</v>
      </c>
    </row>
    <row r="592" spans="1:2">
      <c r="A592" s="71">
        <v>591</v>
      </c>
      <c r="B592" s="71">
        <v>142828.37048752143</v>
      </c>
    </row>
    <row r="593" spans="1:2">
      <c r="A593" s="71">
        <v>592</v>
      </c>
      <c r="B593" s="71">
        <v>178161.12023016025</v>
      </c>
    </row>
    <row r="594" spans="1:2">
      <c r="A594" s="71">
        <v>593</v>
      </c>
      <c r="B594" s="71">
        <v>156258.59100500966</v>
      </c>
    </row>
    <row r="595" spans="1:2">
      <c r="A595" s="71">
        <v>594</v>
      </c>
      <c r="B595" s="71">
        <v>154451.81325959926</v>
      </c>
    </row>
    <row r="596" spans="1:2">
      <c r="A596" s="71">
        <v>595</v>
      </c>
      <c r="B596" s="71">
        <v>151598.08037133192</v>
      </c>
    </row>
    <row r="597" spans="1:2">
      <c r="A597" s="71">
        <v>596</v>
      </c>
      <c r="B597" s="71">
        <v>165630.16597828103</v>
      </c>
    </row>
    <row r="598" spans="1:2">
      <c r="A598" s="71">
        <v>597</v>
      </c>
      <c r="B598" s="71">
        <v>175679.96693348201</v>
      </c>
    </row>
    <row r="599" spans="1:2">
      <c r="A599" s="71">
        <v>598</v>
      </c>
      <c r="B599" s="71">
        <v>163508.73622439126</v>
      </c>
    </row>
    <row r="600" spans="1:2">
      <c r="A600" s="71">
        <v>599</v>
      </c>
      <c r="B600" s="71">
        <v>176149.20499897699</v>
      </c>
    </row>
    <row r="601" spans="1:2">
      <c r="A601" s="71">
        <v>600</v>
      </c>
      <c r="B601" s="71">
        <v>164249.94860055138</v>
      </c>
    </row>
    <row r="602" spans="1:2">
      <c r="A602" s="71">
        <v>601</v>
      </c>
      <c r="B602" s="71">
        <v>165600.54389802614</v>
      </c>
    </row>
    <row r="603" spans="1:2">
      <c r="A603" s="71">
        <v>602</v>
      </c>
      <c r="B603" s="71">
        <v>157217.95158326451</v>
      </c>
    </row>
    <row r="604" spans="1:2">
      <c r="A604" s="71">
        <v>603</v>
      </c>
      <c r="B604" s="71">
        <v>170832.27777300001</v>
      </c>
    </row>
    <row r="605" spans="1:2">
      <c r="A605" s="71">
        <v>604</v>
      </c>
      <c r="B605" s="71">
        <v>155899.90065375544</v>
      </c>
    </row>
    <row r="606" spans="1:2">
      <c r="A606" s="71">
        <v>605</v>
      </c>
      <c r="B606" s="71">
        <v>171625.69340033224</v>
      </c>
    </row>
    <row r="607" spans="1:2">
      <c r="A607" s="71">
        <v>606</v>
      </c>
      <c r="B607" s="71">
        <v>171259.16319516301</v>
      </c>
    </row>
    <row r="608" spans="1:2">
      <c r="A608" s="71">
        <v>607</v>
      </c>
      <c r="B608" s="71">
        <v>175861.07002581796</v>
      </c>
    </row>
    <row r="609" spans="1:2">
      <c r="A609" s="71">
        <v>608</v>
      </c>
      <c r="B609" s="71">
        <v>169157.46158566212</v>
      </c>
    </row>
    <row r="610" spans="1:2">
      <c r="A610" s="71">
        <v>609</v>
      </c>
      <c r="B610" s="71">
        <v>158937.70006731615</v>
      </c>
    </row>
    <row r="611" spans="1:2">
      <c r="A611" s="71">
        <v>610</v>
      </c>
      <c r="B611" s="71">
        <v>165367.09648266144</v>
      </c>
    </row>
    <row r="612" spans="1:2">
      <c r="A612" s="71">
        <v>611</v>
      </c>
      <c r="B612" s="71">
        <v>185780.73867159642</v>
      </c>
    </row>
    <row r="613" spans="1:2">
      <c r="A613" s="71">
        <v>612</v>
      </c>
      <c r="B613" s="71">
        <v>160034.35527173267</v>
      </c>
    </row>
    <row r="614" spans="1:2">
      <c r="A614" s="71">
        <v>613</v>
      </c>
      <c r="B614" s="71">
        <v>172305.08780155866</v>
      </c>
    </row>
    <row r="615" spans="1:2">
      <c r="A615" s="71">
        <v>614</v>
      </c>
      <c r="B615" s="71">
        <v>166093.64260207879</v>
      </c>
    </row>
    <row r="616" spans="1:2">
      <c r="A616" s="71">
        <v>615</v>
      </c>
      <c r="B616" s="71">
        <v>166458.67606110233</v>
      </c>
    </row>
    <row r="617" spans="1:2">
      <c r="A617" s="71">
        <v>616</v>
      </c>
      <c r="B617" s="71">
        <v>161815.04365402024</v>
      </c>
    </row>
    <row r="618" spans="1:2">
      <c r="A618" s="71">
        <v>617</v>
      </c>
      <c r="B618" s="71">
        <v>156275.55335412634</v>
      </c>
    </row>
    <row r="619" spans="1:2">
      <c r="A619" s="71">
        <v>618</v>
      </c>
      <c r="B619" s="71">
        <v>177216.12572863058</v>
      </c>
    </row>
    <row r="620" spans="1:2">
      <c r="A620" s="71">
        <v>619</v>
      </c>
      <c r="B620" s="71">
        <v>156105.71465459955</v>
      </c>
    </row>
    <row r="621" spans="1:2">
      <c r="A621" s="71">
        <v>620</v>
      </c>
      <c r="B621" s="71">
        <v>156527.98889654697</v>
      </c>
    </row>
    <row r="622" spans="1:2">
      <c r="A622" s="71">
        <v>621</v>
      </c>
      <c r="B622" s="71">
        <v>176229.23097578922</v>
      </c>
    </row>
    <row r="623" spans="1:2">
      <c r="A623" s="71">
        <v>622</v>
      </c>
      <c r="B623" s="71">
        <v>165073.27163394407</v>
      </c>
    </row>
    <row r="624" spans="1:2">
      <c r="A624" s="71">
        <v>623</v>
      </c>
      <c r="B624" s="71">
        <v>163247.45025456522</v>
      </c>
    </row>
    <row r="625" spans="1:2">
      <c r="A625" s="71">
        <v>624</v>
      </c>
      <c r="B625" s="71">
        <v>159996.79519518986</v>
      </c>
    </row>
    <row r="626" spans="1:2">
      <c r="A626" s="71">
        <v>625</v>
      </c>
      <c r="B626" s="71">
        <v>171404.60355977342</v>
      </c>
    </row>
    <row r="627" spans="1:2">
      <c r="A627" s="71">
        <v>626</v>
      </c>
      <c r="B627" s="71">
        <v>168608.11181669374</v>
      </c>
    </row>
    <row r="628" spans="1:2">
      <c r="A628" s="71">
        <v>627</v>
      </c>
      <c r="B628" s="71">
        <v>152050.64715158625</v>
      </c>
    </row>
    <row r="629" spans="1:2">
      <c r="A629" s="71">
        <v>628</v>
      </c>
      <c r="B629" s="71">
        <v>183373.81905237868</v>
      </c>
    </row>
    <row r="630" spans="1:2">
      <c r="A630" s="71">
        <v>629</v>
      </c>
      <c r="B630" s="71">
        <v>163261.15216329618</v>
      </c>
    </row>
    <row r="631" spans="1:2">
      <c r="A631" s="71">
        <v>630</v>
      </c>
      <c r="B631" s="71">
        <v>154906.31968016989</v>
      </c>
    </row>
    <row r="632" spans="1:2">
      <c r="A632" s="71">
        <v>631</v>
      </c>
      <c r="B632" s="71">
        <v>156161.95986847588</v>
      </c>
    </row>
    <row r="633" spans="1:2">
      <c r="A633" s="71">
        <v>632</v>
      </c>
      <c r="B633" s="71">
        <v>160911.93044137012</v>
      </c>
    </row>
    <row r="634" spans="1:2">
      <c r="A634" s="71">
        <v>633</v>
      </c>
      <c r="B634" s="71">
        <v>164970.55708909623</v>
      </c>
    </row>
    <row r="635" spans="1:2">
      <c r="A635" s="71">
        <v>634</v>
      </c>
      <c r="B635" s="71">
        <v>183290.32688024626</v>
      </c>
    </row>
    <row r="636" spans="1:2">
      <c r="A636" s="71">
        <v>635</v>
      </c>
      <c r="B636" s="71">
        <v>156826.65710178352</v>
      </c>
    </row>
    <row r="637" spans="1:2">
      <c r="A637" s="71">
        <v>636</v>
      </c>
      <c r="B637" s="71">
        <v>161976.82689013772</v>
      </c>
    </row>
    <row r="638" spans="1:2">
      <c r="A638" s="71">
        <v>637</v>
      </c>
      <c r="B638" s="71">
        <v>157489.88189524511</v>
      </c>
    </row>
    <row r="639" spans="1:2">
      <c r="A639" s="71">
        <v>638</v>
      </c>
      <c r="B639" s="71">
        <v>143612.96247377191</v>
      </c>
    </row>
    <row r="640" spans="1:2">
      <c r="A640" s="71">
        <v>639</v>
      </c>
      <c r="B640" s="71">
        <v>177505.08542321206</v>
      </c>
    </row>
    <row r="641" spans="1:2">
      <c r="A641" s="71">
        <v>640</v>
      </c>
      <c r="B641" s="71">
        <v>163877.59674287407</v>
      </c>
    </row>
    <row r="642" spans="1:2">
      <c r="A642" s="71">
        <v>641</v>
      </c>
      <c r="B642" s="71">
        <v>166994.76053422611</v>
      </c>
    </row>
    <row r="643" spans="1:2">
      <c r="A643" s="71">
        <v>642</v>
      </c>
      <c r="B643" s="71">
        <v>167493.91274000896</v>
      </c>
    </row>
    <row r="644" spans="1:2">
      <c r="A644" s="71">
        <v>643</v>
      </c>
      <c r="B644" s="71">
        <v>157994.81746777214</v>
      </c>
    </row>
    <row r="645" spans="1:2">
      <c r="A645" s="71">
        <v>644</v>
      </c>
      <c r="B645" s="71">
        <v>168629.53208614947</v>
      </c>
    </row>
    <row r="646" spans="1:2">
      <c r="A646" s="71">
        <v>645</v>
      </c>
      <c r="B646" s="71">
        <v>165341.45009833449</v>
      </c>
    </row>
    <row r="647" spans="1:2">
      <c r="A647" s="71">
        <v>646</v>
      </c>
      <c r="B647" s="71">
        <v>163820.75697612588</v>
      </c>
    </row>
    <row r="648" spans="1:2">
      <c r="A648" s="71">
        <v>647</v>
      </c>
      <c r="B648" s="71">
        <v>168083.72022331841</v>
      </c>
    </row>
    <row r="649" spans="1:2">
      <c r="A649" s="71">
        <v>648</v>
      </c>
      <c r="B649" s="71">
        <v>162533.90626640266</v>
      </c>
    </row>
    <row r="650" spans="1:2">
      <c r="A650" s="71">
        <v>649</v>
      </c>
      <c r="B650" s="71">
        <v>166502.1166298184</v>
      </c>
    </row>
    <row r="651" spans="1:2">
      <c r="A651" s="71">
        <v>650</v>
      </c>
      <c r="B651" s="71">
        <v>148082.8121957501</v>
      </c>
    </row>
    <row r="652" spans="1:2">
      <c r="A652" s="71">
        <v>651</v>
      </c>
      <c r="B652" s="71">
        <v>155214.17913897446</v>
      </c>
    </row>
    <row r="653" spans="1:2">
      <c r="A653" s="71">
        <v>652</v>
      </c>
      <c r="B653" s="71">
        <v>173039.66174646001</v>
      </c>
    </row>
    <row r="654" spans="1:2">
      <c r="A654" s="71">
        <v>653</v>
      </c>
      <c r="B654" s="71">
        <v>166129.67277026919</v>
      </c>
    </row>
    <row r="655" spans="1:2">
      <c r="A655" s="71">
        <v>654</v>
      </c>
      <c r="B655" s="71">
        <v>173474.33702955768</v>
      </c>
    </row>
    <row r="656" spans="1:2">
      <c r="A656" s="71">
        <v>655</v>
      </c>
      <c r="B656" s="71">
        <v>163574.17097624388</v>
      </c>
    </row>
    <row r="657" spans="1:2">
      <c r="A657" s="71">
        <v>656</v>
      </c>
      <c r="B657" s="71">
        <v>178705.21197788932</v>
      </c>
    </row>
    <row r="658" spans="1:2">
      <c r="A658" s="71">
        <v>657</v>
      </c>
      <c r="B658" s="71">
        <v>173356.89916488534</v>
      </c>
    </row>
    <row r="659" spans="1:2">
      <c r="A659" s="71">
        <v>658</v>
      </c>
      <c r="B659" s="71">
        <v>164573.11174818786</v>
      </c>
    </row>
    <row r="660" spans="1:2">
      <c r="A660" s="71">
        <v>659</v>
      </c>
      <c r="B660" s="71">
        <v>157627.05926847516</v>
      </c>
    </row>
    <row r="661" spans="1:2">
      <c r="A661" s="71">
        <v>660</v>
      </c>
      <c r="B661" s="71">
        <v>165603.33819936769</v>
      </c>
    </row>
    <row r="662" spans="1:2">
      <c r="A662" s="71">
        <v>661</v>
      </c>
      <c r="B662" s="71">
        <v>165196.6936421108</v>
      </c>
    </row>
    <row r="663" spans="1:2">
      <c r="A663" s="71">
        <v>662</v>
      </c>
      <c r="B663" s="71">
        <v>159113.95427542154</v>
      </c>
    </row>
    <row r="664" spans="1:2">
      <c r="A664" s="71">
        <v>663</v>
      </c>
      <c r="B664" s="71">
        <v>171029.40687611789</v>
      </c>
    </row>
    <row r="665" spans="1:2">
      <c r="A665" s="71">
        <v>664</v>
      </c>
      <c r="B665" s="71">
        <v>176827.81662658957</v>
      </c>
    </row>
    <row r="666" spans="1:2">
      <c r="A666" s="71">
        <v>665</v>
      </c>
      <c r="B666" s="71">
        <v>180189.47389898662</v>
      </c>
    </row>
    <row r="667" spans="1:2">
      <c r="A667" s="71">
        <v>666</v>
      </c>
      <c r="B667" s="71">
        <v>167268.16672687067</v>
      </c>
    </row>
    <row r="668" spans="1:2">
      <c r="A668" s="71">
        <v>667</v>
      </c>
      <c r="B668" s="71">
        <v>170058.6825487157</v>
      </c>
    </row>
    <row r="669" spans="1:2">
      <c r="A669" s="71">
        <v>668</v>
      </c>
      <c r="B669" s="71">
        <v>163394.31359354511</v>
      </c>
    </row>
    <row r="670" spans="1:2">
      <c r="A670" s="71">
        <v>669</v>
      </c>
      <c r="B670" s="71">
        <v>164724.78691850789</v>
      </c>
    </row>
    <row r="671" spans="1:2">
      <c r="A671" s="71">
        <v>670</v>
      </c>
      <c r="B671" s="71">
        <v>175339.76156879103</v>
      </c>
    </row>
    <row r="672" spans="1:2">
      <c r="A672" s="71">
        <v>671</v>
      </c>
      <c r="B672" s="71">
        <v>159779.50048390112</v>
      </c>
    </row>
    <row r="673" spans="1:2">
      <c r="A673" s="71">
        <v>672</v>
      </c>
      <c r="B673" s="71">
        <v>164427.45381268949</v>
      </c>
    </row>
    <row r="674" spans="1:2">
      <c r="A674" s="71">
        <v>673</v>
      </c>
      <c r="B674" s="71">
        <v>151831.03945942331</v>
      </c>
    </row>
    <row r="675" spans="1:2">
      <c r="A675" s="71">
        <v>674</v>
      </c>
      <c r="B675" s="71">
        <v>159459.42268334961</v>
      </c>
    </row>
    <row r="676" spans="1:2">
      <c r="A676" s="71">
        <v>675</v>
      </c>
      <c r="B676" s="71">
        <v>166482.9607796667</v>
      </c>
    </row>
    <row r="677" spans="1:2">
      <c r="A677" s="71">
        <v>676</v>
      </c>
      <c r="B677" s="71">
        <v>176164.77759933134</v>
      </c>
    </row>
    <row r="678" spans="1:2">
      <c r="A678" s="71">
        <v>677</v>
      </c>
      <c r="B678" s="71">
        <v>183813.8877009479</v>
      </c>
    </row>
    <row r="679" spans="1:2">
      <c r="A679" s="71">
        <v>678</v>
      </c>
      <c r="B679" s="71">
        <v>179696.34713715932</v>
      </c>
    </row>
    <row r="680" spans="1:2">
      <c r="A680" s="71">
        <v>679</v>
      </c>
      <c r="B680" s="71">
        <v>167258.85517950694</v>
      </c>
    </row>
    <row r="681" spans="1:2">
      <c r="A681" s="71">
        <v>680</v>
      </c>
      <c r="B681" s="71">
        <v>163976.07450623572</v>
      </c>
    </row>
    <row r="682" spans="1:2">
      <c r="A682" s="71">
        <v>681</v>
      </c>
      <c r="B682" s="71">
        <v>165353.05581867622</v>
      </c>
    </row>
    <row r="683" spans="1:2">
      <c r="A683" s="71">
        <v>682</v>
      </c>
      <c r="B683" s="71">
        <v>166219.3839056697</v>
      </c>
    </row>
    <row r="684" spans="1:2">
      <c r="A684" s="71">
        <v>683</v>
      </c>
      <c r="B684" s="71">
        <v>175389.01170911224</v>
      </c>
    </row>
    <row r="685" spans="1:2">
      <c r="A685" s="71">
        <v>684</v>
      </c>
      <c r="B685" s="71">
        <v>171670.56339226116</v>
      </c>
    </row>
    <row r="686" spans="1:2">
      <c r="A686" s="71">
        <v>685</v>
      </c>
      <c r="B686" s="71">
        <v>165165.21493215958</v>
      </c>
    </row>
    <row r="687" spans="1:2">
      <c r="A687" s="71">
        <v>686</v>
      </c>
      <c r="B687" s="71">
        <v>173419.54748375423</v>
      </c>
    </row>
    <row r="688" spans="1:2">
      <c r="A688" s="71">
        <v>687</v>
      </c>
      <c r="B688" s="71">
        <v>162057.6861033061</v>
      </c>
    </row>
    <row r="689" spans="1:2">
      <c r="A689" s="71">
        <v>688</v>
      </c>
      <c r="B689" s="71">
        <v>178420.49263155193</v>
      </c>
    </row>
    <row r="690" spans="1:2">
      <c r="A690" s="71">
        <v>689</v>
      </c>
      <c r="B690" s="71">
        <v>157412.1868280663</v>
      </c>
    </row>
    <row r="691" spans="1:2">
      <c r="A691" s="71">
        <v>690</v>
      </c>
      <c r="B691" s="71">
        <v>162645.48530355573</v>
      </c>
    </row>
    <row r="692" spans="1:2">
      <c r="A692" s="71">
        <v>691</v>
      </c>
      <c r="B692" s="71">
        <v>169915.373486895</v>
      </c>
    </row>
    <row r="693" spans="1:2">
      <c r="A693" s="71">
        <v>692</v>
      </c>
      <c r="B693" s="71">
        <v>165083.34450016866</v>
      </c>
    </row>
    <row r="694" spans="1:2">
      <c r="A694" s="71">
        <v>693</v>
      </c>
      <c r="B694" s="71">
        <v>165393.17820228715</v>
      </c>
    </row>
    <row r="695" spans="1:2">
      <c r="A695" s="71">
        <v>694</v>
      </c>
      <c r="B695" s="71">
        <v>168576.05970670161</v>
      </c>
    </row>
    <row r="696" spans="1:2">
      <c r="A696" s="71">
        <v>695</v>
      </c>
      <c r="B696" s="71">
        <v>169140.7237542599</v>
      </c>
    </row>
    <row r="697" spans="1:2">
      <c r="A697" s="71">
        <v>696</v>
      </c>
      <c r="B697" s="71">
        <v>186525.60955495978</v>
      </c>
    </row>
    <row r="698" spans="1:2">
      <c r="A698" s="71">
        <v>697</v>
      </c>
      <c r="B698" s="71">
        <v>172932.45844309402</v>
      </c>
    </row>
    <row r="699" spans="1:2">
      <c r="A699" s="71">
        <v>698</v>
      </c>
      <c r="B699" s="71">
        <v>169473.94688950066</v>
      </c>
    </row>
    <row r="700" spans="1:2">
      <c r="A700" s="71">
        <v>699</v>
      </c>
      <c r="B700" s="71">
        <v>160095.02371321441</v>
      </c>
    </row>
    <row r="701" spans="1:2">
      <c r="A701" s="71">
        <v>700</v>
      </c>
      <c r="B701" s="71">
        <v>168627.51377061114</v>
      </c>
    </row>
    <row r="702" spans="1:2">
      <c r="A702" s="71">
        <v>701</v>
      </c>
      <c r="B702" s="71">
        <v>165202.22052373385</v>
      </c>
    </row>
    <row r="703" spans="1:2">
      <c r="A703" s="71">
        <v>702</v>
      </c>
      <c r="B703" s="71">
        <v>166811.49920268767</v>
      </c>
    </row>
    <row r="704" spans="1:2">
      <c r="A704" s="71">
        <v>703</v>
      </c>
      <c r="B704" s="71">
        <v>168752.90028523898</v>
      </c>
    </row>
    <row r="705" spans="1:2">
      <c r="A705" s="71">
        <v>704</v>
      </c>
      <c r="B705" s="71">
        <v>153947.4318842919</v>
      </c>
    </row>
    <row r="706" spans="1:2">
      <c r="A706" s="71">
        <v>705</v>
      </c>
      <c r="B706" s="71">
        <v>167558.46911839081</v>
      </c>
    </row>
    <row r="707" spans="1:2">
      <c r="A707" s="71">
        <v>706</v>
      </c>
      <c r="B707" s="71">
        <v>165659.13012225149</v>
      </c>
    </row>
    <row r="708" spans="1:2">
      <c r="A708" s="71">
        <v>707</v>
      </c>
      <c r="B708" s="71">
        <v>158095.87454063748</v>
      </c>
    </row>
    <row r="709" spans="1:2">
      <c r="A709" s="71">
        <v>708</v>
      </c>
      <c r="B709" s="71">
        <v>146162.63110184323</v>
      </c>
    </row>
    <row r="710" spans="1:2">
      <c r="A710" s="71">
        <v>709</v>
      </c>
      <c r="B710" s="71">
        <v>170274.41472131072</v>
      </c>
    </row>
    <row r="711" spans="1:2">
      <c r="A711" s="71">
        <v>710</v>
      </c>
      <c r="B711" s="71">
        <v>166090.30144112126</v>
      </c>
    </row>
    <row r="712" spans="1:2">
      <c r="A712" s="71">
        <v>711</v>
      </c>
      <c r="B712" s="71">
        <v>167760.46417030532</v>
      </c>
    </row>
    <row r="713" spans="1:2">
      <c r="A713" s="71">
        <v>712</v>
      </c>
      <c r="B713" s="71">
        <v>165099.22223305347</v>
      </c>
    </row>
    <row r="714" spans="1:2">
      <c r="A714" s="71">
        <v>713</v>
      </c>
      <c r="B714" s="71">
        <v>155142.41163555565</v>
      </c>
    </row>
    <row r="715" spans="1:2">
      <c r="A715" s="71">
        <v>714</v>
      </c>
      <c r="B715" s="71">
        <v>161633.97095183312</v>
      </c>
    </row>
    <row r="716" spans="1:2">
      <c r="A716" s="71">
        <v>715</v>
      </c>
      <c r="B716" s="71">
        <v>166172.70710190825</v>
      </c>
    </row>
    <row r="717" spans="1:2">
      <c r="A717" s="71">
        <v>716</v>
      </c>
      <c r="B717" s="71">
        <v>162221.425280506</v>
      </c>
    </row>
    <row r="718" spans="1:2">
      <c r="A718" s="71">
        <v>717</v>
      </c>
      <c r="B718" s="71">
        <v>159650.50395062179</v>
      </c>
    </row>
    <row r="719" spans="1:2">
      <c r="A719" s="71">
        <v>718</v>
      </c>
      <c r="B719" s="71">
        <v>152469.24195130944</v>
      </c>
    </row>
    <row r="720" spans="1:2">
      <c r="A720" s="71">
        <v>719</v>
      </c>
      <c r="B720" s="71">
        <v>166582.93434687771</v>
      </c>
    </row>
    <row r="721" spans="1:2">
      <c r="A721" s="71">
        <v>720</v>
      </c>
      <c r="B721" s="71">
        <v>169558.39984093659</v>
      </c>
    </row>
    <row r="722" spans="1:2">
      <c r="A722" s="71">
        <v>721</v>
      </c>
      <c r="B722" s="71">
        <v>170431.72064938172</v>
      </c>
    </row>
    <row r="723" spans="1:2">
      <c r="A723" s="71">
        <v>722</v>
      </c>
      <c r="B723" s="71">
        <v>148954.87487180106</v>
      </c>
    </row>
    <row r="724" spans="1:2">
      <c r="A724" s="71">
        <v>723</v>
      </c>
      <c r="B724" s="71">
        <v>170759.36439677351</v>
      </c>
    </row>
    <row r="725" spans="1:2">
      <c r="A725" s="71">
        <v>724</v>
      </c>
      <c r="B725" s="71">
        <v>171803.27042411192</v>
      </c>
    </row>
    <row r="726" spans="1:2">
      <c r="A726" s="71">
        <v>725</v>
      </c>
      <c r="B726" s="71">
        <v>145264.38848471755</v>
      </c>
    </row>
    <row r="727" spans="1:2">
      <c r="A727" s="71">
        <v>726</v>
      </c>
      <c r="B727" s="71">
        <v>173229.24501830162</v>
      </c>
    </row>
    <row r="728" spans="1:2">
      <c r="A728" s="71">
        <v>727</v>
      </c>
      <c r="B728" s="71">
        <v>158174.35134805244</v>
      </c>
    </row>
    <row r="729" spans="1:2">
      <c r="A729" s="71">
        <v>728</v>
      </c>
      <c r="B729" s="71">
        <v>171265.78623645293</v>
      </c>
    </row>
    <row r="730" spans="1:2">
      <c r="A730" s="71">
        <v>729</v>
      </c>
      <c r="B730" s="71">
        <v>161319.79949715122</v>
      </c>
    </row>
    <row r="731" spans="1:2">
      <c r="A731" s="71">
        <v>730</v>
      </c>
      <c r="B731" s="71">
        <v>168160.67235019139</v>
      </c>
    </row>
    <row r="732" spans="1:2">
      <c r="A732" s="71">
        <v>731</v>
      </c>
      <c r="B732" s="71">
        <v>164779.6077034054</v>
      </c>
    </row>
    <row r="733" spans="1:2">
      <c r="A733" s="71">
        <v>732</v>
      </c>
      <c r="B733" s="71">
        <v>154950.58582900252</v>
      </c>
    </row>
    <row r="734" spans="1:2">
      <c r="A734" s="71">
        <v>733</v>
      </c>
      <c r="B734" s="71">
        <v>167902.07637185193</v>
      </c>
    </row>
    <row r="735" spans="1:2">
      <c r="A735" s="71">
        <v>734</v>
      </c>
      <c r="B735" s="71">
        <v>150607.84185975915</v>
      </c>
    </row>
    <row r="736" spans="1:2">
      <c r="A736" s="71">
        <v>735</v>
      </c>
      <c r="B736" s="71">
        <v>169130.08042456585</v>
      </c>
    </row>
    <row r="737" spans="1:2">
      <c r="A737" s="71">
        <v>736</v>
      </c>
      <c r="B737" s="71">
        <v>165762.17275339569</v>
      </c>
    </row>
    <row r="738" spans="1:2">
      <c r="A738" s="71">
        <v>737</v>
      </c>
      <c r="B738" s="71">
        <v>173015.86908934417</v>
      </c>
    </row>
    <row r="739" spans="1:2">
      <c r="A739" s="71">
        <v>738</v>
      </c>
      <c r="B739" s="71">
        <v>160736.15246233335</v>
      </c>
    </row>
    <row r="740" spans="1:2">
      <c r="A740" s="71">
        <v>739</v>
      </c>
      <c r="B740" s="71">
        <v>165070.52660211225</v>
      </c>
    </row>
    <row r="741" spans="1:2">
      <c r="A741" s="71">
        <v>740</v>
      </c>
      <c r="B741" s="71">
        <v>172420.19883977852</v>
      </c>
    </row>
    <row r="742" spans="1:2">
      <c r="A742" s="71">
        <v>741</v>
      </c>
      <c r="B742" s="71">
        <v>166852.23322946785</v>
      </c>
    </row>
    <row r="743" spans="1:2">
      <c r="A743" s="71">
        <v>742</v>
      </c>
      <c r="B743" s="71">
        <v>168833.03456480088</v>
      </c>
    </row>
    <row r="744" spans="1:2">
      <c r="A744" s="71">
        <v>743</v>
      </c>
      <c r="B744" s="71">
        <v>162804.1356925593</v>
      </c>
    </row>
    <row r="745" spans="1:2">
      <c r="A745" s="71">
        <v>744</v>
      </c>
      <c r="B745" s="71">
        <v>162326.31142310487</v>
      </c>
    </row>
    <row r="746" spans="1:2">
      <c r="A746" s="71">
        <v>745</v>
      </c>
      <c r="B746" s="71">
        <v>168324.03543570169</v>
      </c>
    </row>
    <row r="747" spans="1:2">
      <c r="A747" s="71">
        <v>746</v>
      </c>
      <c r="B747" s="71">
        <v>169021.78590332685</v>
      </c>
    </row>
    <row r="748" spans="1:2">
      <c r="A748" s="71">
        <v>747</v>
      </c>
      <c r="B748" s="71">
        <v>169275.8372951294</v>
      </c>
    </row>
    <row r="749" spans="1:2">
      <c r="A749" s="71">
        <v>748</v>
      </c>
      <c r="B749" s="71">
        <v>148346.17988630393</v>
      </c>
    </row>
    <row r="750" spans="1:2">
      <c r="A750" s="71">
        <v>749</v>
      </c>
      <c r="B750" s="71">
        <v>156930.7279471902</v>
      </c>
    </row>
    <row r="751" spans="1:2">
      <c r="A751" s="71">
        <v>750</v>
      </c>
      <c r="B751" s="71">
        <v>147827.50865800146</v>
      </c>
    </row>
    <row r="752" spans="1:2">
      <c r="A752" s="71">
        <v>751</v>
      </c>
      <c r="B752" s="71">
        <v>156964.06162073632</v>
      </c>
    </row>
    <row r="753" spans="1:2">
      <c r="A753" s="71">
        <v>752</v>
      </c>
      <c r="B753" s="71">
        <v>161802.91898141138</v>
      </c>
    </row>
    <row r="754" spans="1:2">
      <c r="A754" s="71">
        <v>753</v>
      </c>
      <c r="B754" s="71">
        <v>164565.07229148748</v>
      </c>
    </row>
    <row r="755" spans="1:2">
      <c r="A755" s="71">
        <v>754</v>
      </c>
      <c r="B755" s="71">
        <v>157307.52632421014</v>
      </c>
    </row>
    <row r="756" spans="1:2">
      <c r="A756" s="71">
        <v>755</v>
      </c>
      <c r="B756" s="71">
        <v>171679.7146998347</v>
      </c>
    </row>
    <row r="757" spans="1:2">
      <c r="A757" s="71">
        <v>756</v>
      </c>
      <c r="B757" s="71">
        <v>161912.40542099849</v>
      </c>
    </row>
    <row r="758" spans="1:2">
      <c r="A758" s="71">
        <v>757</v>
      </c>
      <c r="B758" s="71">
        <v>164084.8780539592</v>
      </c>
    </row>
    <row r="759" spans="1:2">
      <c r="A759" s="71">
        <v>758</v>
      </c>
      <c r="B759" s="71">
        <v>167717.07045215616</v>
      </c>
    </row>
    <row r="760" spans="1:2">
      <c r="A760" s="71">
        <v>759</v>
      </c>
      <c r="B760" s="71">
        <v>166265.42223446342</v>
      </c>
    </row>
    <row r="761" spans="1:2">
      <c r="A761" s="71">
        <v>760</v>
      </c>
      <c r="B761" s="71">
        <v>177373.79592646327</v>
      </c>
    </row>
    <row r="762" spans="1:2">
      <c r="A762" s="71">
        <v>761</v>
      </c>
      <c r="B762" s="71">
        <v>182628.8314946373</v>
      </c>
    </row>
    <row r="763" spans="1:2">
      <c r="A763" s="71">
        <v>762</v>
      </c>
      <c r="B763" s="71">
        <v>171242.47064942241</v>
      </c>
    </row>
    <row r="764" spans="1:2">
      <c r="A764" s="71">
        <v>763</v>
      </c>
      <c r="B764" s="71">
        <v>177494.50414826855</v>
      </c>
    </row>
    <row r="765" spans="1:2">
      <c r="A765" s="71">
        <v>764</v>
      </c>
      <c r="B765" s="71">
        <v>152329.45573973039</v>
      </c>
    </row>
    <row r="766" spans="1:2">
      <c r="A766" s="71">
        <v>765</v>
      </c>
      <c r="B766" s="71">
        <v>157569.71686289753</v>
      </c>
    </row>
    <row r="767" spans="1:2">
      <c r="A767" s="71">
        <v>766</v>
      </c>
      <c r="B767" s="71">
        <v>178218.44407911808</v>
      </c>
    </row>
    <row r="768" spans="1:2">
      <c r="A768" s="71">
        <v>767</v>
      </c>
      <c r="B768" s="71">
        <v>171229.16413377138</v>
      </c>
    </row>
    <row r="769" spans="1:2">
      <c r="A769" s="71">
        <v>768</v>
      </c>
      <c r="B769" s="71">
        <v>156798.65405408855</v>
      </c>
    </row>
    <row r="770" spans="1:2">
      <c r="A770" s="71">
        <v>769</v>
      </c>
      <c r="B770" s="71">
        <v>174406.00592620327</v>
      </c>
    </row>
    <row r="771" spans="1:2">
      <c r="A771" s="71">
        <v>770</v>
      </c>
      <c r="B771" s="71">
        <v>163781.8640154266</v>
      </c>
    </row>
    <row r="772" spans="1:2">
      <c r="A772" s="71">
        <v>771</v>
      </c>
      <c r="B772" s="71">
        <v>181537.31087821111</v>
      </c>
    </row>
    <row r="773" spans="1:2">
      <c r="A773" s="71">
        <v>772</v>
      </c>
      <c r="B773" s="71">
        <v>170456.18871582628</v>
      </c>
    </row>
    <row r="774" spans="1:2">
      <c r="A774" s="71">
        <v>773</v>
      </c>
      <c r="B774" s="71">
        <v>154360.84339252344</v>
      </c>
    </row>
    <row r="775" spans="1:2">
      <c r="A775" s="71">
        <v>774</v>
      </c>
      <c r="B775" s="71">
        <v>155711.5977387185</v>
      </c>
    </row>
    <row r="776" spans="1:2">
      <c r="A776" s="71">
        <v>775</v>
      </c>
      <c r="B776" s="71">
        <v>166461.02323473844</v>
      </c>
    </row>
    <row r="777" spans="1:2">
      <c r="A777" s="71">
        <v>776</v>
      </c>
      <c r="B777" s="71">
        <v>170199.80349096266</v>
      </c>
    </row>
    <row r="778" spans="1:2">
      <c r="A778" s="71">
        <v>777</v>
      </c>
      <c r="B778" s="71">
        <v>161093.22407238343</v>
      </c>
    </row>
    <row r="779" spans="1:2">
      <c r="A779" s="71">
        <v>778</v>
      </c>
      <c r="B779" s="71">
        <v>154048.82313932641</v>
      </c>
    </row>
    <row r="780" spans="1:2">
      <c r="A780" s="71">
        <v>779</v>
      </c>
      <c r="B780" s="71">
        <v>161041.82332088132</v>
      </c>
    </row>
    <row r="781" spans="1:2">
      <c r="A781" s="71">
        <v>780</v>
      </c>
      <c r="B781" s="71">
        <v>172213.67344502278</v>
      </c>
    </row>
    <row r="782" spans="1:2">
      <c r="A782" s="71">
        <v>781</v>
      </c>
      <c r="B782" s="71">
        <v>166566.36034407359</v>
      </c>
    </row>
    <row r="783" spans="1:2">
      <c r="A783" s="71">
        <v>782</v>
      </c>
      <c r="B783" s="71">
        <v>163202.13062851632</v>
      </c>
    </row>
    <row r="784" spans="1:2">
      <c r="A784" s="71">
        <v>783</v>
      </c>
      <c r="B784" s="71">
        <v>174674.65890082289</v>
      </c>
    </row>
    <row r="785" spans="1:2">
      <c r="A785" s="71">
        <v>784</v>
      </c>
      <c r="B785" s="71">
        <v>166061.5900782657</v>
      </c>
    </row>
    <row r="786" spans="1:2">
      <c r="A786" s="71">
        <v>785</v>
      </c>
      <c r="B786" s="71">
        <v>167850.43982665197</v>
      </c>
    </row>
    <row r="787" spans="1:2">
      <c r="A787" s="71">
        <v>786</v>
      </c>
      <c r="B787" s="71">
        <v>162210.48624397261</v>
      </c>
    </row>
    <row r="788" spans="1:2">
      <c r="A788" s="71">
        <v>787</v>
      </c>
      <c r="B788" s="71">
        <v>161484.3892444802</v>
      </c>
    </row>
    <row r="789" spans="1:2">
      <c r="A789" s="71">
        <v>788</v>
      </c>
      <c r="B789" s="71">
        <v>153299.91310674517</v>
      </c>
    </row>
    <row r="790" spans="1:2">
      <c r="A790" s="71">
        <v>789</v>
      </c>
      <c r="B790" s="71">
        <v>159190.16851829019</v>
      </c>
    </row>
    <row r="791" spans="1:2">
      <c r="A791" s="71">
        <v>790</v>
      </c>
      <c r="B791" s="71">
        <v>175590.65321784659</v>
      </c>
    </row>
    <row r="792" spans="1:2">
      <c r="A792" s="71">
        <v>791</v>
      </c>
      <c r="B792" s="71">
        <v>173087.51040180284</v>
      </c>
    </row>
    <row r="793" spans="1:2">
      <c r="A793" s="71">
        <v>792</v>
      </c>
      <c r="B793" s="71">
        <v>173214.6847201857</v>
      </c>
    </row>
    <row r="794" spans="1:2">
      <c r="A794" s="71">
        <v>793</v>
      </c>
      <c r="B794" s="71">
        <v>156437.92630719233</v>
      </c>
    </row>
    <row r="795" spans="1:2">
      <c r="A795" s="71">
        <v>794</v>
      </c>
      <c r="B795" s="71">
        <v>157772.20599330118</v>
      </c>
    </row>
    <row r="796" spans="1:2">
      <c r="A796" s="71">
        <v>795</v>
      </c>
      <c r="B796" s="71">
        <v>166312.64865863524</v>
      </c>
    </row>
    <row r="797" spans="1:2">
      <c r="A797" s="71">
        <v>796</v>
      </c>
      <c r="B797" s="71">
        <v>162663.58719258133</v>
      </c>
    </row>
    <row r="798" spans="1:2">
      <c r="A798" s="71">
        <v>797</v>
      </c>
      <c r="B798" s="71">
        <v>152133.09415213164</v>
      </c>
    </row>
    <row r="799" spans="1:2">
      <c r="A799" s="71">
        <v>798</v>
      </c>
      <c r="B799" s="71">
        <v>170985.25288856745</v>
      </c>
    </row>
    <row r="800" spans="1:2">
      <c r="A800" s="71">
        <v>799</v>
      </c>
      <c r="B800" s="71">
        <v>172720.60765070544</v>
      </c>
    </row>
    <row r="801" spans="1:2">
      <c r="A801" s="71">
        <v>800</v>
      </c>
      <c r="B801" s="71">
        <v>163996.16815310274</v>
      </c>
    </row>
    <row r="802" spans="1:2">
      <c r="A802" s="71">
        <v>801</v>
      </c>
      <c r="B802" s="71">
        <v>176436.31212903996</v>
      </c>
    </row>
    <row r="803" spans="1:2">
      <c r="A803" s="71">
        <v>802</v>
      </c>
      <c r="B803" s="71">
        <v>168052.72456132513</v>
      </c>
    </row>
    <row r="804" spans="1:2">
      <c r="A804" s="71">
        <v>803</v>
      </c>
      <c r="B804" s="71">
        <v>171214.7323582884</v>
      </c>
    </row>
    <row r="805" spans="1:2">
      <c r="A805" s="71">
        <v>804</v>
      </c>
      <c r="B805" s="71">
        <v>165615.03251429138</v>
      </c>
    </row>
    <row r="806" spans="1:2">
      <c r="A806" s="71">
        <v>805</v>
      </c>
      <c r="B806" s="71">
        <v>179843.58614976116</v>
      </c>
    </row>
    <row r="807" spans="1:2">
      <c r="A807" s="71">
        <v>806</v>
      </c>
      <c r="B807" s="71">
        <v>177831.37608099155</v>
      </c>
    </row>
    <row r="808" spans="1:2">
      <c r="A808" s="71">
        <v>807</v>
      </c>
      <c r="B808" s="71">
        <v>178462.95579618114</v>
      </c>
    </row>
    <row r="809" spans="1:2">
      <c r="A809" s="71">
        <v>808</v>
      </c>
      <c r="B809" s="71">
        <v>173469.00040636552</v>
      </c>
    </row>
    <row r="810" spans="1:2">
      <c r="A810" s="71">
        <v>809</v>
      </c>
      <c r="B810" s="71">
        <v>165264.10478136328</v>
      </c>
    </row>
    <row r="811" spans="1:2">
      <c r="A811" s="71">
        <v>810</v>
      </c>
      <c r="B811" s="71">
        <v>172678.36838227767</v>
      </c>
    </row>
    <row r="812" spans="1:2">
      <c r="A812" s="71">
        <v>811</v>
      </c>
      <c r="B812" s="71">
        <v>174663.22438876683</v>
      </c>
    </row>
    <row r="813" spans="1:2">
      <c r="A813" s="71">
        <v>812</v>
      </c>
      <c r="B813" s="71">
        <v>177558.0422555141</v>
      </c>
    </row>
    <row r="814" spans="1:2">
      <c r="A814" s="71">
        <v>813</v>
      </c>
      <c r="B814" s="71">
        <v>166380.45919065984</v>
      </c>
    </row>
    <row r="815" spans="1:2">
      <c r="A815" s="71">
        <v>814</v>
      </c>
      <c r="B815" s="71">
        <v>182987.23737932876</v>
      </c>
    </row>
    <row r="816" spans="1:2">
      <c r="A816" s="71">
        <v>815</v>
      </c>
      <c r="B816" s="71">
        <v>171288.27974319228</v>
      </c>
    </row>
    <row r="817" spans="1:2">
      <c r="A817" s="71">
        <v>816</v>
      </c>
      <c r="B817" s="71">
        <v>181805.8079378971</v>
      </c>
    </row>
    <row r="818" spans="1:2">
      <c r="A818" s="71">
        <v>817</v>
      </c>
      <c r="B818" s="71">
        <v>177726.44623414686</v>
      </c>
    </row>
    <row r="819" spans="1:2">
      <c r="A819" s="71">
        <v>818</v>
      </c>
      <c r="B819" s="71">
        <v>167384.20405800091</v>
      </c>
    </row>
    <row r="820" spans="1:2">
      <c r="A820" s="71">
        <v>819</v>
      </c>
      <c r="B820" s="71">
        <v>151229.07271762149</v>
      </c>
    </row>
    <row r="821" spans="1:2">
      <c r="A821" s="71">
        <v>820</v>
      </c>
      <c r="B821" s="71">
        <v>164124.17898507891</v>
      </c>
    </row>
    <row r="822" spans="1:2">
      <c r="A822" s="71">
        <v>821</v>
      </c>
      <c r="B822" s="71">
        <v>163527.59310547548</v>
      </c>
    </row>
    <row r="823" spans="1:2">
      <c r="A823" s="71">
        <v>822</v>
      </c>
      <c r="B823" s="71">
        <v>164788.83947651708</v>
      </c>
    </row>
    <row r="824" spans="1:2">
      <c r="A824" s="71">
        <v>823</v>
      </c>
      <c r="B824" s="71">
        <v>166704.91969431043</v>
      </c>
    </row>
    <row r="825" spans="1:2">
      <c r="A825" s="71">
        <v>824</v>
      </c>
      <c r="B825" s="71">
        <v>174756.51345962216</v>
      </c>
    </row>
    <row r="826" spans="1:2">
      <c r="A826" s="71">
        <v>825</v>
      </c>
      <c r="B826" s="71">
        <v>176284.83468858743</v>
      </c>
    </row>
    <row r="827" spans="1:2">
      <c r="A827" s="71">
        <v>826</v>
      </c>
      <c r="B827" s="71">
        <v>167565.61691305449</v>
      </c>
    </row>
    <row r="828" spans="1:2">
      <c r="A828" s="71">
        <v>827</v>
      </c>
      <c r="B828" s="71">
        <v>164016.76995890099</v>
      </c>
    </row>
    <row r="829" spans="1:2">
      <c r="A829" s="71">
        <v>828</v>
      </c>
      <c r="B829" s="71">
        <v>172868.0617472163</v>
      </c>
    </row>
    <row r="830" spans="1:2">
      <c r="A830" s="71">
        <v>829</v>
      </c>
      <c r="B830" s="71">
        <v>160751.17643932931</v>
      </c>
    </row>
    <row r="831" spans="1:2">
      <c r="A831" s="71">
        <v>830</v>
      </c>
      <c r="B831" s="71">
        <v>169994.62343620378</v>
      </c>
    </row>
    <row r="832" spans="1:2">
      <c r="A832" s="71">
        <v>831</v>
      </c>
      <c r="B832" s="71">
        <v>156466.56779612161</v>
      </c>
    </row>
    <row r="833" spans="1:2">
      <c r="A833" s="71">
        <v>832</v>
      </c>
      <c r="B833" s="71">
        <v>171460.82731660435</v>
      </c>
    </row>
    <row r="834" spans="1:2">
      <c r="A834" s="71">
        <v>833</v>
      </c>
      <c r="B834" s="71">
        <v>165758.9554210112</v>
      </c>
    </row>
    <row r="835" spans="1:2">
      <c r="A835" s="71">
        <v>834</v>
      </c>
      <c r="B835" s="71">
        <v>156836.54110563634</v>
      </c>
    </row>
    <row r="836" spans="1:2">
      <c r="A836" s="71">
        <v>835</v>
      </c>
      <c r="B836" s="71">
        <v>176960.73251979006</v>
      </c>
    </row>
    <row r="837" spans="1:2">
      <c r="A837" s="71">
        <v>836</v>
      </c>
      <c r="B837" s="71">
        <v>169063.17475177083</v>
      </c>
    </row>
    <row r="838" spans="1:2">
      <c r="A838" s="71">
        <v>837</v>
      </c>
      <c r="B838" s="71">
        <v>167444.21729742576</v>
      </c>
    </row>
    <row r="839" spans="1:2">
      <c r="A839" s="71">
        <v>838</v>
      </c>
      <c r="B839" s="71">
        <v>159000.48875551519</v>
      </c>
    </row>
    <row r="840" spans="1:2">
      <c r="A840" s="71">
        <v>839</v>
      </c>
      <c r="B840" s="71">
        <v>168763.99064242688</v>
      </c>
    </row>
    <row r="841" spans="1:2">
      <c r="A841" s="71">
        <v>840</v>
      </c>
      <c r="B841" s="71">
        <v>168461.1495373428</v>
      </c>
    </row>
    <row r="842" spans="1:2">
      <c r="A842" s="71">
        <v>841</v>
      </c>
      <c r="B842" s="71">
        <v>161529.2115265324</v>
      </c>
    </row>
    <row r="843" spans="1:2">
      <c r="A843" s="71">
        <v>842</v>
      </c>
      <c r="B843" s="71">
        <v>172532.87695937132</v>
      </c>
    </row>
    <row r="844" spans="1:2">
      <c r="A844" s="71">
        <v>843</v>
      </c>
      <c r="B844" s="71">
        <v>162051.53535456586</v>
      </c>
    </row>
    <row r="845" spans="1:2">
      <c r="A845" s="71">
        <v>844</v>
      </c>
      <c r="B845" s="71">
        <v>158872.50743876846</v>
      </c>
    </row>
    <row r="846" spans="1:2">
      <c r="A846" s="71">
        <v>845</v>
      </c>
      <c r="B846" s="71">
        <v>159027.45413063443</v>
      </c>
    </row>
    <row r="847" spans="1:2">
      <c r="A847" s="71">
        <v>846</v>
      </c>
      <c r="B847" s="71">
        <v>165824.70617733398</v>
      </c>
    </row>
    <row r="848" spans="1:2">
      <c r="A848" s="71">
        <v>847</v>
      </c>
      <c r="B848" s="71">
        <v>155429.40600730787</v>
      </c>
    </row>
    <row r="849" spans="1:2">
      <c r="A849" s="71">
        <v>848</v>
      </c>
      <c r="B849" s="71">
        <v>176674.08933915739</v>
      </c>
    </row>
    <row r="850" spans="1:2">
      <c r="A850" s="71">
        <v>849</v>
      </c>
      <c r="B850" s="71">
        <v>166653.69254136141</v>
      </c>
    </row>
    <row r="851" spans="1:2">
      <c r="A851" s="71">
        <v>850</v>
      </c>
      <c r="B851" s="71">
        <v>160176.31141444406</v>
      </c>
    </row>
    <row r="852" spans="1:2">
      <c r="A852" s="71">
        <v>851</v>
      </c>
      <c r="B852" s="71">
        <v>177832.96534056656</v>
      </c>
    </row>
    <row r="853" spans="1:2">
      <c r="A853" s="71">
        <v>852</v>
      </c>
      <c r="B853" s="71">
        <v>169845.87801566772</v>
      </c>
    </row>
    <row r="854" spans="1:2">
      <c r="A854" s="71">
        <v>853</v>
      </c>
      <c r="B854" s="71">
        <v>154875.87658075141</v>
      </c>
    </row>
    <row r="855" spans="1:2">
      <c r="A855" s="71">
        <v>854</v>
      </c>
      <c r="B855" s="71">
        <v>168750.91558008612</v>
      </c>
    </row>
    <row r="856" spans="1:2">
      <c r="A856" s="71">
        <v>855</v>
      </c>
      <c r="B856" s="71">
        <v>159563.89113726007</v>
      </c>
    </row>
    <row r="857" spans="1:2">
      <c r="A857" s="71">
        <v>856</v>
      </c>
      <c r="B857" s="71">
        <v>157050.98974838768</v>
      </c>
    </row>
    <row r="858" spans="1:2">
      <c r="A858" s="71">
        <v>857</v>
      </c>
      <c r="B858" s="71">
        <v>162012.06048642562</v>
      </c>
    </row>
    <row r="859" spans="1:2">
      <c r="A859" s="71">
        <v>858</v>
      </c>
      <c r="B859" s="71">
        <v>186322.76423303553</v>
      </c>
    </row>
    <row r="860" spans="1:2">
      <c r="A860" s="71">
        <v>859</v>
      </c>
      <c r="B860" s="71">
        <v>169475.75894278457</v>
      </c>
    </row>
    <row r="861" spans="1:2">
      <c r="A861" s="71">
        <v>860</v>
      </c>
      <c r="B861" s="71">
        <v>160109.48658940312</v>
      </c>
    </row>
    <row r="862" spans="1:2">
      <c r="A862" s="71">
        <v>861</v>
      </c>
      <c r="B862" s="71">
        <v>179097.06936272554</v>
      </c>
    </row>
    <row r="863" spans="1:2">
      <c r="A863" s="71">
        <v>862</v>
      </c>
      <c r="B863" s="71">
        <v>158405.53175564631</v>
      </c>
    </row>
    <row r="864" spans="1:2">
      <c r="A864" s="71">
        <v>863</v>
      </c>
      <c r="B864" s="71">
        <v>172134.60666714594</v>
      </c>
    </row>
    <row r="865" spans="1:2">
      <c r="A865" s="71">
        <v>864</v>
      </c>
      <c r="B865" s="71">
        <v>156006.59983052284</v>
      </c>
    </row>
    <row r="866" spans="1:2">
      <c r="A866" s="71">
        <v>865</v>
      </c>
      <c r="B866" s="71">
        <v>163124.313164547</v>
      </c>
    </row>
    <row r="867" spans="1:2">
      <c r="A867" s="71">
        <v>866</v>
      </c>
      <c r="B867" s="71">
        <v>175272.64621105499</v>
      </c>
    </row>
    <row r="868" spans="1:2">
      <c r="A868" s="71">
        <v>867</v>
      </c>
      <c r="B868" s="71">
        <v>170533.56359272116</v>
      </c>
    </row>
    <row r="869" spans="1:2">
      <c r="A869" s="71">
        <v>868</v>
      </c>
      <c r="B869" s="71">
        <v>156925.44909823069</v>
      </c>
    </row>
    <row r="870" spans="1:2">
      <c r="A870" s="71">
        <v>869</v>
      </c>
      <c r="B870" s="71">
        <v>157748.90069753438</v>
      </c>
    </row>
    <row r="871" spans="1:2">
      <c r="A871" s="71">
        <v>870</v>
      </c>
      <c r="B871" s="71">
        <v>158718.19850952647</v>
      </c>
    </row>
    <row r="872" spans="1:2">
      <c r="A872" s="71">
        <v>871</v>
      </c>
      <c r="B872" s="71">
        <v>161301.71179686137</v>
      </c>
    </row>
    <row r="873" spans="1:2">
      <c r="A873" s="71">
        <v>872</v>
      </c>
      <c r="B873" s="71">
        <v>161199.6840355887</v>
      </c>
    </row>
    <row r="874" spans="1:2">
      <c r="A874" s="71">
        <v>873</v>
      </c>
      <c r="B874" s="71">
        <v>170133.19617333019</v>
      </c>
    </row>
    <row r="875" spans="1:2">
      <c r="A875" s="71">
        <v>874</v>
      </c>
      <c r="B875" s="71">
        <v>170338.30808141385</v>
      </c>
    </row>
    <row r="876" spans="1:2">
      <c r="A876" s="71">
        <v>875</v>
      </c>
      <c r="B876" s="71">
        <v>176321.10421603863</v>
      </c>
    </row>
    <row r="877" spans="1:2">
      <c r="A877" s="71">
        <v>876</v>
      </c>
      <c r="B877" s="71">
        <v>163980.72419882263</v>
      </c>
    </row>
    <row r="878" spans="1:2">
      <c r="A878" s="71">
        <v>877</v>
      </c>
      <c r="B878" s="71">
        <v>157976.26070441224</v>
      </c>
    </row>
    <row r="879" spans="1:2">
      <c r="A879" s="71">
        <v>878</v>
      </c>
      <c r="B879" s="71">
        <v>175179.77673502677</v>
      </c>
    </row>
    <row r="880" spans="1:2">
      <c r="A880" s="71">
        <v>879</v>
      </c>
      <c r="B880" s="71">
        <v>170836.75172072341</v>
      </c>
    </row>
    <row r="881" spans="1:2">
      <c r="A881" s="71">
        <v>880</v>
      </c>
      <c r="B881" s="71">
        <v>174392.59633901002</v>
      </c>
    </row>
    <row r="882" spans="1:2">
      <c r="A882" s="71">
        <v>881</v>
      </c>
      <c r="B882" s="71">
        <v>174040.89327164736</v>
      </c>
    </row>
    <row r="883" spans="1:2">
      <c r="A883" s="71">
        <v>882</v>
      </c>
      <c r="B883" s="71">
        <v>170933.91267388809</v>
      </c>
    </row>
    <row r="884" spans="1:2">
      <c r="A884" s="71">
        <v>883</v>
      </c>
      <c r="B884" s="71">
        <v>161535.75611184852</v>
      </c>
    </row>
    <row r="885" spans="1:2">
      <c r="A885" s="71">
        <v>884</v>
      </c>
      <c r="B885" s="71">
        <v>170155.57982571449</v>
      </c>
    </row>
    <row r="886" spans="1:2">
      <c r="A886" s="71">
        <v>885</v>
      </c>
      <c r="B886" s="71">
        <v>170081.62107447648</v>
      </c>
    </row>
    <row r="887" spans="1:2">
      <c r="A887" s="71">
        <v>886</v>
      </c>
      <c r="B887" s="71">
        <v>175996.27136044035</v>
      </c>
    </row>
    <row r="888" spans="1:2">
      <c r="A888" s="71">
        <v>887</v>
      </c>
      <c r="B888" s="71">
        <v>161195.66163434694</v>
      </c>
    </row>
    <row r="889" spans="1:2">
      <c r="A889" s="71">
        <v>888</v>
      </c>
      <c r="B889" s="71">
        <v>164204.97749523009</v>
      </c>
    </row>
    <row r="890" spans="1:2">
      <c r="A890" s="71">
        <v>889</v>
      </c>
      <c r="B890" s="71">
        <v>152390.17254193404</v>
      </c>
    </row>
    <row r="891" spans="1:2">
      <c r="A891" s="71">
        <v>890</v>
      </c>
      <c r="B891" s="71">
        <v>159551.68044007855</v>
      </c>
    </row>
    <row r="892" spans="1:2">
      <c r="A892" s="71">
        <v>891</v>
      </c>
      <c r="B892" s="71">
        <v>169899.26804395291</v>
      </c>
    </row>
    <row r="893" spans="1:2">
      <c r="A893" s="71">
        <v>892</v>
      </c>
      <c r="B893" s="71">
        <v>161665.42195465849</v>
      </c>
    </row>
    <row r="894" spans="1:2">
      <c r="A894" s="71">
        <v>893</v>
      </c>
      <c r="B894" s="71">
        <v>159152.0180858298</v>
      </c>
    </row>
    <row r="895" spans="1:2">
      <c r="A895" s="71">
        <v>894</v>
      </c>
      <c r="B895" s="71">
        <v>167050.43244703757</v>
      </c>
    </row>
    <row r="896" spans="1:2">
      <c r="A896" s="71">
        <v>895</v>
      </c>
      <c r="B896" s="71">
        <v>159225.55176107935</v>
      </c>
    </row>
    <row r="897" spans="1:2">
      <c r="A897" s="71">
        <v>896</v>
      </c>
      <c r="B897" s="71">
        <v>157399.43460771989</v>
      </c>
    </row>
    <row r="898" spans="1:2">
      <c r="A898" s="71">
        <v>897</v>
      </c>
      <c r="B898" s="71">
        <v>158633.76465763</v>
      </c>
    </row>
    <row r="899" spans="1:2">
      <c r="A899" s="71">
        <v>898</v>
      </c>
      <c r="B899" s="71">
        <v>163814.70870154459</v>
      </c>
    </row>
    <row r="900" spans="1:2">
      <c r="A900" s="71">
        <v>899</v>
      </c>
      <c r="B900" s="71">
        <v>164549.03095257108</v>
      </c>
    </row>
    <row r="901" spans="1:2">
      <c r="A901" s="71">
        <v>900</v>
      </c>
      <c r="B901" s="71">
        <v>181048.63971403358</v>
      </c>
    </row>
    <row r="902" spans="1:2">
      <c r="A902" s="71">
        <v>901</v>
      </c>
      <c r="B902" s="71">
        <v>165439.63898742577</v>
      </c>
    </row>
    <row r="903" spans="1:2">
      <c r="A903" s="71">
        <v>902</v>
      </c>
      <c r="B903" s="71">
        <v>146746.40367411892</v>
      </c>
    </row>
    <row r="904" spans="1:2">
      <c r="A904" s="71">
        <v>903</v>
      </c>
      <c r="B904" s="71">
        <v>166675.89193766718</v>
      </c>
    </row>
    <row r="905" spans="1:2">
      <c r="A905" s="71">
        <v>904</v>
      </c>
      <c r="B905" s="71">
        <v>158780.22997482429</v>
      </c>
    </row>
    <row r="906" spans="1:2">
      <c r="A906" s="71">
        <v>905</v>
      </c>
      <c r="B906" s="71">
        <v>165281.7972725353</v>
      </c>
    </row>
    <row r="907" spans="1:2">
      <c r="A907" s="71">
        <v>906</v>
      </c>
      <c r="B907" s="71">
        <v>172696.79021363886</v>
      </c>
    </row>
    <row r="908" spans="1:2">
      <c r="A908" s="71">
        <v>907</v>
      </c>
      <c r="B908" s="71">
        <v>170548.86121823869</v>
      </c>
    </row>
    <row r="909" spans="1:2">
      <c r="A909" s="71">
        <v>908</v>
      </c>
      <c r="B909" s="71">
        <v>158240.42070813832</v>
      </c>
    </row>
    <row r="910" spans="1:2">
      <c r="A910" s="71">
        <v>909</v>
      </c>
      <c r="B910" s="71">
        <v>179150.5663727629</v>
      </c>
    </row>
    <row r="911" spans="1:2">
      <c r="A911" s="71">
        <v>910</v>
      </c>
      <c r="B911" s="71">
        <v>166214.38236446952</v>
      </c>
    </row>
    <row r="912" spans="1:2">
      <c r="A912" s="71">
        <v>911</v>
      </c>
      <c r="B912" s="71">
        <v>171977.14479092215</v>
      </c>
    </row>
    <row r="913" spans="1:2">
      <c r="A913" s="71">
        <v>912</v>
      </c>
      <c r="B913" s="71">
        <v>165886.26022312828</v>
      </c>
    </row>
    <row r="914" spans="1:2">
      <c r="A914" s="71">
        <v>913</v>
      </c>
      <c r="B914" s="71">
        <v>159189.21188911982</v>
      </c>
    </row>
    <row r="915" spans="1:2">
      <c r="A915" s="71">
        <v>914</v>
      </c>
      <c r="B915" s="71">
        <v>171445.97871151241</v>
      </c>
    </row>
    <row r="916" spans="1:2">
      <c r="A916" s="71">
        <v>915</v>
      </c>
      <c r="B916" s="71">
        <v>159015.63667713344</v>
      </c>
    </row>
    <row r="917" spans="1:2">
      <c r="A917" s="71">
        <v>916</v>
      </c>
      <c r="B917" s="71">
        <v>153757.69980004802</v>
      </c>
    </row>
    <row r="918" spans="1:2">
      <c r="A918" s="71">
        <v>917</v>
      </c>
      <c r="B918" s="71">
        <v>171921.70424610958</v>
      </c>
    </row>
    <row r="919" spans="1:2">
      <c r="A919" s="71">
        <v>918</v>
      </c>
      <c r="B919" s="71">
        <v>181269.67378568067</v>
      </c>
    </row>
    <row r="920" spans="1:2">
      <c r="A920" s="71">
        <v>919</v>
      </c>
      <c r="B920" s="71">
        <v>176490.0353338556</v>
      </c>
    </row>
    <row r="921" spans="1:2">
      <c r="A921" s="71">
        <v>920</v>
      </c>
      <c r="B921" s="71">
        <v>165347.48487556615</v>
      </c>
    </row>
    <row r="922" spans="1:2">
      <c r="A922" s="71">
        <v>921</v>
      </c>
      <c r="B922" s="71">
        <v>163714.71952195067</v>
      </c>
    </row>
    <row r="923" spans="1:2">
      <c r="A923" s="71">
        <v>922</v>
      </c>
      <c r="B923" s="71">
        <v>154126.62228071489</v>
      </c>
    </row>
    <row r="924" spans="1:2">
      <c r="A924" s="71">
        <v>923</v>
      </c>
      <c r="B924" s="71">
        <v>163004.20722282803</v>
      </c>
    </row>
    <row r="925" spans="1:2">
      <c r="A925" s="71">
        <v>924</v>
      </c>
      <c r="B925" s="71">
        <v>159839.09879490428</v>
      </c>
    </row>
    <row r="926" spans="1:2">
      <c r="A926" s="71">
        <v>925</v>
      </c>
      <c r="B926" s="71">
        <v>154124.00712943345</v>
      </c>
    </row>
    <row r="927" spans="1:2">
      <c r="A927" s="71">
        <v>926</v>
      </c>
      <c r="B927" s="71">
        <v>160231.10588069377</v>
      </c>
    </row>
    <row r="928" spans="1:2">
      <c r="A928" s="71">
        <v>927</v>
      </c>
      <c r="B928" s="71">
        <v>163402.68079990722</v>
      </c>
    </row>
    <row r="929" spans="1:2">
      <c r="A929" s="71">
        <v>928</v>
      </c>
      <c r="B929" s="71">
        <v>179453.98599905078</v>
      </c>
    </row>
    <row r="930" spans="1:2">
      <c r="A930" s="71">
        <v>929</v>
      </c>
      <c r="B930" s="71">
        <v>156471.73680655879</v>
      </c>
    </row>
    <row r="931" spans="1:2">
      <c r="A931" s="71">
        <v>930</v>
      </c>
      <c r="B931" s="71">
        <v>153599.67360778092</v>
      </c>
    </row>
    <row r="932" spans="1:2">
      <c r="A932" s="71">
        <v>931</v>
      </c>
      <c r="B932" s="71">
        <v>164293.65598975695</v>
      </c>
    </row>
    <row r="933" spans="1:2">
      <c r="A933" s="71">
        <v>932</v>
      </c>
      <c r="B933" s="71">
        <v>164874.62222965999</v>
      </c>
    </row>
    <row r="934" spans="1:2">
      <c r="A934" s="71">
        <v>933</v>
      </c>
      <c r="B934" s="71">
        <v>162033.90796147351</v>
      </c>
    </row>
    <row r="935" spans="1:2">
      <c r="A935" s="71">
        <v>934</v>
      </c>
      <c r="B935" s="71">
        <v>160952.1486377581</v>
      </c>
    </row>
    <row r="936" spans="1:2">
      <c r="A936" s="71">
        <v>935</v>
      </c>
      <c r="B936" s="71">
        <v>173485.02002588232</v>
      </c>
    </row>
    <row r="937" spans="1:2">
      <c r="A937" s="71">
        <v>936</v>
      </c>
      <c r="B937" s="71">
        <v>178931.74611611851</v>
      </c>
    </row>
    <row r="938" spans="1:2">
      <c r="A938" s="71">
        <v>937</v>
      </c>
      <c r="B938" s="71">
        <v>174989.15208417931</v>
      </c>
    </row>
    <row r="939" spans="1:2">
      <c r="A939" s="71">
        <v>938</v>
      </c>
      <c r="B939" s="71">
        <v>160174.90242027887</v>
      </c>
    </row>
    <row r="940" spans="1:2">
      <c r="A940" s="71">
        <v>939</v>
      </c>
      <c r="B940" s="71">
        <v>167429.36180511263</v>
      </c>
    </row>
    <row r="941" spans="1:2">
      <c r="A941" s="71">
        <v>940</v>
      </c>
      <c r="B941" s="71">
        <v>163237.50328405108</v>
      </c>
    </row>
    <row r="942" spans="1:2">
      <c r="A942" s="71">
        <v>941</v>
      </c>
      <c r="B942" s="71">
        <v>163884.01550645585</v>
      </c>
    </row>
    <row r="943" spans="1:2">
      <c r="A943" s="71">
        <v>942</v>
      </c>
      <c r="B943" s="71">
        <v>172344.84412104121</v>
      </c>
    </row>
    <row r="944" spans="1:2">
      <c r="A944" s="71">
        <v>943</v>
      </c>
      <c r="B944" s="71">
        <v>156561.22840925111</v>
      </c>
    </row>
    <row r="945" spans="1:2">
      <c r="A945" s="71">
        <v>944</v>
      </c>
      <c r="B945" s="71">
        <v>161820.3091839012</v>
      </c>
    </row>
    <row r="946" spans="1:2">
      <c r="A946" s="71">
        <v>945</v>
      </c>
      <c r="B946" s="71">
        <v>156361.8866682043</v>
      </c>
    </row>
    <row r="947" spans="1:2">
      <c r="A947" s="71">
        <v>946</v>
      </c>
      <c r="B947" s="71">
        <v>170839.45764372294</v>
      </c>
    </row>
    <row r="948" spans="1:2">
      <c r="A948" s="71">
        <v>947</v>
      </c>
      <c r="B948" s="71">
        <v>178764.96038796537</v>
      </c>
    </row>
    <row r="949" spans="1:2">
      <c r="A949" s="71">
        <v>948</v>
      </c>
      <c r="B949" s="71">
        <v>172053.74855179142</v>
      </c>
    </row>
    <row r="950" spans="1:2">
      <c r="A950" s="71">
        <v>949</v>
      </c>
      <c r="B950" s="71">
        <v>163136.04557696884</v>
      </c>
    </row>
    <row r="951" spans="1:2">
      <c r="A951" s="71">
        <v>950</v>
      </c>
      <c r="B951" s="71">
        <v>168589.64765232027</v>
      </c>
    </row>
    <row r="952" spans="1:2">
      <c r="A952" s="71">
        <v>951</v>
      </c>
      <c r="B952" s="71">
        <v>168805.51079378815</v>
      </c>
    </row>
    <row r="953" spans="1:2">
      <c r="A953" s="71">
        <v>952</v>
      </c>
      <c r="B953" s="71">
        <v>163022.25682758642</v>
      </c>
    </row>
    <row r="954" spans="1:2">
      <c r="A954" s="71">
        <v>953</v>
      </c>
      <c r="B954" s="71">
        <v>162755.46777304102</v>
      </c>
    </row>
    <row r="955" spans="1:2">
      <c r="A955" s="71">
        <v>954</v>
      </c>
      <c r="B955" s="71">
        <v>170121.21593653993</v>
      </c>
    </row>
    <row r="956" spans="1:2">
      <c r="A956" s="71">
        <v>955</v>
      </c>
      <c r="B956" s="71">
        <v>170290.60540114017</v>
      </c>
    </row>
    <row r="957" spans="1:2">
      <c r="A957" s="71">
        <v>956</v>
      </c>
      <c r="B957" s="71">
        <v>166988.17542817918</v>
      </c>
    </row>
    <row r="958" spans="1:2">
      <c r="A958" s="71">
        <v>957</v>
      </c>
      <c r="B958" s="71">
        <v>167869.54607298388</v>
      </c>
    </row>
    <row r="959" spans="1:2">
      <c r="A959" s="71">
        <v>958</v>
      </c>
      <c r="B959" s="71">
        <v>179069.17636495642</v>
      </c>
    </row>
    <row r="960" spans="1:2">
      <c r="A960" s="71">
        <v>959</v>
      </c>
      <c r="B960" s="71">
        <v>166423.87417824913</v>
      </c>
    </row>
    <row r="961" spans="1:2">
      <c r="A961" s="71">
        <v>960</v>
      </c>
      <c r="B961" s="71">
        <v>167821.86548543611</v>
      </c>
    </row>
    <row r="962" spans="1:2">
      <c r="A962" s="71">
        <v>961</v>
      </c>
      <c r="B962" s="71">
        <v>164864.24491768272</v>
      </c>
    </row>
    <row r="963" spans="1:2">
      <c r="A963" s="71">
        <v>962</v>
      </c>
      <c r="B963" s="71">
        <v>168185.06251928073</v>
      </c>
    </row>
    <row r="964" spans="1:2">
      <c r="A964" s="71">
        <v>963</v>
      </c>
      <c r="B964" s="71">
        <v>170368.82155458393</v>
      </c>
    </row>
    <row r="965" spans="1:2">
      <c r="A965" s="71">
        <v>964</v>
      </c>
      <c r="B965" s="71">
        <v>167116.7353708146</v>
      </c>
    </row>
    <row r="966" spans="1:2">
      <c r="A966" s="71">
        <v>965</v>
      </c>
      <c r="B966" s="71">
        <v>165690.8803340501</v>
      </c>
    </row>
    <row r="967" spans="1:2">
      <c r="A967" s="71">
        <v>966</v>
      </c>
      <c r="B967" s="71">
        <v>162212.73275222312</v>
      </c>
    </row>
    <row r="968" spans="1:2">
      <c r="A968" s="71">
        <v>967</v>
      </c>
      <c r="B968" s="71">
        <v>164830.8088590173</v>
      </c>
    </row>
    <row r="969" spans="1:2">
      <c r="A969" s="71">
        <v>968</v>
      </c>
      <c r="B969" s="71">
        <v>175515.55199992526</v>
      </c>
    </row>
    <row r="970" spans="1:2">
      <c r="A970" s="71">
        <v>969</v>
      </c>
      <c r="B970" s="71">
        <v>169378.74518172356</v>
      </c>
    </row>
    <row r="971" spans="1:2">
      <c r="A971" s="71">
        <v>970</v>
      </c>
      <c r="B971" s="71">
        <v>167670.84917016284</v>
      </c>
    </row>
    <row r="972" spans="1:2">
      <c r="A972" s="71">
        <v>971</v>
      </c>
      <c r="B972" s="71">
        <v>154454.30824990515</v>
      </c>
    </row>
    <row r="973" spans="1:2">
      <c r="A973" s="71">
        <v>972</v>
      </c>
      <c r="B973" s="71">
        <v>162863.46885993253</v>
      </c>
    </row>
    <row r="974" spans="1:2">
      <c r="A974" s="71">
        <v>973</v>
      </c>
      <c r="B974" s="71">
        <v>155620.76719048945</v>
      </c>
    </row>
    <row r="975" spans="1:2">
      <c r="A975" s="71">
        <v>974</v>
      </c>
      <c r="B975" s="71">
        <v>159747.72771288129</v>
      </c>
    </row>
    <row r="976" spans="1:2">
      <c r="A976" s="71">
        <v>975</v>
      </c>
      <c r="B976" s="71">
        <v>161676.69470775503</v>
      </c>
    </row>
    <row r="977" spans="1:2">
      <c r="A977" s="71">
        <v>976</v>
      </c>
      <c r="B977" s="71">
        <v>163329.45834223315</v>
      </c>
    </row>
    <row r="978" spans="1:2">
      <c r="A978" s="71">
        <v>977</v>
      </c>
      <c r="B978" s="71">
        <v>170950.49505289056</v>
      </c>
    </row>
    <row r="979" spans="1:2">
      <c r="A979" s="71">
        <v>978</v>
      </c>
      <c r="B979" s="71">
        <v>168713.88892002768</v>
      </c>
    </row>
    <row r="980" spans="1:2">
      <c r="A980" s="71">
        <v>979</v>
      </c>
      <c r="B980" s="71">
        <v>161928.3201925428</v>
      </c>
    </row>
    <row r="981" spans="1:2">
      <c r="A981" s="71">
        <v>980</v>
      </c>
      <c r="B981" s="71">
        <v>159605.28982828936</v>
      </c>
    </row>
    <row r="982" spans="1:2">
      <c r="A982" s="71">
        <v>981</v>
      </c>
      <c r="B982" s="71">
        <v>169509.53975746248</v>
      </c>
    </row>
    <row r="983" spans="1:2">
      <c r="A983" s="71">
        <v>982</v>
      </c>
      <c r="B983" s="71">
        <v>162023.75749548222</v>
      </c>
    </row>
    <row r="984" spans="1:2">
      <c r="A984" s="71">
        <v>983</v>
      </c>
      <c r="B984" s="71">
        <v>168539.29448116419</v>
      </c>
    </row>
    <row r="985" spans="1:2">
      <c r="A985" s="71">
        <v>984</v>
      </c>
      <c r="B985" s="71">
        <v>156306.94768359055</v>
      </c>
    </row>
    <row r="986" spans="1:2">
      <c r="A986" s="71">
        <v>985</v>
      </c>
      <c r="B986" s="71">
        <v>172892.28680902679</v>
      </c>
    </row>
    <row r="987" spans="1:2">
      <c r="A987" s="71">
        <v>986</v>
      </c>
      <c r="B987" s="71">
        <v>177224.30819856649</v>
      </c>
    </row>
    <row r="988" spans="1:2">
      <c r="A988" s="71">
        <v>987</v>
      </c>
      <c r="B988" s="71">
        <v>154135.32082408437</v>
      </c>
    </row>
    <row r="989" spans="1:2">
      <c r="A989" s="71">
        <v>988</v>
      </c>
      <c r="B989" s="71">
        <v>182748.47879812197</v>
      </c>
    </row>
    <row r="990" spans="1:2">
      <c r="A990" s="71">
        <v>989</v>
      </c>
      <c r="B990" s="71">
        <v>173356.3913659667</v>
      </c>
    </row>
    <row r="991" spans="1:2">
      <c r="A991" s="71">
        <v>990</v>
      </c>
      <c r="B991" s="71">
        <v>156080.04181120131</v>
      </c>
    </row>
    <row r="992" spans="1:2">
      <c r="A992" s="71">
        <v>991</v>
      </c>
      <c r="B992" s="71">
        <v>175238.85825193199</v>
      </c>
    </row>
    <row r="993" spans="1:2">
      <c r="A993" s="71">
        <v>992</v>
      </c>
      <c r="B993" s="71">
        <v>171136.369563279</v>
      </c>
    </row>
    <row r="994" spans="1:2">
      <c r="A994" s="71">
        <v>993</v>
      </c>
      <c r="B994" s="71">
        <v>170684.66541886248</v>
      </c>
    </row>
    <row r="995" spans="1:2">
      <c r="A995" s="71">
        <v>994</v>
      </c>
      <c r="B995" s="71">
        <v>171302.51840297331</v>
      </c>
    </row>
    <row r="996" spans="1:2">
      <c r="A996" s="71">
        <v>995</v>
      </c>
      <c r="B996" s="71">
        <v>156426.93370360896</v>
      </c>
    </row>
    <row r="997" spans="1:2">
      <c r="A997" s="71">
        <v>996</v>
      </c>
      <c r="B997" s="71">
        <v>165354.8228508668</v>
      </c>
    </row>
    <row r="998" spans="1:2">
      <c r="A998" s="71">
        <v>997</v>
      </c>
      <c r="B998" s="71">
        <v>162607.63694873563</v>
      </c>
    </row>
    <row r="999" spans="1:2">
      <c r="A999" s="71">
        <v>998</v>
      </c>
      <c r="B999" s="71">
        <v>156757.15295640277</v>
      </c>
    </row>
    <row r="1000" spans="1:2">
      <c r="A1000" s="71">
        <v>999</v>
      </c>
      <c r="B1000" s="71">
        <v>170104.82459486922</v>
      </c>
    </row>
    <row r="1001" spans="1:2">
      <c r="A1001" s="71">
        <v>1000</v>
      </c>
      <c r="B1001" s="71">
        <v>153290.97160874607</v>
      </c>
    </row>
  </sheetData>
  <phoneticPr fontId="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12088-5B5D-4172-8A1E-B2B68C0D4B8A}">
  <sheetPr codeName="Sheet10">
    <tabColor rgb="FF7030A0"/>
  </sheetPr>
  <dimension ref="A1:O65"/>
  <sheetViews>
    <sheetView zoomScale="40" zoomScaleNormal="40" workbookViewId="0">
      <selection activeCell="H65" sqref="H65"/>
    </sheetView>
  </sheetViews>
  <sheetFormatPr defaultColWidth="10.73046875" defaultRowHeight="13.9"/>
  <cols>
    <col min="1" max="1" width="29.73046875" style="118" customWidth="1"/>
    <col min="2" max="2" width="21.3984375" style="118" customWidth="1"/>
    <col min="3" max="3" width="22" style="118" customWidth="1"/>
    <col min="4" max="4" width="25.73046875" style="118" customWidth="1"/>
    <col min="5" max="6" width="31.73046875" style="118" customWidth="1"/>
    <col min="7" max="7" width="27" style="118" customWidth="1"/>
    <col min="8" max="8" width="25" style="118" customWidth="1"/>
    <col min="9" max="9" width="25.46484375" style="118" customWidth="1"/>
    <col min="10" max="11" width="31" style="118" customWidth="1"/>
    <col min="12" max="12" width="22.73046875" style="118" customWidth="1"/>
    <col min="13" max="13" width="10.73046875" style="118"/>
    <col min="14" max="14" width="24.59765625" style="118" customWidth="1"/>
    <col min="15" max="15" width="19" style="118" customWidth="1"/>
    <col min="16" max="16384" width="10.73046875" style="118"/>
  </cols>
  <sheetData>
    <row r="1" spans="1:14" s="138" customFormat="1" ht="27">
      <c r="A1" s="138" t="s">
        <v>267</v>
      </c>
      <c r="B1" s="138" t="s">
        <v>91</v>
      </c>
      <c r="C1" s="138" t="s">
        <v>347</v>
      </c>
      <c r="D1" s="138" t="s">
        <v>348</v>
      </c>
      <c r="E1" s="138" t="s">
        <v>349</v>
      </c>
      <c r="F1" s="138" t="s">
        <v>350</v>
      </c>
      <c r="G1" s="138" t="s">
        <v>351</v>
      </c>
      <c r="H1" s="138" t="s">
        <v>352</v>
      </c>
      <c r="I1" s="139" t="s">
        <v>353</v>
      </c>
      <c r="J1" s="138" t="s">
        <v>354</v>
      </c>
      <c r="K1" s="138" t="s">
        <v>355</v>
      </c>
      <c r="L1" s="138" t="s">
        <v>356</v>
      </c>
    </row>
    <row r="2" spans="1:14">
      <c r="A2" s="118">
        <v>2019</v>
      </c>
      <c r="F2" s="118">
        <v>11957</v>
      </c>
      <c r="I2" s="139"/>
    </row>
    <row r="3" spans="1:14">
      <c r="A3" s="118">
        <v>2020</v>
      </c>
      <c r="F3" s="118">
        <f ca="1">F2*(1+_xlfn.NORM.INV(RAND(),0.0459,0.002))</f>
        <v>12538.301430353285</v>
      </c>
      <c r="I3" s="139"/>
    </row>
    <row r="4" spans="1:14">
      <c r="A4" s="118">
        <v>2021</v>
      </c>
      <c r="F4" s="118">
        <f t="shared" ref="F4:F61" ca="1" si="0">F3*(1+_xlfn.NORM.INV(RAND(),0.0459,0.002))</f>
        <v>13146.297697106846</v>
      </c>
      <c r="I4" s="139"/>
    </row>
    <row r="5" spans="1:14" ht="14.25">
      <c r="A5" s="118">
        <v>2022</v>
      </c>
      <c r="F5" s="118">
        <f t="shared" ca="1" si="0"/>
        <v>13762.964852980322</v>
      </c>
      <c r="I5" s="139"/>
      <c r="N5"/>
    </row>
    <row r="6" spans="1:14">
      <c r="A6" s="118">
        <v>2023</v>
      </c>
      <c r="F6" s="118">
        <f t="shared" ca="1" si="0"/>
        <v>14376.184630440324</v>
      </c>
    </row>
    <row r="7" spans="1:14">
      <c r="A7" s="118">
        <v>2024</v>
      </c>
      <c r="F7" s="118">
        <f t="shared" ca="1" si="0"/>
        <v>15044.652681808238</v>
      </c>
    </row>
    <row r="8" spans="1:14">
      <c r="A8" s="118">
        <v>2025</v>
      </c>
      <c r="B8" s="118">
        <v>30</v>
      </c>
      <c r="C8" s="118">
        <f ca="1">'living expenditure actually'!G14</f>
        <v>10844.377735752574</v>
      </c>
      <c r="D8" s="118">
        <f>'health expenditure'!C14</f>
        <v>6961</v>
      </c>
      <c r="F8" s="118">
        <f t="shared" ca="1" si="0"/>
        <v>15775.068107087893</v>
      </c>
      <c r="G8" s="118">
        <f t="shared" ref="G8:G39" ca="1" si="1">IF(B8&lt;=44, MAX(0, ROUND(_xlfn.NORM.INV(RAND(), 3000, 800), 2)),
 IF(B8&lt;=64, MAX(0, ROUND(_xlfn.NORM.INV(RAND(), 5000, 1200), 2)),
 IF(B8&lt;=74, MAX(0, ROUND(_xlfn.NORM.INV(RAND(), 4000, 1000), 2)),
 MAX(0, ROUND(_xlfn.NORM.INV(RAND(), 3500, 800), 2)))))</f>
        <v>3742.57</v>
      </c>
      <c r="L8" s="151">
        <v>25876.82</v>
      </c>
    </row>
    <row r="9" spans="1:14">
      <c r="A9" s="118">
        <v>2026</v>
      </c>
      <c r="B9" s="118">
        <v>31</v>
      </c>
      <c r="C9" s="118">
        <f ca="1">'living expenditure actually'!G15</f>
        <v>10822.610870673432</v>
      </c>
      <c r="D9" s="118">
        <f>'health expenditure'!C15</f>
        <v>7001</v>
      </c>
      <c r="F9" s="118">
        <f t="shared" ca="1" si="0"/>
        <v>16487.135078344771</v>
      </c>
      <c r="G9" s="118">
        <f t="shared" ca="1" si="1"/>
        <v>4454.67</v>
      </c>
      <c r="L9" s="118">
        <f ca="1">L8*(1+_xlfn.NORM.INV(RAND(),0.036,0.0122))</f>
        <v>26551.83196369249</v>
      </c>
    </row>
    <row r="10" spans="1:14">
      <c r="A10" s="118">
        <v>2027</v>
      </c>
      <c r="B10" s="118">
        <v>32</v>
      </c>
      <c r="C10" s="118">
        <f ca="1">'living expenditure actually'!G16</f>
        <v>11308.682982384045</v>
      </c>
      <c r="D10" s="118">
        <f>'health expenditure'!C16</f>
        <v>7041</v>
      </c>
      <c r="F10" s="118">
        <f t="shared" ca="1" si="0"/>
        <v>17265.283989094416</v>
      </c>
      <c r="G10" s="118">
        <f t="shared" ca="1" si="1"/>
        <v>2835.35</v>
      </c>
      <c r="L10" s="118">
        <f t="shared" ref="L10:L61" ca="1" si="2">L9*(1+_xlfn.NORM.INV(RAND(),0.036,0.0122))</f>
        <v>27621.264976504204</v>
      </c>
    </row>
    <row r="11" spans="1:14">
      <c r="A11" s="118">
        <v>2028</v>
      </c>
      <c r="B11" s="118">
        <v>33</v>
      </c>
      <c r="C11" s="118">
        <f ca="1">'living expenditure actually'!G17</f>
        <v>12374.407966340894</v>
      </c>
      <c r="D11" s="118">
        <f>'health expenditure'!C17</f>
        <v>7081</v>
      </c>
      <c r="F11" s="118">
        <f t="shared" ca="1" si="0"/>
        <v>18025.32322965419</v>
      </c>
      <c r="G11" s="118">
        <f t="shared" ca="1" si="1"/>
        <v>2216.23</v>
      </c>
      <c r="L11" s="118">
        <f t="shared" ca="1" si="2"/>
        <v>28257.781018280242</v>
      </c>
    </row>
    <row r="12" spans="1:14">
      <c r="A12" s="118">
        <v>2029</v>
      </c>
      <c r="B12" s="118">
        <v>34</v>
      </c>
      <c r="C12" s="118">
        <f ca="1">'living expenditure actually'!G18</f>
        <v>11959.873835685819</v>
      </c>
      <c r="D12" s="118">
        <f>'health expenditure'!C18</f>
        <v>7121</v>
      </c>
      <c r="F12" s="118">
        <f t="shared" ca="1" si="0"/>
        <v>18845.934412177525</v>
      </c>
      <c r="G12" s="118">
        <f t="shared" ca="1" si="1"/>
        <v>1336.41</v>
      </c>
      <c r="L12" s="118">
        <f t="shared" ca="1" si="2"/>
        <v>29239.217250119069</v>
      </c>
    </row>
    <row r="13" spans="1:14">
      <c r="A13" s="118">
        <v>2030</v>
      </c>
      <c r="B13" s="118">
        <v>35</v>
      </c>
      <c r="C13" s="118">
        <f ca="1">'living expenditure actually'!G19</f>
        <v>12467.978644279396</v>
      </c>
      <c r="D13" s="118">
        <f>'health expenditure'!C19</f>
        <v>7161</v>
      </c>
      <c r="F13" s="118">
        <f t="shared" ca="1" si="0"/>
        <v>19619.404865195575</v>
      </c>
      <c r="G13" s="118">
        <f t="shared" ca="1" si="1"/>
        <v>3238.86</v>
      </c>
      <c r="L13" s="118">
        <f t="shared" ca="1" si="2"/>
        <v>30368.636888229728</v>
      </c>
    </row>
    <row r="14" spans="1:14">
      <c r="A14" s="118">
        <v>2031</v>
      </c>
      <c r="B14" s="118">
        <v>36</v>
      </c>
      <c r="C14" s="118">
        <f ca="1">'living expenditure actually'!G20</f>
        <v>12720.81461080495</v>
      </c>
      <c r="D14" s="118">
        <f>'health expenditure'!C20</f>
        <v>7201</v>
      </c>
      <c r="F14" s="118">
        <f t="shared" ca="1" si="0"/>
        <v>20472.301048944821</v>
      </c>
      <c r="G14" s="118">
        <f t="shared" ca="1" si="1"/>
        <v>3337.78</v>
      </c>
      <c r="L14" s="118">
        <f t="shared" ca="1" si="2"/>
        <v>32059.401362013963</v>
      </c>
    </row>
    <row r="15" spans="1:14">
      <c r="A15" s="118">
        <v>2032</v>
      </c>
      <c r="B15" s="118">
        <v>37</v>
      </c>
      <c r="C15" s="118">
        <f ca="1">'living expenditure actually'!G21</f>
        <v>12982.873127281568</v>
      </c>
      <c r="D15" s="118">
        <f>'health expenditure'!C21</f>
        <v>7241</v>
      </c>
      <c r="F15" s="118">
        <f t="shared" ca="1" si="0"/>
        <v>21332.98658318766</v>
      </c>
      <c r="G15" s="118">
        <f t="shared" ca="1" si="1"/>
        <v>3430.24</v>
      </c>
      <c r="L15" s="118">
        <f t="shared" ca="1" si="2"/>
        <v>33626.68457594244</v>
      </c>
    </row>
    <row r="16" spans="1:14">
      <c r="A16" s="118">
        <v>2033</v>
      </c>
      <c r="B16" s="118">
        <v>38</v>
      </c>
      <c r="C16" s="118">
        <f ca="1">'living expenditure actually'!G22</f>
        <v>13883.121610024245</v>
      </c>
      <c r="D16" s="118">
        <f>'health expenditure'!C22</f>
        <v>7281</v>
      </c>
      <c r="F16" s="118">
        <f t="shared" ca="1" si="0"/>
        <v>22305.683415398951</v>
      </c>
      <c r="G16" s="118">
        <f t="shared" ca="1" si="1"/>
        <v>2694.84</v>
      </c>
      <c r="L16" s="118">
        <f t="shared" ca="1" si="2"/>
        <v>34182.378827261324</v>
      </c>
    </row>
    <row r="17" spans="1:15">
      <c r="A17" s="118">
        <v>2034</v>
      </c>
      <c r="B17" s="118">
        <v>39</v>
      </c>
      <c r="C17" s="118">
        <f ca="1">'living expenditure actually'!G23</f>
        <v>13463.043854984366</v>
      </c>
      <c r="D17" s="118">
        <f>'health expenditure'!C23</f>
        <v>7321</v>
      </c>
      <c r="F17" s="118">
        <f t="shared" ca="1" si="0"/>
        <v>23333.590057488622</v>
      </c>
      <c r="G17" s="118">
        <f t="shared" ca="1" si="1"/>
        <v>2015.25</v>
      </c>
      <c r="L17" s="118">
        <f t="shared" ca="1" si="2"/>
        <v>36074.964225668235</v>
      </c>
    </row>
    <row r="18" spans="1:15">
      <c r="A18" s="118">
        <v>2035</v>
      </c>
      <c r="B18" s="118">
        <v>40</v>
      </c>
      <c r="C18" s="118">
        <f ca="1">'living expenditure actually'!G24</f>
        <v>13681.513319718099</v>
      </c>
      <c r="D18" s="118">
        <f>'health expenditure'!C24</f>
        <v>7361</v>
      </c>
      <c r="F18" s="118">
        <f t="shared" ca="1" si="0"/>
        <v>24405.008596258001</v>
      </c>
      <c r="G18" s="118">
        <f t="shared" ca="1" si="1"/>
        <v>3285.37</v>
      </c>
      <c r="L18" s="118">
        <f t="shared" ca="1" si="2"/>
        <v>36378.607767569694</v>
      </c>
      <c r="N18" s="116"/>
      <c r="O18" s="117"/>
    </row>
    <row r="19" spans="1:15">
      <c r="A19" s="118">
        <v>2036</v>
      </c>
      <c r="B19" s="118">
        <v>41</v>
      </c>
      <c r="C19" s="118">
        <f ca="1">'living expenditure actually'!G25</f>
        <v>14756.996748612857</v>
      </c>
      <c r="D19" s="118">
        <f>'health expenditure'!C25</f>
        <v>7401</v>
      </c>
      <c r="F19" s="118">
        <f t="shared" ca="1" si="0"/>
        <v>25511.57334388655</v>
      </c>
      <c r="G19" s="118">
        <f t="shared" ca="1" si="1"/>
        <v>3497.79</v>
      </c>
      <c r="L19" s="118">
        <f t="shared" ca="1" si="2"/>
        <v>38075.348535959871</v>
      </c>
    </row>
    <row r="20" spans="1:15">
      <c r="A20" s="118">
        <v>2037</v>
      </c>
      <c r="B20" s="118">
        <v>42</v>
      </c>
      <c r="C20" s="118">
        <f ca="1">'living expenditure actually'!G26</f>
        <v>14688.384809864629</v>
      </c>
      <c r="D20" s="118">
        <f>'health expenditure'!C26</f>
        <v>7441</v>
      </c>
      <c r="F20" s="118">
        <f t="shared" ca="1" si="0"/>
        <v>26648.650090325842</v>
      </c>
      <c r="G20" s="118">
        <f t="shared" ca="1" si="1"/>
        <v>3065.23</v>
      </c>
      <c r="L20" s="118">
        <f t="shared" ca="1" si="2"/>
        <v>40188.41729596314</v>
      </c>
    </row>
    <row r="21" spans="1:15">
      <c r="A21" s="118">
        <v>2038</v>
      </c>
      <c r="B21" s="118">
        <v>43</v>
      </c>
      <c r="C21" s="118">
        <f ca="1">'living expenditure actually'!G27</f>
        <v>15161.502230173153</v>
      </c>
      <c r="D21" s="118">
        <f>'health expenditure'!C27</f>
        <v>7481</v>
      </c>
      <c r="F21" s="118">
        <f t="shared" ca="1" si="0"/>
        <v>27949.532191022634</v>
      </c>
      <c r="G21" s="118">
        <f t="shared" ca="1" si="1"/>
        <v>3266.6</v>
      </c>
      <c r="L21" s="118">
        <f t="shared" ca="1" si="2"/>
        <v>41815.544825409765</v>
      </c>
    </row>
    <row r="22" spans="1:15">
      <c r="A22" s="118">
        <v>2039</v>
      </c>
      <c r="B22" s="118">
        <v>44</v>
      </c>
      <c r="C22" s="118">
        <f ca="1">'living expenditure actually'!G28</f>
        <v>15450.782424780962</v>
      </c>
      <c r="D22" s="118">
        <f>'health expenditure'!C28</f>
        <v>7521</v>
      </c>
      <c r="F22" s="118">
        <f t="shared" ca="1" si="0"/>
        <v>29273.306057658236</v>
      </c>
      <c r="G22" s="118">
        <f t="shared" ca="1" si="1"/>
        <v>2698.65</v>
      </c>
      <c r="L22" s="118">
        <f t="shared" ca="1" si="2"/>
        <v>42300.319415240054</v>
      </c>
    </row>
    <row r="23" spans="1:15">
      <c r="A23" s="118">
        <v>2040</v>
      </c>
      <c r="B23" s="118">
        <v>45</v>
      </c>
      <c r="C23" s="118">
        <f ca="1">'living expenditure actually'!G29</f>
        <v>15809.042192926061</v>
      </c>
      <c r="D23" s="118">
        <f>'health expenditure'!C29</f>
        <v>7561</v>
      </c>
      <c r="F23" s="118">
        <f t="shared" ca="1" si="0"/>
        <v>30534.017040057486</v>
      </c>
      <c r="G23" s="118">
        <f t="shared" ca="1" si="1"/>
        <v>4805.4399999999996</v>
      </c>
      <c r="L23" s="118">
        <f t="shared" ca="1" si="2"/>
        <v>43759.010390531068</v>
      </c>
    </row>
    <row r="24" spans="1:15">
      <c r="A24" s="118">
        <v>2041</v>
      </c>
      <c r="B24" s="118">
        <v>46</v>
      </c>
      <c r="C24" s="118">
        <f ca="1">'living expenditure actually'!G30</f>
        <v>16132.383298121753</v>
      </c>
      <c r="D24" s="118">
        <f>'health expenditure'!C30</f>
        <v>7601</v>
      </c>
      <c r="F24" s="118">
        <f t="shared" ca="1" si="0"/>
        <v>31896.491307906981</v>
      </c>
      <c r="G24" s="118">
        <f t="shared" ca="1" si="1"/>
        <v>4624.45</v>
      </c>
      <c r="L24" s="118">
        <f t="shared" ca="1" si="2"/>
        <v>45371.498656435455</v>
      </c>
    </row>
    <row r="25" spans="1:15">
      <c r="A25" s="118">
        <v>2042</v>
      </c>
      <c r="B25" s="118">
        <v>47</v>
      </c>
      <c r="C25" s="118">
        <f ca="1">'living expenditure actually'!G31</f>
        <v>17083.837719777046</v>
      </c>
      <c r="D25" s="118">
        <f>'health expenditure'!C31</f>
        <v>7641</v>
      </c>
      <c r="F25" s="118">
        <f t="shared" ca="1" si="0"/>
        <v>33422.107390525271</v>
      </c>
      <c r="G25" s="118">
        <f t="shared" ca="1" si="1"/>
        <v>6222.91</v>
      </c>
      <c r="L25" s="118">
        <f t="shared" ca="1" si="2"/>
        <v>46653.78970663785</v>
      </c>
    </row>
    <row r="26" spans="1:15">
      <c r="A26" s="118">
        <v>2043</v>
      </c>
      <c r="B26" s="118">
        <v>48</v>
      </c>
      <c r="C26" s="118">
        <f ca="1">'living expenditure actually'!G32</f>
        <v>17330.439649980897</v>
      </c>
      <c r="D26" s="118">
        <f>'health expenditure'!C32</f>
        <v>7681</v>
      </c>
      <c r="F26" s="118">
        <f t="shared" ca="1" si="0"/>
        <v>34979.831625214785</v>
      </c>
      <c r="G26" s="118">
        <f t="shared" ca="1" si="1"/>
        <v>5924.5</v>
      </c>
      <c r="L26" s="118">
        <f t="shared" ca="1" si="2"/>
        <v>47186.450206052279</v>
      </c>
    </row>
    <row r="27" spans="1:15">
      <c r="A27" s="118">
        <v>2044</v>
      </c>
      <c r="B27" s="118">
        <v>49</v>
      </c>
      <c r="C27" s="118">
        <f ca="1">'living expenditure actually'!G33</f>
        <v>17529.927174121134</v>
      </c>
      <c r="D27" s="118">
        <f>'health expenditure'!C33</f>
        <v>7721</v>
      </c>
      <c r="F27" s="118">
        <f t="shared" ca="1" si="0"/>
        <v>36620.461694056685</v>
      </c>
      <c r="G27" s="118">
        <f t="shared" ca="1" si="1"/>
        <v>2538.5700000000002</v>
      </c>
      <c r="L27" s="118">
        <f t="shared" ca="1" si="2"/>
        <v>49319.800985208298</v>
      </c>
    </row>
    <row r="28" spans="1:15">
      <c r="A28" s="118">
        <v>2045</v>
      </c>
      <c r="B28" s="118">
        <v>50</v>
      </c>
      <c r="C28" s="118">
        <f ca="1">'living expenditure actually'!G34</f>
        <v>17937.4695385796</v>
      </c>
      <c r="D28" s="118">
        <f>'health expenditure'!C34</f>
        <v>7914.0249999999996</v>
      </c>
      <c r="F28" s="118">
        <f t="shared" ca="1" si="0"/>
        <v>38201.523059853971</v>
      </c>
      <c r="G28" s="118">
        <f t="shared" ca="1" si="1"/>
        <v>2344.0700000000002</v>
      </c>
      <c r="L28" s="118">
        <f t="shared" ca="1" si="2"/>
        <v>51459.577705355026</v>
      </c>
    </row>
    <row r="29" spans="1:15">
      <c r="A29" s="118">
        <v>2046</v>
      </c>
      <c r="B29" s="118">
        <v>51</v>
      </c>
      <c r="C29" s="118">
        <f ca="1">'living expenditure actually'!G35</f>
        <v>18844.915509650826</v>
      </c>
      <c r="D29" s="118">
        <f>'health expenditure'!C35</f>
        <v>8111.8756249999988</v>
      </c>
      <c r="F29" s="118">
        <f t="shared" ca="1" si="0"/>
        <v>40077.442786770727</v>
      </c>
      <c r="G29" s="118">
        <f t="shared" ca="1" si="1"/>
        <v>4806.68</v>
      </c>
      <c r="L29" s="118">
        <f t="shared" ca="1" si="2"/>
        <v>52697.47204791577</v>
      </c>
    </row>
    <row r="30" spans="1:15">
      <c r="A30" s="118">
        <v>2047</v>
      </c>
      <c r="B30" s="118">
        <v>52</v>
      </c>
      <c r="C30" s="118">
        <f ca="1">'living expenditure actually'!G36</f>
        <v>18840.041236985206</v>
      </c>
      <c r="D30" s="118">
        <f>'health expenditure'!C36</f>
        <v>8314.6725156249977</v>
      </c>
      <c r="F30" s="118">
        <f t="shared" ca="1" si="0"/>
        <v>41876.194839791126</v>
      </c>
      <c r="G30" s="118">
        <f t="shared" ca="1" si="1"/>
        <v>5309.99</v>
      </c>
      <c r="L30" s="118">
        <f t="shared" ca="1" si="2"/>
        <v>55389.25641586358</v>
      </c>
    </row>
    <row r="31" spans="1:15">
      <c r="A31" s="118">
        <v>2048</v>
      </c>
      <c r="B31" s="118">
        <v>53</v>
      </c>
      <c r="C31" s="118">
        <f ca="1">'living expenditure actually'!G37</f>
        <v>18554.793698357375</v>
      </c>
      <c r="D31" s="118">
        <f>'health expenditure'!C37</f>
        <v>8522.5393285156224</v>
      </c>
      <c r="F31" s="118">
        <f t="shared" ca="1" si="0"/>
        <v>43762.761911120731</v>
      </c>
      <c r="G31" s="118">
        <f t="shared" ca="1" si="1"/>
        <v>5802.42</v>
      </c>
      <c r="L31" s="118">
        <f t="shared" ca="1" si="2"/>
        <v>58387.207251591812</v>
      </c>
    </row>
    <row r="32" spans="1:15">
      <c r="A32" s="118">
        <v>2049</v>
      </c>
      <c r="B32" s="118">
        <v>54</v>
      </c>
      <c r="C32" s="118">
        <f ca="1">'living expenditure actually'!G38</f>
        <v>20002.830316851614</v>
      </c>
      <c r="D32" s="118">
        <f>'health expenditure'!C38</f>
        <v>8735.6028117285114</v>
      </c>
      <c r="F32" s="118">
        <f t="shared" ca="1" si="0"/>
        <v>45822.601731484727</v>
      </c>
      <c r="G32" s="118">
        <f t="shared" ca="1" si="1"/>
        <v>5696.22</v>
      </c>
      <c r="L32" s="118">
        <f t="shared" ca="1" si="2"/>
        <v>60849.508776554976</v>
      </c>
    </row>
    <row r="33" spans="1:15">
      <c r="A33" s="118">
        <v>2050</v>
      </c>
      <c r="B33" s="118">
        <v>55</v>
      </c>
      <c r="C33" s="118">
        <f ca="1">'living expenditure actually'!G39</f>
        <v>20868.514946715619</v>
      </c>
      <c r="D33" s="118">
        <f>'health expenditure'!C39</f>
        <v>8953.9928820217228</v>
      </c>
      <c r="F33" s="118">
        <f t="shared" ca="1" si="0"/>
        <v>48006.072016462444</v>
      </c>
      <c r="G33" s="118">
        <f t="shared" ca="1" si="1"/>
        <v>3356.34</v>
      </c>
      <c r="L33" s="118">
        <f t="shared" ca="1" si="2"/>
        <v>63854.409010589879</v>
      </c>
    </row>
    <row r="34" spans="1:15">
      <c r="A34" s="118">
        <v>2051</v>
      </c>
      <c r="B34" s="118">
        <v>56</v>
      </c>
      <c r="C34" s="118">
        <f ca="1">'living expenditure actually'!G40</f>
        <v>20592.605514244915</v>
      </c>
      <c r="D34" s="118">
        <f>'health expenditure'!C40</f>
        <v>9177.8427040722654</v>
      </c>
      <c r="F34" s="118">
        <f t="shared" ca="1" si="0"/>
        <v>50135.35115062086</v>
      </c>
      <c r="G34" s="118">
        <f t="shared" ca="1" si="1"/>
        <v>6285.2</v>
      </c>
      <c r="L34" s="118">
        <f t="shared" ca="1" si="2"/>
        <v>66278.563677417507</v>
      </c>
    </row>
    <row r="35" spans="1:15">
      <c r="A35" s="118">
        <v>2052</v>
      </c>
      <c r="B35" s="118">
        <v>57</v>
      </c>
      <c r="C35" s="118">
        <f ca="1">'living expenditure actually'!G41</f>
        <v>21643.156843097979</v>
      </c>
      <c r="D35" s="118">
        <f>'health expenditure'!C41</f>
        <v>9407.2887716740715</v>
      </c>
      <c r="F35" s="118">
        <f t="shared" ca="1" si="0"/>
        <v>52519.068617090765</v>
      </c>
      <c r="G35" s="118">
        <f t="shared" ca="1" si="1"/>
        <v>3252.96</v>
      </c>
      <c r="L35" s="118">
        <f t="shared" ca="1" si="2"/>
        <v>68942.717581128614</v>
      </c>
    </row>
    <row r="36" spans="1:15">
      <c r="A36" s="118">
        <v>2053</v>
      </c>
      <c r="B36" s="118">
        <v>58</v>
      </c>
      <c r="C36" s="118">
        <f ca="1">'living expenditure actually'!G42</f>
        <v>22187.260234694506</v>
      </c>
      <c r="D36" s="118">
        <f>'health expenditure'!C42</f>
        <v>9642.4709909659232</v>
      </c>
      <c r="F36" s="118">
        <f t="shared" ca="1" si="0"/>
        <v>54922.607329944636</v>
      </c>
      <c r="G36" s="118">
        <f t="shared" ca="1" si="1"/>
        <v>4812.9399999999996</v>
      </c>
      <c r="L36" s="118">
        <f t="shared" ca="1" si="2"/>
        <v>72538.370817328687</v>
      </c>
    </row>
    <row r="37" spans="1:15">
      <c r="A37" s="118">
        <v>2054</v>
      </c>
      <c r="B37" s="118">
        <v>59</v>
      </c>
      <c r="C37" s="118">
        <f ca="1">'living expenditure actually'!G43</f>
        <v>23293.908722999313</v>
      </c>
      <c r="D37" s="118">
        <f>'health expenditure'!C43</f>
        <v>9883.5327657400703</v>
      </c>
      <c r="F37" s="118">
        <f t="shared" ca="1" si="0"/>
        <v>57407.994363753205</v>
      </c>
      <c r="G37" s="118">
        <f t="shared" ca="1" si="1"/>
        <v>4297.54</v>
      </c>
      <c r="L37" s="118">
        <f t="shared" ca="1" si="2"/>
        <v>73873.666641790114</v>
      </c>
    </row>
    <row r="38" spans="1:15" ht="30" customHeight="1">
      <c r="A38" s="118">
        <v>2055</v>
      </c>
      <c r="B38" s="118">
        <v>60</v>
      </c>
      <c r="C38" s="118">
        <f ca="1">'living expenditure actually'!G44</f>
        <v>24168.4042709112</v>
      </c>
      <c r="D38" s="118">
        <f>'health expenditure'!C44</f>
        <v>10130.621084883571</v>
      </c>
      <c r="F38" s="118">
        <f t="shared" ca="1" si="0"/>
        <v>60030.339821269838</v>
      </c>
      <c r="G38" s="118">
        <f t="shared" ca="1" si="1"/>
        <v>5058.38</v>
      </c>
      <c r="L38" s="118">
        <f t="shared" ca="1" si="2"/>
        <v>77674.978040664806</v>
      </c>
    </row>
    <row r="39" spans="1:15">
      <c r="A39" s="118">
        <v>2056</v>
      </c>
      <c r="B39" s="118">
        <v>61</v>
      </c>
      <c r="C39" s="118">
        <f ca="1">'living expenditure actually'!G45</f>
        <v>23924.401373228764</v>
      </c>
      <c r="D39" s="118">
        <f>'health expenditure'!C45</f>
        <v>10383.886612005659</v>
      </c>
      <c r="F39" s="118">
        <f t="shared" ca="1" si="0"/>
        <v>62763.679325221608</v>
      </c>
      <c r="G39" s="118">
        <f t="shared" ca="1" si="1"/>
        <v>5672.05</v>
      </c>
      <c r="L39" s="118">
        <f t="shared" ca="1" si="2"/>
        <v>81010.969898859825</v>
      </c>
    </row>
    <row r="40" spans="1:15" ht="83.25">
      <c r="A40" s="118">
        <v>2057</v>
      </c>
      <c r="B40" s="118">
        <v>62</v>
      </c>
      <c r="C40" s="118">
        <f ca="1">'living expenditure actually'!G46</f>
        <v>24298.278323154747</v>
      </c>
      <c r="D40" s="118">
        <f>'health expenditure'!C46</f>
        <v>10643.483777305799</v>
      </c>
      <c r="F40" s="118">
        <f t="shared" ca="1" si="0"/>
        <v>65666.923308509475</v>
      </c>
      <c r="G40" s="118">
        <f t="shared" ref="G40:G61" ca="1" si="3">IF(B40&lt;=44, MAX(0, ROUND(_xlfn.NORM.INV(RAND(), 3000, 800), 2)),
 IF(B40&lt;=64, MAX(0, ROUND(_xlfn.NORM.INV(RAND(), 5000, 1200), 2)),
 IF(B40&lt;=74, MAX(0, ROUND(_xlfn.NORM.INV(RAND(), 4000, 1000), 2)),
 MAX(0, ROUND(_xlfn.NORM.INV(RAND(), 3500, 800), 2)))))</f>
        <v>6691.53</v>
      </c>
      <c r="L40" s="118">
        <f t="shared" ca="1" si="2"/>
        <v>82866.597006382086</v>
      </c>
      <c r="N40" s="116" t="s">
        <v>357</v>
      </c>
      <c r="O40" s="117" t="s">
        <v>358</v>
      </c>
    </row>
    <row r="41" spans="1:15">
      <c r="A41" s="118">
        <v>2058</v>
      </c>
      <c r="B41" s="118">
        <v>63</v>
      </c>
      <c r="C41" s="118">
        <f ca="1">'living expenditure actually'!G47</f>
        <v>25615.905052305945</v>
      </c>
      <c r="D41" s="118">
        <f>'health expenditure'!C47</f>
        <v>10909.570871738442</v>
      </c>
      <c r="F41" s="118">
        <f t="shared" ca="1" si="0"/>
        <v>68749.97857083389</v>
      </c>
      <c r="G41" s="118">
        <f t="shared" ca="1" si="3"/>
        <v>6142.97</v>
      </c>
      <c r="L41" s="118">
        <f t="shared" ca="1" si="2"/>
        <v>84200.656638401662</v>
      </c>
    </row>
    <row r="42" spans="1:15">
      <c r="A42" s="118">
        <v>2059</v>
      </c>
      <c r="B42" s="118">
        <v>64</v>
      </c>
      <c r="C42" s="118">
        <f ca="1">'living expenditure actually'!G48</f>
        <v>26584.794233372442</v>
      </c>
      <c r="D42" s="118">
        <f>'health expenditure'!C48</f>
        <v>11182.310143531902</v>
      </c>
      <c r="F42" s="118">
        <f t="shared" ca="1" si="0"/>
        <v>71799.508393756318</v>
      </c>
      <c r="G42" s="118">
        <f t="shared" ca="1" si="3"/>
        <v>5409.97</v>
      </c>
      <c r="L42" s="118">
        <f t="shared" ca="1" si="2"/>
        <v>85569.854660138895</v>
      </c>
    </row>
    <row r="43" spans="1:15" s="151" customFormat="1">
      <c r="A43" s="151">
        <v>2060</v>
      </c>
      <c r="B43" s="151">
        <v>65</v>
      </c>
      <c r="C43" s="151">
        <f ca="1">'living expenditure actually'!G49</f>
        <v>26318.803589772971</v>
      </c>
      <c r="D43" s="151">
        <f ca="1">'health expenditure'!C49</f>
        <v>18412.066628157365</v>
      </c>
      <c r="E43" s="151">
        <f ca="1">'Transport expenditure'!C43</f>
        <v>51861.284655652431</v>
      </c>
      <c r="F43" s="118">
        <f t="shared" ca="1" si="0"/>
        <v>75242.971816115765</v>
      </c>
      <c r="G43" s="118">
        <f t="shared" ca="1" si="3"/>
        <v>3858.88</v>
      </c>
      <c r="H43" s="151">
        <f ca="1">(C43+D43+E43+F43+G43)*I43</f>
        <v>78671.083727872625</v>
      </c>
      <c r="I43" s="152">
        <f ca="1">'Income from 30-64'!Q37</f>
        <v>0.44777329181647796</v>
      </c>
      <c r="K43" s="151">
        <f ca="1">L43*I43</f>
        <v>39484.263559739258</v>
      </c>
      <c r="L43" s="118">
        <f t="shared" ca="1" si="2"/>
        <v>88179.139491691865</v>
      </c>
    </row>
    <row r="44" spans="1:15" ht="14.65" customHeight="1">
      <c r="A44" s="118">
        <v>2061</v>
      </c>
      <c r="B44" s="118">
        <v>66</v>
      </c>
      <c r="C44" s="118">
        <f ca="1">'living expenditure actually'!G50</f>
        <v>27052.317822818011</v>
      </c>
      <c r="D44" s="118">
        <f ca="1">'health expenditure'!C50</f>
        <v>20351.78905108455</v>
      </c>
      <c r="E44" s="118">
        <f ca="1">'Transport expenditure'!C44</f>
        <v>52062.37852260068</v>
      </c>
      <c r="F44" s="118">
        <f t="shared" ca="1" si="0"/>
        <v>78496.937226940208</v>
      </c>
      <c r="G44" s="118">
        <f t="shared" ca="1" si="3"/>
        <v>4190.49</v>
      </c>
      <c r="H44" s="118">
        <f t="shared" ref="H44:H61" ca="1" si="4">(C44+D44+E44+F44+G44)*I44</f>
        <v>79522.356468478669</v>
      </c>
      <c r="I44" s="153">
        <f ca="1">'Income from 30-64'!Q38</f>
        <v>0.4365668314403478</v>
      </c>
      <c r="K44" s="151">
        <f t="shared" ref="K44:K61" ca="1" si="5">L44*I44</f>
        <v>39875.497656231855</v>
      </c>
      <c r="L44" s="118">
        <f t="shared" ca="1" si="2"/>
        <v>91338.816383902071</v>
      </c>
    </row>
    <row r="45" spans="1:15">
      <c r="A45" s="118">
        <v>2062</v>
      </c>
      <c r="B45" s="118">
        <v>67</v>
      </c>
      <c r="C45" s="118">
        <f ca="1">'living expenditure actually'!G51</f>
        <v>27330.279058823307</v>
      </c>
      <c r="D45" s="118">
        <f ca="1">'health expenditure'!C51</f>
        <v>20044.961472469804</v>
      </c>
      <c r="E45" s="118">
        <f ca="1">'Transport expenditure'!C45</f>
        <v>55667.520285893195</v>
      </c>
      <c r="F45" s="118">
        <f t="shared" ca="1" si="0"/>
        <v>81863.348772391255</v>
      </c>
      <c r="G45" s="118">
        <f t="shared" ca="1" si="3"/>
        <v>4851.58</v>
      </c>
      <c r="H45" s="118">
        <f t="shared" ca="1" si="4"/>
        <v>81255.093264274605</v>
      </c>
      <c r="I45" s="153">
        <f ca="1">'Income from 30-64'!Q39</f>
        <v>0.42820448246402737</v>
      </c>
      <c r="K45" s="151">
        <f t="shared" ca="1" si="5"/>
        <v>40576.077912719229</v>
      </c>
      <c r="L45" s="118">
        <f t="shared" ca="1" si="2"/>
        <v>94758.648202913071</v>
      </c>
    </row>
    <row r="46" spans="1:15">
      <c r="A46" s="118">
        <v>2063</v>
      </c>
      <c r="B46" s="118">
        <v>68</v>
      </c>
      <c r="C46" s="118">
        <f ca="1">'living expenditure actually'!G52</f>
        <v>29929.167986062836</v>
      </c>
      <c r="D46" s="118">
        <f ca="1">'health expenditure'!C52</f>
        <v>18862.349956328984</v>
      </c>
      <c r="E46" s="118">
        <f ca="1">'Transport expenditure'!C46</f>
        <v>54747.275110515919</v>
      </c>
      <c r="F46" s="118">
        <f t="shared" ca="1" si="0"/>
        <v>85664.072375401083</v>
      </c>
      <c r="G46" s="118">
        <f t="shared" ca="1" si="3"/>
        <v>4408.1400000000003</v>
      </c>
      <c r="H46" s="118">
        <f t="shared" ca="1" si="4"/>
        <v>80863.208328089182</v>
      </c>
      <c r="I46" s="153">
        <f ca="1">'Income from 30-64'!Q40</f>
        <v>0.41765811891324311</v>
      </c>
      <c r="K46" s="151">
        <f t="shared" ca="1" si="5"/>
        <v>41341.587457784066</v>
      </c>
      <c r="L46" s="118">
        <f t="shared" ca="1" si="2"/>
        <v>98984.278254558798</v>
      </c>
    </row>
    <row r="47" spans="1:15">
      <c r="A47" s="118">
        <v>2064</v>
      </c>
      <c r="B47" s="118">
        <v>69</v>
      </c>
      <c r="C47" s="118">
        <f ca="1">'living expenditure actually'!G53</f>
        <v>29287.094010209912</v>
      </c>
      <c r="D47" s="118">
        <f ca="1">'health expenditure'!C53</f>
        <v>18674.515230442241</v>
      </c>
      <c r="E47" s="118">
        <f ca="1">'Transport expenditure'!C47</f>
        <v>54109.924967539897</v>
      </c>
      <c r="F47" s="118">
        <f t="shared" ca="1" si="0"/>
        <v>89443.945790407481</v>
      </c>
      <c r="G47" s="118">
        <f t="shared" ca="1" si="3"/>
        <v>2140.37</v>
      </c>
      <c r="H47" s="118">
        <f t="shared" ca="1" si="4"/>
        <v>79631.981688481726</v>
      </c>
      <c r="I47" s="153">
        <f ca="1">'Income from 30-64'!Q41</f>
        <v>0.41120359487749847</v>
      </c>
      <c r="K47" s="151">
        <f t="shared" ca="1" si="5"/>
        <v>42064.710090316461</v>
      </c>
      <c r="L47" s="118">
        <f t="shared" ca="1" si="2"/>
        <v>102296.55239966456</v>
      </c>
    </row>
    <row r="48" spans="1:15">
      <c r="A48" s="118">
        <v>2065</v>
      </c>
      <c r="B48" s="118">
        <v>70</v>
      </c>
      <c r="C48" s="118">
        <f ca="1">'living expenditure actually'!G54</f>
        <v>30702.266093468126</v>
      </c>
      <c r="D48" s="118">
        <f ca="1">'health expenditure'!C54</f>
        <v>17873.741225008151</v>
      </c>
      <c r="E48" s="118">
        <f ca="1">'Transport expenditure'!C48</f>
        <v>58572.543754689716</v>
      </c>
      <c r="F48" s="118">
        <f t="shared" ca="1" si="0"/>
        <v>93603.429562994701</v>
      </c>
      <c r="G48" s="118">
        <f t="shared" ca="1" si="3"/>
        <v>3339.14</v>
      </c>
      <c r="H48" s="118">
        <f t="shared" ca="1" si="4"/>
        <v>82908.088320173818</v>
      </c>
      <c r="I48" s="153">
        <f ca="1">'Income from 30-64'!Q42</f>
        <v>0.40623074664760417</v>
      </c>
      <c r="K48" s="151">
        <f t="shared" ca="1" si="5"/>
        <v>43122.020998936438</v>
      </c>
      <c r="L48" s="118">
        <f t="shared" ca="1" si="2"/>
        <v>106151.54405420671</v>
      </c>
    </row>
    <row r="49" spans="1:12">
      <c r="A49" s="118">
        <v>2066</v>
      </c>
      <c r="B49" s="118">
        <v>71</v>
      </c>
      <c r="C49" s="118">
        <f ca="1">'living expenditure actually'!G55</f>
        <v>30434.080190595552</v>
      </c>
      <c r="D49" s="118">
        <f ca="1">'health expenditure'!C55</f>
        <v>17106.740883205901</v>
      </c>
      <c r="E49" s="118">
        <f ca="1">'Transport expenditure'!C49</f>
        <v>60773.604664409722</v>
      </c>
      <c r="F49" s="118">
        <f t="shared" ca="1" si="0"/>
        <v>98132.852732609055</v>
      </c>
      <c r="G49" s="118">
        <f t="shared" ca="1" si="3"/>
        <v>4601.2700000000004</v>
      </c>
      <c r="H49" s="118">
        <f t="shared" ca="1" si="4"/>
        <v>83951.855386102005</v>
      </c>
      <c r="I49" s="153">
        <f ca="1">'Income from 30-64'!Q43</f>
        <v>0.39778456660510636</v>
      </c>
      <c r="K49" s="151">
        <f t="shared" ca="1" si="5"/>
        <v>43928.59617802006</v>
      </c>
      <c r="L49" s="118">
        <f t="shared" ca="1" si="2"/>
        <v>110433.13357511279</v>
      </c>
    </row>
    <row r="50" spans="1:12">
      <c r="A50" s="118">
        <v>2067</v>
      </c>
      <c r="B50" s="118">
        <v>72</v>
      </c>
      <c r="C50" s="118">
        <f ca="1">'living expenditure actually'!G56</f>
        <v>30905.881497003233</v>
      </c>
      <c r="D50" s="118">
        <f ca="1">'health expenditure'!C56</f>
        <v>19028.070884183882</v>
      </c>
      <c r="E50" s="118">
        <f ca="1">'Transport expenditure'!C50</f>
        <v>60446.39686648261</v>
      </c>
      <c r="F50" s="118">
        <f t="shared" ca="1" si="0"/>
        <v>102826.43438822616</v>
      </c>
      <c r="G50" s="118">
        <f t="shared" ca="1" si="3"/>
        <v>4458.53</v>
      </c>
      <c r="H50" s="118">
        <f t="shared" ca="1" si="4"/>
        <v>84631.45298291673</v>
      </c>
      <c r="I50" s="153">
        <f ca="1">'Income from 30-64'!Q44</f>
        <v>0.38881460518089589</v>
      </c>
      <c r="K50" s="151">
        <f t="shared" ca="1" si="5"/>
        <v>43807.419566258926</v>
      </c>
      <c r="L50" s="118">
        <f t="shared" ca="1" si="2"/>
        <v>112669.17184316555</v>
      </c>
    </row>
    <row r="51" spans="1:12">
      <c r="A51" s="118">
        <v>2068</v>
      </c>
      <c r="B51" s="118">
        <v>73</v>
      </c>
      <c r="C51" s="118">
        <f ca="1">'living expenditure actually'!G57</f>
        <v>32585.550103224174</v>
      </c>
      <c r="D51" s="118">
        <f ca="1">'health expenditure'!C57</f>
        <v>40281.842673899751</v>
      </c>
      <c r="E51" s="118">
        <f ca="1">'Transport expenditure'!C51</f>
        <v>65401.584364887647</v>
      </c>
      <c r="F51" s="118">
        <f t="shared" ca="1" si="0"/>
        <v>107293.11335720167</v>
      </c>
      <c r="G51" s="118">
        <f t="shared" ca="1" si="3"/>
        <v>2967.59</v>
      </c>
      <c r="H51" s="118">
        <f t="shared" ca="1" si="4"/>
        <v>93368.865697316898</v>
      </c>
      <c r="I51" s="153">
        <f ca="1">'Income from 30-64'!Q45</f>
        <v>0.37568497054263289</v>
      </c>
      <c r="K51" s="151">
        <f t="shared" ca="1" si="5"/>
        <v>43370.34801140715</v>
      </c>
      <c r="L51" s="118">
        <f t="shared" ca="1" si="2"/>
        <v>115443.39383277368</v>
      </c>
    </row>
    <row r="52" spans="1:12">
      <c r="A52" s="118">
        <v>2069</v>
      </c>
      <c r="B52" s="118">
        <v>74</v>
      </c>
      <c r="C52" s="118">
        <f ca="1">'living expenditure actually'!G58</f>
        <v>32912.917387544228</v>
      </c>
      <c r="D52" s="118">
        <f ca="1">'health expenditure'!C58</f>
        <v>32041.796136138575</v>
      </c>
      <c r="E52" s="118">
        <f ca="1">'Transport expenditure'!C52</f>
        <v>71401.876908519058</v>
      </c>
      <c r="F52" s="118">
        <f t="shared" ca="1" si="0"/>
        <v>112147.34893568537</v>
      </c>
      <c r="G52" s="118">
        <f t="shared" ca="1" si="3"/>
        <v>5566.67</v>
      </c>
      <c r="H52" s="118">
        <f t="shared" ca="1" si="4"/>
        <v>92984.534730873056</v>
      </c>
      <c r="I52" s="153">
        <f ca="1">'Income from 30-64'!Q46</f>
        <v>0.36597910699790553</v>
      </c>
      <c r="K52" s="151">
        <f t="shared" ca="1" si="5"/>
        <v>43744.565952193261</v>
      </c>
      <c r="L52" s="118">
        <f t="shared" ca="1" si="2"/>
        <v>119527.49519235153</v>
      </c>
    </row>
    <row r="53" spans="1:12">
      <c r="A53" s="118">
        <v>2070</v>
      </c>
      <c r="B53" s="118">
        <v>75</v>
      </c>
      <c r="C53" s="118">
        <f ca="1">'living expenditure actually'!G59</f>
        <v>34814.403956723225</v>
      </c>
      <c r="D53" s="118">
        <f ca="1">'health expenditure'!C59</f>
        <v>32293.342240572121</v>
      </c>
      <c r="E53" s="118">
        <f ca="1">'Transport expenditure'!C53</f>
        <v>71938.205132763323</v>
      </c>
      <c r="F53" s="118">
        <f t="shared" ca="1" si="0"/>
        <v>117074.00831770629</v>
      </c>
      <c r="G53" s="118">
        <f t="shared" ca="1" si="3"/>
        <v>2864.77</v>
      </c>
      <c r="H53" s="118">
        <f t="shared" ca="1" si="4"/>
        <v>93127.009730513542</v>
      </c>
      <c r="I53" s="153">
        <f ca="1">'Income from 30-64'!Q47</f>
        <v>0.35958494486208498</v>
      </c>
      <c r="K53" s="151">
        <f t="shared" ca="1" si="5"/>
        <v>43611.977638566299</v>
      </c>
      <c r="L53" s="118">
        <f t="shared" ca="1" si="2"/>
        <v>121284.21465279425</v>
      </c>
    </row>
    <row r="54" spans="1:12">
      <c r="A54" s="118">
        <v>2071</v>
      </c>
      <c r="B54" s="118">
        <v>76</v>
      </c>
      <c r="C54" s="118">
        <f ca="1">'living expenditure actually'!G60</f>
        <v>25513.119824527654</v>
      </c>
      <c r="D54" s="118">
        <f ca="1">'health expenditure'!C60</f>
        <v>33854.805271301797</v>
      </c>
      <c r="E54" s="118">
        <f ca="1">'Transport expenditure'!C54</f>
        <v>74654.892454244793</v>
      </c>
      <c r="F54" s="118">
        <f t="shared" ca="1" si="0"/>
        <v>122156.77738154022</v>
      </c>
      <c r="G54" s="118">
        <f t="shared" ca="1" si="3"/>
        <v>2737.89</v>
      </c>
      <c r="H54" s="118">
        <f t="shared" ca="1" si="4"/>
        <v>91547.747381001798</v>
      </c>
      <c r="I54" s="153">
        <f ca="1">'Income from 30-64'!Q48</f>
        <v>0.3535788531438171</v>
      </c>
      <c r="K54" s="151">
        <f t="shared" ca="1" si="5"/>
        <v>44685.705824728204</v>
      </c>
      <c r="L54" s="118">
        <f t="shared" ca="1" si="2"/>
        <v>126381.16060225025</v>
      </c>
    </row>
    <row r="55" spans="1:12">
      <c r="A55" s="118">
        <v>2072</v>
      </c>
      <c r="B55" s="118">
        <v>77</v>
      </c>
      <c r="C55" s="118">
        <f ca="1">'living expenditure actually'!G61</f>
        <v>26826.11291559002</v>
      </c>
      <c r="D55" s="118">
        <f ca="1">'health expenditure'!C61</f>
        <v>37627.341368990543</v>
      </c>
      <c r="E55" s="118">
        <f ca="1">'Transport expenditure'!C55</f>
        <v>82058.154343732938</v>
      </c>
      <c r="F55" s="118">
        <f t="shared" ca="1" si="0"/>
        <v>128026.06057569468</v>
      </c>
      <c r="G55" s="118">
        <f t="shared" ca="1" si="3"/>
        <v>4781.12</v>
      </c>
      <c r="H55" s="118">
        <f t="shared" ca="1" si="4"/>
        <v>96342.007079138377</v>
      </c>
      <c r="I55" s="153">
        <f ca="1">'Income from 30-64'!Q49</f>
        <v>0.34491774561134997</v>
      </c>
      <c r="K55" s="151">
        <f t="shared" ca="1" si="5"/>
        <v>45938.16957506202</v>
      </c>
      <c r="L55" s="118">
        <f t="shared" ca="1" si="2"/>
        <v>133185.86868773261</v>
      </c>
    </row>
    <row r="56" spans="1:12">
      <c r="A56" s="118">
        <v>2073</v>
      </c>
      <c r="B56" s="118">
        <v>78</v>
      </c>
      <c r="C56" s="118">
        <f ca="1">'living expenditure actually'!G62</f>
        <v>27952.437617040341</v>
      </c>
      <c r="D56" s="118">
        <f ca="1">'health expenditure'!C62</f>
        <v>39132.086045648182</v>
      </c>
      <c r="E56" s="118">
        <f ca="1">'Transport expenditure'!C56</f>
        <v>84388.147962406278</v>
      </c>
      <c r="F56" s="118">
        <f t="shared" ca="1" si="0"/>
        <v>133973.08335697764</v>
      </c>
      <c r="G56" s="118">
        <f t="shared" ca="1" si="3"/>
        <v>3184.36</v>
      </c>
      <c r="H56" s="118">
        <f t="shared" ca="1" si="4"/>
        <v>96828.994355115647</v>
      </c>
      <c r="I56" s="153">
        <f ca="1">'Income from 30-64'!Q50</f>
        <v>0.33547779434287356</v>
      </c>
      <c r="K56" s="151">
        <f t="shared" ca="1" si="5"/>
        <v>46056.663532124585</v>
      </c>
      <c r="L56" s="118">
        <f t="shared" ca="1" si="2"/>
        <v>137286.77220600951</v>
      </c>
    </row>
    <row r="57" spans="1:12">
      <c r="A57" s="118">
        <v>2074</v>
      </c>
      <c r="B57" s="118">
        <v>79</v>
      </c>
      <c r="C57" s="118">
        <f ca="1">'living expenditure actually'!G63</f>
        <v>28346.274688004443</v>
      </c>
      <c r="D57" s="118">
        <f ca="1">'health expenditure'!C63</f>
        <v>39623.684657400016</v>
      </c>
      <c r="E57" s="118">
        <f ca="1">'Transport expenditure'!C57</f>
        <v>85837.975924492712</v>
      </c>
      <c r="F57" s="118">
        <f t="shared" ca="1" si="0"/>
        <v>140384.21846742902</v>
      </c>
      <c r="G57" s="118">
        <f t="shared" ca="1" si="3"/>
        <v>3021.23</v>
      </c>
      <c r="H57" s="118">
        <f t="shared" ca="1" si="4"/>
        <v>96811.719124421797</v>
      </c>
      <c r="I57" s="153">
        <f ca="1">'Income from 30-64'!Q51</f>
        <v>0.32573135808037135</v>
      </c>
      <c r="K57" s="151">
        <f t="shared" ca="1" si="5"/>
        <v>45155.759969138591</v>
      </c>
      <c r="L57" s="118">
        <f t="shared" ca="1" si="2"/>
        <v>138628.83891576936</v>
      </c>
    </row>
    <row r="58" spans="1:12">
      <c r="A58" s="118">
        <v>2075</v>
      </c>
      <c r="B58" s="118">
        <v>80</v>
      </c>
      <c r="C58" s="118">
        <f ca="1">'living expenditure actually'!G64</f>
        <v>30032.061915154845</v>
      </c>
      <c r="D58" s="118">
        <f ca="1">'health expenditure'!C64</f>
        <v>43641.556969303681</v>
      </c>
      <c r="E58" s="118">
        <f ca="1">'Transport expenditure'!C58</f>
        <v>88012.165842422488</v>
      </c>
      <c r="F58" s="118">
        <f t="shared" ca="1" si="0"/>
        <v>146587.09876766134</v>
      </c>
      <c r="G58" s="118">
        <f t="shared" ca="1" si="3"/>
        <v>2495.89</v>
      </c>
      <c r="H58" s="118">
        <f t="shared" ca="1" si="4"/>
        <v>97779.140374687282</v>
      </c>
      <c r="I58" s="153">
        <f ca="1">'Income from 30-64'!Q52</f>
        <v>0.31463631070515025</v>
      </c>
      <c r="K58" s="151">
        <f t="shared" ca="1" si="5"/>
        <v>45734.478601361858</v>
      </c>
      <c r="L58" s="118">
        <f t="shared" ca="1" si="2"/>
        <v>145356.64526088416</v>
      </c>
    </row>
    <row r="59" spans="1:12">
      <c r="A59" s="118">
        <v>2076</v>
      </c>
      <c r="B59" s="118">
        <v>81</v>
      </c>
      <c r="C59" s="118">
        <f ca="1">'living expenditure actually'!G65</f>
        <v>31586.275168804059</v>
      </c>
      <c r="D59" s="118">
        <f ca="1">'health expenditure'!C65</f>
        <v>48996.917291314865</v>
      </c>
      <c r="E59" s="118">
        <f ca="1">'Transport expenditure'!C59</f>
        <v>96396.539649835293</v>
      </c>
      <c r="F59" s="118">
        <f t="shared" ca="1" si="0"/>
        <v>153173.01651055014</v>
      </c>
      <c r="G59" s="118">
        <f t="shared" ca="1" si="3"/>
        <v>3291.31</v>
      </c>
      <c r="H59" s="118">
        <f t="shared" ca="1" si="4"/>
        <v>101803.38551112247</v>
      </c>
      <c r="I59" s="153">
        <f ca="1">'Income from 30-64'!Q53</f>
        <v>0.3053087403395176</v>
      </c>
      <c r="K59" s="151">
        <f t="shared" ca="1" si="5"/>
        <v>45036.278441104012</v>
      </c>
      <c r="L59" s="118">
        <f t="shared" ca="1" si="2"/>
        <v>147510.60972254368</v>
      </c>
    </row>
    <row r="60" spans="1:12">
      <c r="A60" s="118">
        <v>2077</v>
      </c>
      <c r="B60" s="118">
        <v>82</v>
      </c>
      <c r="C60" s="118">
        <f ca="1">'living expenditure actually'!G66</f>
        <v>30865.532962550256</v>
      </c>
      <c r="D60" s="118">
        <f ca="1">'health expenditure'!C66</f>
        <v>47642.710519061504</v>
      </c>
      <c r="E60" s="118">
        <f ca="1">'Transport expenditure'!C60</f>
        <v>107589.8750328234</v>
      </c>
      <c r="F60" s="118">
        <f t="shared" ca="1" si="0"/>
        <v>159766.61656771519</v>
      </c>
      <c r="G60" s="118">
        <f t="shared" ca="1" si="3"/>
        <v>3251.98</v>
      </c>
      <c r="H60" s="118">
        <f t="shared" ca="1" si="4"/>
        <v>103881.57394983179</v>
      </c>
      <c r="I60" s="153">
        <f ca="1">'Income from 30-64'!Q54</f>
        <v>0.29755542906442484</v>
      </c>
      <c r="K60" s="151">
        <f t="shared" ca="1" si="5"/>
        <v>46517.075329312051</v>
      </c>
      <c r="L60" s="118">
        <f t="shared" ca="1" si="2"/>
        <v>156330.79011722709</v>
      </c>
    </row>
    <row r="61" spans="1:12">
      <c r="A61" s="118">
        <v>2078</v>
      </c>
      <c r="B61" s="118">
        <v>83</v>
      </c>
      <c r="C61" s="118">
        <f ca="1">'living expenditure actually'!G67</f>
        <v>31745.709949045297</v>
      </c>
      <c r="D61" s="118">
        <f ca="1">'health expenditure'!C67</f>
        <v>79102.278019314777</v>
      </c>
      <c r="E61" s="118">
        <f ca="1">'Transport expenditure'!C61</f>
        <v>108618.71515397161</v>
      </c>
      <c r="F61" s="118">
        <f t="shared" ca="1" si="0"/>
        <v>167036.42558849859</v>
      </c>
      <c r="G61" s="118">
        <f t="shared" ca="1" si="3"/>
        <v>2728.27</v>
      </c>
      <c r="H61" s="118">
        <f t="shared" ca="1" si="4"/>
        <v>112672.05497438311</v>
      </c>
      <c r="I61" s="153">
        <f ca="1">'Income from 30-64'!Q55</f>
        <v>0.28947319087710593</v>
      </c>
      <c r="K61" s="151">
        <f t="shared" ca="1" si="5"/>
        <v>47043.061180901634</v>
      </c>
      <c r="L61" s="118">
        <f t="shared" ca="1" si="2"/>
        <v>162512.67013142325</v>
      </c>
    </row>
    <row r="62" spans="1:12">
      <c r="I62" s="153"/>
    </row>
    <row r="63" spans="1:12">
      <c r="B63" s="157" t="s">
        <v>359</v>
      </c>
      <c r="C63" s="157">
        <f ca="1">SUM(C43:C61)</f>
        <v>565140.2867369625</v>
      </c>
      <c r="D63" s="157">
        <f ca="1">SUM(D43:D61)</f>
        <v>624592.59652382671</v>
      </c>
      <c r="E63" s="157">
        <f ca="1">SUM(E43:E61)</f>
        <v>1384539.0615978837</v>
      </c>
      <c r="F63" s="157">
        <f ca="1">SUM(F43:F61)</f>
        <v>2192891.7604917455</v>
      </c>
      <c r="G63" s="157">
        <f ca="1">SUM(G43:G61)</f>
        <v>68739.48</v>
      </c>
      <c r="K63" s="157">
        <f ca="1">SUM(K43:K61)</f>
        <v>831094.25747590582</v>
      </c>
    </row>
    <row r="65" spans="8:11" ht="111">
      <c r="H65" s="158">
        <f ca="1">SUM(H43:H61)-K63</f>
        <v>897487.89559888933</v>
      </c>
      <c r="I65" s="116" t="s">
        <v>360</v>
      </c>
      <c r="J65" s="116" t="s">
        <v>361</v>
      </c>
      <c r="K65" s="116"/>
    </row>
  </sheetData>
  <phoneticPr fontId="2"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FB321-B8A4-4C3B-AE00-FFED1FA23F53}">
  <sheetPr codeName="Sheet12">
    <tabColor rgb="FF7030A0"/>
  </sheetPr>
  <dimension ref="A1:M67"/>
  <sheetViews>
    <sheetView zoomScale="110" zoomScaleNormal="110" workbookViewId="0">
      <selection activeCell="J15" sqref="J15"/>
    </sheetView>
  </sheetViews>
  <sheetFormatPr defaultColWidth="10.73046875" defaultRowHeight="13.9"/>
  <cols>
    <col min="1" max="4" width="11" style="118" bestFit="1" customWidth="1"/>
    <col min="5" max="5" width="14.1328125" style="118" hidden="1" customWidth="1"/>
    <col min="6" max="6" width="11.59765625" style="118" hidden="1" customWidth="1"/>
    <col min="7" max="7" width="13.59765625" style="118" customWidth="1"/>
    <col min="8" max="8" width="16.3984375" style="118" customWidth="1"/>
    <col min="9" max="10" width="10.73046875" style="118"/>
    <col min="11" max="11" width="25.3984375" style="118" customWidth="1"/>
    <col min="12" max="12" width="23.73046875" style="118" customWidth="1"/>
    <col min="13" max="13" width="21.59765625" style="118" customWidth="1"/>
    <col min="14" max="16384" width="10.73046875" style="118"/>
  </cols>
  <sheetData>
    <row r="1" spans="1:13" ht="40.5">
      <c r="A1" s="138" t="s">
        <v>362</v>
      </c>
      <c r="B1" s="138" t="s">
        <v>363</v>
      </c>
      <c r="C1" s="138" t="s">
        <v>364</v>
      </c>
      <c r="D1" s="138" t="s">
        <v>420</v>
      </c>
      <c r="E1" s="148" t="s">
        <v>365</v>
      </c>
      <c r="F1" s="148" t="s">
        <v>366</v>
      </c>
      <c r="G1" s="147" t="s">
        <v>367</v>
      </c>
      <c r="H1" s="146" t="s">
        <v>368</v>
      </c>
      <c r="K1" s="120"/>
      <c r="L1" s="181" t="s">
        <v>193</v>
      </c>
      <c r="M1" s="182" t="s">
        <v>192</v>
      </c>
    </row>
    <row r="2" spans="1:13">
      <c r="A2" s="119">
        <v>2013</v>
      </c>
      <c r="B2" s="119"/>
      <c r="C2" s="118">
        <v>-10</v>
      </c>
      <c r="D2" s="118">
        <f t="shared" ref="D2:D65" si="0">IF(B2&lt;=75,$M$8,$M$9)</f>
        <v>1</v>
      </c>
      <c r="E2" s="3"/>
      <c r="F2" s="114"/>
      <c r="H2" s="119">
        <f>18069/2.7</f>
        <v>6692.2222222222217</v>
      </c>
      <c r="K2" s="121" t="s">
        <v>369</v>
      </c>
      <c r="L2" s="118" cm="1">
        <f t="array" ref="L2:M6">LINEST(H2:H12,C2:C12,TRUE,TRUE)</f>
        <v>357.66329966329965</v>
      </c>
      <c r="M2" s="123">
        <v>9995.4208754208757</v>
      </c>
    </row>
    <row r="3" spans="1:13">
      <c r="A3" s="119">
        <v>2014</v>
      </c>
      <c r="B3" s="119"/>
      <c r="C3" s="118">
        <v>-9</v>
      </c>
      <c r="D3" s="118">
        <f t="shared" si="0"/>
        <v>1</v>
      </c>
      <c r="E3" s="3"/>
      <c r="F3" s="114"/>
      <c r="H3" s="119">
        <f>18583/2.7</f>
        <v>6882.5925925925922</v>
      </c>
      <c r="K3" s="121"/>
      <c r="L3" s="118">
        <v>19.749330195865205</v>
      </c>
      <c r="M3" s="123">
        <v>116.83861310151691</v>
      </c>
    </row>
    <row r="4" spans="1:13">
      <c r="A4" s="119">
        <v>2015</v>
      </c>
      <c r="B4" s="119"/>
      <c r="C4" s="118">
        <v>-8</v>
      </c>
      <c r="D4" s="118">
        <f t="shared" si="0"/>
        <v>1</v>
      </c>
      <c r="E4" s="3"/>
      <c r="F4" s="114"/>
      <c r="H4" s="119">
        <f>19133/2.7</f>
        <v>7086.2962962962956</v>
      </c>
      <c r="K4" s="121"/>
      <c r="L4" s="118">
        <v>0.97329198325095989</v>
      </c>
      <c r="M4" s="123">
        <v>207.13272254857378</v>
      </c>
    </row>
    <row r="5" spans="1:13">
      <c r="A5" s="119">
        <v>2016</v>
      </c>
      <c r="B5" s="119"/>
      <c r="C5" s="118">
        <v>-7</v>
      </c>
      <c r="D5" s="118">
        <f t="shared" si="0"/>
        <v>1</v>
      </c>
      <c r="E5" s="3"/>
      <c r="F5" s="114"/>
      <c r="H5" s="119">
        <f>19917/2.7</f>
        <v>7376.6666666666661</v>
      </c>
      <c r="K5" s="121"/>
      <c r="L5" s="118">
        <v>327.97747326459449</v>
      </c>
      <c r="M5" s="123">
        <v>9</v>
      </c>
    </row>
    <row r="6" spans="1:13">
      <c r="A6" s="119">
        <v>2017</v>
      </c>
      <c r="B6" s="119"/>
      <c r="C6" s="118">
        <v>-6</v>
      </c>
      <c r="D6" s="118">
        <f t="shared" si="0"/>
        <v>1</v>
      </c>
      <c r="E6" s="3"/>
      <c r="F6" s="114"/>
      <c r="H6" s="119">
        <f>20768/2.7</f>
        <v>7691.8518518518513</v>
      </c>
      <c r="K6" s="121"/>
      <c r="L6" s="118">
        <v>14071533.951864319</v>
      </c>
      <c r="M6" s="123">
        <v>386135.68275346002</v>
      </c>
    </row>
    <row r="7" spans="1:13">
      <c r="A7" s="119">
        <v>2018</v>
      </c>
      <c r="B7" s="119"/>
      <c r="C7" s="118">
        <v>-5</v>
      </c>
      <c r="D7" s="118">
        <f t="shared" si="0"/>
        <v>1</v>
      </c>
      <c r="E7" s="3"/>
      <c r="F7" s="114"/>
      <c r="H7" s="119">
        <f>22084/2.7</f>
        <v>8179.2592592592591</v>
      </c>
      <c r="K7" s="121"/>
      <c r="L7" s="118" t="s">
        <v>363</v>
      </c>
      <c r="M7" s="123" t="s">
        <v>370</v>
      </c>
    </row>
    <row r="8" spans="1:13">
      <c r="A8" s="119">
        <v>2019</v>
      </c>
      <c r="B8" s="119"/>
      <c r="C8" s="118">
        <v>-4</v>
      </c>
      <c r="D8" s="118">
        <f t="shared" si="0"/>
        <v>1</v>
      </c>
      <c r="E8" s="3"/>
      <c r="F8" s="114"/>
      <c r="H8" s="119">
        <f>22775/2.7</f>
        <v>8435.1851851851843</v>
      </c>
      <c r="K8" s="179" t="s">
        <v>371</v>
      </c>
      <c r="L8" s="118" t="s">
        <v>372</v>
      </c>
      <c r="M8" s="123">
        <v>1</v>
      </c>
    </row>
    <row r="9" spans="1:13">
      <c r="A9" s="119">
        <v>2020</v>
      </c>
      <c r="B9" s="119"/>
      <c r="C9" s="118">
        <v>-3</v>
      </c>
      <c r="D9" s="118">
        <f t="shared" si="0"/>
        <v>1</v>
      </c>
      <c r="E9" s="3"/>
      <c r="F9" s="114"/>
      <c r="H9" s="119">
        <f>23524/2.7</f>
        <v>8712.5925925925912</v>
      </c>
      <c r="K9" s="179" t="s">
        <v>373</v>
      </c>
      <c r="L9" s="118" t="s">
        <v>374</v>
      </c>
      <c r="M9" s="123">
        <v>0.75</v>
      </c>
    </row>
    <row r="10" spans="1:13">
      <c r="A10" s="119">
        <v>2021</v>
      </c>
      <c r="B10" s="119"/>
      <c r="C10" s="118">
        <v>-2</v>
      </c>
      <c r="D10" s="118">
        <f t="shared" si="0"/>
        <v>1</v>
      </c>
      <c r="E10" s="3"/>
      <c r="F10" s="114"/>
      <c r="H10" s="119">
        <f>24546/2.7</f>
        <v>9091.1111111111113</v>
      </c>
      <c r="K10" s="121" t="s">
        <v>375</v>
      </c>
      <c r="L10" s="118">
        <f>M2</f>
        <v>9995.4208754208757</v>
      </c>
      <c r="M10" s="123"/>
    </row>
    <row r="11" spans="1:13" ht="40.15" customHeight="1" thickBot="1">
      <c r="A11" s="119">
        <v>2022</v>
      </c>
      <c r="B11" s="119"/>
      <c r="C11" s="118">
        <v>-1</v>
      </c>
      <c r="D11" s="118">
        <f t="shared" si="0"/>
        <v>1</v>
      </c>
      <c r="E11" s="90"/>
      <c r="F11" s="114"/>
      <c r="H11" s="119">
        <f>26317/2.7</f>
        <v>9747.0370370370365</v>
      </c>
      <c r="K11" s="180" t="s">
        <v>376</v>
      </c>
      <c r="L11" s="145">
        <f ca="1" xml:space="preserve"> _xlfn.NORM.INV(RAND(), 0.03, 0.005)</f>
        <v>2.6121695868523975E-2</v>
      </c>
      <c r="M11" s="125"/>
    </row>
    <row r="12" spans="1:13" ht="41.65">
      <c r="A12" s="119">
        <v>2023</v>
      </c>
      <c r="B12" s="119"/>
      <c r="C12" s="118">
        <v>0</v>
      </c>
      <c r="D12" s="118">
        <f t="shared" si="0"/>
        <v>1</v>
      </c>
      <c r="E12" s="90"/>
      <c r="F12" s="114"/>
      <c r="H12" s="119">
        <f>28035/2.7</f>
        <v>10383.333333333332</v>
      </c>
      <c r="K12" s="116" t="s">
        <v>377</v>
      </c>
      <c r="L12" s="166" t="s">
        <v>378</v>
      </c>
    </row>
    <row r="13" spans="1:13">
      <c r="A13" s="118" cm="1">
        <f t="array" ref="A13:A67">_xlfn.SEQUENCE(55,1,2024,1)</f>
        <v>2024</v>
      </c>
      <c r="C13" s="118">
        <v>1</v>
      </c>
      <c r="D13" s="118">
        <f t="shared" si="0"/>
        <v>1</v>
      </c>
      <c r="E13" s="114"/>
      <c r="F13" s="115"/>
      <c r="G13" s="118">
        <f ca="1">$L$10 * (1 + $L$11) ^ C13 * (1 + _xlfn.NORM.INV(RAND(), 0.025, 0.02))</f>
        <v>10235.686290213649</v>
      </c>
    </row>
    <row r="14" spans="1:13">
      <c r="A14" s="118">
        <v>2025</v>
      </c>
      <c r="B14" s="118">
        <v>30</v>
      </c>
      <c r="C14" s="118">
        <v>2</v>
      </c>
      <c r="D14" s="118">
        <f t="shared" si="0"/>
        <v>1</v>
      </c>
      <c r="F14" s="115"/>
      <c r="G14" s="118">
        <f ca="1">$L$10 * (1 + $L$11) ^ C14 * (1 + _xlfn.NORM.INV(RAND(), 0.025, 0.02))</f>
        <v>10844.377735752574</v>
      </c>
    </row>
    <row r="15" spans="1:13">
      <c r="A15" s="118">
        <v>2026</v>
      </c>
      <c r="B15" s="118">
        <v>31</v>
      </c>
      <c r="C15" s="118">
        <v>3</v>
      </c>
      <c r="D15" s="118">
        <f t="shared" si="0"/>
        <v>1</v>
      </c>
      <c r="F15" s="115"/>
      <c r="G15" s="118">
        <f t="shared" ref="G15:G59" ca="1" si="1">$L$10 * (1 + $L$11) ^ C15 * (1 + _xlfn.NORM.INV(RAND(), 0.025, 0.02))</f>
        <v>10822.610870673432</v>
      </c>
    </row>
    <row r="16" spans="1:13">
      <c r="A16" s="118">
        <v>2027</v>
      </c>
      <c r="B16" s="118">
        <v>32</v>
      </c>
      <c r="C16" s="118">
        <v>4</v>
      </c>
      <c r="D16" s="118">
        <f t="shared" si="0"/>
        <v>1</v>
      </c>
      <c r="F16" s="115"/>
      <c r="G16" s="118">
        <f t="shared" ca="1" si="1"/>
        <v>11308.682982384045</v>
      </c>
    </row>
    <row r="17" spans="1:7">
      <c r="A17" s="118">
        <v>2028</v>
      </c>
      <c r="B17" s="118">
        <v>33</v>
      </c>
      <c r="C17" s="118">
        <v>5</v>
      </c>
      <c r="D17" s="118">
        <f t="shared" si="0"/>
        <v>1</v>
      </c>
      <c r="F17" s="115"/>
      <c r="G17" s="118">
        <f t="shared" ca="1" si="1"/>
        <v>12374.407966340894</v>
      </c>
    </row>
    <row r="18" spans="1:7">
      <c r="A18" s="118">
        <v>2029</v>
      </c>
      <c r="B18" s="118">
        <v>34</v>
      </c>
      <c r="C18" s="118">
        <v>6</v>
      </c>
      <c r="D18" s="118">
        <f t="shared" si="0"/>
        <v>1</v>
      </c>
      <c r="F18" s="115"/>
      <c r="G18" s="118">
        <f t="shared" ca="1" si="1"/>
        <v>11959.873835685819</v>
      </c>
    </row>
    <row r="19" spans="1:7">
      <c r="A19" s="118">
        <v>2030</v>
      </c>
      <c r="B19" s="118">
        <v>35</v>
      </c>
      <c r="C19" s="118">
        <v>7</v>
      </c>
      <c r="D19" s="118">
        <f t="shared" si="0"/>
        <v>1</v>
      </c>
      <c r="F19" s="115"/>
      <c r="G19" s="118">
        <f t="shared" ca="1" si="1"/>
        <v>12467.978644279396</v>
      </c>
    </row>
    <row r="20" spans="1:7">
      <c r="A20" s="118">
        <v>2031</v>
      </c>
      <c r="B20" s="118">
        <v>36</v>
      </c>
      <c r="C20" s="118">
        <v>8</v>
      </c>
      <c r="D20" s="118">
        <f t="shared" si="0"/>
        <v>1</v>
      </c>
      <c r="F20" s="115"/>
      <c r="G20" s="118">
        <f t="shared" ca="1" si="1"/>
        <v>12720.81461080495</v>
      </c>
    </row>
    <row r="21" spans="1:7">
      <c r="A21" s="118">
        <v>2032</v>
      </c>
      <c r="B21" s="118">
        <v>37</v>
      </c>
      <c r="C21" s="118">
        <v>9</v>
      </c>
      <c r="D21" s="118">
        <f t="shared" si="0"/>
        <v>1</v>
      </c>
      <c r="F21" s="115"/>
      <c r="G21" s="118">
        <f t="shared" ca="1" si="1"/>
        <v>12982.873127281568</v>
      </c>
    </row>
    <row r="22" spans="1:7">
      <c r="A22" s="118">
        <v>2033</v>
      </c>
      <c r="B22" s="118">
        <v>38</v>
      </c>
      <c r="C22" s="118">
        <v>10</v>
      </c>
      <c r="D22" s="118">
        <f t="shared" si="0"/>
        <v>1</v>
      </c>
      <c r="F22" s="115"/>
      <c r="G22" s="118">
        <f t="shared" ca="1" si="1"/>
        <v>13883.121610024245</v>
      </c>
    </row>
    <row r="23" spans="1:7">
      <c r="A23" s="118">
        <v>2034</v>
      </c>
      <c r="B23" s="118">
        <v>39</v>
      </c>
      <c r="C23" s="118">
        <v>11</v>
      </c>
      <c r="D23" s="118">
        <f t="shared" si="0"/>
        <v>1</v>
      </c>
      <c r="F23" s="115"/>
      <c r="G23" s="118">
        <f t="shared" ca="1" si="1"/>
        <v>13463.043854984366</v>
      </c>
    </row>
    <row r="24" spans="1:7">
      <c r="A24" s="118">
        <v>2035</v>
      </c>
      <c r="B24" s="118">
        <v>40</v>
      </c>
      <c r="C24" s="118">
        <v>12</v>
      </c>
      <c r="D24" s="118">
        <f t="shared" si="0"/>
        <v>1</v>
      </c>
      <c r="F24" s="115"/>
      <c r="G24" s="118">
        <f t="shared" ca="1" si="1"/>
        <v>13681.513319718099</v>
      </c>
    </row>
    <row r="25" spans="1:7">
      <c r="A25" s="118">
        <v>2036</v>
      </c>
      <c r="B25" s="118">
        <v>41</v>
      </c>
      <c r="C25" s="118">
        <v>13</v>
      </c>
      <c r="D25" s="118">
        <f t="shared" si="0"/>
        <v>1</v>
      </c>
      <c r="F25" s="115"/>
      <c r="G25" s="118">
        <f t="shared" ca="1" si="1"/>
        <v>14756.996748612857</v>
      </c>
    </row>
    <row r="26" spans="1:7">
      <c r="A26" s="118">
        <v>2037</v>
      </c>
      <c r="B26" s="118">
        <v>42</v>
      </c>
      <c r="C26" s="118">
        <v>14</v>
      </c>
      <c r="D26" s="118">
        <f t="shared" si="0"/>
        <v>1</v>
      </c>
      <c r="F26" s="115"/>
      <c r="G26" s="118">
        <f t="shared" ca="1" si="1"/>
        <v>14688.384809864629</v>
      </c>
    </row>
    <row r="27" spans="1:7">
      <c r="A27" s="118">
        <v>2038</v>
      </c>
      <c r="B27" s="118">
        <v>43</v>
      </c>
      <c r="C27" s="118">
        <v>15</v>
      </c>
      <c r="D27" s="118">
        <f t="shared" si="0"/>
        <v>1</v>
      </c>
      <c r="F27" s="115"/>
      <c r="G27" s="118">
        <f t="shared" ca="1" si="1"/>
        <v>15161.502230173153</v>
      </c>
    </row>
    <row r="28" spans="1:7">
      <c r="A28" s="118">
        <v>2039</v>
      </c>
      <c r="B28" s="118">
        <v>44</v>
      </c>
      <c r="C28" s="118">
        <v>16</v>
      </c>
      <c r="D28" s="118">
        <f t="shared" si="0"/>
        <v>1</v>
      </c>
      <c r="F28" s="115"/>
      <c r="G28" s="118">
        <f t="shared" ca="1" si="1"/>
        <v>15450.782424780962</v>
      </c>
    </row>
    <row r="29" spans="1:7">
      <c r="A29" s="118">
        <v>2040</v>
      </c>
      <c r="B29" s="118">
        <v>45</v>
      </c>
      <c r="C29" s="118">
        <v>17</v>
      </c>
      <c r="D29" s="118">
        <f t="shared" si="0"/>
        <v>1</v>
      </c>
      <c r="F29" s="115"/>
      <c r="G29" s="118">
        <f t="shared" ca="1" si="1"/>
        <v>15809.042192926061</v>
      </c>
    </row>
    <row r="30" spans="1:7">
      <c r="A30" s="118">
        <v>2041</v>
      </c>
      <c r="B30" s="118">
        <v>46</v>
      </c>
      <c r="C30" s="118">
        <v>18</v>
      </c>
      <c r="D30" s="118">
        <f t="shared" si="0"/>
        <v>1</v>
      </c>
      <c r="F30" s="115"/>
      <c r="G30" s="118">
        <f t="shared" ca="1" si="1"/>
        <v>16132.383298121753</v>
      </c>
    </row>
    <row r="31" spans="1:7">
      <c r="A31" s="118">
        <v>2042</v>
      </c>
      <c r="B31" s="118">
        <v>47</v>
      </c>
      <c r="C31" s="118">
        <v>19</v>
      </c>
      <c r="D31" s="118">
        <f t="shared" si="0"/>
        <v>1</v>
      </c>
      <c r="F31" s="115"/>
      <c r="G31" s="118">
        <f t="shared" ca="1" si="1"/>
        <v>17083.837719777046</v>
      </c>
    </row>
    <row r="32" spans="1:7">
      <c r="A32" s="118">
        <v>2043</v>
      </c>
      <c r="B32" s="118">
        <v>48</v>
      </c>
      <c r="C32" s="118">
        <v>20</v>
      </c>
      <c r="D32" s="118">
        <f t="shared" si="0"/>
        <v>1</v>
      </c>
      <c r="F32" s="115"/>
      <c r="G32" s="118">
        <f t="shared" ca="1" si="1"/>
        <v>17330.439649980897</v>
      </c>
    </row>
    <row r="33" spans="1:7">
      <c r="A33" s="118">
        <v>2044</v>
      </c>
      <c r="B33" s="118">
        <v>49</v>
      </c>
      <c r="C33" s="118">
        <v>21</v>
      </c>
      <c r="D33" s="118">
        <f t="shared" si="0"/>
        <v>1</v>
      </c>
      <c r="F33" s="115"/>
      <c r="G33" s="118">
        <f t="shared" ca="1" si="1"/>
        <v>17529.927174121134</v>
      </c>
    </row>
    <row r="34" spans="1:7">
      <c r="A34" s="118">
        <v>2045</v>
      </c>
      <c r="B34" s="118">
        <v>50</v>
      </c>
      <c r="C34" s="118">
        <v>22</v>
      </c>
      <c r="D34" s="118">
        <f t="shared" si="0"/>
        <v>1</v>
      </c>
      <c r="F34" s="115"/>
      <c r="G34" s="118">
        <f t="shared" ca="1" si="1"/>
        <v>17937.4695385796</v>
      </c>
    </row>
    <row r="35" spans="1:7">
      <c r="A35" s="118">
        <v>2046</v>
      </c>
      <c r="B35" s="118">
        <v>51</v>
      </c>
      <c r="C35" s="118">
        <v>23</v>
      </c>
      <c r="D35" s="118">
        <f t="shared" si="0"/>
        <v>1</v>
      </c>
      <c r="F35" s="115"/>
      <c r="G35" s="118">
        <f t="shared" ca="1" si="1"/>
        <v>18844.915509650826</v>
      </c>
    </row>
    <row r="36" spans="1:7">
      <c r="A36" s="118">
        <v>2047</v>
      </c>
      <c r="B36" s="118">
        <v>52</v>
      </c>
      <c r="C36" s="118">
        <v>24</v>
      </c>
      <c r="D36" s="118">
        <f t="shared" si="0"/>
        <v>1</v>
      </c>
      <c r="F36" s="115"/>
      <c r="G36" s="118">
        <f t="shared" ca="1" si="1"/>
        <v>18840.041236985206</v>
      </c>
    </row>
    <row r="37" spans="1:7">
      <c r="A37" s="118">
        <v>2048</v>
      </c>
      <c r="B37" s="118">
        <v>53</v>
      </c>
      <c r="C37" s="118">
        <v>25</v>
      </c>
      <c r="D37" s="118">
        <f t="shared" si="0"/>
        <v>1</v>
      </c>
      <c r="F37" s="115"/>
      <c r="G37" s="118">
        <f t="shared" ca="1" si="1"/>
        <v>18554.793698357375</v>
      </c>
    </row>
    <row r="38" spans="1:7">
      <c r="A38" s="118">
        <v>2049</v>
      </c>
      <c r="B38" s="118">
        <v>54</v>
      </c>
      <c r="C38" s="118">
        <v>26</v>
      </c>
      <c r="D38" s="118">
        <f t="shared" si="0"/>
        <v>1</v>
      </c>
      <c r="F38" s="115"/>
      <c r="G38" s="118">
        <f t="shared" ca="1" si="1"/>
        <v>20002.830316851614</v>
      </c>
    </row>
    <row r="39" spans="1:7">
      <c r="A39" s="118">
        <v>2050</v>
      </c>
      <c r="B39" s="118">
        <v>55</v>
      </c>
      <c r="C39" s="118">
        <v>27</v>
      </c>
      <c r="D39" s="118">
        <f t="shared" si="0"/>
        <v>1</v>
      </c>
      <c r="F39" s="115"/>
      <c r="G39" s="118">
        <f t="shared" ca="1" si="1"/>
        <v>20868.514946715619</v>
      </c>
    </row>
    <row r="40" spans="1:7">
      <c r="A40" s="118">
        <v>2051</v>
      </c>
      <c r="B40" s="118">
        <v>56</v>
      </c>
      <c r="C40" s="118">
        <v>28</v>
      </c>
      <c r="D40" s="118">
        <f t="shared" si="0"/>
        <v>1</v>
      </c>
      <c r="F40" s="115"/>
      <c r="G40" s="118">
        <f t="shared" ca="1" si="1"/>
        <v>20592.605514244915</v>
      </c>
    </row>
    <row r="41" spans="1:7">
      <c r="A41" s="118">
        <v>2052</v>
      </c>
      <c r="B41" s="118">
        <v>57</v>
      </c>
      <c r="C41" s="118">
        <v>29</v>
      </c>
      <c r="D41" s="118">
        <f t="shared" si="0"/>
        <v>1</v>
      </c>
      <c r="F41" s="115"/>
      <c r="G41" s="118">
        <f t="shared" ca="1" si="1"/>
        <v>21643.156843097979</v>
      </c>
    </row>
    <row r="42" spans="1:7">
      <c r="A42" s="118">
        <v>2053</v>
      </c>
      <c r="B42" s="118">
        <v>58</v>
      </c>
      <c r="C42" s="118">
        <v>30</v>
      </c>
      <c r="D42" s="118">
        <f t="shared" si="0"/>
        <v>1</v>
      </c>
      <c r="F42" s="115"/>
      <c r="G42" s="118">
        <f t="shared" ca="1" si="1"/>
        <v>22187.260234694506</v>
      </c>
    </row>
    <row r="43" spans="1:7">
      <c r="A43" s="118">
        <v>2054</v>
      </c>
      <c r="B43" s="118">
        <v>59</v>
      </c>
      <c r="C43" s="118">
        <v>31</v>
      </c>
      <c r="D43" s="118">
        <f t="shared" si="0"/>
        <v>1</v>
      </c>
      <c r="F43" s="115"/>
      <c r="G43" s="118">
        <f t="shared" ca="1" si="1"/>
        <v>23293.908722999313</v>
      </c>
    </row>
    <row r="44" spans="1:7">
      <c r="A44" s="118">
        <v>2055</v>
      </c>
      <c r="B44" s="118">
        <v>60</v>
      </c>
      <c r="C44" s="118">
        <v>32</v>
      </c>
      <c r="D44" s="118">
        <f t="shared" si="0"/>
        <v>1</v>
      </c>
      <c r="F44" s="115"/>
      <c r="G44" s="118">
        <f t="shared" ca="1" si="1"/>
        <v>24168.4042709112</v>
      </c>
    </row>
    <row r="45" spans="1:7">
      <c r="A45" s="118">
        <v>2056</v>
      </c>
      <c r="B45" s="118">
        <v>61</v>
      </c>
      <c r="C45" s="118">
        <v>33</v>
      </c>
      <c r="D45" s="118">
        <f t="shared" si="0"/>
        <v>1</v>
      </c>
      <c r="F45" s="115"/>
      <c r="G45" s="118">
        <f t="shared" ca="1" si="1"/>
        <v>23924.401373228764</v>
      </c>
    </row>
    <row r="46" spans="1:7">
      <c r="A46" s="118">
        <v>2057</v>
      </c>
      <c r="B46" s="118">
        <v>62</v>
      </c>
      <c r="C46" s="118">
        <v>34</v>
      </c>
      <c r="D46" s="118">
        <f t="shared" si="0"/>
        <v>1</v>
      </c>
      <c r="F46" s="115"/>
      <c r="G46" s="118">
        <f t="shared" ca="1" si="1"/>
        <v>24298.278323154747</v>
      </c>
    </row>
    <row r="47" spans="1:7">
      <c r="A47" s="118">
        <v>2058</v>
      </c>
      <c r="B47" s="118">
        <v>63</v>
      </c>
      <c r="C47" s="118">
        <v>35</v>
      </c>
      <c r="D47" s="118">
        <f t="shared" si="0"/>
        <v>1</v>
      </c>
      <c r="F47" s="115"/>
      <c r="G47" s="118">
        <f t="shared" ca="1" si="1"/>
        <v>25615.905052305945</v>
      </c>
    </row>
    <row r="48" spans="1:7">
      <c r="A48" s="118">
        <v>2059</v>
      </c>
      <c r="B48" s="118">
        <v>64</v>
      </c>
      <c r="C48" s="118">
        <v>36</v>
      </c>
      <c r="D48" s="118">
        <f t="shared" si="0"/>
        <v>1</v>
      </c>
      <c r="F48" s="115"/>
      <c r="G48" s="118">
        <f t="shared" ca="1" si="1"/>
        <v>26584.794233372442</v>
      </c>
    </row>
    <row r="49" spans="1:7" s="149" customFormat="1">
      <c r="A49" s="149">
        <v>2060</v>
      </c>
      <c r="B49" s="149">
        <v>65</v>
      </c>
      <c r="C49" s="149">
        <v>37</v>
      </c>
      <c r="D49" s="149">
        <f t="shared" si="0"/>
        <v>1</v>
      </c>
      <c r="F49" s="150"/>
      <c r="G49" s="149">
        <f t="shared" ca="1" si="1"/>
        <v>26318.803589772971</v>
      </c>
    </row>
    <row r="50" spans="1:7">
      <c r="A50" s="118">
        <v>2061</v>
      </c>
      <c r="B50" s="118">
        <v>66</v>
      </c>
      <c r="C50" s="118">
        <v>38</v>
      </c>
      <c r="D50" s="118">
        <f t="shared" si="0"/>
        <v>1</v>
      </c>
      <c r="F50" s="115"/>
      <c r="G50" s="118">
        <f t="shared" ca="1" si="1"/>
        <v>27052.317822818011</v>
      </c>
    </row>
    <row r="51" spans="1:7">
      <c r="A51" s="118">
        <v>2062</v>
      </c>
      <c r="B51" s="118">
        <v>67</v>
      </c>
      <c r="C51" s="118">
        <v>39</v>
      </c>
      <c r="D51" s="118">
        <f t="shared" si="0"/>
        <v>1</v>
      </c>
      <c r="F51" s="115"/>
      <c r="G51" s="118">
        <f t="shared" ca="1" si="1"/>
        <v>27330.279058823307</v>
      </c>
    </row>
    <row r="52" spans="1:7">
      <c r="A52" s="118">
        <v>2063</v>
      </c>
      <c r="B52" s="118">
        <v>68</v>
      </c>
      <c r="C52" s="118">
        <v>40</v>
      </c>
      <c r="D52" s="118">
        <f t="shared" si="0"/>
        <v>1</v>
      </c>
      <c r="F52" s="115"/>
      <c r="G52" s="118">
        <f t="shared" ca="1" si="1"/>
        <v>29929.167986062836</v>
      </c>
    </row>
    <row r="53" spans="1:7">
      <c r="A53" s="118">
        <v>2064</v>
      </c>
      <c r="B53" s="118">
        <v>69</v>
      </c>
      <c r="C53" s="118">
        <v>41</v>
      </c>
      <c r="D53" s="118">
        <f t="shared" si="0"/>
        <v>1</v>
      </c>
      <c r="F53" s="115"/>
      <c r="G53" s="118">
        <f t="shared" ca="1" si="1"/>
        <v>29287.094010209912</v>
      </c>
    </row>
    <row r="54" spans="1:7">
      <c r="A54" s="118">
        <v>2065</v>
      </c>
      <c r="B54" s="118">
        <v>70</v>
      </c>
      <c r="C54" s="118">
        <v>42</v>
      </c>
      <c r="D54" s="118">
        <f t="shared" si="0"/>
        <v>1</v>
      </c>
      <c r="F54" s="115"/>
      <c r="G54" s="118">
        <f t="shared" ca="1" si="1"/>
        <v>30702.266093468126</v>
      </c>
    </row>
    <row r="55" spans="1:7">
      <c r="A55" s="118">
        <v>2066</v>
      </c>
      <c r="B55" s="118">
        <v>71</v>
      </c>
      <c r="C55" s="118">
        <v>43</v>
      </c>
      <c r="D55" s="118">
        <f t="shared" si="0"/>
        <v>1</v>
      </c>
      <c r="F55" s="115"/>
      <c r="G55" s="118">
        <f t="shared" ca="1" si="1"/>
        <v>30434.080190595552</v>
      </c>
    </row>
    <row r="56" spans="1:7">
      <c r="A56" s="118">
        <v>2067</v>
      </c>
      <c r="B56" s="118">
        <v>72</v>
      </c>
      <c r="C56" s="118">
        <v>44</v>
      </c>
      <c r="D56" s="118">
        <f t="shared" si="0"/>
        <v>1</v>
      </c>
      <c r="F56" s="115"/>
      <c r="G56" s="118">
        <f t="shared" ca="1" si="1"/>
        <v>30905.881497003233</v>
      </c>
    </row>
    <row r="57" spans="1:7">
      <c r="A57" s="118">
        <v>2068</v>
      </c>
      <c r="B57" s="118">
        <v>73</v>
      </c>
      <c r="C57" s="118">
        <v>45</v>
      </c>
      <c r="D57" s="118">
        <f t="shared" si="0"/>
        <v>1</v>
      </c>
      <c r="F57" s="115"/>
      <c r="G57" s="118">
        <f t="shared" ca="1" si="1"/>
        <v>32585.550103224174</v>
      </c>
    </row>
    <row r="58" spans="1:7">
      <c r="A58" s="118">
        <v>2069</v>
      </c>
      <c r="B58" s="118">
        <v>74</v>
      </c>
      <c r="C58" s="118">
        <v>46</v>
      </c>
      <c r="D58" s="118">
        <f t="shared" si="0"/>
        <v>1</v>
      </c>
      <c r="F58" s="115"/>
      <c r="G58" s="118">
        <f t="shared" ca="1" si="1"/>
        <v>32912.917387544228</v>
      </c>
    </row>
    <row r="59" spans="1:7">
      <c r="A59" s="118">
        <v>2070</v>
      </c>
      <c r="B59" s="118">
        <v>75</v>
      </c>
      <c r="C59" s="118">
        <v>47</v>
      </c>
      <c r="D59" s="118">
        <f t="shared" si="0"/>
        <v>1</v>
      </c>
      <c r="F59" s="115"/>
      <c r="G59" s="118">
        <f t="shared" ca="1" si="1"/>
        <v>34814.403956723225</v>
      </c>
    </row>
    <row r="60" spans="1:7">
      <c r="A60" s="118">
        <v>2071</v>
      </c>
      <c r="B60" s="118">
        <v>76</v>
      </c>
      <c r="C60" s="118">
        <v>48</v>
      </c>
      <c r="D60" s="118">
        <f t="shared" si="0"/>
        <v>0.75</v>
      </c>
      <c r="F60" s="115"/>
      <c r="G60" s="118">
        <f ca="1">$L$10 * (1 + $L$11) ^ C60 * (1 + _xlfn.NORM.INV(RAND(), 0.025, 0.02))*0.75</f>
        <v>25513.119824527654</v>
      </c>
    </row>
    <row r="61" spans="1:7">
      <c r="A61" s="118">
        <v>2072</v>
      </c>
      <c r="B61" s="118">
        <v>77</v>
      </c>
      <c r="C61" s="118">
        <v>49</v>
      </c>
      <c r="D61" s="118">
        <f t="shared" si="0"/>
        <v>0.75</v>
      </c>
      <c r="F61" s="115"/>
      <c r="G61" s="118">
        <f t="shared" ref="G61:G67" ca="1" si="2">$L$10 * (1 + $L$11) ^ C61 * (1 + _xlfn.NORM.INV(RAND(), 0.025, 0.02))*0.75</f>
        <v>26826.11291559002</v>
      </c>
    </row>
    <row r="62" spans="1:7">
      <c r="A62" s="118">
        <v>2073</v>
      </c>
      <c r="B62" s="118">
        <v>78</v>
      </c>
      <c r="C62" s="118">
        <v>50</v>
      </c>
      <c r="D62" s="118">
        <f>IF(B62&lt;=75,$M$8,$M$9)</f>
        <v>0.75</v>
      </c>
      <c r="F62" s="115"/>
      <c r="G62" s="118">
        <f t="shared" ca="1" si="2"/>
        <v>27952.437617040341</v>
      </c>
    </row>
    <row r="63" spans="1:7">
      <c r="A63" s="118">
        <v>2074</v>
      </c>
      <c r="B63" s="118">
        <v>79</v>
      </c>
      <c r="C63" s="118">
        <v>51</v>
      </c>
      <c r="D63" s="118">
        <f t="shared" si="0"/>
        <v>0.75</v>
      </c>
      <c r="F63" s="115"/>
      <c r="G63" s="118">
        <f t="shared" ca="1" si="2"/>
        <v>28346.274688004443</v>
      </c>
    </row>
    <row r="64" spans="1:7">
      <c r="A64" s="118">
        <v>2075</v>
      </c>
      <c r="B64" s="118">
        <v>80</v>
      </c>
      <c r="C64" s="118">
        <v>52</v>
      </c>
      <c r="D64" s="118">
        <f t="shared" si="0"/>
        <v>0.75</v>
      </c>
      <c r="F64" s="115"/>
      <c r="G64" s="118">
        <f t="shared" ca="1" si="2"/>
        <v>30032.061915154845</v>
      </c>
    </row>
    <row r="65" spans="1:7">
      <c r="A65" s="118">
        <v>2076</v>
      </c>
      <c r="B65" s="118">
        <v>81</v>
      </c>
      <c r="C65" s="118">
        <v>53</v>
      </c>
      <c r="D65" s="118">
        <f t="shared" si="0"/>
        <v>0.75</v>
      </c>
      <c r="F65" s="115"/>
      <c r="G65" s="118">
        <f t="shared" ca="1" si="2"/>
        <v>31586.275168804059</v>
      </c>
    </row>
    <row r="66" spans="1:7">
      <c r="A66" s="118">
        <v>2077</v>
      </c>
      <c r="B66" s="118">
        <v>82</v>
      </c>
      <c r="C66" s="118">
        <v>54</v>
      </c>
      <c r="D66" s="118">
        <f t="shared" ref="D66:D67" si="3">IF(B66&lt;=75,$M$8,$M$9)</f>
        <v>0.75</v>
      </c>
      <c r="F66" s="115"/>
      <c r="G66" s="118">
        <f t="shared" ca="1" si="2"/>
        <v>30865.532962550256</v>
      </c>
    </row>
    <row r="67" spans="1:7">
      <c r="A67" s="118">
        <v>2078</v>
      </c>
      <c r="B67" s="118">
        <v>83</v>
      </c>
      <c r="C67" s="118">
        <v>55</v>
      </c>
      <c r="D67" s="118">
        <f t="shared" si="3"/>
        <v>0.75</v>
      </c>
      <c r="F67" s="115"/>
      <c r="G67" s="118">
        <f t="shared" ca="1" si="2"/>
        <v>31745.709949045297</v>
      </c>
    </row>
  </sheetData>
  <phoneticPr fontId="2" type="noConversion"/>
  <hyperlinks>
    <hyperlink ref="L12" r:id="rId1" xr:uid="{A00D1028-6E48-4C8B-9A57-371BD03ED38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A4E80-566D-4827-B0AA-E4BB9ED83382}">
  <sheetPr codeName="Sheet13">
    <tabColor rgb="FF7030A0"/>
  </sheetPr>
  <dimension ref="A1:L67"/>
  <sheetViews>
    <sheetView zoomScale="110" workbookViewId="0">
      <selection activeCell="J13" sqref="J13"/>
    </sheetView>
  </sheetViews>
  <sheetFormatPr defaultColWidth="10.73046875" defaultRowHeight="13.9"/>
  <cols>
    <col min="1" max="2" width="11" style="127" bestFit="1" customWidth="1"/>
    <col min="3" max="3" width="15.3984375" style="127" customWidth="1"/>
    <col min="4" max="6" width="10.73046875" style="127"/>
    <col min="7" max="7" width="39.59765625" style="127" customWidth="1"/>
    <col min="8" max="8" width="22.3984375" style="127" customWidth="1"/>
    <col min="9" max="10" width="15.73046875" style="127" customWidth="1"/>
    <col min="11" max="11" width="10.73046875" style="127"/>
    <col min="12" max="12" width="36.46484375" style="127" customWidth="1"/>
    <col min="13" max="16384" width="10.73046875" style="127"/>
  </cols>
  <sheetData>
    <row r="1" spans="1:12" ht="61.15" customHeight="1">
      <c r="A1" s="126" t="s">
        <v>362</v>
      </c>
      <c r="B1" s="126" t="s">
        <v>363</v>
      </c>
      <c r="C1" s="141" t="s">
        <v>379</v>
      </c>
    </row>
    <row r="2" spans="1:12" ht="101.25" customHeight="1" thickBot="1">
      <c r="A2" s="128">
        <v>2013</v>
      </c>
      <c r="B2" s="128"/>
      <c r="G2" s="126" t="s">
        <v>380</v>
      </c>
      <c r="H2" s="127" t="s">
        <v>381</v>
      </c>
      <c r="I2" s="127" t="s">
        <v>382</v>
      </c>
      <c r="J2" s="127" t="s">
        <v>383</v>
      </c>
      <c r="K2" s="127" t="s">
        <v>384</v>
      </c>
      <c r="L2" s="126" t="s">
        <v>385</v>
      </c>
    </row>
    <row r="3" spans="1:12" ht="27">
      <c r="A3" s="128">
        <v>2014</v>
      </c>
      <c r="B3" s="128"/>
      <c r="G3" s="183" t="s">
        <v>386</v>
      </c>
      <c r="H3" s="155" t="s">
        <v>387</v>
      </c>
      <c r="I3" s="188" t="s">
        <v>388</v>
      </c>
      <c r="J3" s="155">
        <v>6721</v>
      </c>
      <c r="K3" s="155" t="s">
        <v>389</v>
      </c>
      <c r="L3" s="156">
        <v>40</v>
      </c>
    </row>
    <row r="4" spans="1:12" ht="41.65">
      <c r="A4" s="128">
        <v>2015</v>
      </c>
      <c r="B4" s="128"/>
      <c r="G4" s="190" t="s">
        <v>390</v>
      </c>
      <c r="H4" s="126" t="s">
        <v>391</v>
      </c>
      <c r="I4" s="189" t="s">
        <v>392</v>
      </c>
      <c r="J4" s="129">
        <v>2.5000000000000001E-2</v>
      </c>
      <c r="L4" s="130"/>
    </row>
    <row r="5" spans="1:12" ht="27.75">
      <c r="A5" s="128">
        <v>2016</v>
      </c>
      <c r="B5" s="128"/>
      <c r="G5" s="190" t="s">
        <v>393</v>
      </c>
      <c r="H5" s="127" t="s">
        <v>394</v>
      </c>
      <c r="I5" s="189" t="s">
        <v>392</v>
      </c>
      <c r="J5" s="131">
        <v>0.04</v>
      </c>
      <c r="L5" s="130"/>
    </row>
    <row r="6" spans="1:12" ht="41.65">
      <c r="A6" s="128">
        <v>2017</v>
      </c>
      <c r="B6" s="128"/>
      <c r="G6" s="190" t="s">
        <v>395</v>
      </c>
      <c r="H6" s="126" t="s">
        <v>396</v>
      </c>
      <c r="I6" s="189" t="s">
        <v>392</v>
      </c>
      <c r="J6" s="129">
        <v>5.5E-2</v>
      </c>
      <c r="L6" s="130"/>
    </row>
    <row r="7" spans="1:12" ht="40.5">
      <c r="A7" s="128">
        <v>2018</v>
      </c>
      <c r="B7" s="128"/>
      <c r="G7" s="191" t="s">
        <v>397</v>
      </c>
      <c r="H7" s="194" t="s">
        <v>398</v>
      </c>
      <c r="I7" s="195" t="s">
        <v>399</v>
      </c>
      <c r="L7" s="130"/>
    </row>
    <row r="8" spans="1:12" ht="27.75">
      <c r="A8" s="128">
        <v>2019</v>
      </c>
      <c r="B8" s="128">
        <v>24</v>
      </c>
      <c r="C8" s="127">
        <v>6721</v>
      </c>
      <c r="G8" s="192" t="s">
        <v>400</v>
      </c>
      <c r="H8" s="132">
        <v>0.1</v>
      </c>
      <c r="I8" s="127">
        <v>0.8</v>
      </c>
      <c r="L8" s="130"/>
    </row>
    <row r="9" spans="1:12" ht="27.75">
      <c r="A9" s="128">
        <v>2020</v>
      </c>
      <c r="B9" s="128">
        <v>25</v>
      </c>
      <c r="C9" s="127">
        <f t="shared" ref="C9:C33" si="0">6721+40*(B9-24)</f>
        <v>6761</v>
      </c>
      <c r="G9" s="192" t="s">
        <v>401</v>
      </c>
      <c r="H9" s="132">
        <v>0.7</v>
      </c>
      <c r="I9" s="127">
        <v>1</v>
      </c>
      <c r="L9" s="130"/>
    </row>
    <row r="10" spans="1:12" ht="27.75">
      <c r="A10" s="128">
        <v>2021</v>
      </c>
      <c r="B10" s="128">
        <v>26</v>
      </c>
      <c r="C10" s="127">
        <f t="shared" si="0"/>
        <v>6801</v>
      </c>
      <c r="G10" s="192" t="s">
        <v>402</v>
      </c>
      <c r="H10" s="132">
        <v>0.15</v>
      </c>
      <c r="I10" s="127">
        <v>1.5</v>
      </c>
      <c r="L10" s="130"/>
    </row>
    <row r="11" spans="1:12" ht="28.15" thickBot="1">
      <c r="A11" s="128">
        <v>2022</v>
      </c>
      <c r="B11" s="128">
        <v>27</v>
      </c>
      <c r="C11" s="127">
        <f t="shared" si="0"/>
        <v>6841</v>
      </c>
      <c r="G11" s="193" t="s">
        <v>403</v>
      </c>
      <c r="H11" s="133">
        <v>0.05</v>
      </c>
      <c r="I11" s="134">
        <v>2</v>
      </c>
      <c r="J11" s="134"/>
      <c r="K11" s="134"/>
      <c r="L11" s="135"/>
    </row>
    <row r="12" spans="1:12">
      <c r="A12" s="128">
        <v>2023</v>
      </c>
      <c r="B12" s="128">
        <v>28</v>
      </c>
      <c r="C12" s="127">
        <f t="shared" si="0"/>
        <v>6881</v>
      </c>
    </row>
    <row r="13" spans="1:12">
      <c r="A13" s="127" cm="1">
        <f t="array" ref="A13:A67">_xlfn.SEQUENCE(55,1,2024,1)</f>
        <v>2024</v>
      </c>
      <c r="B13" s="127">
        <v>29</v>
      </c>
      <c r="C13" s="127">
        <f t="shared" si="0"/>
        <v>6921</v>
      </c>
      <c r="G13" s="127" t="s">
        <v>404</v>
      </c>
      <c r="H13" s="127">
        <f ca="1">SUM(C49:C67)</f>
        <v>624592.59652382671</v>
      </c>
      <c r="J13" s="159"/>
    </row>
    <row r="14" spans="1:12">
      <c r="A14" s="127">
        <v>2025</v>
      </c>
      <c r="B14" s="127">
        <v>30</v>
      </c>
      <c r="C14" s="127">
        <f t="shared" si="0"/>
        <v>6961</v>
      </c>
    </row>
    <row r="15" spans="1:12">
      <c r="A15" s="127">
        <v>2026</v>
      </c>
      <c r="B15" s="127">
        <v>31</v>
      </c>
      <c r="C15" s="127">
        <f t="shared" si="0"/>
        <v>7001</v>
      </c>
    </row>
    <row r="16" spans="1:12">
      <c r="A16" s="127">
        <v>2027</v>
      </c>
      <c r="B16" s="127">
        <v>32</v>
      </c>
      <c r="C16" s="127">
        <f t="shared" si="0"/>
        <v>7041</v>
      </c>
      <c r="G16" s="136"/>
      <c r="H16" s="126"/>
    </row>
    <row r="17" spans="1:3">
      <c r="A17" s="127">
        <v>2028</v>
      </c>
      <c r="B17" s="127">
        <v>33</v>
      </c>
      <c r="C17" s="127">
        <f t="shared" si="0"/>
        <v>7081</v>
      </c>
    </row>
    <row r="18" spans="1:3">
      <c r="A18" s="127">
        <v>2029</v>
      </c>
      <c r="B18" s="127">
        <v>34</v>
      </c>
      <c r="C18" s="127">
        <f t="shared" si="0"/>
        <v>7121</v>
      </c>
    </row>
    <row r="19" spans="1:3">
      <c r="A19" s="127">
        <v>2030</v>
      </c>
      <c r="B19" s="127">
        <v>35</v>
      </c>
      <c r="C19" s="127">
        <f t="shared" si="0"/>
        <v>7161</v>
      </c>
    </row>
    <row r="20" spans="1:3">
      <c r="A20" s="127">
        <v>2031</v>
      </c>
      <c r="B20" s="127">
        <v>36</v>
      </c>
      <c r="C20" s="127">
        <f t="shared" si="0"/>
        <v>7201</v>
      </c>
    </row>
    <row r="21" spans="1:3">
      <c r="A21" s="127">
        <v>2032</v>
      </c>
      <c r="B21" s="127">
        <v>37</v>
      </c>
      <c r="C21" s="127">
        <f t="shared" si="0"/>
        <v>7241</v>
      </c>
    </row>
    <row r="22" spans="1:3">
      <c r="A22" s="127">
        <v>2033</v>
      </c>
      <c r="B22" s="127">
        <v>38</v>
      </c>
      <c r="C22" s="127">
        <f t="shared" si="0"/>
        <v>7281</v>
      </c>
    </row>
    <row r="23" spans="1:3">
      <c r="A23" s="127">
        <v>2034</v>
      </c>
      <c r="B23" s="127">
        <v>39</v>
      </c>
      <c r="C23" s="127">
        <f t="shared" si="0"/>
        <v>7321</v>
      </c>
    </row>
    <row r="24" spans="1:3">
      <c r="A24" s="127">
        <v>2035</v>
      </c>
      <c r="B24" s="127">
        <v>40</v>
      </c>
      <c r="C24" s="127">
        <f t="shared" si="0"/>
        <v>7361</v>
      </c>
    </row>
    <row r="25" spans="1:3">
      <c r="A25" s="127">
        <v>2036</v>
      </c>
      <c r="B25" s="127">
        <v>41</v>
      </c>
      <c r="C25" s="127">
        <f t="shared" si="0"/>
        <v>7401</v>
      </c>
    </row>
    <row r="26" spans="1:3">
      <c r="A26" s="127">
        <v>2037</v>
      </c>
      <c r="B26" s="127">
        <v>42</v>
      </c>
      <c r="C26" s="127">
        <f t="shared" si="0"/>
        <v>7441</v>
      </c>
    </row>
    <row r="27" spans="1:3">
      <c r="A27" s="127">
        <v>2038</v>
      </c>
      <c r="B27" s="127">
        <v>43</v>
      </c>
      <c r="C27" s="127">
        <f t="shared" si="0"/>
        <v>7481</v>
      </c>
    </row>
    <row r="28" spans="1:3">
      <c r="A28" s="127">
        <v>2039</v>
      </c>
      <c r="B28" s="127">
        <v>44</v>
      </c>
      <c r="C28" s="127">
        <f t="shared" si="0"/>
        <v>7521</v>
      </c>
    </row>
    <row r="29" spans="1:3">
      <c r="A29" s="127">
        <v>2040</v>
      </c>
      <c r="B29" s="127">
        <v>45</v>
      </c>
      <c r="C29" s="127">
        <f t="shared" si="0"/>
        <v>7561</v>
      </c>
    </row>
    <row r="30" spans="1:3">
      <c r="A30" s="127">
        <v>2041</v>
      </c>
      <c r="B30" s="127">
        <v>46</v>
      </c>
      <c r="C30" s="127">
        <f t="shared" si="0"/>
        <v>7601</v>
      </c>
    </row>
    <row r="31" spans="1:3">
      <c r="A31" s="127">
        <v>2042</v>
      </c>
      <c r="B31" s="127">
        <v>47</v>
      </c>
      <c r="C31" s="127">
        <f t="shared" si="0"/>
        <v>7641</v>
      </c>
    </row>
    <row r="32" spans="1:3">
      <c r="A32" s="127">
        <v>2043</v>
      </c>
      <c r="B32" s="127">
        <v>48</v>
      </c>
      <c r="C32" s="127">
        <f t="shared" si="0"/>
        <v>7681</v>
      </c>
    </row>
    <row r="33" spans="1:3">
      <c r="A33" s="127">
        <v>2044</v>
      </c>
      <c r="B33" s="127">
        <v>49</v>
      </c>
      <c r="C33" s="127">
        <f t="shared" si="0"/>
        <v>7721</v>
      </c>
    </row>
    <row r="34" spans="1:3">
      <c r="A34" s="127">
        <v>2045</v>
      </c>
      <c r="B34" s="127">
        <v>50</v>
      </c>
      <c r="C34" s="127">
        <f>C33*(1+0.025)</f>
        <v>7914.0249999999996</v>
      </c>
    </row>
    <row r="35" spans="1:3">
      <c r="A35" s="127">
        <v>2046</v>
      </c>
      <c r="B35" s="127">
        <v>51</v>
      </c>
      <c r="C35" s="127">
        <f t="shared" ref="C35:C48" si="1">C34*(1+0.025)</f>
        <v>8111.8756249999988</v>
      </c>
    </row>
    <row r="36" spans="1:3">
      <c r="A36" s="127">
        <v>2047</v>
      </c>
      <c r="B36" s="127">
        <v>52</v>
      </c>
      <c r="C36" s="127">
        <f t="shared" si="1"/>
        <v>8314.6725156249977</v>
      </c>
    </row>
    <row r="37" spans="1:3">
      <c r="A37" s="127">
        <v>2048</v>
      </c>
      <c r="B37" s="127">
        <v>53</v>
      </c>
      <c r="C37" s="127">
        <f t="shared" si="1"/>
        <v>8522.5393285156224</v>
      </c>
    </row>
    <row r="38" spans="1:3">
      <c r="A38" s="127">
        <v>2049</v>
      </c>
      <c r="B38" s="127">
        <v>54</v>
      </c>
      <c r="C38" s="127">
        <f t="shared" si="1"/>
        <v>8735.6028117285114</v>
      </c>
    </row>
    <row r="39" spans="1:3">
      <c r="A39" s="127">
        <v>2050</v>
      </c>
      <c r="B39" s="127">
        <v>55</v>
      </c>
      <c r="C39" s="127">
        <f t="shared" si="1"/>
        <v>8953.9928820217228</v>
      </c>
    </row>
    <row r="40" spans="1:3">
      <c r="A40" s="127">
        <v>2051</v>
      </c>
      <c r="B40" s="127">
        <v>56</v>
      </c>
      <c r="C40" s="127">
        <f t="shared" si="1"/>
        <v>9177.8427040722654</v>
      </c>
    </row>
    <row r="41" spans="1:3">
      <c r="A41" s="127">
        <v>2052</v>
      </c>
      <c r="B41" s="127">
        <v>57</v>
      </c>
      <c r="C41" s="127">
        <f t="shared" si="1"/>
        <v>9407.2887716740715</v>
      </c>
    </row>
    <row r="42" spans="1:3">
      <c r="A42" s="127">
        <v>2053</v>
      </c>
      <c r="B42" s="127">
        <v>58</v>
      </c>
      <c r="C42" s="127">
        <f t="shared" si="1"/>
        <v>9642.4709909659232</v>
      </c>
    </row>
    <row r="43" spans="1:3">
      <c r="A43" s="127">
        <v>2054</v>
      </c>
      <c r="B43" s="127">
        <v>59</v>
      </c>
      <c r="C43" s="127">
        <f t="shared" si="1"/>
        <v>9883.5327657400703</v>
      </c>
    </row>
    <row r="44" spans="1:3">
      <c r="A44" s="127">
        <v>2055</v>
      </c>
      <c r="B44" s="127">
        <v>60</v>
      </c>
      <c r="C44" s="127">
        <f t="shared" si="1"/>
        <v>10130.621084883571</v>
      </c>
    </row>
    <row r="45" spans="1:3">
      <c r="A45" s="127">
        <v>2056</v>
      </c>
      <c r="B45" s="127">
        <v>61</v>
      </c>
      <c r="C45" s="127">
        <f t="shared" si="1"/>
        <v>10383.886612005659</v>
      </c>
    </row>
    <row r="46" spans="1:3">
      <c r="A46" s="127">
        <v>2057</v>
      </c>
      <c r="B46" s="127">
        <v>62</v>
      </c>
      <c r="C46" s="127">
        <f t="shared" si="1"/>
        <v>10643.483777305799</v>
      </c>
    </row>
    <row r="47" spans="1:3">
      <c r="A47" s="127">
        <v>2058</v>
      </c>
      <c r="B47" s="127">
        <v>63</v>
      </c>
      <c r="C47" s="127">
        <f t="shared" si="1"/>
        <v>10909.570871738442</v>
      </c>
    </row>
    <row r="48" spans="1:3">
      <c r="A48" s="127">
        <v>2059</v>
      </c>
      <c r="B48" s="127">
        <v>64</v>
      </c>
      <c r="C48" s="127">
        <f t="shared" si="1"/>
        <v>11182.310143531902</v>
      </c>
    </row>
    <row r="49" spans="1:3" s="154" customFormat="1">
      <c r="A49" s="154">
        <v>2060</v>
      </c>
      <c r="B49" s="154">
        <v>65</v>
      </c>
      <c r="C49" s="154">
        <f ca="1">C48*((1+0.04)*(1+RAND()*0.2-0.1)*LOOKUP(RAND(),{0,0.1,0.8,0.95},{0.8,1,1.5,2}))</f>
        <v>18412.066628157365</v>
      </c>
    </row>
    <row r="50" spans="1:3">
      <c r="A50" s="127">
        <v>2061</v>
      </c>
      <c r="B50" s="127">
        <v>66</v>
      </c>
      <c r="C50" s="127">
        <f ca="1">C49*((1+0.04)*(1+RAND()*0.2-0.1)*LOOKUP(RAND(),{0,0.1,0.8,0.95},{0.8,1,1.5,2}))</f>
        <v>20351.78905108455</v>
      </c>
    </row>
    <row r="51" spans="1:3">
      <c r="A51" s="127">
        <v>2062</v>
      </c>
      <c r="B51" s="127">
        <v>67</v>
      </c>
      <c r="C51" s="127">
        <f ca="1">C50*((1+0.04)*(1+RAND()*0.2-0.1)*LOOKUP(RAND(),{0,0.1,0.8,0.95},{0.8,1,1.5,2}))</f>
        <v>20044.961472469804</v>
      </c>
    </row>
    <row r="52" spans="1:3">
      <c r="A52" s="127">
        <v>2063</v>
      </c>
      <c r="B52" s="127">
        <v>68</v>
      </c>
      <c r="C52" s="127">
        <f ca="1">C51*((1+0.04)*(1+RAND()*0.2-0.1)*LOOKUP(RAND(),{0,0.1,0.8,0.95},{0.8,1,1.5,2}))</f>
        <v>18862.349956328984</v>
      </c>
    </row>
    <row r="53" spans="1:3">
      <c r="A53" s="127">
        <v>2064</v>
      </c>
      <c r="B53" s="127">
        <v>69</v>
      </c>
      <c r="C53" s="127">
        <f ca="1">C52*((1+0.04)*(1+RAND()*0.2-0.1)*LOOKUP(RAND(),{0,0.1,0.8,0.95},{0.8,1,1.5,2}))</f>
        <v>18674.515230442241</v>
      </c>
    </row>
    <row r="54" spans="1:3">
      <c r="A54" s="127">
        <v>2065</v>
      </c>
      <c r="B54" s="127">
        <v>70</v>
      </c>
      <c r="C54" s="127">
        <f ca="1">C53*((1+0.04)*(1+RAND()*0.2-0.1)*LOOKUP(RAND(),{0,0.1,0.8,0.95},{0.8,1,1.5,2}))</f>
        <v>17873.741225008151</v>
      </c>
    </row>
    <row r="55" spans="1:3">
      <c r="A55" s="127">
        <v>2066</v>
      </c>
      <c r="B55" s="127">
        <v>71</v>
      </c>
      <c r="C55" s="127">
        <f ca="1">C54*((1+0.04)*(1+RAND()*0.2-0.1)*LOOKUP(RAND(),{0,0.1,0.8,0.95},{0.8,1,1.5,2}))</f>
        <v>17106.740883205901</v>
      </c>
    </row>
    <row r="56" spans="1:3">
      <c r="A56" s="127">
        <v>2067</v>
      </c>
      <c r="B56" s="127">
        <v>72</v>
      </c>
      <c r="C56" s="127">
        <f ca="1">C55*((1+0.04)*(1+RAND()*0.2-0.1)*LOOKUP(RAND(),{0,0.1,0.8,0.95},{0.8,1,1.5,2}))</f>
        <v>19028.070884183882</v>
      </c>
    </row>
    <row r="57" spans="1:3">
      <c r="A57" s="127">
        <v>2068</v>
      </c>
      <c r="B57" s="127">
        <v>73</v>
      </c>
      <c r="C57" s="127">
        <f ca="1">C56*((1+0.04)*(1+RAND()*0.2-0.1)*LOOKUP(RAND(),{0,0.1,0.8,0.95},{0.8,1,1.5,2}))</f>
        <v>40281.842673899751</v>
      </c>
    </row>
    <row r="58" spans="1:3">
      <c r="A58" s="127">
        <v>2069</v>
      </c>
      <c r="B58" s="127">
        <v>74</v>
      </c>
      <c r="C58" s="127">
        <f ca="1">C57*((1+0.04)*(1+RAND()*0.2-0.1)*LOOKUP(RAND(),{0,0.1,0.8,0.95},{0.8,1,1.5,2}))</f>
        <v>32041.796136138575</v>
      </c>
    </row>
    <row r="59" spans="1:3">
      <c r="A59" s="127">
        <v>2070</v>
      </c>
      <c r="B59" s="127">
        <v>75</v>
      </c>
      <c r="C59" s="127">
        <f ca="1">C58*((1+0.04)*(1+RAND()*0.2-0.1)*LOOKUP(RAND(),{0,0.1,0.8,0.95},{0.8,1,1.5,2}))</f>
        <v>32293.342240572121</v>
      </c>
    </row>
    <row r="60" spans="1:3">
      <c r="A60" s="127">
        <v>2071</v>
      </c>
      <c r="B60" s="127">
        <v>76</v>
      </c>
      <c r="C60" s="127">
        <f ca="1">C59*((1+0.055)*(1+RAND()*0.2-0.1)*LOOKUP(RAND(), {0,0.1,0.8,0.95}, {0.8,1,1.5,2}))</f>
        <v>33854.805271301797</v>
      </c>
    </row>
    <row r="61" spans="1:3">
      <c r="A61" s="127">
        <v>2072</v>
      </c>
      <c r="B61" s="127">
        <v>77</v>
      </c>
      <c r="C61" s="127">
        <f ca="1">C60*((1+0.055)*(1+RAND()*0.2-0.1)*LOOKUP(RAND(), {0,0.1,0.8,0.95}, {0.8,1,1.5,2}))</f>
        <v>37627.341368990543</v>
      </c>
    </row>
    <row r="62" spans="1:3">
      <c r="A62" s="127">
        <v>2073</v>
      </c>
      <c r="B62" s="127">
        <v>78</v>
      </c>
      <c r="C62" s="127">
        <f ca="1">C61*((1+0.055)*(1+RAND()*0.2-0.1)*LOOKUP(RAND(), {0,0.1,0.8,0.95}, {0.8,1,1.5,2}))</f>
        <v>39132.086045648182</v>
      </c>
    </row>
    <row r="63" spans="1:3">
      <c r="A63" s="127">
        <v>2074</v>
      </c>
      <c r="B63" s="127">
        <v>79</v>
      </c>
      <c r="C63" s="127">
        <f ca="1">C62*((1+0.055)*(1+RAND()*0.2-0.1)*LOOKUP(RAND(), {0,0.1,0.8,0.95}, {0.8,1,1.5,2}))</f>
        <v>39623.684657400016</v>
      </c>
    </row>
    <row r="64" spans="1:3">
      <c r="A64" s="127">
        <v>2075</v>
      </c>
      <c r="B64" s="127">
        <v>80</v>
      </c>
      <c r="C64" s="127">
        <f ca="1">C63*((1+0.055)*(1+RAND()*0.2-0.1)*LOOKUP(RAND(), {0,0.1,0.8,0.95}, {0.8,1,1.5,2}))</f>
        <v>43641.556969303681</v>
      </c>
    </row>
    <row r="65" spans="1:3">
      <c r="A65" s="127">
        <v>2076</v>
      </c>
      <c r="B65" s="127">
        <v>81</v>
      </c>
      <c r="C65" s="127">
        <f ca="1">C64*((1+0.055)*(1+RAND()*0.2-0.1)*LOOKUP(RAND(), {0,0.1,0.8,0.95}, {0.8,1,1.5,2}))</f>
        <v>48996.917291314865</v>
      </c>
    </row>
    <row r="66" spans="1:3">
      <c r="A66" s="127">
        <v>2077</v>
      </c>
      <c r="B66" s="127">
        <v>82</v>
      </c>
      <c r="C66" s="127">
        <f ca="1">C65*((1+0.055)*(1+RAND()*0.2-0.1)*LOOKUP(RAND(), {0,0.1,0.8,0.95}, {0.8,1,1.5,2}))</f>
        <v>47642.710519061504</v>
      </c>
    </row>
    <row r="67" spans="1:3">
      <c r="A67" s="127">
        <v>2078</v>
      </c>
      <c r="B67" s="127">
        <v>83</v>
      </c>
      <c r="C67" s="127">
        <f ca="1">C66*((1+0.055)*(1+RAND()*0.2-0.1)*LOOKUP(RAND(), {0,0.1,0.8,0.95}, {0.8,1,1.5,2}))</f>
        <v>79102.278019314777</v>
      </c>
    </row>
  </sheetData>
  <phoneticPr fontId="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32207-5C4C-4A85-B8E6-03D53CF1CC62}">
  <sheetPr codeName="Sheet14">
    <tabColor rgb="FF7030A0"/>
  </sheetPr>
  <dimension ref="A1:N61"/>
  <sheetViews>
    <sheetView tabSelected="1" workbookViewId="0">
      <selection activeCell="C43" sqref="C43"/>
    </sheetView>
  </sheetViews>
  <sheetFormatPr defaultColWidth="10.73046875" defaultRowHeight="13.9"/>
  <cols>
    <col min="1" max="1" width="18.3984375" style="118" customWidth="1"/>
    <col min="2" max="2" width="10.73046875" style="118"/>
    <col min="3" max="3" width="26.1328125" style="144" customWidth="1"/>
    <col min="4" max="4" width="26.1328125" style="118" customWidth="1"/>
    <col min="5" max="7" width="10.73046875" style="118"/>
    <col min="8" max="8" width="31.3984375" style="118" customWidth="1"/>
    <col min="9" max="10" width="10.73046875" style="118"/>
    <col min="11" max="11" width="24.46484375" style="118" customWidth="1"/>
    <col min="12" max="12" width="10.73046875" style="118"/>
    <col min="13" max="13" width="39" style="118" customWidth="1"/>
    <col min="14" max="14" width="21.73046875" style="118" customWidth="1"/>
    <col min="15" max="16384" width="10.73046875" style="118"/>
  </cols>
  <sheetData>
    <row r="1" spans="1:14" ht="27">
      <c r="A1" s="138" t="s">
        <v>267</v>
      </c>
      <c r="B1" s="138" t="s">
        <v>91</v>
      </c>
      <c r="C1" s="143" t="s">
        <v>405</v>
      </c>
      <c r="D1" s="140" t="s">
        <v>406</v>
      </c>
      <c r="E1" s="138" t="s">
        <v>407</v>
      </c>
      <c r="F1" s="138"/>
      <c r="G1" s="138"/>
      <c r="H1" s="138"/>
    </row>
    <row r="2" spans="1:14">
      <c r="A2" s="118">
        <v>2019</v>
      </c>
      <c r="B2" s="118">
        <v>24</v>
      </c>
      <c r="C2" s="144">
        <f ca="1">ROUND(_xlfn.NORM.INV(RAND(), 11929, 500), 2)</f>
        <v>11425.97</v>
      </c>
    </row>
    <row r="3" spans="1:14">
      <c r="A3" s="118">
        <v>2020</v>
      </c>
      <c r="B3" s="118">
        <v>25</v>
      </c>
      <c r="C3" s="144">
        <f t="shared" ref="C3:C34" ca="1" si="0">_xlfn.NORM.INV(RAND(),C2*(1+0.033),500*(1+0.033)^(A3-$A$2))</f>
        <v>11861.385659515439</v>
      </c>
    </row>
    <row r="4" spans="1:14">
      <c r="A4" s="118">
        <v>2021</v>
      </c>
      <c r="B4" s="118">
        <v>26</v>
      </c>
      <c r="C4" s="144">
        <f t="shared" ca="1" si="0"/>
        <v>13074.152705822999</v>
      </c>
    </row>
    <row r="5" spans="1:14">
      <c r="A5" s="118">
        <v>2022</v>
      </c>
      <c r="B5" s="118">
        <v>27</v>
      </c>
      <c r="C5" s="144">
        <f t="shared" ca="1" si="0"/>
        <v>13676.488556142011</v>
      </c>
    </row>
    <row r="6" spans="1:14">
      <c r="A6" s="118">
        <v>2023</v>
      </c>
      <c r="B6" s="118">
        <v>28</v>
      </c>
      <c r="C6" s="144">
        <f t="shared" ca="1" si="0"/>
        <v>14674.756752291774</v>
      </c>
      <c r="D6" s="137"/>
      <c r="J6" s="119" t="s">
        <v>408</v>
      </c>
      <c r="K6" s="157" t="s">
        <v>409</v>
      </c>
    </row>
    <row r="7" spans="1:14">
      <c r="A7" s="118">
        <v>2024</v>
      </c>
      <c r="B7" s="118">
        <v>29</v>
      </c>
      <c r="C7" s="144">
        <f t="shared" ca="1" si="0"/>
        <v>14821.21960347232</v>
      </c>
      <c r="J7" s="137">
        <v>11929</v>
      </c>
      <c r="K7" s="142">
        <v>500</v>
      </c>
      <c r="L7" s="124"/>
    </row>
    <row r="8" spans="1:14">
      <c r="A8" s="118">
        <v>2025</v>
      </c>
      <c r="B8" s="118">
        <v>30</v>
      </c>
      <c r="C8" s="144">
        <f t="shared" ca="1" si="0"/>
        <v>13985.893044661327</v>
      </c>
      <c r="K8" s="124"/>
      <c r="L8" s="122"/>
    </row>
    <row r="9" spans="1:14" ht="85.15" customHeight="1">
      <c r="A9" s="118">
        <v>2026</v>
      </c>
      <c r="B9" s="118">
        <v>31</v>
      </c>
      <c r="C9" s="144">
        <f t="shared" ca="1" si="0"/>
        <v>15760.18953216352</v>
      </c>
      <c r="K9" s="124"/>
      <c r="L9" s="124"/>
      <c r="M9" s="116" t="s">
        <v>410</v>
      </c>
      <c r="N9" s="3" t="s">
        <v>411</v>
      </c>
    </row>
    <row r="10" spans="1:14">
      <c r="A10" s="118">
        <v>2027</v>
      </c>
      <c r="B10" s="118">
        <v>32</v>
      </c>
      <c r="C10" s="144">
        <f t="shared" ca="1" si="0"/>
        <v>16018.523562274653</v>
      </c>
      <c r="K10" s="124"/>
      <c r="L10" s="122"/>
    </row>
    <row r="11" spans="1:14">
      <c r="A11" s="118">
        <v>2028</v>
      </c>
      <c r="B11" s="118">
        <v>33</v>
      </c>
      <c r="C11" s="144">
        <f t="shared" ca="1" si="0"/>
        <v>15804.062882558934</v>
      </c>
    </row>
    <row r="12" spans="1:14" ht="41.65">
      <c r="A12" s="118">
        <v>2029</v>
      </c>
      <c r="B12" s="118">
        <v>34</v>
      </c>
      <c r="C12" s="144">
        <f t="shared" ca="1" si="0"/>
        <v>16440.93507528476</v>
      </c>
      <c r="J12" s="117" t="s">
        <v>412</v>
      </c>
      <c r="K12" s="117" t="s">
        <v>413</v>
      </c>
    </row>
    <row r="13" spans="1:14">
      <c r="A13" s="118">
        <v>2030</v>
      </c>
      <c r="B13" s="118">
        <v>35</v>
      </c>
      <c r="C13" s="144">
        <f t="shared" ca="1" si="0"/>
        <v>17440.183041837761</v>
      </c>
      <c r="J13" s="118">
        <v>0.8</v>
      </c>
      <c r="K13" s="167" t="s">
        <v>414</v>
      </c>
      <c r="L13" s="124"/>
    </row>
    <row r="14" spans="1:14" ht="27.75">
      <c r="A14" s="118">
        <v>2031</v>
      </c>
      <c r="B14" s="118">
        <v>36</v>
      </c>
      <c r="C14" s="144">
        <f t="shared" ca="1" si="0"/>
        <v>18005.441786563362</v>
      </c>
      <c r="J14" s="118">
        <v>1</v>
      </c>
      <c r="K14" s="117" t="s">
        <v>415</v>
      </c>
      <c r="L14" s="124"/>
    </row>
    <row r="15" spans="1:14" ht="41.65">
      <c r="A15" s="118">
        <v>2032</v>
      </c>
      <c r="B15" s="118">
        <v>37</v>
      </c>
      <c r="C15" s="144">
        <f t="shared" ca="1" si="0"/>
        <v>19215.458060049601</v>
      </c>
      <c r="J15" s="118">
        <v>1.5</v>
      </c>
      <c r="K15" s="117" t="s">
        <v>416</v>
      </c>
      <c r="L15" s="124"/>
    </row>
    <row r="16" spans="1:14">
      <c r="A16" s="118">
        <v>2033</v>
      </c>
      <c r="B16" s="118">
        <v>38</v>
      </c>
      <c r="C16" s="144">
        <f t="shared" ca="1" si="0"/>
        <v>19796.145698073542</v>
      </c>
      <c r="J16" s="118">
        <v>2</v>
      </c>
      <c r="K16" s="119" t="s">
        <v>417</v>
      </c>
      <c r="L16" s="124"/>
    </row>
    <row r="17" spans="1:13" ht="83.25">
      <c r="A17" s="118">
        <v>2034</v>
      </c>
      <c r="B17" s="118">
        <v>39</v>
      </c>
      <c r="C17" s="144">
        <f t="shared" ca="1" si="0"/>
        <v>20247.994562497232</v>
      </c>
      <c r="J17" s="118">
        <v>2019</v>
      </c>
      <c r="K17" s="117" t="s">
        <v>418</v>
      </c>
      <c r="L17" s="118">
        <v>11929</v>
      </c>
      <c r="M17" s="117" t="s">
        <v>419</v>
      </c>
    </row>
    <row r="18" spans="1:13">
      <c r="A18" s="118">
        <v>2035</v>
      </c>
      <c r="B18" s="118">
        <v>40</v>
      </c>
      <c r="C18" s="144">
        <f t="shared" ca="1" si="0"/>
        <v>20707.034828486441</v>
      </c>
    </row>
    <row r="19" spans="1:13">
      <c r="A19" s="118">
        <v>2036</v>
      </c>
      <c r="B19" s="118">
        <v>41</v>
      </c>
      <c r="C19" s="144">
        <f t="shared" ca="1" si="0"/>
        <v>21853.459350892939</v>
      </c>
    </row>
    <row r="20" spans="1:13">
      <c r="A20" s="118">
        <v>2037</v>
      </c>
      <c r="B20" s="118">
        <v>42</v>
      </c>
      <c r="C20" s="144">
        <f t="shared" ca="1" si="0"/>
        <v>22247.055916225159</v>
      </c>
    </row>
    <row r="21" spans="1:13">
      <c r="A21" s="118">
        <v>2038</v>
      </c>
      <c r="B21" s="118">
        <v>43</v>
      </c>
      <c r="C21" s="144">
        <f t="shared" ca="1" si="0"/>
        <v>23305.565716450354</v>
      </c>
    </row>
    <row r="22" spans="1:13">
      <c r="A22" s="118">
        <v>2039</v>
      </c>
      <c r="B22" s="118">
        <v>44</v>
      </c>
      <c r="C22" s="144">
        <f t="shared" ca="1" si="0"/>
        <v>24238.823456635255</v>
      </c>
    </row>
    <row r="23" spans="1:13">
      <c r="A23" s="118">
        <v>2040</v>
      </c>
      <c r="B23" s="118">
        <v>45</v>
      </c>
      <c r="C23" s="144">
        <f t="shared" ca="1" si="0"/>
        <v>25779.922501574096</v>
      </c>
    </row>
    <row r="24" spans="1:13">
      <c r="A24" s="118">
        <v>2041</v>
      </c>
      <c r="B24" s="118">
        <v>46</v>
      </c>
      <c r="C24" s="144">
        <f t="shared" ca="1" si="0"/>
        <v>26309.718198472132</v>
      </c>
    </row>
    <row r="25" spans="1:13">
      <c r="A25" s="118">
        <v>2042</v>
      </c>
      <c r="B25" s="118">
        <v>47</v>
      </c>
      <c r="C25" s="144">
        <f t="shared" ca="1" si="0"/>
        <v>26745.091557023967</v>
      </c>
    </row>
    <row r="26" spans="1:13">
      <c r="A26" s="118">
        <v>2043</v>
      </c>
      <c r="B26" s="118">
        <v>48</v>
      </c>
      <c r="C26" s="144">
        <f t="shared" ca="1" si="0"/>
        <v>28367.881824418077</v>
      </c>
    </row>
    <row r="27" spans="1:13">
      <c r="A27" s="118">
        <v>2044</v>
      </c>
      <c r="B27" s="118">
        <v>49</v>
      </c>
      <c r="C27" s="144">
        <f t="shared" ca="1" si="0"/>
        <v>28482.824293095247</v>
      </c>
    </row>
    <row r="28" spans="1:13">
      <c r="A28" s="118">
        <v>2045</v>
      </c>
      <c r="B28" s="118">
        <v>50</v>
      </c>
      <c r="C28" s="144">
        <f t="shared" ca="1" si="0"/>
        <v>31076.994418312621</v>
      </c>
    </row>
    <row r="29" spans="1:13">
      <c r="A29" s="118">
        <v>2046</v>
      </c>
      <c r="B29" s="118">
        <v>51</v>
      </c>
      <c r="C29" s="144">
        <f t="shared" ca="1" si="0"/>
        <v>32016.26207660024</v>
      </c>
    </row>
    <row r="30" spans="1:13">
      <c r="A30" s="118">
        <v>2047</v>
      </c>
      <c r="B30" s="118">
        <v>52</v>
      </c>
      <c r="C30" s="144">
        <f t="shared" ca="1" si="0"/>
        <v>33522.017902671032</v>
      </c>
    </row>
    <row r="31" spans="1:13">
      <c r="A31" s="118">
        <v>2048</v>
      </c>
      <c r="B31" s="118">
        <v>53</v>
      </c>
      <c r="C31" s="144">
        <f t="shared" ca="1" si="0"/>
        <v>32998.484440040942</v>
      </c>
    </row>
    <row r="32" spans="1:13">
      <c r="A32" s="118">
        <v>2049</v>
      </c>
      <c r="B32" s="118">
        <v>54</v>
      </c>
      <c r="C32" s="144">
        <f t="shared" ca="1" si="0"/>
        <v>34841.246351252914</v>
      </c>
    </row>
    <row r="33" spans="1:6">
      <c r="A33" s="118">
        <v>2050</v>
      </c>
      <c r="B33" s="118">
        <v>55</v>
      </c>
      <c r="C33" s="144">
        <f t="shared" ca="1" si="0"/>
        <v>36076.461035089793</v>
      </c>
    </row>
    <row r="34" spans="1:6">
      <c r="A34" s="118">
        <v>2051</v>
      </c>
      <c r="B34" s="118">
        <v>56</v>
      </c>
      <c r="C34" s="144">
        <f t="shared" ca="1" si="0"/>
        <v>37839.755816223827</v>
      </c>
    </row>
    <row r="35" spans="1:6">
      <c r="A35" s="118">
        <v>2052</v>
      </c>
      <c r="B35" s="118">
        <v>57</v>
      </c>
      <c r="C35" s="144">
        <f t="shared" ref="C35:C61" ca="1" si="1">_xlfn.NORM.INV(RAND(),C34*(1+0.033),500*(1+0.033)^(A35-$A$2))</f>
        <v>38458.878045812569</v>
      </c>
    </row>
    <row r="36" spans="1:6">
      <c r="A36" s="118">
        <v>2053</v>
      </c>
      <c r="B36" s="118">
        <v>58</v>
      </c>
      <c r="C36" s="144">
        <f t="shared" ca="1" si="1"/>
        <v>39985.323596155766</v>
      </c>
    </row>
    <row r="37" spans="1:6">
      <c r="A37" s="118">
        <v>2054</v>
      </c>
      <c r="B37" s="118">
        <v>59</v>
      </c>
      <c r="C37" s="144">
        <f t="shared" ca="1" si="1"/>
        <v>42160.420480434223</v>
      </c>
    </row>
    <row r="38" spans="1:6">
      <c r="A38" s="118">
        <v>2055</v>
      </c>
      <c r="B38" s="118">
        <v>60</v>
      </c>
      <c r="C38" s="144">
        <f t="shared" ca="1" si="1"/>
        <v>42330.865759925706</v>
      </c>
    </row>
    <row r="39" spans="1:6">
      <c r="A39" s="118">
        <v>2056</v>
      </c>
      <c r="B39" s="118">
        <v>61</v>
      </c>
      <c r="C39" s="144">
        <f t="shared" ca="1" si="1"/>
        <v>40282.421078991247</v>
      </c>
    </row>
    <row r="40" spans="1:6">
      <c r="A40" s="118">
        <v>2057</v>
      </c>
      <c r="B40" s="118">
        <v>62</v>
      </c>
      <c r="C40" s="144">
        <f t="shared" ca="1" si="1"/>
        <v>42738.806894995127</v>
      </c>
    </row>
    <row r="41" spans="1:6">
      <c r="A41" s="118">
        <v>2058</v>
      </c>
      <c r="B41" s="118">
        <v>63</v>
      </c>
      <c r="C41" s="144">
        <f t="shared" ca="1" si="1"/>
        <v>47201.309687901587</v>
      </c>
    </row>
    <row r="42" spans="1:6">
      <c r="A42" s="118">
        <v>2059</v>
      </c>
      <c r="B42" s="118">
        <v>64</v>
      </c>
      <c r="C42" s="144">
        <f t="shared" ca="1" si="1"/>
        <v>51771.39454563296</v>
      </c>
    </row>
    <row r="43" spans="1:6" s="151" customFormat="1">
      <c r="A43" s="151">
        <v>2060</v>
      </c>
      <c r="B43" s="151">
        <v>65</v>
      </c>
      <c r="C43" s="144">
        <f t="shared" ca="1" si="1"/>
        <v>51861.284655652431</v>
      </c>
      <c r="D43" s="151">
        <f ca="1">C43*E43</f>
        <v>77791.926983478654</v>
      </c>
      <c r="E43" s="151">
        <f ca="1">IF(B43&lt;=74,
   LOOKUP(RAND(), {0,0.1,0.7,0.9}, {0.8,1,1.5,2}),
   LOOKUP(RAND(), {0,0.35,0.95,0.98}, {0.8,1,1.5,2})
)</f>
        <v>1.5</v>
      </c>
      <c r="F43" s="151" t="str">
        <f ca="1">IF(E43=0.8, "Frugal Year",
 IF(E43=1, "Normal Year",
 IF(E43=1.5, "Active Travel Year",
 IF(E43=2, "Luxury Travel Year", "Unknown")))
)</f>
        <v>Active Travel Year</v>
      </c>
    </row>
    <row r="44" spans="1:6">
      <c r="A44" s="118">
        <v>2061</v>
      </c>
      <c r="B44" s="118">
        <v>66</v>
      </c>
      <c r="C44" s="144">
        <f t="shared" ca="1" si="1"/>
        <v>52062.37852260068</v>
      </c>
      <c r="D44" s="118">
        <f t="shared" ref="D44:D61" ca="1" si="2">C44*E44</f>
        <v>52062.37852260068</v>
      </c>
      <c r="E44" s="118">
        <f ca="1">IF(B44&lt;=74,
   LOOKUP(RAND(), {0,0.1,0.7,0.9}, {0.8,1,1.5,2}),
   LOOKUP(RAND(), {0,0.35,0.95,0.98}, {0.8,1,1.5,2})
)</f>
        <v>1</v>
      </c>
      <c r="F44" s="118" t="str">
        <f ca="1">IF(E44=0.8, "Frugal Year",
 IF(E44=1, "Normal Year",
 IF(E44=1.5, "Active Travel Year",
 IF(E44=2, "Luxury Travel Year", "Unknown")))
)</f>
        <v>Normal Year</v>
      </c>
    </row>
    <row r="45" spans="1:6">
      <c r="A45" s="118">
        <v>2062</v>
      </c>
      <c r="B45" s="118">
        <v>67</v>
      </c>
      <c r="C45" s="144">
        <f t="shared" ca="1" si="1"/>
        <v>55667.520285893195</v>
      </c>
      <c r="D45" s="118">
        <f t="shared" ca="1" si="2"/>
        <v>111335.04057178639</v>
      </c>
      <c r="E45" s="118">
        <f ca="1">IF(B45&lt;=74,
   LOOKUP(RAND(), {0,0.1,0.7,0.9}, {0.8,1,1.5,2}),
   LOOKUP(RAND(), {0,0.35,0.95,0.98}, {0.8,1,1.5,2})
)</f>
        <v>2</v>
      </c>
      <c r="F45" s="118" t="str">
        <f t="shared" ref="F45:F61" ca="1" si="3">IF(E45=0.8, "Frugal Year",
 IF(E45=1, "Normal Year",
 IF(E45=1.5, "Active Travel Year",
 IF(E45=2, "Luxury Travel Year", "Unknown")))
)</f>
        <v>Luxury Travel Year</v>
      </c>
    </row>
    <row r="46" spans="1:6">
      <c r="A46" s="118">
        <v>2063</v>
      </c>
      <c r="B46" s="118">
        <v>68</v>
      </c>
      <c r="C46" s="144">
        <f t="shared" ca="1" si="1"/>
        <v>54747.275110515919</v>
      </c>
      <c r="D46" s="118">
        <f t="shared" ca="1" si="2"/>
        <v>54747.275110515919</v>
      </c>
      <c r="E46" s="118">
        <f ca="1">IF(B46&lt;=74,
   LOOKUP(RAND(), {0,0.1,0.7,0.9}, {0.8,1,1.5,2}),
   LOOKUP(RAND(), {0,0.35,0.95,0.98}, {0.8,1,1.5,2})
)</f>
        <v>1</v>
      </c>
      <c r="F46" s="118" t="str">
        <f t="shared" ca="1" si="3"/>
        <v>Normal Year</v>
      </c>
    </row>
    <row r="47" spans="1:6">
      <c r="A47" s="118">
        <v>2064</v>
      </c>
      <c r="B47" s="118">
        <v>69</v>
      </c>
      <c r="C47" s="144">
        <f t="shared" ca="1" si="1"/>
        <v>54109.924967539897</v>
      </c>
      <c r="D47" s="118">
        <f t="shared" ca="1" si="2"/>
        <v>54109.924967539897</v>
      </c>
      <c r="E47" s="118">
        <f ca="1">IF(B47&lt;=74,
   LOOKUP(RAND(), {0,0.1,0.7,0.9}, {0.8,1,1.5,2}),
   LOOKUP(RAND(), {0,0.35,0.95,0.98}, {0.8,1,1.5,2})
)</f>
        <v>1</v>
      </c>
      <c r="F47" s="118" t="str">
        <f t="shared" ca="1" si="3"/>
        <v>Normal Year</v>
      </c>
    </row>
    <row r="48" spans="1:6">
      <c r="A48" s="118">
        <v>2065</v>
      </c>
      <c r="B48" s="118">
        <v>70</v>
      </c>
      <c r="C48" s="144">
        <f t="shared" ca="1" si="1"/>
        <v>58572.543754689716</v>
      </c>
      <c r="D48" s="118">
        <f t="shared" ca="1" si="2"/>
        <v>58572.543754689716</v>
      </c>
      <c r="E48" s="118">
        <f ca="1">IF(B48&lt;=74,
   LOOKUP(RAND(), {0,0.1,0.7,0.9}, {0.8,1,1.5,2}),
   LOOKUP(RAND(), {0,0.35,0.95,0.98}, {0.8,1,1.5,2})
)</f>
        <v>1</v>
      </c>
      <c r="F48" s="118" t="str">
        <f t="shared" ca="1" si="3"/>
        <v>Normal Year</v>
      </c>
    </row>
    <row r="49" spans="1:6">
      <c r="A49" s="118">
        <v>2066</v>
      </c>
      <c r="B49" s="118">
        <v>71</v>
      </c>
      <c r="C49" s="144">
        <f t="shared" ca="1" si="1"/>
        <v>60773.604664409722</v>
      </c>
      <c r="D49" s="118">
        <f t="shared" ca="1" si="2"/>
        <v>60773.604664409722</v>
      </c>
      <c r="E49" s="118">
        <f ca="1">IF(B49&lt;=74,
   LOOKUP(RAND(), {0,0.1,0.7,0.9}, {0.8,1,1.5,2}),
   LOOKUP(RAND(), {0,0.35,0.95,0.98}, {0.8,1,1.5,2})
)</f>
        <v>1</v>
      </c>
      <c r="F49" s="118" t="str">
        <f t="shared" ca="1" si="3"/>
        <v>Normal Year</v>
      </c>
    </row>
    <row r="50" spans="1:6">
      <c r="A50" s="118">
        <v>2067</v>
      </c>
      <c r="B50" s="118">
        <v>72</v>
      </c>
      <c r="C50" s="144">
        <f t="shared" ca="1" si="1"/>
        <v>60446.39686648261</v>
      </c>
      <c r="D50" s="118">
        <f t="shared" ca="1" si="2"/>
        <v>60446.39686648261</v>
      </c>
      <c r="E50" s="118">
        <f ca="1">IF(B50&lt;=74,
   LOOKUP(RAND(), {0,0.1,0.7,0.9}, {0.8,1,1.5,2}),
   LOOKUP(RAND(), {0,0.35,0.95,0.98}, {0.8,1,1.5,2})
)</f>
        <v>1</v>
      </c>
      <c r="F50" s="118" t="str">
        <f t="shared" ca="1" si="3"/>
        <v>Normal Year</v>
      </c>
    </row>
    <row r="51" spans="1:6">
      <c r="A51" s="118">
        <v>2068</v>
      </c>
      <c r="B51" s="118">
        <v>73</v>
      </c>
      <c r="C51" s="144">
        <f t="shared" ca="1" si="1"/>
        <v>65401.584364887647</v>
      </c>
      <c r="D51" s="118">
        <f t="shared" ca="1" si="2"/>
        <v>98102.376547331471</v>
      </c>
      <c r="E51" s="118">
        <f ca="1">IF(B51&lt;=74,
   LOOKUP(RAND(), {0,0.1,0.7,0.9}, {0.8,1,1.5,2}),
   LOOKUP(RAND(), {0,0.35,0.95,0.98}, {0.8,1,1.5,2})
)</f>
        <v>1.5</v>
      </c>
      <c r="F51" s="118" t="str">
        <f t="shared" ca="1" si="3"/>
        <v>Active Travel Year</v>
      </c>
    </row>
    <row r="52" spans="1:6">
      <c r="A52" s="118">
        <v>2069</v>
      </c>
      <c r="B52" s="118">
        <v>74</v>
      </c>
      <c r="C52" s="144">
        <f t="shared" ca="1" si="1"/>
        <v>71401.876908519058</v>
      </c>
      <c r="D52" s="118">
        <f t="shared" ca="1" si="2"/>
        <v>142803.75381703812</v>
      </c>
      <c r="E52" s="118">
        <f ca="1">IF(B52&lt;=74,
   LOOKUP(RAND(), {0,0.1,0.7,0.9}, {0.8,1,1.5,2}),
   LOOKUP(RAND(), {0,0.35,0.95,0.98}, {0.8,1,1.5,2})
)</f>
        <v>2</v>
      </c>
      <c r="F52" s="118" t="str">
        <f ca="1">IF(E52=0.8, "Frugal Year",
 IF(E52=1, "Normal Year",
 IF(E52=1.5, "Active Travel Year",
 IF(E52=2, "Luxury Travel Year", "Unknown")))
)</f>
        <v>Luxury Travel Year</v>
      </c>
    </row>
    <row r="53" spans="1:6">
      <c r="A53" s="118">
        <v>2070</v>
      </c>
      <c r="B53" s="118">
        <v>75</v>
      </c>
      <c r="C53" s="144">
        <f t="shared" ca="1" si="1"/>
        <v>71938.205132763323</v>
      </c>
      <c r="D53" s="118">
        <f t="shared" ca="1" si="2"/>
        <v>71938.205132763323</v>
      </c>
      <c r="E53" s="118">
        <f ca="1">IF(B53&lt;=74,
   LOOKUP(RAND(), {0,0.1,0.7,0.9}, {0.8,1,1.5,2}),
   LOOKUP(RAND(), {0,0.35,0.95,0.98}, {0.8,1,1.5,2})
)</f>
        <v>1</v>
      </c>
      <c r="F53" s="118" t="str">
        <f t="shared" ca="1" si="3"/>
        <v>Normal Year</v>
      </c>
    </row>
    <row r="54" spans="1:6">
      <c r="A54" s="118">
        <v>2071</v>
      </c>
      <c r="B54" s="118">
        <v>76</v>
      </c>
      <c r="C54" s="144">
        <f t="shared" ca="1" si="1"/>
        <v>74654.892454244793</v>
      </c>
      <c r="D54" s="118">
        <f t="shared" ca="1" si="2"/>
        <v>74654.892454244793</v>
      </c>
      <c r="E54" s="118">
        <f ca="1">IF(B54&lt;=74,
   LOOKUP(RAND(), {0,0.1,0.7,0.9}, {0.8,1,1.5,2}),
   LOOKUP(RAND(), {0,0.35,0.95,0.98}, {0.8,1,1.5,2})
)</f>
        <v>1</v>
      </c>
      <c r="F54" s="118" t="str">
        <f t="shared" ca="1" si="3"/>
        <v>Normal Year</v>
      </c>
    </row>
    <row r="55" spans="1:6">
      <c r="A55" s="118">
        <v>2072</v>
      </c>
      <c r="B55" s="118">
        <v>77</v>
      </c>
      <c r="C55" s="144">
        <f t="shared" ca="1" si="1"/>
        <v>82058.154343732938</v>
      </c>
      <c r="D55" s="118">
        <f t="shared" ca="1" si="2"/>
        <v>65646.523474986359</v>
      </c>
      <c r="E55" s="118">
        <f ca="1">IF(B55&lt;=74,
   LOOKUP(RAND(), {0,0.1,0.7,0.9}, {0.8,1,1.5,2}),
   LOOKUP(RAND(), {0,0.35,0.95,0.98}, {0.8,1,1.5,2})
)</f>
        <v>0.8</v>
      </c>
      <c r="F55" s="118" t="str">
        <f t="shared" ca="1" si="3"/>
        <v>Frugal Year</v>
      </c>
    </row>
    <row r="56" spans="1:6">
      <c r="A56" s="118">
        <v>2073</v>
      </c>
      <c r="B56" s="118">
        <v>78</v>
      </c>
      <c r="C56" s="144">
        <f t="shared" ca="1" si="1"/>
        <v>84388.147962406278</v>
      </c>
      <c r="D56" s="118">
        <f t="shared" ca="1" si="2"/>
        <v>126582.22194360942</v>
      </c>
      <c r="E56" s="118">
        <f ca="1">IF(B56&lt;=74,
   LOOKUP(RAND(), {0,0.1,0.7,0.9}, {0.8,1,1.5,2}),
   LOOKUP(RAND(), {0,0.35,0.95,0.98}, {0.8,1,1.5,2})
)</f>
        <v>1.5</v>
      </c>
      <c r="F56" s="118" t="str">
        <f t="shared" ca="1" si="3"/>
        <v>Active Travel Year</v>
      </c>
    </row>
    <row r="57" spans="1:6">
      <c r="A57" s="118">
        <v>2074</v>
      </c>
      <c r="B57" s="118">
        <v>79</v>
      </c>
      <c r="C57" s="144">
        <f t="shared" ca="1" si="1"/>
        <v>85837.975924492712</v>
      </c>
      <c r="D57" s="118">
        <f t="shared" ca="1" si="2"/>
        <v>85837.975924492712</v>
      </c>
      <c r="E57" s="118">
        <f ca="1">IF(B57&lt;=74,
   LOOKUP(RAND(), {0,0.1,0.7,0.9}, {0.8,1,1.5,2}),
   LOOKUP(RAND(), {0,0.35,0.95,0.98}, {0.8,1,1.5,2})
)</f>
        <v>1</v>
      </c>
      <c r="F57" s="118" t="str">
        <f t="shared" ca="1" si="3"/>
        <v>Normal Year</v>
      </c>
    </row>
    <row r="58" spans="1:6">
      <c r="A58" s="118">
        <v>2075</v>
      </c>
      <c r="B58" s="118">
        <v>80</v>
      </c>
      <c r="C58" s="144">
        <f t="shared" ca="1" si="1"/>
        <v>88012.165842422488</v>
      </c>
      <c r="D58" s="118">
        <f t="shared" ca="1" si="2"/>
        <v>88012.165842422488</v>
      </c>
      <c r="E58" s="118">
        <f ca="1">IF(B58&lt;=74,
   LOOKUP(RAND(), {0,0.1,0.7,0.9}, {0.8,1,1.5,2}),
   LOOKUP(RAND(), {0,0.35,0.95,0.98}, {0.8,1,1.5,2})
)</f>
        <v>1</v>
      </c>
      <c r="F58" s="118" t="str">
        <f t="shared" ca="1" si="3"/>
        <v>Normal Year</v>
      </c>
    </row>
    <row r="59" spans="1:6">
      <c r="A59" s="118">
        <v>2076</v>
      </c>
      <c r="B59" s="118">
        <v>81</v>
      </c>
      <c r="C59" s="144">
        <f t="shared" ca="1" si="1"/>
        <v>96396.539649835293</v>
      </c>
      <c r="D59" s="118">
        <f t="shared" ca="1" si="2"/>
        <v>77117.231719868243</v>
      </c>
      <c r="E59" s="118">
        <f ca="1">IF(B59&lt;=74,
   LOOKUP(RAND(), {0,0.1,0.7,0.9}, {0.8,1,1.5,2}),
   LOOKUP(RAND(), {0,0.35,0.95,0.98}, {0.8,1,1.5,2})
)</f>
        <v>0.8</v>
      </c>
      <c r="F59" s="118" t="str">
        <f t="shared" ca="1" si="3"/>
        <v>Frugal Year</v>
      </c>
    </row>
    <row r="60" spans="1:6">
      <c r="A60" s="118">
        <v>2077</v>
      </c>
      <c r="B60" s="118">
        <v>82</v>
      </c>
      <c r="C60" s="144">
        <f t="shared" ca="1" si="1"/>
        <v>107589.8750328234</v>
      </c>
      <c r="D60" s="118">
        <f t="shared" ca="1" si="2"/>
        <v>107589.8750328234</v>
      </c>
      <c r="E60" s="118">
        <f ca="1">IF(B60&lt;=74,
   LOOKUP(RAND(), {0,0.1,0.7,0.9}, {0.8,1,1.5,2}),
   LOOKUP(RAND(), {0,0.35,0.95,0.98}, {0.8,1,1.5,2})
)</f>
        <v>1</v>
      </c>
      <c r="F60" s="118" t="str">
        <f t="shared" ca="1" si="3"/>
        <v>Normal Year</v>
      </c>
    </row>
    <row r="61" spans="1:6">
      <c r="A61" s="118">
        <v>2078</v>
      </c>
      <c r="B61" s="118">
        <v>83</v>
      </c>
      <c r="C61" s="144">
        <f t="shared" ca="1" si="1"/>
        <v>108618.71515397161</v>
      </c>
      <c r="D61" s="118">
        <f t="shared" ca="1" si="2"/>
        <v>108618.71515397161</v>
      </c>
      <c r="E61" s="118">
        <f ca="1">IF(B61&lt;=74,
   LOOKUP(RAND(), {0,0.1,0.7,0.9}, {0.8,1,1.5,2}),
   LOOKUP(RAND(), {0,0.35,0.95,0.98}, {0.8,1,1.5,2})
)</f>
        <v>1</v>
      </c>
      <c r="F61" s="118" t="str">
        <f t="shared" ca="1" si="3"/>
        <v>Normal Year</v>
      </c>
    </row>
  </sheetData>
  <phoneticPr fontId="2" type="noConversion"/>
  <pageMargins left="0.7" right="0.7" top="0.75" bottom="0.75" header="0.3" footer="0.3"/>
</worksheet>
</file>

<file path=docMetadata/LabelInfo.xml><?xml version="1.0" encoding="utf-8"?>
<clbl:labelList xmlns:clbl="http://schemas.microsoft.com/office/2020/mipLabelMetadata">
  <clbl:label id="{d1b36e95-0d50-42e9-958f-b63fa906beaa}" enabled="0" method="" siteId="{d1b36e95-0d50-42e9-958f-b63fa906be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Table of Contents</vt:lpstr>
      <vt:lpstr>Dashboard</vt:lpstr>
      <vt:lpstr>Decision Tree</vt:lpstr>
      <vt:lpstr>t4_Income from 30-64</vt:lpstr>
      <vt:lpstr>t4_salaryGrowthevent</vt:lpstr>
      <vt:lpstr>fundGrowth</vt:lpstr>
      <vt:lpstr>Information and References</vt:lpstr>
      <vt:lpstr>Net Returns Simulations</vt:lpstr>
      <vt:lpstr>Income from 30-64</vt:lpstr>
      <vt:lpstr>inflationParameter</vt:lpstr>
      <vt:lpstr>Economic Scenarios</vt:lpstr>
      <vt:lpstr>salaryGrowth</vt:lpstr>
      <vt:lpstr>salaryParameters</vt:lpstr>
      <vt:lpstr>fsalarySimulation</vt:lpstr>
      <vt:lpstr>model</vt:lpstr>
      <vt:lpstr>living expenditure actually</vt:lpstr>
      <vt:lpstr>health expenditure</vt:lpstr>
      <vt:lpstr>Transport expenditure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夏黎</dc:creator>
  <cp:keywords/>
  <dc:description/>
  <cp:lastModifiedBy>欣怡 徐</cp:lastModifiedBy>
  <cp:revision/>
  <dcterms:created xsi:type="dcterms:W3CDTF">2023-05-12T11:15:00Z</dcterms:created>
  <dcterms:modified xsi:type="dcterms:W3CDTF">2025-06-03T12:57:16Z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275852EB936144CDA569C2380820AC1D_12</vt:lpwstr>
  </property>
</Properties>
</file>